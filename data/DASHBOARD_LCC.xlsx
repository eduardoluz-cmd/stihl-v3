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slicers/slicer3.xml" ContentType="application/vnd.ms-excel.slicer+xml"/>
  <Override PartName="/xl/drawings/drawing4.xml" ContentType="application/vnd.openxmlformats-officedocument.drawing+xml"/>
  <Override PartName="/xl/slicers/slicer4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tihlgroup-my.sharepoint.com/personal/fagner_magri_stihl_com_br/Documents/Área de Trabalho/LCC/2026/"/>
    </mc:Choice>
  </mc:AlternateContent>
  <xr:revisionPtr revIDLastSave="0" documentId="108_{E302EA42-7A42-4743-B73D-FA3F2B1F3DAE}" xr6:coauthVersionLast="47" xr6:coauthVersionMax="47" xr10:uidLastSave="{00000000-0000-0000-0000-000000000000}"/>
  <bookViews>
    <workbookView xWindow="12276" yWindow="-17388" windowWidth="30936" windowHeight="16776" tabRatio="927" activeTab="4" xr2:uid="{00000000-000D-0000-FFFF-FFFF00000000}"/>
  </bookViews>
  <sheets>
    <sheet name="MATRIZ" sheetId="65" r:id="rId1"/>
    <sheet name="Dados" sheetId="69" r:id="rId2"/>
    <sheet name="Bruta" sheetId="68" r:id="rId3"/>
    <sheet name="inflação" sheetId="82" r:id="rId4"/>
    <sheet name="Tecnica" sheetId="76" r:id="rId5"/>
    <sheet name="Fluxo_caixa" sheetId="8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123Graph_A" hidden="1">[1]Gesamtkalkulation!$M$52:$N$52</definedName>
    <definedName name="__123Graph_A1" localSheetId="1" hidden="1">'[2]CARGA ORÇAMENTO'!#REF!</definedName>
    <definedName name="__123Graph_A1" localSheetId="0" hidden="1">'[2]CARGA ORÇAMENTO'!#REF!</definedName>
    <definedName name="__123Graph_A1" localSheetId="4" hidden="1">'[2]CARGA ORÇAMENTO'!#REF!</definedName>
    <definedName name="__123Graph_A2" localSheetId="1" hidden="1">'[2]CARGA ORÇAMENTO'!#REF!</definedName>
    <definedName name="__123Graph_A2" localSheetId="0" hidden="1">'[2]CARGA ORÇAMENTO'!#REF!</definedName>
    <definedName name="__123Graph_A2" localSheetId="4" hidden="1">'[2]CARGA ORÇAMENTO'!#REF!</definedName>
    <definedName name="__123Graph_A3" localSheetId="1" hidden="1">'[2]CARGA ORÇAMENTO'!#REF!</definedName>
    <definedName name="__123Graph_A3" localSheetId="0" hidden="1">'[2]CARGA ORÇAMENTO'!#REF!</definedName>
    <definedName name="__123Graph_A3" localSheetId="4" hidden="1">'[2]CARGA ORÇAMENTO'!#REF!</definedName>
    <definedName name="__123Graph_A4" localSheetId="1" hidden="1">'[2]CARGA ORÇAMENTO'!#REF!</definedName>
    <definedName name="__123Graph_A4" localSheetId="0" hidden="1">'[2]CARGA ORÇAMENTO'!#REF!</definedName>
    <definedName name="__123Graph_A4" localSheetId="4" hidden="1">'[2]CARGA ORÇAMENTO'!#REF!</definedName>
    <definedName name="__123Graph_A5C" localSheetId="1" hidden="1">'[2]CARGA ORÇAMENTO'!#REF!</definedName>
    <definedName name="__123Graph_A5C" localSheetId="0" hidden="1">'[2]CARGA ORÇAMENTO'!#REF!</definedName>
    <definedName name="__123Graph_A5C" localSheetId="4" hidden="1">'[2]CARGA ORÇAMENTO'!#REF!</definedName>
    <definedName name="__123Graph_A5P" localSheetId="1" hidden="1">'[2]CARGA ORÇAMENTO'!#REF!</definedName>
    <definedName name="__123Graph_A5P" localSheetId="0" hidden="1">'[2]CARGA ORÇAMENTO'!#REF!</definedName>
    <definedName name="__123Graph_A5P" localSheetId="4" hidden="1">'[2]CARGA ORÇAMENTO'!#REF!</definedName>
    <definedName name="__123Graph_A6" localSheetId="1" hidden="1">'[2]CARGA ORÇAMENTO'!#REF!</definedName>
    <definedName name="__123Graph_A6" localSheetId="0" hidden="1">'[2]CARGA ORÇAMENTO'!#REF!</definedName>
    <definedName name="__123Graph_A6" localSheetId="4" hidden="1">'[2]CARGA ORÇAMENTO'!#REF!</definedName>
    <definedName name="__123Graph_A7" localSheetId="1" hidden="1">'[2]CARGA ORÇAMENTO'!#REF!</definedName>
    <definedName name="__123Graph_A7" localSheetId="0" hidden="1">'[2]CARGA ORÇAMENTO'!#REF!</definedName>
    <definedName name="__123Graph_A7" localSheetId="4" hidden="1">'[2]CARGA ORÇAMENTO'!#REF!</definedName>
    <definedName name="__123Graph_A8" localSheetId="1" hidden="1">'[2]CARGA ORÇAMENTO'!#REF!</definedName>
    <definedName name="__123Graph_A8" localSheetId="0" hidden="1">'[2]CARGA ORÇAMENTO'!#REF!</definedName>
    <definedName name="__123Graph_A8" localSheetId="4" hidden="1">'[2]CARGA ORÇAMENTO'!#REF!</definedName>
    <definedName name="__123Graph_ABREAKEVEN" hidden="1">[1]Gesamtkalkulation!$M$52:$N$52</definedName>
    <definedName name="__123Graph_ACABOS" localSheetId="1" hidden="1">'[2]CARGA ORÇAMENTO'!#REF!</definedName>
    <definedName name="__123Graph_ACABOS" localSheetId="0" hidden="1">'[2]CARGA ORÇAMENTO'!#REF!</definedName>
    <definedName name="__123Graph_ACABOS" localSheetId="4" hidden="1">'[2]CARGA ORÇAMENTO'!#REF!</definedName>
    <definedName name="__123Graph_ACILINDRO" localSheetId="1" hidden="1">'[2]CARGA ORÇAMENTO'!#REF!</definedName>
    <definedName name="__123Graph_ACILINDRO" localSheetId="0" hidden="1">'[2]CARGA ORÇAMENTO'!#REF!</definedName>
    <definedName name="__123Graph_ACILINDRO" localSheetId="4" hidden="1">'[2]CARGA ORÇAMENTO'!#REF!</definedName>
    <definedName name="__123Graph_ACOBERTURA" localSheetId="1" hidden="1">'[3]MASTER 2009'!#REF!</definedName>
    <definedName name="__123Graph_ACOBERTURA" localSheetId="0" hidden="1">'[3]MASTER 2009'!#REF!</definedName>
    <definedName name="__123Graph_ACOBERTURA" localSheetId="4" hidden="1">'[3]MASTER 2009'!#REF!</definedName>
    <definedName name="__123Graph_AFUNDI" localSheetId="1" hidden="1">'[2]CARGA ORÇAMENTO'!#REF!</definedName>
    <definedName name="__123Graph_AFUNDI" localSheetId="0" hidden="1">'[2]CARGA ORÇAMENTO'!#REF!</definedName>
    <definedName name="__123Graph_AFUNDI" localSheetId="4" hidden="1">'[2]CARGA ORÇAMENTO'!#REF!</definedName>
    <definedName name="__123Graph_AMONTAG" localSheetId="1" hidden="1">'[2]CARGA ORÇAMENTO'!#REF!</definedName>
    <definedName name="__123Graph_AMONTAG" localSheetId="0" hidden="1">'[2]CARGA ORÇAMENTO'!#REF!</definedName>
    <definedName name="__123Graph_AMONTAG" localSheetId="4" hidden="1">'[2]CARGA ORÇAMENTO'!#REF!</definedName>
    <definedName name="__123Graph_AOCUP" localSheetId="1" hidden="1">'[2]CARGA ORÇAMENTO'!#REF!</definedName>
    <definedName name="__123Graph_AOCUP" localSheetId="0" hidden="1">'[2]CARGA ORÇAMENTO'!#REF!</definedName>
    <definedName name="__123Graph_AOCUP" localSheetId="4" hidden="1">'[2]CARGA ORÇAMENTO'!#REF!</definedName>
    <definedName name="__123Graph_APINHAO" localSheetId="1" hidden="1">'[2]CARGA ORÇAMENTO'!#REF!</definedName>
    <definedName name="__123Graph_APINHAO" localSheetId="0" hidden="1">'[2]CARGA ORÇAMENTO'!#REF!</definedName>
    <definedName name="__123Graph_APINHAO" localSheetId="4" hidden="1">'[2]CARGA ORÇAMENTO'!#REF!</definedName>
    <definedName name="__123Graph_APLAST" localSheetId="1" hidden="1">'[2]CARGA ORÇAMENTO'!#REF!</definedName>
    <definedName name="__123Graph_APLAST" localSheetId="0" hidden="1">'[2]CARGA ORÇAMENTO'!#REF!</definedName>
    <definedName name="__123Graph_APLAST" localSheetId="4" hidden="1">'[2]CARGA ORÇAMENTO'!#REF!</definedName>
    <definedName name="__123Graph_APRODUCAO" localSheetId="1" hidden="1">'[3]MASTER 2009'!#REF!</definedName>
    <definedName name="__123Graph_APRODUCAO" localSheetId="0" hidden="1">'[3]MASTER 2009'!#REF!</definedName>
    <definedName name="__123Graph_APRODUCAO" localSheetId="4" hidden="1">'[3]MASTER 2009'!#REF!</definedName>
    <definedName name="__123Graph_ASABRES" localSheetId="1" hidden="1">'[2]CARGA ORÇAMENTO'!#REF!</definedName>
    <definedName name="__123Graph_ASABRES" localSheetId="0" hidden="1">'[2]CARGA ORÇAMENTO'!#REF!</definedName>
    <definedName name="__123Graph_ASABRES" localSheetId="4" hidden="1">'[2]CARGA ORÇAMENTO'!#REF!</definedName>
    <definedName name="__123Graph_ATOTAL" localSheetId="1" hidden="1">#REF!</definedName>
    <definedName name="__123Graph_ATOTAL" localSheetId="0" hidden="1">#REF!</definedName>
    <definedName name="__123Graph_ATOTAL" localSheetId="4" hidden="1">#REF!</definedName>
    <definedName name="__123Graph_AUSIN" localSheetId="1" hidden="1">'[2]CARGA ORÇAMENTO'!#REF!</definedName>
    <definedName name="__123Graph_AUSIN" localSheetId="0" hidden="1">'[2]CARGA ORÇAMENTO'!#REF!</definedName>
    <definedName name="__123Graph_AUSIN" localSheetId="4" hidden="1">'[2]CARGA ORÇAMENTO'!#REF!</definedName>
    <definedName name="__123Graph_AVIRAB" localSheetId="1" hidden="1">'[2]CARGA ORÇAMENTO'!#REF!</definedName>
    <definedName name="__123Graph_AVIRAB" localSheetId="0" hidden="1">'[2]CARGA ORÇAMENTO'!#REF!</definedName>
    <definedName name="__123Graph_AVIRAB" localSheetId="4" hidden="1">'[2]CARGA ORÇAMENTO'!#REF!</definedName>
    <definedName name="__123Graph_B" hidden="1">[1]Gesamtkalkulation!$M$54:$N$54</definedName>
    <definedName name="__123Graph_BBREAKEVEN" hidden="1">[1]Gesamtkalkulation!$M$54:$N$54</definedName>
    <definedName name="__123Graph_BCOBERTURA" localSheetId="1" hidden="1">'[3]MASTER 2009'!#REF!</definedName>
    <definedName name="__123Graph_BCOBERTURA" localSheetId="0" hidden="1">'[3]MASTER 2009'!#REF!</definedName>
    <definedName name="__123Graph_BCOBERTURA" localSheetId="4" hidden="1">'[3]MASTER 2009'!#REF!</definedName>
    <definedName name="__123Graph_BESTOQUES" localSheetId="1" hidden="1">'[3]MASTER 2009'!#REF!</definedName>
    <definedName name="__123Graph_BESTOQUES" localSheetId="0" hidden="1">'[3]MASTER 2009'!#REF!</definedName>
    <definedName name="__123Graph_BESTOQUES" localSheetId="4" hidden="1">'[3]MASTER 2009'!#REF!</definedName>
    <definedName name="__123Graph_BPRODUCAO" localSheetId="1" hidden="1">'[3]MASTER 2009'!#REF!</definedName>
    <definedName name="__123Graph_BPRODUCAO" localSheetId="0" hidden="1">'[3]MASTER 2009'!#REF!</definedName>
    <definedName name="__123Graph_BPRODUCAO" localSheetId="4" hidden="1">'[3]MASTER 2009'!#REF!</definedName>
    <definedName name="__123Graph_BTOTAL" localSheetId="1" hidden="1">'[3]MASTER 2009'!#REF!</definedName>
    <definedName name="__123Graph_BTOTAL" localSheetId="0" hidden="1">'[3]MASTER 2009'!#REF!</definedName>
    <definedName name="__123Graph_BTOTAL" localSheetId="4" hidden="1">'[3]MASTER 2009'!#REF!</definedName>
    <definedName name="__123Graph_C" hidden="1">[1]Gesamtkalkulation!$M$50:$N$50</definedName>
    <definedName name="__123Graph_CBREAKEVEN" hidden="1">[1]Gesamtkalkulation!$M$50:$N$50</definedName>
    <definedName name="__123Graph_CCOBERTURA" localSheetId="1" hidden="1">#REF!</definedName>
    <definedName name="__123Graph_CCOBERTURA" localSheetId="0" hidden="1">#REF!</definedName>
    <definedName name="__123Graph_CCOBERTURA" localSheetId="4" hidden="1">#REF!</definedName>
    <definedName name="__123Graph_CESTOQUES" localSheetId="1" hidden="1">#REF!</definedName>
    <definedName name="__123Graph_CESTOQUES" localSheetId="0" hidden="1">#REF!</definedName>
    <definedName name="__123Graph_CESTOQUES" localSheetId="4" hidden="1">#REF!</definedName>
    <definedName name="__123Graph_CPRODUCAO" localSheetId="1" hidden="1">'[3]MASTER 2009'!#REF!</definedName>
    <definedName name="__123Graph_CPRODUCAO" localSheetId="0" hidden="1">'[3]MASTER 2009'!#REF!</definedName>
    <definedName name="__123Graph_CPRODUCAO" localSheetId="4" hidden="1">'[3]MASTER 2009'!#REF!</definedName>
    <definedName name="__123Graph_CTOTAL" localSheetId="1" hidden="1">#REF!</definedName>
    <definedName name="__123Graph_CTOTAL" localSheetId="0" hidden="1">#REF!</definedName>
    <definedName name="__123Graph_CTOTAL" localSheetId="4" hidden="1">#REF!</definedName>
    <definedName name="__123Graph_CVENDAS" localSheetId="1" hidden="1">#REF!</definedName>
    <definedName name="__123Graph_CVENDAS" localSheetId="0" hidden="1">#REF!</definedName>
    <definedName name="__123Graph_CVENDAS" localSheetId="4" hidden="1">#REF!</definedName>
    <definedName name="__123Graph_D" localSheetId="1" hidden="1">'[2]CARGA ORÇAMENTO'!#REF!</definedName>
    <definedName name="__123Graph_D" localSheetId="0" hidden="1">'[2]CARGA ORÇAMENTO'!#REF!</definedName>
    <definedName name="__123Graph_D" localSheetId="4" hidden="1">'[2]CARGA ORÇAMENTO'!#REF!</definedName>
    <definedName name="__123Graph_D1" localSheetId="1" hidden="1">'[2]CARGA ORÇAMENTO'!#REF!</definedName>
    <definedName name="__123Graph_D1" localSheetId="0" hidden="1">'[2]CARGA ORÇAMENTO'!#REF!</definedName>
    <definedName name="__123Graph_D1" localSheetId="4" hidden="1">'[2]CARGA ORÇAMENTO'!#REF!</definedName>
    <definedName name="__123Graph_D2" localSheetId="1" hidden="1">'[2]CARGA ORÇAMENTO'!#REF!</definedName>
    <definedName name="__123Graph_D2" localSheetId="0" hidden="1">'[2]CARGA ORÇAMENTO'!#REF!</definedName>
    <definedName name="__123Graph_D2" localSheetId="4" hidden="1">'[2]CARGA ORÇAMENTO'!#REF!</definedName>
    <definedName name="__123Graph_D3" localSheetId="1" hidden="1">'[2]CARGA ORÇAMENTO'!#REF!</definedName>
    <definedName name="__123Graph_D3" localSheetId="0" hidden="1">'[2]CARGA ORÇAMENTO'!#REF!</definedName>
    <definedName name="__123Graph_D3" localSheetId="4" hidden="1">'[2]CARGA ORÇAMENTO'!#REF!</definedName>
    <definedName name="__123Graph_D4" localSheetId="1" hidden="1">'[2]CARGA ORÇAMENTO'!#REF!</definedName>
    <definedName name="__123Graph_D4" localSheetId="0" hidden="1">'[2]CARGA ORÇAMENTO'!#REF!</definedName>
    <definedName name="__123Graph_D4" localSheetId="4" hidden="1">'[2]CARGA ORÇAMENTO'!#REF!</definedName>
    <definedName name="__123Graph_D5C" localSheetId="1" hidden="1">'[2]CARGA ORÇAMENTO'!#REF!</definedName>
    <definedName name="__123Graph_D5C" localSheetId="0" hidden="1">'[2]CARGA ORÇAMENTO'!#REF!</definedName>
    <definedName name="__123Graph_D5C" localSheetId="4" hidden="1">'[2]CARGA ORÇAMENTO'!#REF!</definedName>
    <definedName name="__123Graph_D5P" localSheetId="1" hidden="1">'[2]CARGA ORÇAMENTO'!#REF!</definedName>
    <definedName name="__123Graph_D5P" localSheetId="0" hidden="1">'[2]CARGA ORÇAMENTO'!#REF!</definedName>
    <definedName name="__123Graph_D5P" localSheetId="4" hidden="1">'[2]CARGA ORÇAMENTO'!#REF!</definedName>
    <definedName name="__123Graph_D6" localSheetId="1" hidden="1">'[2]CARGA ORÇAMENTO'!#REF!</definedName>
    <definedName name="__123Graph_D6" localSheetId="0" hidden="1">'[2]CARGA ORÇAMENTO'!#REF!</definedName>
    <definedName name="__123Graph_D6" localSheetId="4" hidden="1">'[2]CARGA ORÇAMENTO'!#REF!</definedName>
    <definedName name="__123Graph_D7" localSheetId="1" hidden="1">'[2]CARGA ORÇAMENTO'!#REF!</definedName>
    <definedName name="__123Graph_D7" localSheetId="0" hidden="1">'[2]CARGA ORÇAMENTO'!#REF!</definedName>
    <definedName name="__123Graph_D7" localSheetId="4" hidden="1">'[2]CARGA ORÇAMENTO'!#REF!</definedName>
    <definedName name="__123Graph_D8" localSheetId="1" hidden="1">'[2]CARGA ORÇAMENTO'!#REF!</definedName>
    <definedName name="__123Graph_D8" localSheetId="0" hidden="1">'[2]CARGA ORÇAMENTO'!#REF!</definedName>
    <definedName name="__123Graph_D8" localSheetId="4" hidden="1">'[2]CARGA ORÇAMENTO'!#REF!</definedName>
    <definedName name="__123Graph_DCABOS" localSheetId="1" hidden="1">'[2]CARGA ORÇAMENTO'!#REF!</definedName>
    <definedName name="__123Graph_DCABOS" localSheetId="0" hidden="1">'[2]CARGA ORÇAMENTO'!#REF!</definedName>
    <definedName name="__123Graph_DCABOS" localSheetId="4" hidden="1">'[2]CARGA ORÇAMENTO'!#REF!</definedName>
    <definedName name="__123Graph_DFUNDI" localSheetId="1" hidden="1">'[2]CARGA ORÇAMENTO'!#REF!</definedName>
    <definedName name="__123Graph_DFUNDI" localSheetId="0" hidden="1">'[2]CARGA ORÇAMENTO'!#REF!</definedName>
    <definedName name="__123Graph_DFUNDI" localSheetId="4" hidden="1">'[2]CARGA ORÇAMENTO'!#REF!</definedName>
    <definedName name="__123Graph_DMONTAG" localSheetId="1" hidden="1">'[2]CARGA ORÇAMENTO'!#REF!</definedName>
    <definedName name="__123Graph_DMONTAG" localSheetId="0" hidden="1">'[2]CARGA ORÇAMENTO'!#REF!</definedName>
    <definedName name="__123Graph_DMONTAG" localSheetId="4" hidden="1">'[2]CARGA ORÇAMENTO'!#REF!</definedName>
    <definedName name="__123Graph_DOCUP" localSheetId="1" hidden="1">'[2]CARGA ORÇAMENTO'!#REF!</definedName>
    <definedName name="__123Graph_DOCUP" localSheetId="0" hidden="1">'[2]CARGA ORÇAMENTO'!#REF!</definedName>
    <definedName name="__123Graph_DOCUP" localSheetId="4" hidden="1">'[2]CARGA ORÇAMENTO'!#REF!</definedName>
    <definedName name="__123Graph_DPINHAO" localSheetId="1" hidden="1">'[2]CARGA ORÇAMENTO'!#REF!</definedName>
    <definedName name="__123Graph_DPINHAO" localSheetId="0" hidden="1">'[2]CARGA ORÇAMENTO'!#REF!</definedName>
    <definedName name="__123Graph_DPINHAO" localSheetId="4" hidden="1">'[2]CARGA ORÇAMENTO'!#REF!</definedName>
    <definedName name="__123Graph_DPLAST" localSheetId="1" hidden="1">'[2]CARGA ORÇAMENTO'!#REF!</definedName>
    <definedName name="__123Graph_DPLAST" localSheetId="0" hidden="1">'[2]CARGA ORÇAMENTO'!#REF!</definedName>
    <definedName name="__123Graph_DPLAST" localSheetId="4" hidden="1">'[2]CARGA ORÇAMENTO'!#REF!</definedName>
    <definedName name="__123Graph_DSABRES" localSheetId="1" hidden="1">'[2]CARGA ORÇAMENTO'!#REF!</definedName>
    <definedName name="__123Graph_DSABRES" localSheetId="0" hidden="1">'[2]CARGA ORÇAMENTO'!#REF!</definedName>
    <definedName name="__123Graph_DSABRES" localSheetId="4" hidden="1">'[2]CARGA ORÇAMENTO'!#REF!</definedName>
    <definedName name="__123Graph_DUSIN" localSheetId="1" hidden="1">'[2]CARGA ORÇAMENTO'!#REF!</definedName>
    <definedName name="__123Graph_DUSIN" localSheetId="0" hidden="1">'[2]CARGA ORÇAMENTO'!#REF!</definedName>
    <definedName name="__123Graph_DUSIN" localSheetId="4" hidden="1">'[2]CARGA ORÇAMENTO'!#REF!</definedName>
    <definedName name="__123Graph_DVIRAB" localSheetId="1" hidden="1">'[2]CARGA ORÇAMENTO'!#REF!</definedName>
    <definedName name="__123Graph_DVIRAB" localSheetId="0" hidden="1">'[2]CARGA ORÇAMENTO'!#REF!</definedName>
    <definedName name="__123Graph_DVIRAB" localSheetId="4" hidden="1">'[2]CARGA ORÇAMENTO'!#REF!</definedName>
    <definedName name="__123Graph_LBL_A" hidden="1">[1]Gesamtkalkulation!$M$52:$N$52</definedName>
    <definedName name="__123Graph_LBL_A1" localSheetId="1" hidden="1">'[2]CARGA ORÇAMENTO'!#REF!</definedName>
    <definedName name="__123Graph_LBL_A1" localSheetId="0" hidden="1">'[2]CARGA ORÇAMENTO'!#REF!</definedName>
    <definedName name="__123Graph_LBL_A1" localSheetId="4" hidden="1">'[2]CARGA ORÇAMENTO'!#REF!</definedName>
    <definedName name="__123Graph_LBL_A3" localSheetId="1" hidden="1">'[2]CARGA ORÇAMENTO'!#REF!</definedName>
    <definedName name="__123Graph_LBL_A3" localSheetId="0" hidden="1">'[2]CARGA ORÇAMENTO'!#REF!</definedName>
    <definedName name="__123Graph_LBL_A3" localSheetId="4" hidden="1">'[2]CARGA ORÇAMENTO'!#REF!</definedName>
    <definedName name="__123Graph_LBL_A4" localSheetId="1" hidden="1">'[2]CARGA ORÇAMENTO'!#REF!</definedName>
    <definedName name="__123Graph_LBL_A4" localSheetId="0" hidden="1">'[2]CARGA ORÇAMENTO'!#REF!</definedName>
    <definedName name="__123Graph_LBL_A4" localSheetId="4" hidden="1">'[2]CARGA ORÇAMENTO'!#REF!</definedName>
    <definedName name="__123Graph_LBL_A5C" localSheetId="1" hidden="1">'[2]CARGA ORÇAMENTO'!#REF!</definedName>
    <definedName name="__123Graph_LBL_A5C" localSheetId="0" hidden="1">'[2]CARGA ORÇAMENTO'!#REF!</definedName>
    <definedName name="__123Graph_LBL_A5C" localSheetId="4" hidden="1">'[2]CARGA ORÇAMENTO'!#REF!</definedName>
    <definedName name="__123Graph_LBL_A5P" localSheetId="1" hidden="1">'[2]CARGA ORÇAMENTO'!#REF!</definedName>
    <definedName name="__123Graph_LBL_A5P" localSheetId="0" hidden="1">'[2]CARGA ORÇAMENTO'!#REF!</definedName>
    <definedName name="__123Graph_LBL_A5P" localSheetId="4" hidden="1">'[2]CARGA ORÇAMENTO'!#REF!</definedName>
    <definedName name="__123Graph_LBL_A6" localSheetId="1" hidden="1">'[2]CARGA ORÇAMENTO'!#REF!</definedName>
    <definedName name="__123Graph_LBL_A6" localSheetId="0" hidden="1">'[2]CARGA ORÇAMENTO'!#REF!</definedName>
    <definedName name="__123Graph_LBL_A6" localSheetId="4" hidden="1">'[2]CARGA ORÇAMENTO'!#REF!</definedName>
    <definedName name="__123Graph_LBL_A7" localSheetId="1" hidden="1">'[2]CARGA ORÇAMENTO'!#REF!</definedName>
    <definedName name="__123Graph_LBL_A7" localSheetId="0" hidden="1">'[2]CARGA ORÇAMENTO'!#REF!</definedName>
    <definedName name="__123Graph_LBL_A7" localSheetId="4" hidden="1">'[2]CARGA ORÇAMENTO'!#REF!</definedName>
    <definedName name="__123Graph_LBL_A8" localSheetId="1" hidden="1">'[2]CARGA ORÇAMENTO'!#REF!</definedName>
    <definedName name="__123Graph_LBL_A8" localSheetId="0" hidden="1">'[2]CARGA ORÇAMENTO'!#REF!</definedName>
    <definedName name="__123Graph_LBL_A8" localSheetId="4" hidden="1">'[2]CARGA ORÇAMENTO'!#REF!</definedName>
    <definedName name="__123Graph_LBL_ABREAKEVEN" hidden="1">[1]Gesamtkalkulation!$M$52:$N$52</definedName>
    <definedName name="__123Graph_LBL_ACABOS" localSheetId="1" hidden="1">'[2]CARGA ORÇAMENTO'!#REF!</definedName>
    <definedName name="__123Graph_LBL_ACABOS" localSheetId="0" hidden="1">'[2]CARGA ORÇAMENTO'!#REF!</definedName>
    <definedName name="__123Graph_LBL_ACABOS" localSheetId="4" hidden="1">'[2]CARGA ORÇAMENTO'!#REF!</definedName>
    <definedName name="__123Graph_LBL_ACILINDRO" localSheetId="1" hidden="1">'[2]CARGA ORÇAMENTO'!#REF!</definedName>
    <definedName name="__123Graph_LBL_ACILINDRO" localSheetId="0" hidden="1">'[2]CARGA ORÇAMENTO'!#REF!</definedName>
    <definedName name="__123Graph_LBL_ACILINDRO" localSheetId="4" hidden="1">'[2]CARGA ORÇAMENTO'!#REF!</definedName>
    <definedName name="__123Graph_LBL_AFUNDI" localSheetId="1" hidden="1">'[2]CARGA ORÇAMENTO'!#REF!</definedName>
    <definedName name="__123Graph_LBL_AFUNDI" localSheetId="0" hidden="1">'[2]CARGA ORÇAMENTO'!#REF!</definedName>
    <definedName name="__123Graph_LBL_AFUNDI" localSheetId="4" hidden="1">'[2]CARGA ORÇAMENTO'!#REF!</definedName>
    <definedName name="__123Graph_LBL_AMONTAG" localSheetId="1" hidden="1">'[2]CARGA ORÇAMENTO'!#REF!</definedName>
    <definedName name="__123Graph_LBL_AMONTAG" localSheetId="0" hidden="1">'[2]CARGA ORÇAMENTO'!#REF!</definedName>
    <definedName name="__123Graph_LBL_AMONTAG" localSheetId="4" hidden="1">'[2]CARGA ORÇAMENTO'!#REF!</definedName>
    <definedName name="__123Graph_LBL_AOCUP" localSheetId="1" hidden="1">'[2]CARGA ORÇAMENTO'!#REF!</definedName>
    <definedName name="__123Graph_LBL_AOCUP" localSheetId="0" hidden="1">'[2]CARGA ORÇAMENTO'!#REF!</definedName>
    <definedName name="__123Graph_LBL_AOCUP" localSheetId="4" hidden="1">'[2]CARGA ORÇAMENTO'!#REF!</definedName>
    <definedName name="__123Graph_LBL_APINHAO" localSheetId="1" hidden="1">'[2]CARGA ORÇAMENTO'!#REF!</definedName>
    <definedName name="__123Graph_LBL_APINHAO" localSheetId="0" hidden="1">'[2]CARGA ORÇAMENTO'!#REF!</definedName>
    <definedName name="__123Graph_LBL_APINHAO" localSheetId="4" hidden="1">'[2]CARGA ORÇAMENTO'!#REF!</definedName>
    <definedName name="__123Graph_LBL_APLAST" localSheetId="1" hidden="1">'[2]CARGA ORÇAMENTO'!#REF!</definedName>
    <definedName name="__123Graph_LBL_APLAST" localSheetId="0" hidden="1">'[2]CARGA ORÇAMENTO'!#REF!</definedName>
    <definedName name="__123Graph_LBL_APLAST" localSheetId="4" hidden="1">'[2]CARGA ORÇAMENTO'!#REF!</definedName>
    <definedName name="__123Graph_LBL_ASABRES" localSheetId="1" hidden="1">'[2]CARGA ORÇAMENTO'!#REF!</definedName>
    <definedName name="__123Graph_LBL_ASABRES" localSheetId="0" hidden="1">'[2]CARGA ORÇAMENTO'!#REF!</definedName>
    <definedName name="__123Graph_LBL_ASABRES" localSheetId="4" hidden="1">'[2]CARGA ORÇAMENTO'!#REF!</definedName>
    <definedName name="__123Graph_LBL_AVIRAB" localSheetId="1" hidden="1">'[2]CARGA ORÇAMENTO'!#REF!</definedName>
    <definedName name="__123Graph_LBL_AVIRAB" localSheetId="0" hidden="1">'[2]CARGA ORÇAMENTO'!#REF!</definedName>
    <definedName name="__123Graph_LBL_AVIRAB" localSheetId="4" hidden="1">'[2]CARGA ORÇAMENTO'!#REF!</definedName>
    <definedName name="__123Graph_LBL_B" hidden="1">[1]Gesamtkalkulation!$M$54:$N$54</definedName>
    <definedName name="__123Graph_LBL_BBREAKEVEN" hidden="1">[1]Gesamtkalkulation!$M$54:$N$54</definedName>
    <definedName name="__123Graph_LBL_C" hidden="1">[1]Gesamtkalkulation!$M$50:$N$50</definedName>
    <definedName name="__123Graph_LBL_CBREAKEVEN" hidden="1">[1]Gesamtkalkulation!$M$50:$N$50</definedName>
    <definedName name="__123Graph_LBL_D" localSheetId="1" hidden="1">'[2]CARGA ORÇAMENTO'!#REF!</definedName>
    <definedName name="__123Graph_LBL_D" localSheetId="0" hidden="1">'[2]CARGA ORÇAMENTO'!#REF!</definedName>
    <definedName name="__123Graph_LBL_D" localSheetId="4" hidden="1">'[2]CARGA ORÇAMENTO'!#REF!</definedName>
    <definedName name="__123Graph_LBL_D1" localSheetId="1" hidden="1">'[2]CARGA ORÇAMENTO'!#REF!</definedName>
    <definedName name="__123Graph_LBL_D1" localSheetId="0" hidden="1">'[2]CARGA ORÇAMENTO'!#REF!</definedName>
    <definedName name="__123Graph_LBL_D1" localSheetId="4" hidden="1">'[2]CARGA ORÇAMENTO'!#REF!</definedName>
    <definedName name="__123Graph_LBL_D2" localSheetId="1" hidden="1">'[2]CARGA ORÇAMENTO'!#REF!</definedName>
    <definedName name="__123Graph_LBL_D2" localSheetId="0" hidden="1">'[2]CARGA ORÇAMENTO'!#REF!</definedName>
    <definedName name="__123Graph_LBL_D2" localSheetId="4" hidden="1">'[2]CARGA ORÇAMENTO'!#REF!</definedName>
    <definedName name="__123Graph_LBL_D3" localSheetId="1" hidden="1">'[2]CARGA ORÇAMENTO'!#REF!</definedName>
    <definedName name="__123Graph_LBL_D3" localSheetId="0" hidden="1">'[2]CARGA ORÇAMENTO'!#REF!</definedName>
    <definedName name="__123Graph_LBL_D3" localSheetId="4" hidden="1">'[2]CARGA ORÇAMENTO'!#REF!</definedName>
    <definedName name="__123Graph_LBL_D4" localSheetId="1" hidden="1">'[2]CARGA ORÇAMENTO'!#REF!</definedName>
    <definedName name="__123Graph_LBL_D4" localSheetId="0" hidden="1">'[2]CARGA ORÇAMENTO'!#REF!</definedName>
    <definedName name="__123Graph_LBL_D4" localSheetId="4" hidden="1">'[2]CARGA ORÇAMENTO'!#REF!</definedName>
    <definedName name="__123Graph_LBL_D5C" localSheetId="1" hidden="1">'[2]CARGA ORÇAMENTO'!#REF!</definedName>
    <definedName name="__123Graph_LBL_D5C" localSheetId="0" hidden="1">'[2]CARGA ORÇAMENTO'!#REF!</definedName>
    <definedName name="__123Graph_LBL_D5C" localSheetId="4" hidden="1">'[2]CARGA ORÇAMENTO'!#REF!</definedName>
    <definedName name="__123Graph_LBL_D5P" localSheetId="1" hidden="1">'[2]CARGA ORÇAMENTO'!#REF!</definedName>
    <definedName name="__123Graph_LBL_D5P" localSheetId="0" hidden="1">'[2]CARGA ORÇAMENTO'!#REF!</definedName>
    <definedName name="__123Graph_LBL_D5P" localSheetId="4" hidden="1">'[2]CARGA ORÇAMENTO'!#REF!</definedName>
    <definedName name="__123Graph_LBL_D6" localSheetId="1" hidden="1">'[2]CARGA ORÇAMENTO'!#REF!</definedName>
    <definedName name="__123Graph_LBL_D6" localSheetId="0" hidden="1">'[2]CARGA ORÇAMENTO'!#REF!</definedName>
    <definedName name="__123Graph_LBL_D6" localSheetId="4" hidden="1">'[2]CARGA ORÇAMENTO'!#REF!</definedName>
    <definedName name="__123Graph_LBL_D7" localSheetId="1" hidden="1">'[2]CARGA ORÇAMENTO'!#REF!</definedName>
    <definedName name="__123Graph_LBL_D7" localSheetId="0" hidden="1">'[2]CARGA ORÇAMENTO'!#REF!</definedName>
    <definedName name="__123Graph_LBL_D7" localSheetId="4" hidden="1">'[2]CARGA ORÇAMENTO'!#REF!</definedName>
    <definedName name="__123Graph_LBL_D8" localSheetId="1" hidden="1">'[2]CARGA ORÇAMENTO'!#REF!</definedName>
    <definedName name="__123Graph_LBL_D8" localSheetId="0" hidden="1">'[2]CARGA ORÇAMENTO'!#REF!</definedName>
    <definedName name="__123Graph_LBL_D8" localSheetId="4" hidden="1">'[2]CARGA ORÇAMENTO'!#REF!</definedName>
    <definedName name="__123Graph_LBL_DCABOS" localSheetId="1" hidden="1">'[2]CARGA ORÇAMENTO'!#REF!</definedName>
    <definedName name="__123Graph_LBL_DCABOS" localSheetId="0" hidden="1">'[2]CARGA ORÇAMENTO'!#REF!</definedName>
    <definedName name="__123Graph_LBL_DCABOS" localSheetId="4" hidden="1">'[2]CARGA ORÇAMENTO'!#REF!</definedName>
    <definedName name="__123Graph_LBL_DFUNDI" localSheetId="1" hidden="1">'[2]CARGA ORÇAMENTO'!#REF!</definedName>
    <definedName name="__123Graph_LBL_DFUNDI" localSheetId="0" hidden="1">'[2]CARGA ORÇAMENTO'!#REF!</definedName>
    <definedName name="__123Graph_LBL_DFUNDI" localSheetId="4" hidden="1">'[2]CARGA ORÇAMENTO'!#REF!</definedName>
    <definedName name="__123Graph_LBL_DMONTAG" localSheetId="1" hidden="1">'[2]CARGA ORÇAMENTO'!#REF!</definedName>
    <definedName name="__123Graph_LBL_DMONTAG" localSheetId="0" hidden="1">'[2]CARGA ORÇAMENTO'!#REF!</definedName>
    <definedName name="__123Graph_LBL_DMONTAG" localSheetId="4" hidden="1">'[2]CARGA ORÇAMENTO'!#REF!</definedName>
    <definedName name="__123Graph_LBL_DOCUP" localSheetId="1" hidden="1">'[2]CARGA ORÇAMENTO'!#REF!</definedName>
    <definedName name="__123Graph_LBL_DOCUP" localSheetId="0" hidden="1">'[2]CARGA ORÇAMENTO'!#REF!</definedName>
    <definedName name="__123Graph_LBL_DOCUP" localSheetId="4" hidden="1">'[2]CARGA ORÇAMENTO'!#REF!</definedName>
    <definedName name="__123Graph_LBL_DPINHAO" localSheetId="1" hidden="1">'[2]CARGA ORÇAMENTO'!#REF!</definedName>
    <definedName name="__123Graph_LBL_DPINHAO" localSheetId="0" hidden="1">'[2]CARGA ORÇAMENTO'!#REF!</definedName>
    <definedName name="__123Graph_LBL_DPINHAO" localSheetId="4" hidden="1">'[2]CARGA ORÇAMENTO'!#REF!</definedName>
    <definedName name="__123Graph_LBL_DPLAST" localSheetId="1" hidden="1">'[2]CARGA ORÇAMENTO'!#REF!</definedName>
    <definedName name="__123Graph_LBL_DPLAST" localSheetId="0" hidden="1">'[2]CARGA ORÇAMENTO'!#REF!</definedName>
    <definedName name="__123Graph_LBL_DPLAST" localSheetId="4" hidden="1">'[2]CARGA ORÇAMENTO'!#REF!</definedName>
    <definedName name="__123Graph_LBL_DSABRES" localSheetId="1" hidden="1">'[2]CARGA ORÇAMENTO'!#REF!</definedName>
    <definedName name="__123Graph_LBL_DSABRES" localSheetId="0" hidden="1">'[2]CARGA ORÇAMENTO'!#REF!</definedName>
    <definedName name="__123Graph_LBL_DSABRES" localSheetId="4" hidden="1">'[2]CARGA ORÇAMENTO'!#REF!</definedName>
    <definedName name="__123Graph_LBL_DUSIN" localSheetId="1" hidden="1">'[2]CARGA ORÇAMENTO'!#REF!</definedName>
    <definedName name="__123Graph_LBL_DUSIN" localSheetId="0" hidden="1">'[2]CARGA ORÇAMENTO'!#REF!</definedName>
    <definedName name="__123Graph_LBL_DUSIN" localSheetId="4" hidden="1">'[2]CARGA ORÇAMENTO'!#REF!</definedName>
    <definedName name="__123Graph_LBL_DVIRAB" localSheetId="1" hidden="1">'[2]CARGA ORÇAMENTO'!#REF!</definedName>
    <definedName name="__123Graph_LBL_DVIRAB" localSheetId="0" hidden="1">'[2]CARGA ORÇAMENTO'!#REF!</definedName>
    <definedName name="__123Graph_LBL_DVIRAB" localSheetId="4" hidden="1">'[2]CARGA ORÇAMENTO'!#REF!</definedName>
    <definedName name="__123Graph_X" hidden="1">[1]Gesamtkalkulation!$M$49:$N$49</definedName>
    <definedName name="__123Graph_X1" localSheetId="1" hidden="1">'[2]CARGA ORÇAMENTO'!#REF!</definedName>
    <definedName name="__123Graph_X1" localSheetId="0" hidden="1">'[2]CARGA ORÇAMENTO'!#REF!</definedName>
    <definedName name="__123Graph_X1" localSheetId="4" hidden="1">'[2]CARGA ORÇAMENTO'!#REF!</definedName>
    <definedName name="__123Graph_X2" localSheetId="1" hidden="1">'[2]CARGA ORÇAMENTO'!#REF!</definedName>
    <definedName name="__123Graph_X2" localSheetId="0" hidden="1">'[2]CARGA ORÇAMENTO'!#REF!</definedName>
    <definedName name="__123Graph_X2" localSheetId="4" hidden="1">'[2]CARGA ORÇAMENTO'!#REF!</definedName>
    <definedName name="__123Graph_X3" localSheetId="1" hidden="1">'[2]CARGA ORÇAMENTO'!#REF!</definedName>
    <definedName name="__123Graph_X3" localSheetId="0" hidden="1">'[2]CARGA ORÇAMENTO'!#REF!</definedName>
    <definedName name="__123Graph_X3" localSheetId="4" hidden="1">'[2]CARGA ORÇAMENTO'!#REF!</definedName>
    <definedName name="__123Graph_X4" localSheetId="1" hidden="1">'[2]CARGA ORÇAMENTO'!#REF!</definedName>
    <definedName name="__123Graph_X4" localSheetId="0" hidden="1">'[2]CARGA ORÇAMENTO'!#REF!</definedName>
    <definedName name="__123Graph_X4" localSheetId="4" hidden="1">'[2]CARGA ORÇAMENTO'!#REF!</definedName>
    <definedName name="__123Graph_X5C" localSheetId="1" hidden="1">'[2]CARGA ORÇAMENTO'!#REF!</definedName>
    <definedName name="__123Graph_X5C" localSheetId="0" hidden="1">'[2]CARGA ORÇAMENTO'!#REF!</definedName>
    <definedName name="__123Graph_X5C" localSheetId="4" hidden="1">'[2]CARGA ORÇAMENTO'!#REF!</definedName>
    <definedName name="__123Graph_X5P" localSheetId="1" hidden="1">'[2]CARGA ORÇAMENTO'!#REF!</definedName>
    <definedName name="__123Graph_X5P" localSheetId="0" hidden="1">'[2]CARGA ORÇAMENTO'!#REF!</definedName>
    <definedName name="__123Graph_X5P" localSheetId="4" hidden="1">'[2]CARGA ORÇAMENTO'!#REF!</definedName>
    <definedName name="__123Graph_X6" localSheetId="1" hidden="1">'[2]CARGA ORÇAMENTO'!#REF!</definedName>
    <definedName name="__123Graph_X6" localSheetId="0" hidden="1">'[2]CARGA ORÇAMENTO'!#REF!</definedName>
    <definedName name="__123Graph_X6" localSheetId="4" hidden="1">'[2]CARGA ORÇAMENTO'!#REF!</definedName>
    <definedName name="__123Graph_X7" localSheetId="1" hidden="1">'[2]CARGA ORÇAMENTO'!#REF!</definedName>
    <definedName name="__123Graph_X7" localSheetId="0" hidden="1">'[2]CARGA ORÇAMENTO'!#REF!</definedName>
    <definedName name="__123Graph_X7" localSheetId="4" hidden="1">'[2]CARGA ORÇAMENTO'!#REF!</definedName>
    <definedName name="__123Graph_X8" localSheetId="1" hidden="1">'[2]CARGA ORÇAMENTO'!#REF!</definedName>
    <definedName name="__123Graph_X8" localSheetId="0" hidden="1">'[2]CARGA ORÇAMENTO'!#REF!</definedName>
    <definedName name="__123Graph_X8" localSheetId="4" hidden="1">'[2]CARGA ORÇAMENTO'!#REF!</definedName>
    <definedName name="__123Graph_XBREAKEVEN" hidden="1">[1]Gesamtkalkulation!$M$49:$N$49</definedName>
    <definedName name="__123Graph_XCABOS" localSheetId="1" hidden="1">'[2]CARGA ORÇAMENTO'!#REF!</definedName>
    <definedName name="__123Graph_XCABOS" localSheetId="0" hidden="1">'[2]CARGA ORÇAMENTO'!#REF!</definedName>
    <definedName name="__123Graph_XCABOS" localSheetId="4" hidden="1">'[2]CARGA ORÇAMENTO'!#REF!</definedName>
    <definedName name="__123Graph_XCILINDRO" localSheetId="1" hidden="1">'[2]CARGA ORÇAMENTO'!#REF!</definedName>
    <definedName name="__123Graph_XCILINDRO" localSheetId="0" hidden="1">'[2]CARGA ORÇAMENTO'!#REF!</definedName>
    <definedName name="__123Graph_XCILINDRO" localSheetId="4" hidden="1">'[2]CARGA ORÇAMENTO'!#REF!</definedName>
    <definedName name="__123Graph_XCOBERTURA" localSheetId="1" hidden="1">#REF!</definedName>
    <definedName name="__123Graph_XCOBERTURA" localSheetId="0" hidden="1">#REF!</definedName>
    <definedName name="__123Graph_XCOBERTURA" localSheetId="4" hidden="1">#REF!</definedName>
    <definedName name="__123Graph_XESTOQUES" localSheetId="1" hidden="1">#REF!</definedName>
    <definedName name="__123Graph_XESTOQUES" localSheetId="0" hidden="1">#REF!</definedName>
    <definedName name="__123Graph_XESTOQUES" localSheetId="4" hidden="1">#REF!</definedName>
    <definedName name="__123Graph_XFUNDI" localSheetId="1" hidden="1">'[2]CARGA ORÇAMENTO'!#REF!</definedName>
    <definedName name="__123Graph_XFUNDI" localSheetId="0" hidden="1">'[2]CARGA ORÇAMENTO'!#REF!</definedName>
    <definedName name="__123Graph_XFUNDI" localSheetId="4" hidden="1">'[2]CARGA ORÇAMENTO'!#REF!</definedName>
    <definedName name="__123Graph_XMONTAG" localSheetId="1" hidden="1">'[2]CARGA ORÇAMENTO'!#REF!</definedName>
    <definedName name="__123Graph_XMONTAG" localSheetId="0" hidden="1">'[2]CARGA ORÇAMENTO'!#REF!</definedName>
    <definedName name="__123Graph_XMONTAG" localSheetId="4" hidden="1">'[2]CARGA ORÇAMENTO'!#REF!</definedName>
    <definedName name="__123Graph_XOCUP" localSheetId="1" hidden="1">'[2]CARGA ORÇAMENTO'!#REF!</definedName>
    <definedName name="__123Graph_XOCUP" localSheetId="0" hidden="1">'[2]CARGA ORÇAMENTO'!#REF!</definedName>
    <definedName name="__123Graph_XOCUP" localSheetId="4" hidden="1">'[2]CARGA ORÇAMENTO'!#REF!</definedName>
    <definedName name="__123Graph_XPINHAO" localSheetId="1" hidden="1">'[2]CARGA ORÇAMENTO'!#REF!</definedName>
    <definedName name="__123Graph_XPINHAO" localSheetId="0" hidden="1">'[2]CARGA ORÇAMENTO'!#REF!</definedName>
    <definedName name="__123Graph_XPINHAO" localSheetId="4" hidden="1">'[2]CARGA ORÇAMENTO'!#REF!</definedName>
    <definedName name="__123Graph_XPLAST" localSheetId="1" hidden="1">'[2]CARGA ORÇAMENTO'!#REF!</definedName>
    <definedName name="__123Graph_XPLAST" localSheetId="0" hidden="1">'[2]CARGA ORÇAMENTO'!#REF!</definedName>
    <definedName name="__123Graph_XPLAST" localSheetId="4" hidden="1">'[2]CARGA ORÇAMENTO'!#REF!</definedName>
    <definedName name="__123Graph_XPRODUCAO" localSheetId="1" hidden="1">#REF!</definedName>
    <definedName name="__123Graph_XPRODUCAO" localSheetId="0" hidden="1">#REF!</definedName>
    <definedName name="__123Graph_XPRODUCAO" localSheetId="4" hidden="1">#REF!</definedName>
    <definedName name="__123Graph_XSABRES" localSheetId="1" hidden="1">'[2]CARGA ORÇAMENTO'!#REF!</definedName>
    <definedName name="__123Graph_XSABRES" localSheetId="0" hidden="1">'[2]CARGA ORÇAMENTO'!#REF!</definedName>
    <definedName name="__123Graph_XSABRES" localSheetId="4" hidden="1">'[2]CARGA ORÇAMENTO'!#REF!</definedName>
    <definedName name="__123Graph_XTOTAL" localSheetId="1" hidden="1">#REF!</definedName>
    <definedName name="__123Graph_XTOTAL" localSheetId="0" hidden="1">#REF!</definedName>
    <definedName name="__123Graph_XTOTAL" localSheetId="4" hidden="1">#REF!</definedName>
    <definedName name="__123Graph_XUSIN" localSheetId="1" hidden="1">'[2]CARGA ORÇAMENTO'!#REF!</definedName>
    <definedName name="__123Graph_XUSIN" localSheetId="0" hidden="1">'[2]CARGA ORÇAMENTO'!#REF!</definedName>
    <definedName name="__123Graph_XUSIN" localSheetId="4" hidden="1">'[2]CARGA ORÇAMENTO'!#REF!</definedName>
    <definedName name="__123Graph_XVENDAS" localSheetId="1" hidden="1">#REF!</definedName>
    <definedName name="__123Graph_XVENDAS" localSheetId="0" hidden="1">#REF!</definedName>
    <definedName name="__123Graph_XVENDAS" localSheetId="4" hidden="1">#REF!</definedName>
    <definedName name="__123Graph_XVIRAB" localSheetId="1" hidden="1">'[2]CARGA ORÇAMENTO'!#REF!</definedName>
    <definedName name="__123Graph_XVIRAB" localSheetId="0" hidden="1">'[2]CARGA ORÇAMENTO'!#REF!</definedName>
    <definedName name="__123Graph_XVIRAB" localSheetId="4" hidden="1">'[2]CARGA ORÇAMENTO'!#REF!</definedName>
    <definedName name="__DAT1" localSheetId="1">#REF!</definedName>
    <definedName name="__DAT1" localSheetId="0">#REF!</definedName>
    <definedName name="__DAT1" localSheetId="4">#REF!</definedName>
    <definedName name="__DAT10" localSheetId="1">#REF!</definedName>
    <definedName name="__DAT10" localSheetId="0">#REF!</definedName>
    <definedName name="__DAT10" localSheetId="4">#REF!</definedName>
    <definedName name="__DAT11" localSheetId="1">#REF!</definedName>
    <definedName name="__DAT11" localSheetId="0">#REF!</definedName>
    <definedName name="__DAT11" localSheetId="4">#REF!</definedName>
    <definedName name="__DAT12" localSheetId="1">#REF!</definedName>
    <definedName name="__DAT12" localSheetId="0">#REF!</definedName>
    <definedName name="__DAT12" localSheetId="4">#REF!</definedName>
    <definedName name="__DAT13" localSheetId="1">#REF!</definedName>
    <definedName name="__DAT13" localSheetId="0">#REF!</definedName>
    <definedName name="__DAT13" localSheetId="4">#REF!</definedName>
    <definedName name="__DAT14" localSheetId="1">#REF!</definedName>
    <definedName name="__DAT14" localSheetId="0">#REF!</definedName>
    <definedName name="__DAT14" localSheetId="4">#REF!</definedName>
    <definedName name="__DAT15" localSheetId="1">#REF!</definedName>
    <definedName name="__DAT15" localSheetId="0">#REF!</definedName>
    <definedName name="__DAT15" localSheetId="4">#REF!</definedName>
    <definedName name="__DAT16" localSheetId="1">#REF!</definedName>
    <definedName name="__DAT16" localSheetId="0">#REF!</definedName>
    <definedName name="__DAT16" localSheetId="4">#REF!</definedName>
    <definedName name="__DAT17" localSheetId="1">#REF!</definedName>
    <definedName name="__DAT17" localSheetId="0">#REF!</definedName>
    <definedName name="__DAT17" localSheetId="4">#REF!</definedName>
    <definedName name="__DAT18" localSheetId="1">#REF!</definedName>
    <definedName name="__DAT18" localSheetId="0">#REF!</definedName>
    <definedName name="__DAT18" localSheetId="4">#REF!</definedName>
    <definedName name="__DAT19" localSheetId="1">#REF!</definedName>
    <definedName name="__DAT19" localSheetId="0">#REF!</definedName>
    <definedName name="__DAT19" localSheetId="4">#REF!</definedName>
    <definedName name="__DAT2" localSheetId="1">#REF!</definedName>
    <definedName name="__DAT2" localSheetId="0">#REF!</definedName>
    <definedName name="__DAT2" localSheetId="4">#REF!</definedName>
    <definedName name="__DAT20" localSheetId="1">#REF!</definedName>
    <definedName name="__DAT20" localSheetId="0">#REF!</definedName>
    <definedName name="__DAT20" localSheetId="4">#REF!</definedName>
    <definedName name="__DAT21" localSheetId="1">#REF!</definedName>
    <definedName name="__DAT21" localSheetId="0">#REF!</definedName>
    <definedName name="__DAT21" localSheetId="4">#REF!</definedName>
    <definedName name="__DAT3" localSheetId="1">#REF!</definedName>
    <definedName name="__DAT3" localSheetId="0">#REF!</definedName>
    <definedName name="__DAT3" localSheetId="4">#REF!</definedName>
    <definedName name="__DAT4" localSheetId="1">#REF!</definedName>
    <definedName name="__DAT4" localSheetId="0">#REF!</definedName>
    <definedName name="__DAT4" localSheetId="4">#REF!</definedName>
    <definedName name="__DAT5" localSheetId="1">#REF!</definedName>
    <definedName name="__DAT5" localSheetId="0">#REF!</definedName>
    <definedName name="__DAT5" localSheetId="4">#REF!</definedName>
    <definedName name="__DAT6" localSheetId="1">#REF!</definedName>
    <definedName name="__DAT6" localSheetId="0">#REF!</definedName>
    <definedName name="__DAT6" localSheetId="4">#REF!</definedName>
    <definedName name="__DAT7" localSheetId="1">#REF!</definedName>
    <definedName name="__DAT7" localSheetId="0">#REF!</definedName>
    <definedName name="__DAT7" localSheetId="4">#REF!</definedName>
    <definedName name="__DAT8" localSheetId="1">#REF!</definedName>
    <definedName name="__DAT8" localSheetId="0">#REF!</definedName>
    <definedName name="__DAT8" localSheetId="4">#REF!</definedName>
    <definedName name="__DAT9" localSheetId="1">#REF!</definedName>
    <definedName name="__DAT9" localSheetId="0">#REF!</definedName>
    <definedName name="__DAT9" localSheetId="4">#REF!</definedName>
    <definedName name="__IMP1" localSheetId="1">#REF!</definedName>
    <definedName name="__IMP1" localSheetId="0">#REF!</definedName>
    <definedName name="__IMP1" localSheetId="4">#REF!</definedName>
    <definedName name="__IMP2" localSheetId="1">#REF!</definedName>
    <definedName name="__IMP2" localSheetId="0">#REF!</definedName>
    <definedName name="__IMP2" localSheetId="4">#REF!</definedName>
    <definedName name="__IMP3" localSheetId="1">#REF!</definedName>
    <definedName name="__IMP3" localSheetId="0">#REF!</definedName>
    <definedName name="__IMP3" localSheetId="4">#REF!</definedName>
    <definedName name="__IMP4" localSheetId="1">#REF!</definedName>
    <definedName name="__IMP4" localSheetId="0">#REF!</definedName>
    <definedName name="__IMP4" localSheetId="4">#REF!</definedName>
    <definedName name="__IMP5" localSheetId="1">#REF!</definedName>
    <definedName name="__IMP5" localSheetId="0">#REF!</definedName>
    <definedName name="__IMP5" localSheetId="4">#REF!</definedName>
    <definedName name="__IMP6" localSheetId="1">#REF!</definedName>
    <definedName name="__IMP6" localSheetId="0">#REF!</definedName>
    <definedName name="__IMP6" localSheetId="4">#REF!</definedName>
    <definedName name="__mes2" localSheetId="1">#REF!</definedName>
    <definedName name="__mes2" localSheetId="0">#REF!</definedName>
    <definedName name="__mes2" localSheetId="4">#REF!</definedName>
    <definedName name="__mes3" localSheetId="1">#REF!</definedName>
    <definedName name="__mes3" localSheetId="0">#REF!</definedName>
    <definedName name="__mes3" localSheetId="4">#REF!</definedName>
    <definedName name="__mes4" localSheetId="1">#REF!</definedName>
    <definedName name="__mes4" localSheetId="0">#REF!</definedName>
    <definedName name="__mes4" localSheetId="4">#REF!</definedName>
    <definedName name="__mes5" localSheetId="1">#REF!</definedName>
    <definedName name="__mes5" localSheetId="0">#REF!</definedName>
    <definedName name="__mes5" localSheetId="4">#REF!</definedName>
    <definedName name="__mes6" localSheetId="1">#REF!</definedName>
    <definedName name="__mes6" localSheetId="0">#REF!</definedName>
    <definedName name="__mes6" localSheetId="4">#REF!</definedName>
    <definedName name="_DAT1" localSheetId="1">#REF!</definedName>
    <definedName name="_DAT1" localSheetId="0">#REF!</definedName>
    <definedName name="_DAT1" localSheetId="4">#REF!</definedName>
    <definedName name="_DAT10" localSheetId="1">#REF!</definedName>
    <definedName name="_DAT10" localSheetId="0">#REF!</definedName>
    <definedName name="_DAT10" localSheetId="4">#REF!</definedName>
    <definedName name="_DAT11" localSheetId="1">#REF!</definedName>
    <definedName name="_DAT11" localSheetId="0">#REF!</definedName>
    <definedName name="_DAT11" localSheetId="4">#REF!</definedName>
    <definedName name="_DAT12" localSheetId="1">#REF!</definedName>
    <definedName name="_DAT12" localSheetId="0">#REF!</definedName>
    <definedName name="_DAT12" localSheetId="4">#REF!</definedName>
    <definedName name="_DAT13" localSheetId="1">#REF!</definedName>
    <definedName name="_DAT13" localSheetId="0">#REF!</definedName>
    <definedName name="_DAT13" localSheetId="4">#REF!</definedName>
    <definedName name="_DAT14" localSheetId="1">#REF!</definedName>
    <definedName name="_DAT14" localSheetId="0">#REF!</definedName>
    <definedName name="_DAT14" localSheetId="4">#REF!</definedName>
    <definedName name="_DAT15" localSheetId="1">#REF!</definedName>
    <definedName name="_DAT15" localSheetId="0">#REF!</definedName>
    <definedName name="_DAT15" localSheetId="4">#REF!</definedName>
    <definedName name="_DAT16" localSheetId="1">#REF!</definedName>
    <definedName name="_DAT16" localSheetId="0">#REF!</definedName>
    <definedName name="_DAT16" localSheetId="4">#REF!</definedName>
    <definedName name="_DAT17" localSheetId="1">#REF!</definedName>
    <definedName name="_DAT17" localSheetId="0">#REF!</definedName>
    <definedName name="_DAT17" localSheetId="4">#REF!</definedName>
    <definedName name="_DAT18" localSheetId="1">#REF!</definedName>
    <definedName name="_DAT18" localSheetId="0">#REF!</definedName>
    <definedName name="_DAT18" localSheetId="4">#REF!</definedName>
    <definedName name="_DAT19" localSheetId="1">#REF!</definedName>
    <definedName name="_DAT19" localSheetId="0">#REF!</definedName>
    <definedName name="_DAT19" localSheetId="4">#REF!</definedName>
    <definedName name="_DAT2" localSheetId="1">#REF!</definedName>
    <definedName name="_DAT2" localSheetId="0">#REF!</definedName>
    <definedName name="_DAT2" localSheetId="4">#REF!</definedName>
    <definedName name="_DAT20" localSheetId="1">#REF!</definedName>
    <definedName name="_DAT20" localSheetId="0">#REF!</definedName>
    <definedName name="_DAT20" localSheetId="4">#REF!</definedName>
    <definedName name="_DAT21" localSheetId="1">#REF!</definedName>
    <definedName name="_DAT21" localSheetId="0">#REF!</definedName>
    <definedName name="_DAT21" localSheetId="4">#REF!</definedName>
    <definedName name="_DAT3" localSheetId="1">#REF!</definedName>
    <definedName name="_DAT3" localSheetId="0">#REF!</definedName>
    <definedName name="_DAT3" localSheetId="4">#REF!</definedName>
    <definedName name="_DAT4" localSheetId="1">#REF!</definedName>
    <definedName name="_DAT4" localSheetId="0">#REF!</definedName>
    <definedName name="_DAT4" localSheetId="4">#REF!</definedName>
    <definedName name="_DAT5" localSheetId="1">#REF!</definedName>
    <definedName name="_DAT5" localSheetId="0">#REF!</definedName>
    <definedName name="_DAT5" localSheetId="4">#REF!</definedName>
    <definedName name="_DAT6" localSheetId="1">#REF!</definedName>
    <definedName name="_DAT6" localSheetId="0">#REF!</definedName>
    <definedName name="_DAT6" localSheetId="4">#REF!</definedName>
    <definedName name="_DAT7" localSheetId="1">#REF!</definedName>
    <definedName name="_DAT7" localSheetId="0">#REF!</definedName>
    <definedName name="_DAT7" localSheetId="4">#REF!</definedName>
    <definedName name="_DAT8" localSheetId="1">#REF!</definedName>
    <definedName name="_DAT8" localSheetId="0">#REF!</definedName>
    <definedName name="_DAT8" localSheetId="4">#REF!</definedName>
    <definedName name="_DAT9" localSheetId="1">#REF!</definedName>
    <definedName name="_DAT9" localSheetId="0">#REF!</definedName>
    <definedName name="_DAT9" localSheetId="4">#REF!</definedName>
    <definedName name="_Fill" localSheetId="1" hidden="1">#REF!</definedName>
    <definedName name="_Fill" localSheetId="0" hidden="1">#REF!</definedName>
    <definedName name="_Fill" localSheetId="4" hidden="1">#REF!</definedName>
    <definedName name="_xlnm._FilterDatabase" localSheetId="1" hidden="1">Dados!$BB$685:$BB$705</definedName>
    <definedName name="_xlnm._FilterDatabase" localSheetId="3" hidden="1">inflação!$V$10:$W$38</definedName>
    <definedName name="_xlnm._FilterDatabase" localSheetId="0" hidden="1">MATRIZ!$A$5:$AI$688</definedName>
    <definedName name="_IMP1" localSheetId="1">#REF!</definedName>
    <definedName name="_IMP1" localSheetId="0">#REF!</definedName>
    <definedName name="_IMP1" localSheetId="4">#REF!</definedName>
    <definedName name="_IMP2" localSheetId="1">#REF!</definedName>
    <definedName name="_IMP2" localSheetId="0">#REF!</definedName>
    <definedName name="_IMP2" localSheetId="4">#REF!</definedName>
    <definedName name="_IMP3" localSheetId="1">#REF!</definedName>
    <definedName name="_IMP3" localSheetId="0">#REF!</definedName>
    <definedName name="_IMP3" localSheetId="4">#REF!</definedName>
    <definedName name="_IMP4" localSheetId="1">#REF!</definedName>
    <definedName name="_IMP4" localSheetId="0">#REF!</definedName>
    <definedName name="_IMP4" localSheetId="4">#REF!</definedName>
    <definedName name="_IMP5" localSheetId="1">#REF!</definedName>
    <definedName name="_IMP5" localSheetId="0">#REF!</definedName>
    <definedName name="_IMP5" localSheetId="4">#REF!</definedName>
    <definedName name="_IMP6" localSheetId="1">#REF!</definedName>
    <definedName name="_IMP6" localSheetId="0">#REF!</definedName>
    <definedName name="_IMP6" localSheetId="4">#REF!</definedName>
    <definedName name="_Key1" localSheetId="1" hidden="1">#REF!</definedName>
    <definedName name="_Key1" localSheetId="0" hidden="1">#REF!</definedName>
    <definedName name="_Key1" localSheetId="4" hidden="1">#REF!</definedName>
    <definedName name="_Key2" localSheetId="1" hidden="1">#REF!</definedName>
    <definedName name="_Key2" localSheetId="0" hidden="1">#REF!</definedName>
    <definedName name="_Key2" localSheetId="4" hidden="1">#REF!</definedName>
    <definedName name="_mes2" localSheetId="1">#REF!</definedName>
    <definedName name="_mes2" localSheetId="0">#REF!</definedName>
    <definedName name="_mes2" localSheetId="4">#REF!</definedName>
    <definedName name="_mes3" localSheetId="1">#REF!</definedName>
    <definedName name="_mes3" localSheetId="0">#REF!</definedName>
    <definedName name="_mes3" localSheetId="4">#REF!</definedName>
    <definedName name="_mes4" localSheetId="1">#REF!</definedName>
    <definedName name="_mes4" localSheetId="0">#REF!</definedName>
    <definedName name="_mes4" localSheetId="4">#REF!</definedName>
    <definedName name="_mes5" localSheetId="1">#REF!</definedName>
    <definedName name="_mes5" localSheetId="0">#REF!</definedName>
    <definedName name="_mes5" localSheetId="4">#REF!</definedName>
    <definedName name="_mes6" localSheetId="1">#REF!</definedName>
    <definedName name="_mes6" localSheetId="0">#REF!</definedName>
    <definedName name="_mes6" localSheetId="4">#REF!</definedName>
    <definedName name="_Order1" hidden="1">255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4" hidden="1">#REF!</definedName>
    <definedName name="_Sort" localSheetId="1" hidden="1">#REF!</definedName>
    <definedName name="_Sort" localSheetId="0" hidden="1">#REF!</definedName>
    <definedName name="_Sort" localSheetId="4" hidden="1">#REF!</definedName>
    <definedName name="a" localSheetId="1">#REF!</definedName>
    <definedName name="a" localSheetId="0">#REF!</definedName>
    <definedName name="a" localSheetId="4">#REF!</definedName>
    <definedName name="anscount" hidden="1">1</definedName>
    <definedName name="_xlnm.Extract" localSheetId="1">#REF!</definedName>
    <definedName name="_xlnm.Extract" localSheetId="0">#REF!</definedName>
    <definedName name="_xlnm.Extract" localSheetId="4">#REF!</definedName>
    <definedName name="_xlnm.Extract">#REF!</definedName>
    <definedName name="arg" localSheetId="4" hidden="1">{#N/A,#N/A,FALSE,"Profit Status";#N/A,#N/A,FALSE,"Invest";#N/A,#N/A,FALSE,"Revenue";#N/A,#N/A,FALSE,"Variable Cost";#N/A,#N/A,FALSE,"Options &amp; Series"}</definedName>
    <definedName name="asas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b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xlnm.Database" localSheetId="1">#REF!</definedName>
    <definedName name="_xlnm.Database" localSheetId="0">#REF!</definedName>
    <definedName name="_xlnm.Database" localSheetId="4">#REF!</definedName>
    <definedName name="_xlnm.Database">#REF!</definedName>
    <definedName name="Base_2021">#REF!</definedName>
    <definedName name="bd_2021">#REF!</definedName>
    <definedName name="book2" localSheetId="4" hidden="1">{#N/A,#N/A,FALSE,"Cover";#N/A,#N/A,FALSE,"Profits";#N/A,#N/A,FALSE,"ABS";#N/A,#N/A,FALSE,"TFLE Detail";#N/A,#N/A,FALSE,"TFLE Walk";#N/A,#N/A,FALSE,"Variable Cost";#N/A,#N/A,FALSE,"V.C. Walk"}</definedName>
    <definedName name="CILINDRO_Capabilidade_Listar" localSheetId="1">#REF!</definedName>
    <definedName name="CILINDRO_Capabilidade_Listar" localSheetId="0">#REF!</definedName>
    <definedName name="CILINDRO_Capabilidade_Listar" localSheetId="4">#REF!</definedName>
    <definedName name="Cleiton" localSheetId="4" hidden="1">{#N/A,#N/A,FALSE,"Profit Status";#N/A,#N/A,FALSE,"Invest";#N/A,#N/A,FALSE,"Revenue";#N/A,#N/A,FALSE,"Variable Cost";#N/A,#N/A,FALSE,"Options &amp; Series"}</definedName>
    <definedName name="Cotas" localSheetId="1">#REF!</definedName>
    <definedName name="Cotas" localSheetId="0">#REF!</definedName>
    <definedName name="Cotas" localSheetId="4">#REF!</definedName>
    <definedName name="_xlnm.Criteria" localSheetId="1">#REF!</definedName>
    <definedName name="_xlnm.Criteria" localSheetId="0">#REF!</definedName>
    <definedName name="_xlnm.Criteria" localSheetId="4">#REF!</definedName>
    <definedName name="_xlnm.Criteria">#REF!</definedName>
    <definedName name="criterios_2021">#REF!</definedName>
    <definedName name="d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dos15">[4]CILINDRO!$H$571:$L$601,[4]CILINDRO!$O$602:$V$602</definedName>
    <definedName name="Dados17">[4]CILINDRO!$H$651:$L$681,[4]CILINDRO!$O$682:$V$682</definedName>
    <definedName name="Dados19">[4]CILINDRO!$H$732:$L$763,[4]CILINDRO!$O$764:$V$764</definedName>
    <definedName name="DATA1" localSheetId="1">#REF!</definedName>
    <definedName name="DATA1" localSheetId="0">#REF!</definedName>
    <definedName name="DATA1" localSheetId="4">#REF!</definedName>
    <definedName name="DATA10" localSheetId="1">#REF!</definedName>
    <definedName name="DATA10" localSheetId="0">#REF!</definedName>
    <definedName name="DATA10" localSheetId="4">#REF!</definedName>
    <definedName name="DATA11" localSheetId="1">#REF!</definedName>
    <definedName name="DATA11" localSheetId="0">#REF!</definedName>
    <definedName name="DATA11" localSheetId="4">#REF!</definedName>
    <definedName name="DATA12" localSheetId="1">#REF!</definedName>
    <definedName name="DATA12" localSheetId="0">#REF!</definedName>
    <definedName name="DATA12" localSheetId="4">#REF!</definedName>
    <definedName name="DATA13" localSheetId="1">#REF!</definedName>
    <definedName name="DATA13" localSheetId="0">#REF!</definedName>
    <definedName name="DATA13" localSheetId="4">#REF!</definedName>
    <definedName name="DATA14" localSheetId="1">#REF!</definedName>
    <definedName name="DATA14" localSheetId="0">#REF!</definedName>
    <definedName name="DATA14" localSheetId="4">#REF!</definedName>
    <definedName name="DATA15" localSheetId="1">#REF!</definedName>
    <definedName name="DATA15" localSheetId="0">#REF!</definedName>
    <definedName name="DATA15" localSheetId="4">#REF!</definedName>
    <definedName name="DATA16" localSheetId="1">#REF!</definedName>
    <definedName name="DATA16" localSheetId="0">#REF!</definedName>
    <definedName name="DATA16" localSheetId="4">#REF!</definedName>
    <definedName name="DATA17" localSheetId="1">#REF!</definedName>
    <definedName name="DATA17" localSheetId="0">#REF!</definedName>
    <definedName name="DATA17" localSheetId="4">#REF!</definedName>
    <definedName name="DATA18" localSheetId="1">#REF!</definedName>
    <definedName name="DATA18" localSheetId="0">#REF!</definedName>
    <definedName name="DATA18" localSheetId="4">#REF!</definedName>
    <definedName name="DATA19" localSheetId="1">#REF!</definedName>
    <definedName name="DATA19" localSheetId="0">#REF!</definedName>
    <definedName name="DATA19" localSheetId="4">#REF!</definedName>
    <definedName name="DATA2" localSheetId="1">#REF!</definedName>
    <definedName name="DATA2" localSheetId="0">#REF!</definedName>
    <definedName name="DATA2" localSheetId="4">#REF!</definedName>
    <definedName name="DATA20" localSheetId="1">#REF!</definedName>
    <definedName name="DATA20" localSheetId="0">#REF!</definedName>
    <definedName name="DATA20" localSheetId="4">#REF!</definedName>
    <definedName name="DATA21" localSheetId="1">#REF!</definedName>
    <definedName name="DATA21" localSheetId="0">#REF!</definedName>
    <definedName name="DATA21" localSheetId="4">#REF!</definedName>
    <definedName name="DATA22" localSheetId="1">#REF!</definedName>
    <definedName name="DATA22" localSheetId="0">#REF!</definedName>
    <definedName name="DATA22" localSheetId="4">#REF!</definedName>
    <definedName name="DATA3" localSheetId="1">#REF!</definedName>
    <definedName name="DATA3" localSheetId="0">#REF!</definedName>
    <definedName name="DATA3" localSheetId="4">#REF!</definedName>
    <definedName name="DATA4" localSheetId="1">#REF!</definedName>
    <definedName name="DATA4" localSheetId="0">#REF!</definedName>
    <definedName name="DATA4" localSheetId="4">#REF!</definedName>
    <definedName name="DATA5" localSheetId="1">#REF!</definedName>
    <definedName name="DATA5" localSheetId="0">#REF!</definedName>
    <definedName name="DATA5" localSheetId="4">#REF!</definedName>
    <definedName name="DATA6" localSheetId="1">#REF!</definedName>
    <definedName name="DATA6" localSheetId="0">#REF!</definedName>
    <definedName name="DATA6" localSheetId="4">#REF!</definedName>
    <definedName name="DATA7" localSheetId="1">#REF!</definedName>
    <definedName name="DATA7" localSheetId="0">#REF!</definedName>
    <definedName name="DATA7" localSheetId="4">#REF!</definedName>
    <definedName name="DATA8" localSheetId="1">#REF!</definedName>
    <definedName name="DATA8" localSheetId="0">#REF!</definedName>
    <definedName name="DATA8" localSheetId="4">#REF!</definedName>
    <definedName name="DATA9" localSheetId="1">#REF!</definedName>
    <definedName name="DATA9" localSheetId="0">#REF!</definedName>
    <definedName name="DATA9" localSheetId="4">#REF!</definedName>
    <definedName name="dd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dfsdf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iego" localSheetId="4" hidden="1">{#N/A,#N/A,FALSE,"Profit Status";#N/A,#N/A,FALSE,"Invest";#N/A,#N/A,FALSE,"Revenue";#N/A,#N/A,FALSE,"Variable Cost";#N/A,#N/A,FALSE,"Options &amp; Series"}</definedName>
    <definedName name="ee">'[5]USINAGEM COMPONENTES'!$R$1</definedName>
    <definedName name="erika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wtwert" localSheetId="4" hidden="1">{#N/A,#N/A,FALSE,"Cover";#N/A,#N/A,FALSE,"Profits";#N/A,#N/A,FALSE,"ABS";#N/A,#N/A,FALSE,"TFLE Detail";#N/A,#N/A,FALSE,"TFLE Walk";#N/A,#N/A,FALSE,"Variable Cost";#N/A,#N/A,FALSE,"V.C. Walk"}</definedName>
    <definedName name="FYHSTY" localSheetId="4" hidden="1">{#N/A,#N/A,FALSE,"Profit Status";#N/A,#N/A,FALSE,"Invest";#N/A,#N/A,FALSE,"Revenue";#N/A,#N/A,FALSE,"Variable Cost";#N/A,#N/A,FALSE,"Options &amp; Series"}</definedName>
    <definedName name="ghghukgkh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GHSERGTHSR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rafico" localSheetId="4" hidden="1">{#N/A,#N/A,FALSE,"Profit Status";#N/A,#N/A,FALSE,"Invest";#N/A,#N/A,FALSE,"Revenue";#N/A,#N/A,FALSE,"Variable Cost";#N/A,#N/A,FALSE,"Options &amp; Series"}</definedName>
    <definedName name="HJXFHJJ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HTML1_1" hidden="1">"'[Actual.xls]Income I'!$A$1:$U$301"</definedName>
    <definedName name="HTML1_10" hidden="1">""</definedName>
    <definedName name="HTML1_11" hidden="1">1</definedName>
    <definedName name="HTML1_12" hidden="1">"C:\Ford\1997\Actual\MyHTML.htm"</definedName>
    <definedName name="HTML1_2" hidden="1">1</definedName>
    <definedName name="HTML1_3" hidden="1">"Actual"</definedName>
    <definedName name="HTML1_4" hidden="1">"Income I"</definedName>
    <definedName name="HTML1_5" hidden="1">""</definedName>
    <definedName name="HTML1_6" hidden="1">-4146</definedName>
    <definedName name="HTML1_7" hidden="1">-4146</definedName>
    <definedName name="HTML1_8" hidden="1">"02/09/97"</definedName>
    <definedName name="HTML1_9" hidden="1">"Fernando S. Ribeiro"</definedName>
    <definedName name="HTMLCount" hidden="1">1</definedName>
    <definedName name="IMPTAB01" localSheetId="1">#REF!</definedName>
    <definedName name="IMPTAB01" localSheetId="0">#REF!</definedName>
    <definedName name="IMPTAB01" localSheetId="4">#REF!</definedName>
    <definedName name="IMPTAB02" localSheetId="1">#REF!</definedName>
    <definedName name="IMPTAB02" localSheetId="0">#REF!</definedName>
    <definedName name="IMPTAB02" localSheetId="4">#REF!</definedName>
    <definedName name="Itens_Capa" localSheetId="1">#REF!</definedName>
    <definedName name="Itens_Capa" localSheetId="0">#REF!</definedName>
    <definedName name="Itens_Capa" localSheetId="4">#REF!</definedName>
    <definedName name="Lighting" localSheetId="4" hidden="1">{#N/A,#N/A,FALSE,"Profit Status";#N/A,#N/A,FALSE,"Invest";#N/A,#N/A,FALSE,"Revenue";#N/A,#N/A,FALSE,"Variable Cost";#N/A,#N/A,FALSE,"Options &amp; Series"}</definedName>
    <definedName name="M">'[6]FUNDIÇÃO COMPONENTES'!$R$1</definedName>
    <definedName name="ma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Mes" localSheetId="1">#REF!</definedName>
    <definedName name="Mes" localSheetId="0">#REF!</definedName>
    <definedName name="Mes" localSheetId="4">#REF!</definedName>
    <definedName name="Mês">'[5]USINAGEM COMPONENTES'!$R$1</definedName>
    <definedName name="Mês001">'[5]USINAGEM COMPONENTES'!$R$1</definedName>
    <definedName name="Mês1" localSheetId="1">#REF!</definedName>
    <definedName name="Mês1" localSheetId="0">#REF!</definedName>
    <definedName name="Mês1" localSheetId="4">#REF!</definedName>
    <definedName name="mm" localSheetId="4" hidden="1">{#N/A,#N/A,FALSE,"Profit Status";#N/A,#N/A,FALSE,"Invest";#N/A,#N/A,FALSE,"Revenue";#N/A,#N/A,FALSE,"Variable Cost";#N/A,#N/A,FALSE,"Options &amp; Series"}</definedName>
    <definedName name="mmmmmm" localSheetId="4" hidden="1">{#N/A,#N/A,FALSE,"Cover";#N/A,#N/A,FALSE,"Profits";#N/A,#N/A,FALSE,"ABS";#N/A,#N/A,FALSE,"TFLE Detail";#N/A,#N/A,FALSE,"TFLE Walk";#N/A,#N/A,FALSE,"Variable Cost";#N/A,#N/A,FALSE,"V.C. Walk"}</definedName>
    <definedName name="n">'[5]USINAGEM COMPONENTES'!$R$1</definedName>
    <definedName name="o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e8a" localSheetId="4" hidden="1">{#N/A,#N/A,FALSE,"Profit Status";#N/A,#N/A,FALSE,"Invest";#N/A,#N/A,FALSE,"Revenue";#N/A,#N/A,FALSE,"Variable Cost";#N/A,#N/A,FALSE,"Options &amp; Series"}</definedName>
    <definedName name="pagyy" localSheetId="4" hidden="1">{#N/A,#N/A,FALSE,"Profit Status";#N/A,#N/A,FALSE,"Invest";#N/A,#N/A,FALSE,"Revenue";#N/A,#N/A,FALSE,"Variable Cost";#N/A,#N/A,FALSE,"Options &amp; Series"}</definedName>
    <definedName name="planilha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pp" localSheetId="4" hidden="1">{#N/A,#N/A,FALSE,"Cover";#N/A,#N/A,FALSE,"Profits";#N/A,#N/A,FALSE,"ABS";#N/A,#N/A,FALSE,"TFLE Detail";#N/A,#N/A,FALSE,"TFLE Walk";#N/A,#N/A,FALSE,"Variable Cost";#N/A,#N/A,FALSE,"V.C. Walk"}</definedName>
    <definedName name="q" localSheetId="4" hidden="1">{#N/A,#N/A,FALSE,"Profit Status";#N/A,#N/A,FALSE,"Invest";#N/A,#N/A,FALSE,"Revenue";#N/A,#N/A,FALSE,"Variable Cost";#N/A,#N/A,FALSE,"Options &amp; Series"}</definedName>
    <definedName name="qqqq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retornoHelp" localSheetId="1">[7]!retornoHelp</definedName>
    <definedName name="retornoHelp" localSheetId="0">[7]!retornoHelp</definedName>
    <definedName name="retornoHelp" localSheetId="4">[7]!retornoHelp</definedName>
    <definedName name="Review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a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">'[5]USINAGEM COMPONENTES'!$R$1</definedName>
    <definedName name="SAPBEXdnldView" hidden="1">"4HV78WLAPN3HMUJ93NAW1TUFP"</definedName>
    <definedName name="SAPBEXsysID" hidden="1">"R26"</definedName>
    <definedName name="SegmentaçãodeDados_Mini_Fab">#N/A</definedName>
    <definedName name="SegmentaçãodeDados_OK">#N/A</definedName>
    <definedName name="SegmentaçãodeDados_TAG">#N/A</definedName>
    <definedName name="Sem">'[6]FUNDIÇÃO COMPONENTES'!$R$1</definedName>
    <definedName name="skdjfh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solver_adj" localSheetId="2" hidden="1">Bruta!$B$21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Bruta!$L$31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  <definedName name="srhfgx" localSheetId="4" hidden="1">{#N/A,#N/A,FALSE,"Cover";#N/A,#N/A,FALSE,"Profits";#N/A,#N/A,FALSE,"ABS";#N/A,#N/A,FALSE,"TFLE Detail";#N/A,#N/A,FALSE,"TFLE Walk";#N/A,#N/A,FALSE,"Variable Cost";#N/A,#N/A,FALSE,"V.C. Walk"}</definedName>
    <definedName name="ss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t" localSheetId="1" hidden="1">#REF!</definedName>
    <definedName name="t" localSheetId="0" hidden="1">#REF!</definedName>
    <definedName name="t" localSheetId="4" hidden="1">#REF!</definedName>
    <definedName name="TEST0" localSheetId="1">#REF!</definedName>
    <definedName name="TEST0" localSheetId="0">#REF!</definedName>
    <definedName name="TEST0" localSheetId="4">#REF!</definedName>
    <definedName name="TEST1" localSheetId="1">#REF!</definedName>
    <definedName name="TEST1" localSheetId="0">#REF!</definedName>
    <definedName name="TEST1" localSheetId="4">#REF!</definedName>
    <definedName name="teste" localSheetId="4" hidden="1">{#N/A,#N/A,FALSE,"Profit Status";#N/A,#N/A,FALSE,"Invest";#N/A,#N/A,FALSE,"Revenue";#N/A,#N/A,FALSE,"Variable Cost";#N/A,#N/A,FALSE,"Options &amp; Series"}</definedName>
    <definedName name="TESTHKEY" localSheetId="1">#REF!</definedName>
    <definedName name="TESTHKEY" localSheetId="0">#REF!</definedName>
    <definedName name="TESTHKEY" localSheetId="4">#REF!</definedName>
    <definedName name="TESTKEYS" localSheetId="1">#REF!</definedName>
    <definedName name="TESTKEYS" localSheetId="0">#REF!</definedName>
    <definedName name="TESTKEYS" localSheetId="4">#REF!</definedName>
    <definedName name="TESTVKEY" localSheetId="1">#REF!</definedName>
    <definedName name="TESTVKEY" localSheetId="0">#REF!</definedName>
    <definedName name="TESTVKEY" localSheetId="4">#REF!</definedName>
    <definedName name="tttt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i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vv" localSheetId="1" hidden="1">'[8]CARGA ORÇAMENTO'!#REF!</definedName>
    <definedName name="vv" localSheetId="0" hidden="1">'[8]CARGA ORÇAMENTO'!#REF!</definedName>
    <definedName name="vv" localSheetId="4" hidden="1">'[8]CARGA ORÇAMENTO'!#REF!</definedName>
    <definedName name="wrn.KKK._.Review." localSheetId="4" hidden="1">{#N/A,#N/A,FALSE,"Cover";#N/A,#N/A,FALSE,"Profits";#N/A,#N/A,FALSE,"ABS";#N/A,#N/A,FALSE,"TFLE Detail";#N/A,#N/A,FALSE,"TFLE Walk";#N/A,#N/A,FALSE,"Variable Cost";#N/A,#N/A,FALSE,"V.C. Walk"}</definedName>
    <definedName name="wrn.Profit._.Analysis." localSheetId="4" hidden="1">{#N/A,#N/A,FALSE,"Profit Status";#N/A,#N/A,FALSE,"Invest";#N/A,#N/A,FALSE,"Revenue";#N/A,#N/A,FALSE,"Variable Cost";#N/A,#N/A,FALSE,"Options &amp; Series"}</definedName>
    <definedName name="wrn.VC2._.and._.VC3._.Thunderbird.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" localSheetId="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xx" localSheetId="4" hidden="1">{#N/A,#N/A,FALSE,"Cover";#N/A,#N/A,FALSE,"Profits";#N/A,#N/A,FALSE,"ABS";#N/A,#N/A,FALSE,"TFLE Detail";#N/A,#N/A,FALSE,"TFLE Walk";#N/A,#N/A,FALSE,"Variable Cost";#N/A,#N/A,FALSE,"V.C. Walk"}</definedName>
    <definedName name="yyyy" localSheetId="4" hidden="1">{#N/A,#N/A,FALSE,"Assumptions";#N/A,#N/A,FALSE,"Volumes";#N/A,#N/A,FALSE,"Pricing";#N/A,#N/A,FALSE,"Variable Cost";#N/A,#N/A,FALSE,"Investment";#N/A,#N/A,FALSE,"Profitability";#N/A,#N/A,FALSE,"Business Comparison"}</definedName>
    <definedName name="zeiss28" localSheetId="1">[4]CILINDRO!#REF!</definedName>
    <definedName name="zeiss28" localSheetId="0">[4]CILINDRO!#REF!</definedName>
    <definedName name="zeiss28" localSheetId="4">[4]CILINDRO!#REF!</definedName>
    <definedName name="zeiss32" localSheetId="1">[4]CILINDRO!#REF!</definedName>
    <definedName name="zeiss32" localSheetId="0">[4]CILINDRO!#REF!</definedName>
    <definedName name="zeiss32" localSheetId="4">[4]CILINDRO!#REF!</definedName>
    <definedName name="zeiss33" localSheetId="1">[4]CILINDRO!#REF!</definedName>
    <definedName name="zeiss33" localSheetId="0">[4]CILINDRO!#REF!</definedName>
    <definedName name="zeiss33" localSheetId="4">[4]CILINDRO!#REF!</definedName>
    <definedName name="zeiss34" localSheetId="1">[4]CILINDRO!#REF!</definedName>
    <definedName name="zeiss34" localSheetId="0">[4]CILINDRO!#REF!</definedName>
    <definedName name="zeiss34" localSheetId="4">[4]CILINDRO!#REF!</definedName>
    <definedName name="zeiss36" localSheetId="1">[4]CILINDRO!#REF!</definedName>
    <definedName name="zeiss36" localSheetId="0">[4]CILINDRO!#REF!</definedName>
    <definedName name="zeiss36" localSheetId="4">[4]CILINDRO!#REF!</definedName>
  </definedNames>
  <calcPr calcId="191029"/>
  <pivotCaches>
    <pivotCache cacheId="5" r:id="rId17"/>
  </pivotCaches>
  <extLst>
    <ext xmlns:x14="http://schemas.microsoft.com/office/spreadsheetml/2009/9/main" uri="{BBE1A952-AA13-448e-AADC-164F8A28A991}">
      <x14:slicerCaches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9"/>
        <x14:slicerCache r:id="rId2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8" l="1"/>
  <c r="C67" i="68"/>
  <c r="C101" i="68"/>
  <c r="B39" i="68"/>
  <c r="I99" i="68"/>
  <c r="H99" i="68"/>
  <c r="G99" i="68"/>
  <c r="F99" i="68"/>
  <c r="E99" i="68"/>
  <c r="D99" i="68"/>
  <c r="C99" i="68"/>
  <c r="B69" i="68" s="1"/>
  <c r="I97" i="68"/>
  <c r="H97" i="68"/>
  <c r="G97" i="68"/>
  <c r="F97" i="68"/>
  <c r="E97" i="68"/>
  <c r="D97" i="68"/>
  <c r="C97" i="68"/>
  <c r="I96" i="68"/>
  <c r="H96" i="68"/>
  <c r="G96" i="68"/>
  <c r="F96" i="68"/>
  <c r="E96" i="68"/>
  <c r="D96" i="68"/>
  <c r="C96" i="68"/>
  <c r="B99" i="68"/>
  <c r="B97" i="68"/>
  <c r="B96" i="68"/>
  <c r="I39" i="87"/>
  <c r="B98" i="68" l="1"/>
  <c r="G98" i="68"/>
  <c r="H98" i="68"/>
  <c r="C98" i="68"/>
  <c r="D98" i="68"/>
  <c r="I98" i="68"/>
  <c r="F98" i="68"/>
  <c r="E98" i="68"/>
  <c r="I65" i="68"/>
  <c r="H65" i="68"/>
  <c r="G65" i="68"/>
  <c r="F65" i="68"/>
  <c r="E65" i="68"/>
  <c r="D65" i="68"/>
  <c r="C65" i="68"/>
  <c r="B65" i="68"/>
  <c r="I63" i="68"/>
  <c r="H63" i="68"/>
  <c r="G63" i="68"/>
  <c r="F63" i="68"/>
  <c r="E63" i="68"/>
  <c r="D63" i="68"/>
  <c r="C63" i="68"/>
  <c r="B63" i="68"/>
  <c r="I62" i="68"/>
  <c r="I64" i="68" s="1"/>
  <c r="H62" i="68"/>
  <c r="H64" i="68" s="1"/>
  <c r="G62" i="68"/>
  <c r="G64" i="68" s="1"/>
  <c r="F62" i="68"/>
  <c r="F64" i="68" s="1"/>
  <c r="E62" i="68"/>
  <c r="E64" i="68" s="1"/>
  <c r="D62" i="68"/>
  <c r="D64" i="68" s="1"/>
  <c r="C62" i="68"/>
  <c r="C64" i="68" s="1"/>
  <c r="B62" i="68"/>
  <c r="B64" i="68" s="1"/>
  <c r="E64" i="87" l="1"/>
  <c r="E61" i="87"/>
  <c r="G74" i="87" l="1"/>
  <c r="E74" i="87"/>
  <c r="G73" i="87"/>
  <c r="E73" i="87"/>
  <c r="G70" i="87"/>
  <c r="E70" i="87"/>
  <c r="G69" i="87"/>
  <c r="E69" i="87"/>
  <c r="I63" i="87"/>
  <c r="I62" i="87"/>
  <c r="J3" i="87"/>
  <c r="I3" i="87"/>
  <c r="H3" i="87"/>
  <c r="G3" i="87"/>
  <c r="F3" i="87"/>
  <c r="E3" i="87"/>
  <c r="D3" i="87"/>
  <c r="Z19" i="68" l="1"/>
  <c r="H429" i="65" l="1"/>
  <c r="G429" i="65"/>
  <c r="P429" i="65" s="1"/>
  <c r="BB70" i="69" l="1"/>
  <c r="BB71" i="69"/>
  <c r="AC70" i="69"/>
  <c r="AK70" i="69" s="1"/>
  <c r="AB70" i="69"/>
  <c r="AW70" i="69"/>
  <c r="Q70" i="69" l="1"/>
  <c r="R70" i="69" s="1"/>
  <c r="AE70" i="69" s="1"/>
  <c r="AM70" i="69" s="1"/>
  <c r="AD70" i="69" l="1"/>
  <c r="S70" i="69"/>
  <c r="AF70" i="69" s="1"/>
  <c r="AN70" i="69" s="1"/>
  <c r="T70" i="69" l="1"/>
  <c r="AG70" i="69" s="1"/>
  <c r="AO70" i="69" s="1"/>
  <c r="AL70" i="69"/>
  <c r="U70" i="69" l="1"/>
  <c r="AH70" i="69" s="1"/>
  <c r="AP70" i="69" s="1"/>
  <c r="V70" i="69" l="1"/>
  <c r="AI70" i="69" s="1"/>
  <c r="AQ70" i="69" s="1"/>
  <c r="AT70" i="69" l="1"/>
  <c r="L429" i="65" s="1"/>
  <c r="AS70" i="69"/>
  <c r="P222" i="69"/>
  <c r="P136" i="69"/>
  <c r="P131" i="69"/>
  <c r="P648" i="69" l="1"/>
  <c r="P456" i="69"/>
  <c r="P536" i="69"/>
  <c r="P552" i="69"/>
  <c r="P568" i="69"/>
  <c r="P664" i="69"/>
  <c r="P584" i="69"/>
  <c r="P440" i="69"/>
  <c r="P632" i="69"/>
  <c r="P504" i="69"/>
  <c r="P520" i="69"/>
  <c r="P680" i="69"/>
  <c r="P472" i="69"/>
  <c r="P600" i="69"/>
  <c r="P488" i="69"/>
  <c r="P616" i="69"/>
  <c r="P247" i="69"/>
  <c r="P263" i="69"/>
  <c r="P287" i="69"/>
  <c r="P311" i="69"/>
  <c r="P327" i="69"/>
  <c r="P351" i="69"/>
  <c r="P367" i="69"/>
  <c r="P391" i="69"/>
  <c r="P431" i="69"/>
  <c r="P15" i="69"/>
  <c r="P23" i="69"/>
  <c r="P39" i="69"/>
  <c r="P55" i="69"/>
  <c r="P80" i="69"/>
  <c r="P97" i="69"/>
  <c r="P105" i="69"/>
  <c r="P113" i="69"/>
  <c r="P121" i="69"/>
  <c r="P129" i="69"/>
  <c r="P137" i="69"/>
  <c r="P145" i="69"/>
  <c r="P153" i="69"/>
  <c r="P161" i="69"/>
  <c r="P169" i="69"/>
  <c r="P177" i="69"/>
  <c r="P185" i="69"/>
  <c r="P193" i="69"/>
  <c r="P201" i="69"/>
  <c r="P209" i="69"/>
  <c r="P217" i="69"/>
  <c r="P225" i="69"/>
  <c r="P233" i="69"/>
  <c r="P241" i="69"/>
  <c r="P249" i="69"/>
  <c r="P257" i="69"/>
  <c r="P265" i="69"/>
  <c r="P273" i="69"/>
  <c r="P281" i="69"/>
  <c r="P289" i="69"/>
  <c r="P297" i="69"/>
  <c r="P305" i="69"/>
  <c r="P313" i="69"/>
  <c r="P321" i="69"/>
  <c r="P329" i="69"/>
  <c r="P337" i="69"/>
  <c r="P345" i="69"/>
  <c r="P353" i="69"/>
  <c r="P361" i="69"/>
  <c r="P369" i="69"/>
  <c r="P377" i="69"/>
  <c r="P385" i="69"/>
  <c r="P393" i="69"/>
  <c r="P401" i="69"/>
  <c r="P409" i="69"/>
  <c r="P417" i="69"/>
  <c r="P425" i="69"/>
  <c r="P433" i="69"/>
  <c r="P441" i="69"/>
  <c r="P449" i="69"/>
  <c r="P457" i="69"/>
  <c r="P465" i="69"/>
  <c r="P473" i="69"/>
  <c r="P481" i="69"/>
  <c r="P489" i="69"/>
  <c r="P497" i="69"/>
  <c r="P505" i="69"/>
  <c r="P513" i="69"/>
  <c r="P521" i="69"/>
  <c r="P529" i="69"/>
  <c r="P537" i="69"/>
  <c r="P545" i="69"/>
  <c r="P553" i="69"/>
  <c r="P561" i="69"/>
  <c r="P569" i="69"/>
  <c r="P577" i="69"/>
  <c r="P585" i="69"/>
  <c r="P593" i="69"/>
  <c r="P601" i="69"/>
  <c r="P609" i="69"/>
  <c r="P617" i="69"/>
  <c r="P625" i="69"/>
  <c r="P633" i="69"/>
  <c r="P641" i="69"/>
  <c r="P649" i="69"/>
  <c r="P657" i="69"/>
  <c r="P665" i="69"/>
  <c r="P673" i="69"/>
  <c r="P681" i="69"/>
  <c r="P6" i="69"/>
  <c r="P16" i="69"/>
  <c r="P25" i="69"/>
  <c r="P34" i="69"/>
  <c r="P43" i="69"/>
  <c r="P52" i="69"/>
  <c r="P61" i="69"/>
  <c r="P71" i="69"/>
  <c r="P81" i="69"/>
  <c r="P90" i="69"/>
  <c r="P100" i="69"/>
  <c r="P109" i="69"/>
  <c r="P118" i="69"/>
  <c r="P127" i="69"/>
  <c r="P146" i="69"/>
  <c r="P155" i="69"/>
  <c r="P164" i="69"/>
  <c r="P173" i="69"/>
  <c r="P182" i="69"/>
  <c r="P191" i="69"/>
  <c r="P200" i="69"/>
  <c r="P210" i="69"/>
  <c r="P219" i="69"/>
  <c r="P228" i="69"/>
  <c r="P237" i="69"/>
  <c r="P248" i="69"/>
  <c r="P270" i="69"/>
  <c r="P290" i="69"/>
  <c r="P312" i="69"/>
  <c r="P336" i="69"/>
  <c r="P368" i="69"/>
  <c r="P400" i="69"/>
  <c r="P432" i="69"/>
  <c r="P464" i="69"/>
  <c r="P496" i="69"/>
  <c r="P528" i="69"/>
  <c r="P560" i="69"/>
  <c r="P592" i="69"/>
  <c r="P624" i="69"/>
  <c r="P656" i="69"/>
  <c r="P8" i="69"/>
  <c r="P17" i="69"/>
  <c r="P26" i="69"/>
  <c r="P35" i="69"/>
  <c r="P44" i="69"/>
  <c r="P53" i="69"/>
  <c r="P62" i="69"/>
  <c r="P73" i="69"/>
  <c r="P82" i="69"/>
  <c r="P91" i="69"/>
  <c r="P101" i="69"/>
  <c r="P110" i="69"/>
  <c r="P119" i="69"/>
  <c r="P128" i="69"/>
  <c r="P138" i="69"/>
  <c r="P147" i="69"/>
  <c r="P156" i="69"/>
  <c r="P165" i="69"/>
  <c r="P174" i="69"/>
  <c r="P183" i="69"/>
  <c r="P192" i="69"/>
  <c r="P202" i="69"/>
  <c r="P211" i="69"/>
  <c r="P220" i="69"/>
  <c r="P229" i="69"/>
  <c r="P238" i="69"/>
  <c r="P250" i="69"/>
  <c r="P272" i="69"/>
  <c r="P294" i="69"/>
  <c r="P314" i="69"/>
  <c r="P338" i="69"/>
  <c r="P370" i="69"/>
  <c r="P402" i="69"/>
  <c r="P434" i="69"/>
  <c r="P466" i="69"/>
  <c r="P498" i="69"/>
  <c r="P530" i="69"/>
  <c r="P562" i="69"/>
  <c r="P594" i="69"/>
  <c r="P626" i="69"/>
  <c r="P658" i="69"/>
  <c r="P259" i="69"/>
  <c r="P299" i="69"/>
  <c r="P339" i="69"/>
  <c r="P363" i="69"/>
  <c r="P379" i="69"/>
  <c r="P395" i="69"/>
  <c r="P411" i="69"/>
  <c r="P419" i="69"/>
  <c r="P427" i="69"/>
  <c r="P435" i="69"/>
  <c r="P443" i="69"/>
  <c r="P451" i="69"/>
  <c r="P459" i="69"/>
  <c r="P467" i="69"/>
  <c r="P475" i="69"/>
  <c r="P483" i="69"/>
  <c r="P491" i="69"/>
  <c r="P499" i="69"/>
  <c r="P507" i="69"/>
  <c r="P515" i="69"/>
  <c r="P523" i="69"/>
  <c r="P531" i="69"/>
  <c r="P539" i="69"/>
  <c r="P547" i="69"/>
  <c r="P555" i="69"/>
  <c r="P563" i="69"/>
  <c r="P571" i="69"/>
  <c r="P579" i="69"/>
  <c r="P587" i="69"/>
  <c r="P595" i="69"/>
  <c r="P603" i="69"/>
  <c r="P611" i="69"/>
  <c r="P619" i="69"/>
  <c r="P627" i="69"/>
  <c r="P635" i="69"/>
  <c r="P643" i="69"/>
  <c r="P651" i="69"/>
  <c r="P659" i="69"/>
  <c r="P667" i="69"/>
  <c r="P675" i="69"/>
  <c r="P683" i="69"/>
  <c r="P9" i="69"/>
  <c r="P18" i="69"/>
  <c r="P27" i="69"/>
  <c r="P36" i="69"/>
  <c r="P45" i="69"/>
  <c r="P54" i="69"/>
  <c r="P64" i="69"/>
  <c r="P74" i="69"/>
  <c r="P83" i="69"/>
  <c r="P92" i="69"/>
  <c r="P102" i="69"/>
  <c r="P111" i="69"/>
  <c r="P120" i="69"/>
  <c r="P130" i="69"/>
  <c r="P139" i="69"/>
  <c r="P148" i="69"/>
  <c r="P157" i="69"/>
  <c r="P166" i="69"/>
  <c r="P175" i="69"/>
  <c r="P184" i="69"/>
  <c r="P194" i="69"/>
  <c r="P203" i="69"/>
  <c r="P212" i="69"/>
  <c r="P221" i="69"/>
  <c r="P230" i="69"/>
  <c r="P240" i="69"/>
  <c r="P254" i="69"/>
  <c r="P274" i="69"/>
  <c r="P296" i="69"/>
  <c r="P318" i="69"/>
  <c r="P344" i="69"/>
  <c r="P376" i="69"/>
  <c r="P408" i="69"/>
  <c r="P251" i="69"/>
  <c r="P275" i="69"/>
  <c r="P291" i="69"/>
  <c r="P315" i="69"/>
  <c r="P331" i="69"/>
  <c r="P347" i="69"/>
  <c r="P371" i="69"/>
  <c r="P403" i="69"/>
  <c r="P252" i="69"/>
  <c r="P260" i="69"/>
  <c r="P268" i="69"/>
  <c r="P276" i="69"/>
  <c r="P284" i="69"/>
  <c r="P292" i="69"/>
  <c r="P300" i="69"/>
  <c r="P308" i="69"/>
  <c r="P316" i="69"/>
  <c r="P324" i="69"/>
  <c r="P332" i="69"/>
  <c r="P340" i="69"/>
  <c r="P348" i="69"/>
  <c r="P356" i="69"/>
  <c r="P364" i="69"/>
  <c r="P372" i="69"/>
  <c r="P380" i="69"/>
  <c r="P388" i="69"/>
  <c r="P396" i="69"/>
  <c r="P404" i="69"/>
  <c r="P412" i="69"/>
  <c r="P428" i="69"/>
  <c r="P436" i="69"/>
  <c r="P444" i="69"/>
  <c r="P452" i="69"/>
  <c r="P460" i="69"/>
  <c r="P468" i="69"/>
  <c r="P476" i="69"/>
  <c r="P484" i="69"/>
  <c r="P492" i="69"/>
  <c r="P500" i="69"/>
  <c r="P508" i="69"/>
  <c r="P516" i="69"/>
  <c r="P524" i="69"/>
  <c r="P532" i="69"/>
  <c r="P540" i="69"/>
  <c r="P548" i="69"/>
  <c r="P556" i="69"/>
  <c r="P564" i="69"/>
  <c r="P572" i="69"/>
  <c r="P580" i="69"/>
  <c r="P588" i="69"/>
  <c r="P596" i="69"/>
  <c r="P604" i="69"/>
  <c r="P612" i="69"/>
  <c r="P620" i="69"/>
  <c r="P628" i="69"/>
  <c r="P636" i="69"/>
  <c r="P644" i="69"/>
  <c r="P652" i="69"/>
  <c r="P660" i="69"/>
  <c r="P668" i="69"/>
  <c r="P676" i="69"/>
  <c r="P684" i="69"/>
  <c r="P10" i="69"/>
  <c r="P19" i="69"/>
  <c r="P28" i="69"/>
  <c r="P37" i="69"/>
  <c r="P46" i="69"/>
  <c r="P56" i="69"/>
  <c r="P65" i="69"/>
  <c r="P75" i="69"/>
  <c r="P84" i="69"/>
  <c r="P93" i="69"/>
  <c r="P103" i="69"/>
  <c r="P112" i="69"/>
  <c r="P122" i="69"/>
  <c r="P140" i="69"/>
  <c r="P149" i="69"/>
  <c r="P158" i="69"/>
  <c r="P167" i="69"/>
  <c r="P176" i="69"/>
  <c r="P186" i="69"/>
  <c r="P195" i="69"/>
  <c r="P204" i="69"/>
  <c r="P213" i="69"/>
  <c r="P231" i="69"/>
  <c r="P242" i="69"/>
  <c r="P256" i="69"/>
  <c r="P278" i="69"/>
  <c r="P298" i="69"/>
  <c r="P320" i="69"/>
  <c r="P346" i="69"/>
  <c r="P378" i="69"/>
  <c r="P410" i="69"/>
  <c r="P442" i="69"/>
  <c r="P474" i="69"/>
  <c r="P506" i="69"/>
  <c r="P538" i="69"/>
  <c r="P570" i="69"/>
  <c r="P602" i="69"/>
  <c r="P634" i="69"/>
  <c r="P666" i="69"/>
  <c r="P267" i="69"/>
  <c r="P283" i="69"/>
  <c r="P307" i="69"/>
  <c r="P323" i="69"/>
  <c r="P355" i="69"/>
  <c r="P387" i="69"/>
  <c r="P253" i="69"/>
  <c r="P261" i="69"/>
  <c r="P269" i="69"/>
  <c r="P277" i="69"/>
  <c r="P285" i="69"/>
  <c r="P293" i="69"/>
  <c r="P301" i="69"/>
  <c r="P309" i="69"/>
  <c r="P317" i="69"/>
  <c r="P325" i="69"/>
  <c r="P333" i="69"/>
  <c r="P341" i="69"/>
  <c r="P349" i="69"/>
  <c r="P357" i="69"/>
  <c r="P365" i="69"/>
  <c r="P373" i="69"/>
  <c r="P381" i="69"/>
  <c r="P389" i="69"/>
  <c r="P397" i="69"/>
  <c r="P405" i="69"/>
  <c r="P413" i="69"/>
  <c r="P421" i="69"/>
  <c r="P429" i="69"/>
  <c r="P437" i="69"/>
  <c r="P445" i="69"/>
  <c r="P453" i="69"/>
  <c r="P461" i="69"/>
  <c r="P469" i="69"/>
  <c r="P477" i="69"/>
  <c r="P485" i="69"/>
  <c r="P493" i="69"/>
  <c r="P501" i="69"/>
  <c r="P509" i="69"/>
  <c r="P517" i="69"/>
  <c r="P525" i="69"/>
  <c r="P533" i="69"/>
  <c r="P541" i="69"/>
  <c r="P549" i="69"/>
  <c r="P557" i="69"/>
  <c r="P565" i="69"/>
  <c r="P573" i="69"/>
  <c r="P581" i="69"/>
  <c r="P589" i="69"/>
  <c r="P597" i="69"/>
  <c r="P605" i="69"/>
  <c r="P613" i="69"/>
  <c r="P621" i="69"/>
  <c r="P629" i="69"/>
  <c r="P637" i="69"/>
  <c r="P645" i="69"/>
  <c r="P653" i="69"/>
  <c r="P661" i="69"/>
  <c r="P669" i="69"/>
  <c r="P677" i="69"/>
  <c r="P2" i="69"/>
  <c r="P11" i="69"/>
  <c r="P20" i="69"/>
  <c r="P29" i="69"/>
  <c r="P38" i="69"/>
  <c r="P48" i="69"/>
  <c r="P57" i="69"/>
  <c r="P66" i="69"/>
  <c r="P76" i="69"/>
  <c r="P85" i="69"/>
  <c r="P94" i="69"/>
  <c r="P104" i="69"/>
  <c r="P114" i="69"/>
  <c r="P123" i="69"/>
  <c r="P132" i="69"/>
  <c r="P141" i="69"/>
  <c r="P150" i="69"/>
  <c r="P159" i="69"/>
  <c r="P168" i="69"/>
  <c r="P178" i="69"/>
  <c r="P187" i="69"/>
  <c r="P196" i="69"/>
  <c r="P205" i="69"/>
  <c r="P214" i="69"/>
  <c r="P223" i="69"/>
  <c r="P232" i="69"/>
  <c r="P243" i="69"/>
  <c r="P258" i="69"/>
  <c r="P280" i="69"/>
  <c r="P302" i="69"/>
  <c r="P322" i="69"/>
  <c r="P352" i="69"/>
  <c r="P384" i="69"/>
  <c r="P416" i="69"/>
  <c r="P448" i="69"/>
  <c r="P480" i="69"/>
  <c r="P512" i="69"/>
  <c r="P544" i="69"/>
  <c r="P576" i="69"/>
  <c r="P608" i="69"/>
  <c r="P640" i="69"/>
  <c r="P672" i="69"/>
  <c r="P334" i="69"/>
  <c r="P342" i="69"/>
  <c r="P350" i="69"/>
  <c r="P358" i="69"/>
  <c r="P366" i="69"/>
  <c r="P374" i="69"/>
  <c r="P382" i="69"/>
  <c r="P390" i="69"/>
  <c r="P398" i="69"/>
  <c r="P406" i="69"/>
  <c r="P414" i="69"/>
  <c r="P422" i="69"/>
  <c r="P430" i="69"/>
  <c r="P438" i="69"/>
  <c r="P446" i="69"/>
  <c r="P454" i="69"/>
  <c r="P462" i="69"/>
  <c r="P470" i="69"/>
  <c r="P478" i="69"/>
  <c r="P486" i="69"/>
  <c r="P494" i="69"/>
  <c r="P502" i="69"/>
  <c r="P510" i="69"/>
  <c r="P518" i="69"/>
  <c r="P526" i="69"/>
  <c r="P534" i="69"/>
  <c r="P542" i="69"/>
  <c r="P550" i="69"/>
  <c r="P558" i="69"/>
  <c r="P566" i="69"/>
  <c r="P574" i="69"/>
  <c r="P582" i="69"/>
  <c r="P590" i="69"/>
  <c r="P598" i="69"/>
  <c r="P606" i="69"/>
  <c r="P614" i="69"/>
  <c r="P622" i="69"/>
  <c r="P630" i="69"/>
  <c r="P638" i="69"/>
  <c r="P646" i="69"/>
  <c r="P654" i="69"/>
  <c r="P662" i="69"/>
  <c r="P670" i="69"/>
  <c r="P678" i="69"/>
  <c r="P3" i="69"/>
  <c r="P12" i="69"/>
  <c r="P21" i="69"/>
  <c r="P30" i="69"/>
  <c r="P40" i="69"/>
  <c r="P49" i="69"/>
  <c r="P58" i="69"/>
  <c r="P67" i="69"/>
  <c r="P77" i="69"/>
  <c r="P86" i="69"/>
  <c r="P96" i="69"/>
  <c r="P106" i="69"/>
  <c r="P115" i="69"/>
  <c r="P124" i="69"/>
  <c r="P133" i="69"/>
  <c r="P142" i="69"/>
  <c r="P151" i="69"/>
  <c r="P160" i="69"/>
  <c r="P170" i="69"/>
  <c r="P179" i="69"/>
  <c r="P188" i="69"/>
  <c r="P197" i="69"/>
  <c r="P206" i="69"/>
  <c r="P215" i="69"/>
  <c r="P224" i="69"/>
  <c r="P234" i="69"/>
  <c r="P244" i="69"/>
  <c r="P262" i="69"/>
  <c r="P282" i="69"/>
  <c r="P304" i="69"/>
  <c r="P326" i="69"/>
  <c r="P354" i="69"/>
  <c r="P386" i="69"/>
  <c r="P450" i="69"/>
  <c r="P482" i="69"/>
  <c r="P514" i="69"/>
  <c r="P546" i="69"/>
  <c r="P578" i="69"/>
  <c r="P610" i="69"/>
  <c r="P642" i="69"/>
  <c r="P674" i="69"/>
  <c r="P239" i="69"/>
  <c r="P271" i="69"/>
  <c r="P295" i="69"/>
  <c r="P335" i="69"/>
  <c r="P359" i="69"/>
  <c r="P383" i="69"/>
  <c r="P407" i="69"/>
  <c r="P415" i="69"/>
  <c r="P439" i="69"/>
  <c r="P447" i="69"/>
  <c r="P455" i="69"/>
  <c r="P463" i="69"/>
  <c r="P471" i="69"/>
  <c r="P479" i="69"/>
  <c r="P487" i="69"/>
  <c r="P495" i="69"/>
  <c r="P503" i="69"/>
  <c r="P511" i="69"/>
  <c r="P519" i="69"/>
  <c r="P527" i="69"/>
  <c r="P535" i="69"/>
  <c r="P543" i="69"/>
  <c r="P551" i="69"/>
  <c r="P559" i="69"/>
  <c r="P567" i="69"/>
  <c r="P575" i="69"/>
  <c r="P583" i="69"/>
  <c r="P591" i="69"/>
  <c r="P599" i="69"/>
  <c r="P607" i="69"/>
  <c r="P615" i="69"/>
  <c r="P623" i="69"/>
  <c r="P631" i="69"/>
  <c r="P639" i="69"/>
  <c r="P647" i="69"/>
  <c r="P655" i="69"/>
  <c r="P663" i="69"/>
  <c r="P671" i="69"/>
  <c r="P679" i="69"/>
  <c r="P4" i="69"/>
  <c r="P13" i="69"/>
  <c r="P22" i="69"/>
  <c r="P32" i="69"/>
  <c r="P41" i="69"/>
  <c r="P50" i="69"/>
  <c r="P59" i="69"/>
  <c r="P68" i="69"/>
  <c r="P78" i="69"/>
  <c r="P87" i="69"/>
  <c r="P98" i="69"/>
  <c r="P107" i="69"/>
  <c r="P116" i="69"/>
  <c r="P125" i="69"/>
  <c r="P134" i="69"/>
  <c r="P143" i="69"/>
  <c r="P152" i="69"/>
  <c r="P162" i="69"/>
  <c r="P171" i="69"/>
  <c r="P180" i="69"/>
  <c r="P189" i="69"/>
  <c r="P198" i="69"/>
  <c r="P207" i="69"/>
  <c r="P216" i="69"/>
  <c r="P226" i="69"/>
  <c r="P235" i="69"/>
  <c r="P245" i="69"/>
  <c r="P264" i="69"/>
  <c r="P286" i="69"/>
  <c r="P306" i="69"/>
  <c r="P328" i="69"/>
  <c r="P360" i="69"/>
  <c r="P392" i="69"/>
  <c r="P424" i="69"/>
  <c r="P255" i="69"/>
  <c r="P279" i="69"/>
  <c r="P303" i="69"/>
  <c r="P319" i="69"/>
  <c r="P343" i="69"/>
  <c r="P375" i="69"/>
  <c r="P399" i="69"/>
  <c r="P423" i="69"/>
  <c r="P7" i="69"/>
  <c r="P31" i="69"/>
  <c r="P47" i="69"/>
  <c r="P63" i="69"/>
  <c r="P72" i="69"/>
  <c r="P88" i="69"/>
  <c r="P5" i="69"/>
  <c r="P14" i="69"/>
  <c r="P24" i="69"/>
  <c r="P33" i="69"/>
  <c r="P42" i="69"/>
  <c r="P51" i="69"/>
  <c r="P60" i="69"/>
  <c r="P69" i="69"/>
  <c r="P79" i="69"/>
  <c r="P89" i="69"/>
  <c r="P99" i="69"/>
  <c r="P108" i="69"/>
  <c r="P117" i="69"/>
  <c r="P126" i="69"/>
  <c r="P135" i="69"/>
  <c r="P144" i="69"/>
  <c r="P154" i="69"/>
  <c r="P163" i="69"/>
  <c r="P172" i="69"/>
  <c r="P181" i="69"/>
  <c r="P190" i="69"/>
  <c r="P199" i="69"/>
  <c r="P208" i="69"/>
  <c r="P218" i="69"/>
  <c r="P227" i="69"/>
  <c r="P236" i="69"/>
  <c r="P246" i="69"/>
  <c r="P266" i="69"/>
  <c r="P288" i="69"/>
  <c r="P310" i="69"/>
  <c r="P330" i="69"/>
  <c r="P362" i="69"/>
  <c r="P394" i="69"/>
  <c r="P426" i="69"/>
  <c r="P458" i="69"/>
  <c r="P490" i="69"/>
  <c r="P522" i="69"/>
  <c r="P554" i="69"/>
  <c r="P586" i="69"/>
  <c r="P618" i="69"/>
  <c r="P650" i="69"/>
  <c r="P682" i="69"/>
  <c r="P95" i="69"/>
  <c r="Q335" i="69" l="1"/>
  <c r="Q318" i="69" l="1"/>
  <c r="R318" i="69" s="1"/>
  <c r="AX318" i="69"/>
  <c r="AW318" i="69"/>
  <c r="AC318" i="69"/>
  <c r="AB318" i="69"/>
  <c r="S318" i="69" l="1"/>
  <c r="AE318" i="69"/>
  <c r="AM318" i="69" s="1"/>
  <c r="AD318" i="69"/>
  <c r="AL318" i="69" s="1"/>
  <c r="AK318" i="69"/>
  <c r="AX465" i="69"/>
  <c r="AW465" i="69"/>
  <c r="AC465" i="69"/>
  <c r="AK465" i="69" s="1"/>
  <c r="AB465" i="69"/>
  <c r="Q465" i="69"/>
  <c r="R465" i="69" s="1"/>
  <c r="S465" i="69" s="1"/>
  <c r="T465" i="69" s="1"/>
  <c r="U465" i="69" s="1"/>
  <c r="V465" i="69" s="1"/>
  <c r="AI465" i="69" s="1"/>
  <c r="AQ465" i="69" s="1"/>
  <c r="AD465" i="69" l="1"/>
  <c r="AL465" i="69" s="1"/>
  <c r="AG465" i="69"/>
  <c r="AO465" i="69" s="1"/>
  <c r="AH465" i="69"/>
  <c r="AP465" i="69" s="1"/>
  <c r="AE465" i="69"/>
  <c r="AM465" i="69" s="1"/>
  <c r="AF465" i="69"/>
  <c r="AN465" i="69" s="1"/>
  <c r="T318" i="69"/>
  <c r="AF318" i="69"/>
  <c r="AN318" i="69" s="1"/>
  <c r="AW631" i="69"/>
  <c r="AC631" i="69"/>
  <c r="AB631" i="69"/>
  <c r="Q631" i="69"/>
  <c r="R631" i="69" s="1"/>
  <c r="S631" i="69" s="1"/>
  <c r="T631" i="69" s="1"/>
  <c r="U631" i="69" s="1"/>
  <c r="V631" i="69" s="1"/>
  <c r="AI631" i="69" s="1"/>
  <c r="AQ631" i="69" s="1"/>
  <c r="Q612" i="69"/>
  <c r="Q594" i="69"/>
  <c r="Q585" i="69"/>
  <c r="Q577" i="69"/>
  <c r="AT465" i="69" l="1"/>
  <c r="AF631" i="69"/>
  <c r="AN631" i="69" s="1"/>
  <c r="AS465" i="69"/>
  <c r="AD631" i="69"/>
  <c r="AL631" i="69" s="1"/>
  <c r="AG631" i="69"/>
  <c r="AO631" i="69" s="1"/>
  <c r="AG318" i="69"/>
  <c r="AO318" i="69" s="1"/>
  <c r="U318" i="69"/>
  <c r="AE631" i="69"/>
  <c r="AM631" i="69" s="1"/>
  <c r="AH631" i="69"/>
  <c r="AP631" i="69" s="1"/>
  <c r="AK631" i="69"/>
  <c r="AH318" i="69" l="1"/>
  <c r="AP318" i="69" s="1"/>
  <c r="V318" i="69"/>
  <c r="AI318" i="69" s="1"/>
  <c r="AQ318" i="69" s="1"/>
  <c r="AS631" i="69"/>
  <c r="AT631" i="69"/>
  <c r="AT318" i="69" l="1"/>
  <c r="AS318" i="69"/>
  <c r="Q568" i="69"/>
  <c r="Q554" i="69"/>
  <c r="Q553" i="69"/>
  <c r="M631" i="69"/>
  <c r="M616" i="69"/>
  <c r="M615" i="69"/>
  <c r="M614" i="69"/>
  <c r="M613" i="69"/>
  <c r="M612" i="69"/>
  <c r="M611" i="69"/>
  <c r="M610" i="69"/>
  <c r="M609" i="69"/>
  <c r="M597" i="69"/>
  <c r="M596" i="69"/>
  <c r="M595" i="69"/>
  <c r="M594" i="69"/>
  <c r="M586" i="69"/>
  <c r="M585" i="69"/>
  <c r="M584" i="69"/>
  <c r="M578" i="69"/>
  <c r="M577" i="69"/>
  <c r="M576" i="69"/>
  <c r="M570" i="69"/>
  <c r="M569" i="69"/>
  <c r="M568" i="69"/>
  <c r="M567" i="69"/>
  <c r="M566" i="69"/>
  <c r="M565" i="69"/>
  <c r="M563" i="69"/>
  <c r="M561" i="69"/>
  <c r="M560" i="69"/>
  <c r="M559" i="69"/>
  <c r="M558" i="69"/>
  <c r="M556" i="69"/>
  <c r="M555" i="69"/>
  <c r="M554" i="69"/>
  <c r="M553" i="69"/>
  <c r="M551" i="69"/>
  <c r="M550" i="69"/>
  <c r="M549" i="69"/>
  <c r="M546" i="69"/>
  <c r="M545" i="69" l="1"/>
  <c r="M544" i="69"/>
  <c r="Q407" i="69" l="1"/>
  <c r="Q344" i="69"/>
  <c r="R344" i="69" s="1"/>
  <c r="S344" i="69" s="1"/>
  <c r="T344" i="69" s="1"/>
  <c r="U344" i="69" s="1"/>
  <c r="V344" i="69" s="1"/>
  <c r="AI344" i="69" s="1"/>
  <c r="AQ344" i="69" s="1"/>
  <c r="AX357" i="69"/>
  <c r="AW357" i="69"/>
  <c r="AC357" i="69"/>
  <c r="AB357" i="69"/>
  <c r="AX344" i="69"/>
  <c r="AW344" i="69"/>
  <c r="AB344" i="69"/>
  <c r="Q357" i="69"/>
  <c r="R357" i="69" s="1"/>
  <c r="S357" i="69" s="1"/>
  <c r="T357" i="69" s="1"/>
  <c r="U357" i="69" s="1"/>
  <c r="V357" i="69" s="1"/>
  <c r="AI357" i="69" s="1"/>
  <c r="AQ357" i="69" s="1"/>
  <c r="Q331" i="69"/>
  <c r="Q323" i="69"/>
  <c r="Q293" i="69"/>
  <c r="AF357" i="69" l="1"/>
  <c r="AN357" i="69" s="1"/>
  <c r="AG357" i="69"/>
  <c r="AO357" i="69" s="1"/>
  <c r="AH357" i="69"/>
  <c r="AP357" i="69" s="1"/>
  <c r="AD357" i="69"/>
  <c r="AL357" i="69" s="1"/>
  <c r="AE357" i="69"/>
  <c r="AM357" i="69" s="1"/>
  <c r="AC344" i="69"/>
  <c r="AK344" i="69" s="1"/>
  <c r="AF344" i="69"/>
  <c r="AN344" i="69" s="1"/>
  <c r="AG344" i="69"/>
  <c r="AO344" i="69" s="1"/>
  <c r="AH344" i="69"/>
  <c r="AP344" i="69" s="1"/>
  <c r="AD344" i="69"/>
  <c r="AL344" i="69" s="1"/>
  <c r="AE344" i="69"/>
  <c r="AM344" i="69" s="1"/>
  <c r="AK357" i="69"/>
  <c r="AS357" i="69" l="1"/>
  <c r="AS344" i="69"/>
  <c r="AT357" i="69"/>
  <c r="AT344" i="69"/>
  <c r="Q417" i="69" l="1"/>
  <c r="R417" i="69" s="1"/>
  <c r="AX417" i="69"/>
  <c r="AW417" i="69"/>
  <c r="AC417" i="69"/>
  <c r="AB417" i="69"/>
  <c r="AD417" i="69" l="1"/>
  <c r="AL417" i="69" s="1"/>
  <c r="S417" i="69"/>
  <c r="AE417" i="69"/>
  <c r="AM417" i="69" s="1"/>
  <c r="AK417" i="69"/>
  <c r="Q404" i="69"/>
  <c r="Q402" i="69"/>
  <c r="Q401" i="69"/>
  <c r="Q400" i="69"/>
  <c r="T417" i="69" l="1"/>
  <c r="AF417" i="69"/>
  <c r="AN417" i="69" s="1"/>
  <c r="R404" i="69"/>
  <c r="Q403" i="69"/>
  <c r="AD403" i="69" s="1"/>
  <c r="AL403" i="69" s="1"/>
  <c r="AD402" i="69"/>
  <c r="AL402" i="69" s="1"/>
  <c r="AX404" i="69"/>
  <c r="AW404" i="69"/>
  <c r="AC404" i="69"/>
  <c r="AB404" i="69"/>
  <c r="AX403" i="69"/>
  <c r="AW403" i="69"/>
  <c r="AC403" i="69"/>
  <c r="AB403" i="69"/>
  <c r="AX402" i="69"/>
  <c r="AW402" i="69"/>
  <c r="AC402" i="69"/>
  <c r="AK402" i="69" s="1"/>
  <c r="AB402" i="69"/>
  <c r="AG417" i="69" l="1"/>
  <c r="AO417" i="69" s="1"/>
  <c r="U417" i="69"/>
  <c r="S404" i="69"/>
  <c r="AE404" i="69"/>
  <c r="AM404" i="69" s="1"/>
  <c r="AD404" i="69"/>
  <c r="AL404" i="69" s="1"/>
  <c r="R403" i="69"/>
  <c r="R402" i="69"/>
  <c r="AK404" i="69"/>
  <c r="AK403" i="69"/>
  <c r="Q511" i="69"/>
  <c r="Q469" i="69"/>
  <c r="Q440" i="69"/>
  <c r="Q438" i="69"/>
  <c r="Q437" i="69"/>
  <c r="Q125" i="69"/>
  <c r="Q123" i="69"/>
  <c r="Q120" i="69"/>
  <c r="Q115" i="69"/>
  <c r="Q108" i="69"/>
  <c r="AH417" i="69" l="1"/>
  <c r="V417" i="69"/>
  <c r="AI417" i="69" s="1"/>
  <c r="AQ417" i="69" s="1"/>
  <c r="T404" i="69"/>
  <c r="AF404" i="69"/>
  <c r="AN404" i="69" s="1"/>
  <c r="AE403" i="69"/>
  <c r="S403" i="69"/>
  <c r="S402" i="69"/>
  <c r="AE402" i="69"/>
  <c r="AX515" i="69"/>
  <c r="AW515" i="69"/>
  <c r="AC515" i="69"/>
  <c r="AB515" i="69"/>
  <c r="AX126" i="69"/>
  <c r="AW126" i="69"/>
  <c r="AC126" i="69"/>
  <c r="AB126" i="69"/>
  <c r="AX125" i="69"/>
  <c r="AW125" i="69"/>
  <c r="AD125" i="69"/>
  <c r="AL125" i="69" s="1"/>
  <c r="AC125" i="69"/>
  <c r="AB125" i="69"/>
  <c r="AX124" i="69"/>
  <c r="AW124" i="69"/>
  <c r="AC124" i="69"/>
  <c r="AB124" i="69"/>
  <c r="AX123" i="69"/>
  <c r="AW123" i="69"/>
  <c r="AD123" i="69"/>
  <c r="AL123" i="69" s="1"/>
  <c r="AC123" i="69"/>
  <c r="AB123" i="69"/>
  <c r="AX122" i="69"/>
  <c r="AW122" i="69"/>
  <c r="AC122" i="69"/>
  <c r="AB122" i="69"/>
  <c r="AX121" i="69"/>
  <c r="AW121" i="69"/>
  <c r="AC121" i="69"/>
  <c r="AB121" i="69"/>
  <c r="AX120" i="69"/>
  <c r="AW120" i="69"/>
  <c r="AD120" i="69"/>
  <c r="AL120" i="69" s="1"/>
  <c r="AC120" i="69"/>
  <c r="AK120" i="69" s="1"/>
  <c r="AB120" i="69"/>
  <c r="AX119" i="69"/>
  <c r="AW119" i="69"/>
  <c r="AC119" i="69"/>
  <c r="AB119" i="69"/>
  <c r="AX118" i="69"/>
  <c r="AW118" i="69"/>
  <c r="AC118" i="69"/>
  <c r="AB118" i="69"/>
  <c r="AX117" i="69"/>
  <c r="AW117" i="69"/>
  <c r="AC117" i="69"/>
  <c r="AB117" i="69"/>
  <c r="AX116" i="69"/>
  <c r="AW116" i="69"/>
  <c r="AC116" i="69"/>
  <c r="AB116" i="69"/>
  <c r="AX115" i="69"/>
  <c r="AW115" i="69"/>
  <c r="AD115" i="69"/>
  <c r="AL115" i="69" s="1"/>
  <c r="AC115" i="69"/>
  <c r="AB115" i="69"/>
  <c r="AX114" i="69"/>
  <c r="AW114" i="69"/>
  <c r="AC114" i="69"/>
  <c r="AB114" i="69"/>
  <c r="AX113" i="69"/>
  <c r="AW113" i="69"/>
  <c r="AC113" i="69"/>
  <c r="AB113" i="69"/>
  <c r="AX112" i="69"/>
  <c r="AW112" i="69"/>
  <c r="AC112" i="69"/>
  <c r="AB112" i="69"/>
  <c r="AX111" i="69"/>
  <c r="AW111" i="69"/>
  <c r="AC111" i="69"/>
  <c r="AB111" i="69"/>
  <c r="AX110" i="69"/>
  <c r="AW110" i="69"/>
  <c r="AC110" i="69"/>
  <c r="AB110" i="69"/>
  <c r="AX109" i="69"/>
  <c r="AW109" i="69"/>
  <c r="AC109" i="69"/>
  <c r="AB109" i="69"/>
  <c r="AX108" i="69"/>
  <c r="AW108" i="69"/>
  <c r="AD108" i="69"/>
  <c r="AL108" i="69" s="1"/>
  <c r="AC108" i="69"/>
  <c r="AB108" i="69"/>
  <c r="AX107" i="69"/>
  <c r="AW107" i="69"/>
  <c r="AC107" i="69"/>
  <c r="AB107" i="69"/>
  <c r="AX434" i="69"/>
  <c r="AW434" i="69"/>
  <c r="AC434" i="69"/>
  <c r="AB434" i="69"/>
  <c r="AX440" i="69"/>
  <c r="AW440" i="69"/>
  <c r="AC440" i="69"/>
  <c r="AB440" i="69"/>
  <c r="AX439" i="69"/>
  <c r="AW439" i="69"/>
  <c r="AC439" i="69"/>
  <c r="AB439" i="69"/>
  <c r="AX438" i="69"/>
  <c r="AW438" i="69"/>
  <c r="AD438" i="69"/>
  <c r="AL438" i="69" s="1"/>
  <c r="AC438" i="69"/>
  <c r="AB438" i="69"/>
  <c r="AX437" i="69"/>
  <c r="AW437" i="69"/>
  <c r="AD437" i="69"/>
  <c r="AL437" i="69" s="1"/>
  <c r="AC437" i="69"/>
  <c r="AB437" i="69"/>
  <c r="AX441" i="69"/>
  <c r="AW441" i="69"/>
  <c r="AC441" i="69"/>
  <c r="AB441" i="69"/>
  <c r="Q515" i="69"/>
  <c r="R515" i="69" s="1"/>
  <c r="S515" i="69" s="1"/>
  <c r="T515" i="69" s="1"/>
  <c r="U515" i="69" s="1"/>
  <c r="V515" i="69" s="1"/>
  <c r="AI515" i="69" s="1"/>
  <c r="AQ515" i="69" s="1"/>
  <c r="Q441" i="69"/>
  <c r="R441" i="69" s="1"/>
  <c r="S441" i="69" s="1"/>
  <c r="T441" i="69" s="1"/>
  <c r="U441" i="69" s="1"/>
  <c r="V441" i="69" s="1"/>
  <c r="AI441" i="69" s="1"/>
  <c r="AQ441" i="69" s="1"/>
  <c r="R440" i="69"/>
  <c r="S440" i="69" s="1"/>
  <c r="T440" i="69" s="1"/>
  <c r="U440" i="69" s="1"/>
  <c r="V440" i="69" s="1"/>
  <c r="AI440" i="69" s="1"/>
  <c r="AQ440" i="69" s="1"/>
  <c r="Q439" i="69"/>
  <c r="R439" i="69" s="1"/>
  <c r="S439" i="69" s="1"/>
  <c r="T439" i="69" s="1"/>
  <c r="U439" i="69" s="1"/>
  <c r="V439" i="69" s="1"/>
  <c r="AI439" i="69" s="1"/>
  <c r="AQ439" i="69" s="1"/>
  <c r="R438" i="69"/>
  <c r="S438" i="69" s="1"/>
  <c r="T438" i="69" s="1"/>
  <c r="U438" i="69" s="1"/>
  <c r="V438" i="69" s="1"/>
  <c r="AI438" i="69" s="1"/>
  <c r="AQ438" i="69" s="1"/>
  <c r="R437" i="69"/>
  <c r="S437" i="69" s="1"/>
  <c r="T437" i="69" s="1"/>
  <c r="U437" i="69" s="1"/>
  <c r="V437" i="69" s="1"/>
  <c r="AI437" i="69" s="1"/>
  <c r="AQ437" i="69" s="1"/>
  <c r="Q434" i="69"/>
  <c r="R434" i="69" s="1"/>
  <c r="S434" i="69" s="1"/>
  <c r="T434" i="69" s="1"/>
  <c r="U434" i="69" s="1"/>
  <c r="V434" i="69" s="1"/>
  <c r="AI434" i="69" s="1"/>
  <c r="AQ434" i="69" s="1"/>
  <c r="Q126" i="69"/>
  <c r="AD126" i="69" s="1"/>
  <c r="AL126" i="69" s="1"/>
  <c r="AP417" i="69" l="1"/>
  <c r="AS417" i="69"/>
  <c r="AG404" i="69"/>
  <c r="U404" i="69"/>
  <c r="AF403" i="69"/>
  <c r="AN403" i="69" s="1"/>
  <c r="T403" i="69"/>
  <c r="AM403" i="69"/>
  <c r="AM402" i="69"/>
  <c r="AF402" i="69"/>
  <c r="AN402" i="69" s="1"/>
  <c r="T402" i="69"/>
  <c r="AG434" i="69"/>
  <c r="AO434" i="69" s="1"/>
  <c r="AH434" i="69"/>
  <c r="AP434" i="69" s="1"/>
  <c r="AH515" i="69"/>
  <c r="AP515" i="69" s="1"/>
  <c r="AE515" i="69"/>
  <c r="AM515" i="69" s="1"/>
  <c r="AF515" i="69"/>
  <c r="AN515" i="69" s="1"/>
  <c r="AG515" i="69"/>
  <c r="AO515" i="69" s="1"/>
  <c r="AD515" i="69"/>
  <c r="AL515" i="69" s="1"/>
  <c r="AD441" i="69"/>
  <c r="AL441" i="69" s="1"/>
  <c r="AH441" i="69"/>
  <c r="AP441" i="69" s="1"/>
  <c r="AE441" i="69"/>
  <c r="AM441" i="69" s="1"/>
  <c r="AG441" i="69"/>
  <c r="AO441" i="69" s="1"/>
  <c r="AF441" i="69"/>
  <c r="AN441" i="69" s="1"/>
  <c r="AF440" i="69"/>
  <c r="AN440" i="69" s="1"/>
  <c r="AG440" i="69"/>
  <c r="AO440" i="69" s="1"/>
  <c r="AH440" i="69"/>
  <c r="AP440" i="69" s="1"/>
  <c r="AD440" i="69"/>
  <c r="AL440" i="69" s="1"/>
  <c r="AE440" i="69"/>
  <c r="AM440" i="69" s="1"/>
  <c r="AE439" i="69"/>
  <c r="AM439" i="69" s="1"/>
  <c r="AG439" i="69"/>
  <c r="AO439" i="69" s="1"/>
  <c r="AD439" i="69"/>
  <c r="AL439" i="69" s="1"/>
  <c r="AH439" i="69"/>
  <c r="AP439" i="69" s="1"/>
  <c r="AF439" i="69"/>
  <c r="AN439" i="69" s="1"/>
  <c r="AG438" i="69"/>
  <c r="AO438" i="69" s="1"/>
  <c r="AF438" i="69"/>
  <c r="AN438" i="69" s="1"/>
  <c r="AH438" i="69"/>
  <c r="AP438" i="69" s="1"/>
  <c r="AE438" i="69"/>
  <c r="AM438" i="69" s="1"/>
  <c r="AE437" i="69"/>
  <c r="AM437" i="69" s="1"/>
  <c r="AF437" i="69"/>
  <c r="AN437" i="69" s="1"/>
  <c r="AG437" i="69"/>
  <c r="AO437" i="69" s="1"/>
  <c r="AH437" i="69"/>
  <c r="AP437" i="69" s="1"/>
  <c r="AD434" i="69"/>
  <c r="AL434" i="69" s="1"/>
  <c r="AE434" i="69"/>
  <c r="AM434" i="69" s="1"/>
  <c r="AF434" i="69"/>
  <c r="AN434" i="69" s="1"/>
  <c r="AK515" i="69"/>
  <c r="AK111" i="69"/>
  <c r="AK119" i="69"/>
  <c r="AK110" i="69"/>
  <c r="AK118" i="69"/>
  <c r="AK126" i="69"/>
  <c r="AK117" i="69"/>
  <c r="AK125" i="69"/>
  <c r="AK108" i="69"/>
  <c r="AK116" i="69"/>
  <c r="AK124" i="69"/>
  <c r="AK112" i="69"/>
  <c r="AK109" i="69"/>
  <c r="AK107" i="69"/>
  <c r="AK115" i="69"/>
  <c r="AK123" i="69"/>
  <c r="AK114" i="69"/>
  <c r="AK122" i="69"/>
  <c r="AK113" i="69"/>
  <c r="AK121" i="69"/>
  <c r="AK434" i="69"/>
  <c r="AK440" i="69"/>
  <c r="AK439" i="69"/>
  <c r="AK438" i="69"/>
  <c r="AK437" i="69"/>
  <c r="AK441" i="69"/>
  <c r="Q497" i="69"/>
  <c r="AX328" i="69"/>
  <c r="AW328" i="69"/>
  <c r="AC328" i="69"/>
  <c r="AK328" i="69" s="1"/>
  <c r="AB328" i="69"/>
  <c r="Q328" i="69"/>
  <c r="AD328" i="69" s="1"/>
  <c r="AL328" i="69" s="1"/>
  <c r="Q307" i="69"/>
  <c r="AT417" i="69" l="1"/>
  <c r="AO404" i="69"/>
  <c r="AH404" i="69"/>
  <c r="AP404" i="69" s="1"/>
  <c r="V404" i="69"/>
  <c r="AI404" i="69" s="1"/>
  <c r="AQ404" i="69" s="1"/>
  <c r="AG403" i="69"/>
  <c r="U403" i="69"/>
  <c r="U402" i="69"/>
  <c r="AG402" i="69"/>
  <c r="AO402" i="69" s="1"/>
  <c r="AS515" i="69"/>
  <c r="AS441" i="69"/>
  <c r="AS440" i="69"/>
  <c r="AS439" i="69"/>
  <c r="AS438" i="69"/>
  <c r="AS437" i="69"/>
  <c r="AS434" i="69"/>
  <c r="AT515" i="69"/>
  <c r="AT434" i="69"/>
  <c r="AT440" i="69"/>
  <c r="AT437" i="69"/>
  <c r="AT438" i="69"/>
  <c r="AT439" i="69"/>
  <c r="AT441" i="69"/>
  <c r="R328" i="69"/>
  <c r="Q53" i="69"/>
  <c r="Q52" i="69"/>
  <c r="Q47" i="69"/>
  <c r="Q42" i="69"/>
  <c r="AS404" i="69" l="1"/>
  <c r="AT404" i="69"/>
  <c r="AH403" i="69"/>
  <c r="AP403" i="69" s="1"/>
  <c r="V403" i="69"/>
  <c r="AI403" i="69" s="1"/>
  <c r="AQ403" i="69" s="1"/>
  <c r="AO403" i="69"/>
  <c r="AH402" i="69"/>
  <c r="V402" i="69"/>
  <c r="AI402" i="69" s="1"/>
  <c r="AQ402" i="69" s="1"/>
  <c r="AE328" i="69"/>
  <c r="S328" i="69"/>
  <c r="Q627" i="69"/>
  <c r="R627" i="69" s="1"/>
  <c r="J632" i="69"/>
  <c r="J630" i="69"/>
  <c r="J628" i="69"/>
  <c r="J627" i="69"/>
  <c r="J626" i="69"/>
  <c r="J625" i="69"/>
  <c r="J624" i="69"/>
  <c r="J623" i="69"/>
  <c r="J622" i="69"/>
  <c r="J621" i="69"/>
  <c r="J603" i="69"/>
  <c r="J602" i="69"/>
  <c r="J601" i="69"/>
  <c r="J600" i="69"/>
  <c r="J599" i="69"/>
  <c r="J598" i="69"/>
  <c r="J589" i="69"/>
  <c r="J588" i="69"/>
  <c r="J583" i="69"/>
  <c r="Q668" i="69"/>
  <c r="AX483" i="69"/>
  <c r="AW483" i="69"/>
  <c r="AC483" i="69"/>
  <c r="AB483" i="69"/>
  <c r="AX459" i="69"/>
  <c r="AW459" i="69"/>
  <c r="AC459" i="69"/>
  <c r="AB459" i="69"/>
  <c r="Q459" i="69"/>
  <c r="R459" i="69" s="1"/>
  <c r="S459" i="69" s="1"/>
  <c r="T459" i="69" s="1"/>
  <c r="U459" i="69" s="1"/>
  <c r="V459" i="69" s="1"/>
  <c r="AI459" i="69" s="1"/>
  <c r="AQ459" i="69" s="1"/>
  <c r="Q483" i="69"/>
  <c r="R483" i="69" s="1"/>
  <c r="S483" i="69" s="1"/>
  <c r="T483" i="69" s="1"/>
  <c r="U483" i="69" s="1"/>
  <c r="V483" i="69" s="1"/>
  <c r="AI483" i="69" s="1"/>
  <c r="AQ483" i="69" s="1"/>
  <c r="Q632" i="69"/>
  <c r="R632" i="69" s="1"/>
  <c r="Q630" i="69"/>
  <c r="AD630" i="69" s="1"/>
  <c r="AL630" i="69" s="1"/>
  <c r="Q629" i="69"/>
  <c r="R629" i="69" s="1"/>
  <c r="Q628" i="69"/>
  <c r="AD628" i="69" s="1"/>
  <c r="AL628" i="69" s="1"/>
  <c r="Q626" i="69"/>
  <c r="AD626" i="69" s="1"/>
  <c r="Q625" i="69"/>
  <c r="AD625" i="69" s="1"/>
  <c r="AL625" i="69" s="1"/>
  <c r="Q624" i="69"/>
  <c r="R624" i="69" s="1"/>
  <c r="Q623" i="69"/>
  <c r="R623" i="69" s="1"/>
  <c r="Q622" i="69"/>
  <c r="AD622" i="69" s="1"/>
  <c r="AL622" i="69" s="1"/>
  <c r="Q621" i="69"/>
  <c r="R621" i="69" s="1"/>
  <c r="AX632" i="69"/>
  <c r="AW632" i="69"/>
  <c r="AC632" i="69"/>
  <c r="AB632" i="69"/>
  <c r="AX630" i="69"/>
  <c r="AW630" i="69"/>
  <c r="AC630" i="69"/>
  <c r="AB630" i="69"/>
  <c r="AX629" i="69"/>
  <c r="AW629" i="69"/>
  <c r="AC629" i="69"/>
  <c r="AK629" i="69" s="1"/>
  <c r="AB629" i="69"/>
  <c r="AX628" i="69"/>
  <c r="AW628" i="69"/>
  <c r="AC628" i="69"/>
  <c r="AB628" i="69"/>
  <c r="AX627" i="69"/>
  <c r="AW627" i="69"/>
  <c r="AC627" i="69"/>
  <c r="AB627" i="69"/>
  <c r="AX626" i="69"/>
  <c r="AW626" i="69"/>
  <c r="AC626" i="69"/>
  <c r="AB626" i="69"/>
  <c r="AX625" i="69"/>
  <c r="AW625" i="69"/>
  <c r="AC625" i="69"/>
  <c r="AB625" i="69"/>
  <c r="AX624" i="69"/>
  <c r="AW624" i="69"/>
  <c r="AC624" i="69"/>
  <c r="AB624" i="69"/>
  <c r="AX623" i="69"/>
  <c r="AW623" i="69"/>
  <c r="AC623" i="69"/>
  <c r="AK623" i="69" s="1"/>
  <c r="AB623" i="69"/>
  <c r="AX622" i="69"/>
  <c r="AW622" i="69"/>
  <c r="AC622" i="69"/>
  <c r="AK622" i="69" s="1"/>
  <c r="AB622" i="69"/>
  <c r="AX621" i="69"/>
  <c r="AW621" i="69"/>
  <c r="AC621" i="69"/>
  <c r="AB621" i="69"/>
  <c r="AS403" i="69" l="1"/>
  <c r="AT403" i="69"/>
  <c r="AP402" i="69"/>
  <c r="AS402" i="69"/>
  <c r="AF328" i="69"/>
  <c r="AN328" i="69" s="1"/>
  <c r="T328" i="69"/>
  <c r="AM328" i="69"/>
  <c r="AD624" i="69"/>
  <c r="AL624" i="69" s="1"/>
  <c r="AD632" i="69"/>
  <c r="AL632" i="69" s="1"/>
  <c r="AD623" i="69"/>
  <c r="AL623" i="69" s="1"/>
  <c r="AG459" i="69"/>
  <c r="AO459" i="69" s="1"/>
  <c r="AE459" i="69"/>
  <c r="AM459" i="69" s="1"/>
  <c r="AD627" i="69"/>
  <c r="AL627" i="69" s="1"/>
  <c r="AH459" i="69"/>
  <c r="AP459" i="69" s="1"/>
  <c r="AE483" i="69"/>
  <c r="AM483" i="69" s="1"/>
  <c r="AF483" i="69"/>
  <c r="AN483" i="69" s="1"/>
  <c r="AG483" i="69"/>
  <c r="AO483" i="69" s="1"/>
  <c r="AH483" i="69"/>
  <c r="AP483" i="69" s="1"/>
  <c r="AD459" i="69"/>
  <c r="AL459" i="69" s="1"/>
  <c r="AF459" i="69"/>
  <c r="AN459" i="69" s="1"/>
  <c r="AD483" i="69"/>
  <c r="AL483" i="69" s="1"/>
  <c r="AK483" i="69"/>
  <c r="AK459" i="69"/>
  <c r="S632" i="69"/>
  <c r="AE632" i="69"/>
  <c r="AM632" i="69" s="1"/>
  <c r="R630" i="69"/>
  <c r="S629" i="69"/>
  <c r="AE629" i="69"/>
  <c r="AM629" i="69" s="1"/>
  <c r="AD629" i="69"/>
  <c r="AL629" i="69" s="1"/>
  <c r="R628" i="69"/>
  <c r="S627" i="69"/>
  <c r="AE627" i="69"/>
  <c r="AM627" i="69" s="1"/>
  <c r="R626" i="69"/>
  <c r="R625" i="69"/>
  <c r="S624" i="69"/>
  <c r="AE624" i="69"/>
  <c r="AM624" i="69" s="1"/>
  <c r="S623" i="69"/>
  <c r="AE623" i="69"/>
  <c r="AM623" i="69" s="1"/>
  <c r="R622" i="69"/>
  <c r="S621" i="69"/>
  <c r="AE621" i="69"/>
  <c r="AM621" i="69" s="1"/>
  <c r="AD621" i="69"/>
  <c r="AL621" i="69" s="1"/>
  <c r="AK632" i="69"/>
  <c r="AK630" i="69"/>
  <c r="AK628" i="69"/>
  <c r="AK627" i="69"/>
  <c r="AK626" i="69"/>
  <c r="AL626" i="69"/>
  <c r="AK625" i="69"/>
  <c r="AK624" i="69"/>
  <c r="AK621" i="69"/>
  <c r="Q224" i="69"/>
  <c r="Q219" i="69"/>
  <c r="AT402" i="69" l="1"/>
  <c r="AG328" i="69"/>
  <c r="U328" i="69"/>
  <c r="AS483" i="69"/>
  <c r="AS459" i="69"/>
  <c r="AT483" i="69"/>
  <c r="AT459" i="69"/>
  <c r="T632" i="69"/>
  <c r="AF632" i="69"/>
  <c r="AN632" i="69" s="1"/>
  <c r="AE630" i="69"/>
  <c r="S630" i="69"/>
  <c r="T629" i="69"/>
  <c r="AF629" i="69"/>
  <c r="AN629" i="69" s="1"/>
  <c r="S628" i="69"/>
  <c r="AE628" i="69"/>
  <c r="T627" i="69"/>
  <c r="AF627" i="69"/>
  <c r="AN627" i="69" s="1"/>
  <c r="S626" i="69"/>
  <c r="AE626" i="69"/>
  <c r="S625" i="69"/>
  <c r="AE625" i="69"/>
  <c r="T624" i="69"/>
  <c r="AF624" i="69"/>
  <c r="AN624" i="69" s="1"/>
  <c r="T623" i="69"/>
  <c r="AF623" i="69"/>
  <c r="AN623" i="69" s="1"/>
  <c r="AE622" i="69"/>
  <c r="S622" i="69"/>
  <c r="T621" i="69"/>
  <c r="AF621" i="69"/>
  <c r="AN621" i="69" s="1"/>
  <c r="Q210" i="69"/>
  <c r="Q147" i="69"/>
  <c r="Q146" i="69"/>
  <c r="Q144" i="69"/>
  <c r="Q138" i="69"/>
  <c r="Q131" i="69"/>
  <c r="Q137" i="69"/>
  <c r="AH328" i="69" l="1"/>
  <c r="AP328" i="69" s="1"/>
  <c r="V328" i="69"/>
  <c r="AI328" i="69" s="1"/>
  <c r="AQ328" i="69" s="1"/>
  <c r="AO328" i="69"/>
  <c r="AG632" i="69"/>
  <c r="AO632" i="69" s="1"/>
  <c r="U632" i="69"/>
  <c r="AF630" i="69"/>
  <c r="AN630" i="69" s="1"/>
  <c r="T630" i="69"/>
  <c r="AM630" i="69"/>
  <c r="AG629" i="69"/>
  <c r="U629" i="69"/>
  <c r="AM628" i="69"/>
  <c r="T628" i="69"/>
  <c r="AF628" i="69"/>
  <c r="AN628" i="69" s="1"/>
  <c r="U627" i="69"/>
  <c r="AG627" i="69"/>
  <c r="AO627" i="69" s="1"/>
  <c r="T626" i="69"/>
  <c r="AF626" i="69"/>
  <c r="AN626" i="69" s="1"/>
  <c r="AM626" i="69"/>
  <c r="AM625" i="69"/>
  <c r="T625" i="69"/>
  <c r="AF625" i="69"/>
  <c r="AN625" i="69" s="1"/>
  <c r="AG624" i="69"/>
  <c r="U624" i="69"/>
  <c r="AG623" i="69"/>
  <c r="U623" i="69"/>
  <c r="T622" i="69"/>
  <c r="AF622" i="69"/>
  <c r="AN622" i="69" s="1"/>
  <c r="AM622" i="69"/>
  <c r="U621" i="69"/>
  <c r="AG621" i="69"/>
  <c r="AO621" i="69" s="1"/>
  <c r="Q455" i="69"/>
  <c r="AS328" i="69" l="1"/>
  <c r="AT328" i="69"/>
  <c r="AH632" i="69"/>
  <c r="V632" i="69"/>
  <c r="AI632" i="69" s="1"/>
  <c r="AQ632" i="69" s="1"/>
  <c r="U630" i="69"/>
  <c r="AG630" i="69"/>
  <c r="AH629" i="69"/>
  <c r="AP629" i="69" s="1"/>
  <c r="V629" i="69"/>
  <c r="AI629" i="69" s="1"/>
  <c r="AQ629" i="69" s="1"/>
  <c r="AO629" i="69"/>
  <c r="U628" i="69"/>
  <c r="AG628" i="69"/>
  <c r="AO628" i="69" s="1"/>
  <c r="AH627" i="69"/>
  <c r="V627" i="69"/>
  <c r="AI627" i="69" s="1"/>
  <c r="AQ627" i="69" s="1"/>
  <c r="AG626" i="69"/>
  <c r="U626" i="69"/>
  <c r="AG625" i="69"/>
  <c r="U625" i="69"/>
  <c r="AH624" i="69"/>
  <c r="AP624" i="69" s="1"/>
  <c r="V624" i="69"/>
  <c r="AI624" i="69" s="1"/>
  <c r="AQ624" i="69" s="1"/>
  <c r="AO624" i="69"/>
  <c r="AH623" i="69"/>
  <c r="AP623" i="69" s="1"/>
  <c r="V623" i="69"/>
  <c r="AI623" i="69" s="1"/>
  <c r="AQ623" i="69" s="1"/>
  <c r="AO623" i="69"/>
  <c r="AG622" i="69"/>
  <c r="U622" i="69"/>
  <c r="AH621" i="69"/>
  <c r="AP621" i="69" s="1"/>
  <c r="V621" i="69"/>
  <c r="AI621" i="69" s="1"/>
  <c r="AQ621" i="69" s="1"/>
  <c r="AX425" i="69"/>
  <c r="AW425" i="69"/>
  <c r="AC425" i="69"/>
  <c r="AK425" i="69" s="1"/>
  <c r="AB425" i="69"/>
  <c r="Q425" i="69"/>
  <c r="R425" i="69" s="1"/>
  <c r="S425" i="69" s="1"/>
  <c r="T425" i="69" s="1"/>
  <c r="U425" i="69" s="1"/>
  <c r="V425" i="69" s="1"/>
  <c r="AI425" i="69" s="1"/>
  <c r="AQ425" i="69" s="1"/>
  <c r="AP632" i="69" l="1"/>
  <c r="AS632" i="69"/>
  <c r="AO630" i="69"/>
  <c r="V630" i="69"/>
  <c r="AI630" i="69" s="1"/>
  <c r="AQ630" i="69" s="1"/>
  <c r="AH630" i="69"/>
  <c r="AP630" i="69" s="1"/>
  <c r="AS629" i="69"/>
  <c r="AT629" i="69"/>
  <c r="AH628" i="69"/>
  <c r="V628" i="69"/>
  <c r="AI628" i="69" s="1"/>
  <c r="AQ628" i="69" s="1"/>
  <c r="AP627" i="69"/>
  <c r="AS627" i="69"/>
  <c r="AH626" i="69"/>
  <c r="AP626" i="69" s="1"/>
  <c r="V626" i="69"/>
  <c r="AI626" i="69" s="1"/>
  <c r="AQ626" i="69" s="1"/>
  <c r="AO626" i="69"/>
  <c r="AH625" i="69"/>
  <c r="V625" i="69"/>
  <c r="AI625" i="69" s="1"/>
  <c r="AQ625" i="69" s="1"/>
  <c r="AO625" i="69"/>
  <c r="AS624" i="69"/>
  <c r="AT624" i="69"/>
  <c r="AS623" i="69"/>
  <c r="AT623" i="69"/>
  <c r="AO622" i="69"/>
  <c r="AH622" i="69"/>
  <c r="AP622" i="69" s="1"/>
  <c r="V622" i="69"/>
  <c r="AI622" i="69" s="1"/>
  <c r="AQ622" i="69" s="1"/>
  <c r="AT621" i="69"/>
  <c r="AS621" i="69"/>
  <c r="AD425" i="69"/>
  <c r="AL425" i="69" s="1"/>
  <c r="AG425" i="69"/>
  <c r="AO425" i="69" s="1"/>
  <c r="AH425" i="69"/>
  <c r="AP425" i="69" s="1"/>
  <c r="AE425" i="69"/>
  <c r="AM425" i="69" s="1"/>
  <c r="AF425" i="69"/>
  <c r="AN425" i="69" s="1"/>
  <c r="Q637" i="69"/>
  <c r="R637" i="69" s="1"/>
  <c r="S637" i="69" s="1"/>
  <c r="T637" i="69" s="1"/>
  <c r="U637" i="69" s="1"/>
  <c r="V637" i="69" s="1"/>
  <c r="AT632" i="69" l="1"/>
  <c r="AS630" i="69"/>
  <c r="AT630" i="69"/>
  <c r="AP628" i="69"/>
  <c r="AS628" i="69"/>
  <c r="AT627" i="69"/>
  <c r="AS626" i="69"/>
  <c r="AT626" i="69"/>
  <c r="AP625" i="69"/>
  <c r="AS625" i="69"/>
  <c r="AS622" i="69"/>
  <c r="AT622" i="69"/>
  <c r="AT425" i="69"/>
  <c r="AS425" i="69"/>
  <c r="AT625" i="69" l="1"/>
  <c r="AT628" i="69"/>
  <c r="AX637" i="69"/>
  <c r="AW637" i="69"/>
  <c r="AI637" i="69"/>
  <c r="AQ637" i="69" s="1"/>
  <c r="AH637" i="69"/>
  <c r="AP637" i="69" s="1"/>
  <c r="AG637" i="69"/>
  <c r="AO637" i="69" s="1"/>
  <c r="AF637" i="69"/>
  <c r="AN637" i="69" s="1"/>
  <c r="AE637" i="69"/>
  <c r="AM637" i="69" s="1"/>
  <c r="AD637" i="69"/>
  <c r="AL637" i="69" s="1"/>
  <c r="AC637" i="69"/>
  <c r="AB637" i="69"/>
  <c r="Q280" i="69"/>
  <c r="AD280" i="69" s="1"/>
  <c r="AL280" i="69" s="1"/>
  <c r="AB280" i="69"/>
  <c r="AC280" i="69"/>
  <c r="AK280" i="69" s="1"/>
  <c r="AW280" i="69"/>
  <c r="AX280" i="69"/>
  <c r="Q359" i="69"/>
  <c r="R359" i="69" s="1"/>
  <c r="AB359" i="69"/>
  <c r="AC359" i="69"/>
  <c r="AK359" i="69" s="1"/>
  <c r="AW359" i="69"/>
  <c r="AX359" i="69"/>
  <c r="Q360" i="69"/>
  <c r="AD360" i="69" s="1"/>
  <c r="AL360" i="69" s="1"/>
  <c r="AB360" i="69"/>
  <c r="AC360" i="69"/>
  <c r="AK360" i="69" s="1"/>
  <c r="AW360" i="69"/>
  <c r="AX360" i="69"/>
  <c r="Q361" i="69"/>
  <c r="R361" i="69" s="1"/>
  <c r="AB361" i="69"/>
  <c r="AC361" i="69"/>
  <c r="AK361" i="69" s="1"/>
  <c r="AW361" i="69"/>
  <c r="AX361" i="69"/>
  <c r="Q362" i="69"/>
  <c r="R362" i="69" s="1"/>
  <c r="AB362" i="69"/>
  <c r="AC362" i="69"/>
  <c r="AK362" i="69" s="1"/>
  <c r="AW362" i="69"/>
  <c r="AX362" i="69"/>
  <c r="Q363" i="69"/>
  <c r="AD363" i="69" s="1"/>
  <c r="AL363" i="69" s="1"/>
  <c r="AB363" i="69"/>
  <c r="AC363" i="69"/>
  <c r="AK363" i="69" s="1"/>
  <c r="AW363" i="69"/>
  <c r="Q364" i="69"/>
  <c r="R364" i="69" s="1"/>
  <c r="AB364" i="69"/>
  <c r="AC364" i="69"/>
  <c r="AK364" i="69" s="1"/>
  <c r="AW364" i="69"/>
  <c r="AX364" i="69"/>
  <c r="Q365" i="69"/>
  <c r="R365" i="69" s="1"/>
  <c r="AB365" i="69"/>
  <c r="AC365" i="69"/>
  <c r="AK365" i="69" s="1"/>
  <c r="AW365" i="69"/>
  <c r="AX365" i="69"/>
  <c r="Q552" i="69"/>
  <c r="AD552" i="69" s="1"/>
  <c r="AL552" i="69" s="1"/>
  <c r="AB552" i="69"/>
  <c r="AC552" i="69"/>
  <c r="AK552" i="69" s="1"/>
  <c r="AW552" i="69"/>
  <c r="AX552" i="69"/>
  <c r="Q564" i="69"/>
  <c r="AD564" i="69" s="1"/>
  <c r="AL564" i="69" s="1"/>
  <c r="AB564" i="69"/>
  <c r="AC564" i="69"/>
  <c r="AK564" i="69" s="1"/>
  <c r="AW564" i="69"/>
  <c r="AX564" i="69"/>
  <c r="Q580" i="69"/>
  <c r="AD580" i="69" s="1"/>
  <c r="AL580" i="69" s="1"/>
  <c r="AB580" i="69"/>
  <c r="AC580" i="69"/>
  <c r="AK580" i="69" s="1"/>
  <c r="AW580" i="69"/>
  <c r="AX580" i="69"/>
  <c r="Q616" i="69"/>
  <c r="AD616" i="69" s="1"/>
  <c r="AL616" i="69" s="1"/>
  <c r="AB616" i="69"/>
  <c r="AC616" i="69"/>
  <c r="AK616" i="69" s="1"/>
  <c r="R616" i="69" l="1"/>
  <c r="S616" i="69" s="1"/>
  <c r="AF616" i="69" s="1"/>
  <c r="AN616" i="69" s="1"/>
  <c r="R552" i="69"/>
  <c r="AE552" i="69" s="1"/>
  <c r="AM552" i="69" s="1"/>
  <c r="R280" i="69"/>
  <c r="AE280" i="69" s="1"/>
  <c r="AM280" i="69" s="1"/>
  <c r="R580" i="69"/>
  <c r="AE580" i="69" s="1"/>
  <c r="AM580" i="69" s="1"/>
  <c r="R360" i="69"/>
  <c r="AE360" i="69" s="1"/>
  <c r="AM360" i="69" s="1"/>
  <c r="R564" i="69"/>
  <c r="AD364" i="69"/>
  <c r="AL364" i="69" s="1"/>
  <c r="R363" i="69"/>
  <c r="AE363" i="69" s="1"/>
  <c r="AM363" i="69" s="1"/>
  <c r="AS637" i="69"/>
  <c r="AE364" i="69"/>
  <c r="AM364" i="69" s="1"/>
  <c r="S364" i="69"/>
  <c r="S365" i="69"/>
  <c r="AE365" i="69"/>
  <c r="AM365" i="69" s="1"/>
  <c r="S359" i="69"/>
  <c r="T359" i="69" s="1"/>
  <c r="U359" i="69" s="1"/>
  <c r="AE359" i="69"/>
  <c r="AM359" i="69" s="1"/>
  <c r="S361" i="69"/>
  <c r="AE361" i="69"/>
  <c r="AM361" i="69" s="1"/>
  <c r="S362" i="69"/>
  <c r="AE362" i="69"/>
  <c r="AM362" i="69" s="1"/>
  <c r="AD362" i="69"/>
  <c r="AL362" i="69" s="1"/>
  <c r="AD359" i="69"/>
  <c r="AL359" i="69" s="1"/>
  <c r="AD365" i="69"/>
  <c r="AL365" i="69" s="1"/>
  <c r="AD361" i="69"/>
  <c r="AL361" i="69" s="1"/>
  <c r="AK637" i="69"/>
  <c r="J2" i="68"/>
  <c r="E2" i="68"/>
  <c r="D2" i="68"/>
  <c r="C2" i="68"/>
  <c r="F2" i="68"/>
  <c r="G2" i="68"/>
  <c r="H2" i="68"/>
  <c r="N8" i="68" s="1"/>
  <c r="I2" i="68"/>
  <c r="N9" i="68" s="1"/>
  <c r="O5" i="87" s="1"/>
  <c r="K2" i="68"/>
  <c r="L2" i="68"/>
  <c r="M2" i="68"/>
  <c r="N2" i="68"/>
  <c r="O2" i="68"/>
  <c r="W2" i="68"/>
  <c r="X2" i="68"/>
  <c r="N17" i="68" s="1"/>
  <c r="F684" i="65"/>
  <c r="F665" i="65"/>
  <c r="F585" i="65"/>
  <c r="F313" i="65"/>
  <c r="F187" i="65"/>
  <c r="F178" i="65"/>
  <c r="F184" i="65"/>
  <c r="F181" i="65"/>
  <c r="F425" i="65"/>
  <c r="F655" i="65"/>
  <c r="F654" i="65"/>
  <c r="F561" i="65"/>
  <c r="F558" i="65"/>
  <c r="F557" i="65"/>
  <c r="F247" i="65"/>
  <c r="F322" i="65"/>
  <c r="F320" i="65"/>
  <c r="F311" i="65"/>
  <c r="F308" i="65"/>
  <c r="F306" i="65"/>
  <c r="F88" i="65"/>
  <c r="F87" i="65"/>
  <c r="F86" i="65"/>
  <c r="F39" i="65"/>
  <c r="F38" i="65"/>
  <c r="F37" i="65"/>
  <c r="F31" i="65"/>
  <c r="F30" i="65"/>
  <c r="F29" i="65"/>
  <c r="F18" i="65"/>
  <c r="F17" i="65"/>
  <c r="F26" i="65"/>
  <c r="F25" i="65"/>
  <c r="F22" i="65"/>
  <c r="F21" i="65"/>
  <c r="F20" i="65"/>
  <c r="F15" i="65"/>
  <c r="F12" i="65"/>
  <c r="F14" i="65"/>
  <c r="F52" i="65"/>
  <c r="F23" i="65"/>
  <c r="F10" i="65"/>
  <c r="H254" i="65"/>
  <c r="G254" i="65"/>
  <c r="H428" i="65"/>
  <c r="G428" i="65"/>
  <c r="H602" i="65"/>
  <c r="G602" i="65"/>
  <c r="H601" i="65"/>
  <c r="G601" i="65"/>
  <c r="H600" i="65"/>
  <c r="G600" i="65"/>
  <c r="H599" i="65"/>
  <c r="G599" i="65"/>
  <c r="N688" i="65"/>
  <c r="M688" i="65"/>
  <c r="L688" i="65"/>
  <c r="K688" i="65"/>
  <c r="I688" i="65"/>
  <c r="H688" i="65"/>
  <c r="G688" i="65"/>
  <c r="P688" i="65" s="1"/>
  <c r="N598" i="65"/>
  <c r="M598" i="65"/>
  <c r="L598" i="65"/>
  <c r="K598" i="65"/>
  <c r="I598" i="65"/>
  <c r="H598" i="65"/>
  <c r="G598" i="65"/>
  <c r="P598" i="65" s="1"/>
  <c r="N597" i="65"/>
  <c r="M597" i="65"/>
  <c r="L597" i="65"/>
  <c r="K597" i="65"/>
  <c r="I597" i="65"/>
  <c r="H597" i="65"/>
  <c r="G597" i="65"/>
  <c r="P597" i="65" s="1"/>
  <c r="H670" i="65"/>
  <c r="G670" i="65"/>
  <c r="P670" i="65" s="1"/>
  <c r="H687" i="65"/>
  <c r="G687" i="65"/>
  <c r="H686" i="65"/>
  <c r="G686" i="65"/>
  <c r="H669" i="65"/>
  <c r="G669" i="65"/>
  <c r="H502" i="65"/>
  <c r="G502" i="65"/>
  <c r="H673" i="65"/>
  <c r="G673" i="65"/>
  <c r="H668" i="65"/>
  <c r="G668" i="65"/>
  <c r="H596" i="65"/>
  <c r="G596" i="65"/>
  <c r="H595" i="65"/>
  <c r="G595" i="65"/>
  <c r="H685" i="65"/>
  <c r="G685" i="65"/>
  <c r="H667" i="65"/>
  <c r="G667" i="65"/>
  <c r="H594" i="65"/>
  <c r="G594" i="65"/>
  <c r="H514" i="65"/>
  <c r="G514" i="65"/>
  <c r="H666" i="65"/>
  <c r="G666" i="65"/>
  <c r="H593" i="65"/>
  <c r="G593" i="65"/>
  <c r="H684" i="65"/>
  <c r="G684" i="65"/>
  <c r="H665" i="65"/>
  <c r="G665" i="65"/>
  <c r="H236" i="65"/>
  <c r="G236" i="65"/>
  <c r="H606" i="65"/>
  <c r="G606" i="65"/>
  <c r="H640" i="65"/>
  <c r="G640" i="65"/>
  <c r="P640" i="65" s="1"/>
  <c r="H639" i="65"/>
  <c r="G639" i="65"/>
  <c r="H638" i="65"/>
  <c r="G638" i="65"/>
  <c r="H253" i="65"/>
  <c r="G253" i="65"/>
  <c r="H592" i="65"/>
  <c r="G592" i="65"/>
  <c r="H591" i="65"/>
  <c r="G591" i="65"/>
  <c r="H590" i="65"/>
  <c r="G590" i="65"/>
  <c r="H589" i="65"/>
  <c r="G589" i="65"/>
  <c r="H588" i="65"/>
  <c r="G588" i="65"/>
  <c r="H587" i="65"/>
  <c r="G587" i="65"/>
  <c r="H586" i="65"/>
  <c r="G586" i="65"/>
  <c r="H584" i="65"/>
  <c r="G584" i="65"/>
  <c r="P584" i="65" s="1"/>
  <c r="H583" i="65"/>
  <c r="G583" i="65"/>
  <c r="H582" i="65"/>
  <c r="G582" i="65"/>
  <c r="H581" i="65"/>
  <c r="G581" i="65"/>
  <c r="H528" i="65"/>
  <c r="G528" i="65"/>
  <c r="H605" i="65"/>
  <c r="G605" i="65"/>
  <c r="N304" i="65"/>
  <c r="M304" i="65"/>
  <c r="L304" i="65"/>
  <c r="K304" i="65"/>
  <c r="I304" i="65"/>
  <c r="H304" i="65"/>
  <c r="G304" i="65"/>
  <c r="P304" i="65" s="1"/>
  <c r="N303" i="65"/>
  <c r="M303" i="65"/>
  <c r="L303" i="65"/>
  <c r="K303" i="65"/>
  <c r="I303" i="65"/>
  <c r="H303" i="65"/>
  <c r="G303" i="65"/>
  <c r="P303" i="65" s="1"/>
  <c r="H316" i="65"/>
  <c r="G316" i="65"/>
  <c r="P316" i="65" s="1"/>
  <c r="N461" i="65"/>
  <c r="M461" i="65"/>
  <c r="L461" i="65"/>
  <c r="K461" i="65"/>
  <c r="I461" i="65"/>
  <c r="H461" i="65"/>
  <c r="G461" i="65"/>
  <c r="P461" i="65" s="1"/>
  <c r="N510" i="65"/>
  <c r="M510" i="65"/>
  <c r="L510" i="65"/>
  <c r="K510" i="65"/>
  <c r="I510" i="65"/>
  <c r="H510" i="65"/>
  <c r="G510" i="65"/>
  <c r="P510" i="65" s="1"/>
  <c r="N467" i="65"/>
  <c r="M467" i="65"/>
  <c r="L467" i="65"/>
  <c r="K467" i="65"/>
  <c r="I467" i="65"/>
  <c r="H467" i="65"/>
  <c r="G467" i="65"/>
  <c r="P467" i="65" s="1"/>
  <c r="N366" i="65"/>
  <c r="M366" i="65"/>
  <c r="L366" i="65"/>
  <c r="K366" i="65"/>
  <c r="I366" i="65"/>
  <c r="H366" i="65"/>
  <c r="G366" i="65"/>
  <c r="P366" i="65" s="1"/>
  <c r="L525" i="65"/>
  <c r="H525" i="65"/>
  <c r="G525" i="65"/>
  <c r="P525" i="65" s="1"/>
  <c r="L376" i="65"/>
  <c r="H376" i="65"/>
  <c r="G376" i="65"/>
  <c r="P376" i="65" s="1"/>
  <c r="L119" i="65"/>
  <c r="H119" i="65"/>
  <c r="G119" i="65"/>
  <c r="P119" i="65" s="1"/>
  <c r="L117" i="65"/>
  <c r="H117" i="65"/>
  <c r="G117" i="65"/>
  <c r="P117" i="65" s="1"/>
  <c r="L130" i="65"/>
  <c r="H130" i="65"/>
  <c r="G130" i="65"/>
  <c r="P130" i="65" s="1"/>
  <c r="L134" i="65"/>
  <c r="H134" i="65"/>
  <c r="G134" i="65"/>
  <c r="P134" i="65" s="1"/>
  <c r="L132" i="65"/>
  <c r="H132" i="65"/>
  <c r="G132" i="65"/>
  <c r="P132" i="65" s="1"/>
  <c r="L128" i="65"/>
  <c r="H128" i="65"/>
  <c r="G128" i="65"/>
  <c r="P128" i="65" s="1"/>
  <c r="L142" i="65"/>
  <c r="H142" i="65"/>
  <c r="G142" i="65"/>
  <c r="P142" i="65" s="1"/>
  <c r="L140" i="65"/>
  <c r="H140" i="65"/>
  <c r="G140" i="65"/>
  <c r="P140" i="65" s="1"/>
  <c r="L138" i="65"/>
  <c r="H138" i="65"/>
  <c r="G138" i="65"/>
  <c r="P138" i="65" s="1"/>
  <c r="L136" i="65"/>
  <c r="H136" i="65"/>
  <c r="G136" i="65"/>
  <c r="P136" i="65" s="1"/>
  <c r="H664" i="65"/>
  <c r="G664" i="65"/>
  <c r="P664" i="65" s="1"/>
  <c r="H356" i="65"/>
  <c r="G356" i="65"/>
  <c r="H358" i="65"/>
  <c r="G358" i="65"/>
  <c r="H354" i="65"/>
  <c r="G354" i="65"/>
  <c r="G398" i="65"/>
  <c r="H365" i="65"/>
  <c r="G365" i="65"/>
  <c r="H392" i="65"/>
  <c r="G392" i="65"/>
  <c r="H391" i="65"/>
  <c r="G391" i="65"/>
  <c r="H390" i="65"/>
  <c r="G390" i="65"/>
  <c r="H396" i="65"/>
  <c r="G396" i="65"/>
  <c r="H395" i="65"/>
  <c r="G395" i="65"/>
  <c r="H394" i="65"/>
  <c r="G394" i="65"/>
  <c r="H522" i="65"/>
  <c r="G522" i="65"/>
  <c r="H519" i="65"/>
  <c r="G519" i="65"/>
  <c r="H47" i="65"/>
  <c r="G47" i="65"/>
  <c r="H477" i="65"/>
  <c r="G477" i="65"/>
  <c r="H352" i="65"/>
  <c r="G352" i="65"/>
  <c r="H154" i="65"/>
  <c r="G154" i="65"/>
  <c r="H152" i="65"/>
  <c r="G152" i="65"/>
  <c r="H150" i="65"/>
  <c r="G150" i="65"/>
  <c r="H148" i="65"/>
  <c r="G148" i="65"/>
  <c r="H115" i="65"/>
  <c r="G115" i="65"/>
  <c r="H113" i="65"/>
  <c r="G113" i="65"/>
  <c r="H388" i="65"/>
  <c r="G388" i="65"/>
  <c r="H387" i="65"/>
  <c r="G387" i="65"/>
  <c r="H386" i="65"/>
  <c r="G386" i="65"/>
  <c r="H361" i="65"/>
  <c r="G361" i="65"/>
  <c r="H440" i="65"/>
  <c r="G440" i="65"/>
  <c r="H663" i="65"/>
  <c r="G663" i="65"/>
  <c r="H347" i="65"/>
  <c r="G347" i="65"/>
  <c r="H472" i="65"/>
  <c r="G472" i="65"/>
  <c r="H146" i="65"/>
  <c r="G146" i="65"/>
  <c r="H144" i="65"/>
  <c r="G144" i="65"/>
  <c r="H416" i="65"/>
  <c r="G416" i="65"/>
  <c r="H380" i="65"/>
  <c r="G380" i="65"/>
  <c r="H379" i="65"/>
  <c r="G379" i="65"/>
  <c r="H378" i="65"/>
  <c r="G378" i="65"/>
  <c r="H549" i="65"/>
  <c r="G549" i="65"/>
  <c r="H484" i="65"/>
  <c r="G484" i="65"/>
  <c r="H349" i="65"/>
  <c r="G349" i="65"/>
  <c r="H307" i="65"/>
  <c r="G307" i="65"/>
  <c r="H662" i="65"/>
  <c r="G662" i="65"/>
  <c r="H384" i="65"/>
  <c r="G384" i="65"/>
  <c r="H383" i="65"/>
  <c r="G383" i="65"/>
  <c r="H382" i="65"/>
  <c r="G382" i="65"/>
  <c r="H526" i="65"/>
  <c r="G526" i="65"/>
  <c r="H342" i="65"/>
  <c r="G342" i="65"/>
  <c r="H95" i="65"/>
  <c r="G95" i="65"/>
  <c r="H93" i="65"/>
  <c r="G93" i="65"/>
  <c r="H252" i="65"/>
  <c r="G252" i="65"/>
  <c r="H532" i="65"/>
  <c r="G532" i="65"/>
  <c r="H375" i="65"/>
  <c r="G375" i="65"/>
  <c r="H364" i="65"/>
  <c r="G364" i="65"/>
  <c r="H374" i="65"/>
  <c r="G374" i="65"/>
  <c r="H372" i="65"/>
  <c r="G372" i="65"/>
  <c r="H371" i="65"/>
  <c r="G371" i="65"/>
  <c r="H315" i="65"/>
  <c r="G315" i="65"/>
  <c r="H319" i="65"/>
  <c r="G319" i="65"/>
  <c r="H661" i="65"/>
  <c r="G661" i="65"/>
  <c r="H369" i="65"/>
  <c r="G369" i="65"/>
  <c r="H368" i="65"/>
  <c r="G368" i="65"/>
  <c r="H340" i="65"/>
  <c r="G340" i="65"/>
  <c r="H360" i="65"/>
  <c r="G360" i="65"/>
  <c r="H585" i="65"/>
  <c r="G585" i="65"/>
  <c r="H339" i="65"/>
  <c r="G339" i="65"/>
  <c r="H531" i="65"/>
  <c r="G531" i="65"/>
  <c r="H330" i="65"/>
  <c r="G330" i="65"/>
  <c r="H327" i="65"/>
  <c r="G327" i="65"/>
  <c r="H313" i="65"/>
  <c r="G313" i="65"/>
  <c r="H530" i="65"/>
  <c r="G530" i="65"/>
  <c r="H335" i="65"/>
  <c r="G335" i="65"/>
  <c r="H321" i="65"/>
  <c r="G321" i="65"/>
  <c r="H187" i="65"/>
  <c r="G187" i="65"/>
  <c r="H178" i="65"/>
  <c r="G178" i="65"/>
  <c r="H323" i="65"/>
  <c r="G323" i="65"/>
  <c r="H334" i="65"/>
  <c r="G334" i="65"/>
  <c r="H332" i="65"/>
  <c r="G332" i="65"/>
  <c r="H184" i="65"/>
  <c r="G184" i="65"/>
  <c r="H181" i="65"/>
  <c r="G181" i="65"/>
  <c r="H529" i="65"/>
  <c r="G529" i="65"/>
  <c r="H660" i="65"/>
  <c r="G660" i="65"/>
  <c r="P660" i="65" s="1"/>
  <c r="H427" i="65"/>
  <c r="G427" i="65"/>
  <c r="P427" i="65" s="1"/>
  <c r="H659" i="65"/>
  <c r="G659" i="65"/>
  <c r="P659" i="65" s="1"/>
  <c r="H235" i="65"/>
  <c r="G235" i="65"/>
  <c r="G607" i="65"/>
  <c r="O13" i="87" l="1"/>
  <c r="N12" i="68"/>
  <c r="O4" i="87"/>
  <c r="I64" i="87"/>
  <c r="S363" i="69"/>
  <c r="T363" i="69" s="1"/>
  <c r="U363" i="69" s="1"/>
  <c r="V363" i="69" s="1"/>
  <c r="AI363" i="69" s="1"/>
  <c r="AQ363" i="69" s="1"/>
  <c r="AE616" i="69"/>
  <c r="AM616" i="69" s="1"/>
  <c r="S280" i="69"/>
  <c r="T280" i="69" s="1"/>
  <c r="T616" i="69"/>
  <c r="AG616" i="69" s="1"/>
  <c r="AO616" i="69" s="1"/>
  <c r="S360" i="69"/>
  <c r="AF360" i="69" s="1"/>
  <c r="AN360" i="69" s="1"/>
  <c r="S580" i="69"/>
  <c r="T580" i="69" s="1"/>
  <c r="S552" i="69"/>
  <c r="AG359" i="69"/>
  <c r="AO359" i="69" s="1"/>
  <c r="AF359" i="69"/>
  <c r="AN359" i="69" s="1"/>
  <c r="AE564" i="69"/>
  <c r="AM564" i="69" s="1"/>
  <c r="S564" i="69"/>
  <c r="T361" i="69"/>
  <c r="AF361" i="69"/>
  <c r="AF362" i="69"/>
  <c r="AN362" i="69" s="1"/>
  <c r="T362" i="69"/>
  <c r="T365" i="69"/>
  <c r="AF365" i="69"/>
  <c r="AF364" i="69"/>
  <c r="AN364" i="69" s="1"/>
  <c r="T364" i="69"/>
  <c r="AT637" i="69"/>
  <c r="L316" i="65" s="1"/>
  <c r="O597" i="65"/>
  <c r="V359" i="69"/>
  <c r="AI359" i="69" s="1"/>
  <c r="AQ359" i="69" s="1"/>
  <c r="AH359" i="69"/>
  <c r="AP359" i="69" s="1"/>
  <c r="O467" i="65"/>
  <c r="O598" i="65"/>
  <c r="P339" i="65"/>
  <c r="P323" i="65"/>
  <c r="P588" i="65"/>
  <c r="P313" i="65"/>
  <c r="P364" i="65"/>
  <c r="P374" i="65"/>
  <c r="P549" i="65"/>
  <c r="P321" i="65"/>
  <c r="P371" i="65"/>
  <c r="P319" i="65"/>
  <c r="P662" i="65"/>
  <c r="P386" i="65"/>
  <c r="P154" i="65"/>
  <c r="P396" i="65"/>
  <c r="O304" i="65"/>
  <c r="P686" i="65"/>
  <c r="P378" i="65"/>
  <c r="P148" i="65"/>
  <c r="P522" i="65"/>
  <c r="P334" i="65"/>
  <c r="P93" i="65"/>
  <c r="P472" i="65"/>
  <c r="P115" i="65"/>
  <c r="P519" i="65"/>
  <c r="P365" i="65"/>
  <c r="O510" i="65"/>
  <c r="P593" i="65"/>
  <c r="P668" i="65"/>
  <c r="P530" i="65"/>
  <c r="P661" i="65"/>
  <c r="P384" i="65"/>
  <c r="P144" i="65"/>
  <c r="P388" i="65"/>
  <c r="P477" i="65"/>
  <c r="P391" i="65"/>
  <c r="P356" i="65"/>
  <c r="P582" i="65"/>
  <c r="P591" i="65"/>
  <c r="P665" i="65"/>
  <c r="P595" i="65"/>
  <c r="P181" i="65"/>
  <c r="P369" i="65"/>
  <c r="P383" i="65"/>
  <c r="P358" i="65"/>
  <c r="P581" i="65"/>
  <c r="P590" i="65"/>
  <c r="P236" i="65"/>
  <c r="P685" i="65"/>
  <c r="P360" i="65"/>
  <c r="P361" i="65"/>
  <c r="P152" i="65"/>
  <c r="P395" i="65"/>
  <c r="P605" i="65"/>
  <c r="P594" i="65"/>
  <c r="P178" i="65"/>
  <c r="P342" i="65"/>
  <c r="P440" i="65"/>
  <c r="P587" i="65"/>
  <c r="P639" i="65"/>
  <c r="P349" i="65"/>
  <c r="P529" i="65"/>
  <c r="P327" i="65"/>
  <c r="P330" i="65"/>
  <c r="P531" i="65"/>
  <c r="P372" i="65"/>
  <c r="P307" i="65"/>
  <c r="P347" i="65"/>
  <c r="P663" i="65"/>
  <c r="P352" i="65"/>
  <c r="P392" i="65"/>
  <c r="P583" i="65"/>
  <c r="P638" i="65"/>
  <c r="P667" i="65"/>
  <c r="P254" i="65"/>
  <c r="P253" i="65"/>
  <c r="P514" i="65"/>
  <c r="P687" i="65"/>
  <c r="P428" i="65"/>
  <c r="P235" i="65"/>
  <c r="P335" i="65"/>
  <c r="P315" i="65"/>
  <c r="P526" i="65"/>
  <c r="P382" i="65"/>
  <c r="P146" i="65"/>
  <c r="P150" i="65"/>
  <c r="P390" i="65"/>
  <c r="O303" i="65"/>
  <c r="P528" i="65"/>
  <c r="P592" i="65"/>
  <c r="P666" i="65"/>
  <c r="P602" i="65"/>
  <c r="P502" i="65"/>
  <c r="P669" i="65"/>
  <c r="O688" i="65"/>
  <c r="P601" i="65"/>
  <c r="P187" i="65"/>
  <c r="P340" i="65"/>
  <c r="P368" i="65"/>
  <c r="P95" i="65"/>
  <c r="P379" i="65"/>
  <c r="P380" i="65"/>
  <c r="P416" i="65"/>
  <c r="P113" i="65"/>
  <c r="P394" i="65"/>
  <c r="P354" i="65"/>
  <c r="O461" i="65"/>
  <c r="P589" i="65"/>
  <c r="P684" i="65"/>
  <c r="P673" i="65"/>
  <c r="P599" i="65"/>
  <c r="P600" i="65"/>
  <c r="P184" i="65"/>
  <c r="P332" i="65"/>
  <c r="P585" i="65"/>
  <c r="P375" i="65"/>
  <c r="P532" i="65"/>
  <c r="P252" i="65"/>
  <c r="P484" i="65"/>
  <c r="P387" i="65"/>
  <c r="P47" i="65"/>
  <c r="O366" i="65"/>
  <c r="P586" i="65"/>
  <c r="P606" i="65"/>
  <c r="P596" i="65"/>
  <c r="U616" i="69" l="1"/>
  <c r="AH616" i="69" s="1"/>
  <c r="AF280" i="69"/>
  <c r="AN280" i="69" s="1"/>
  <c r="AH363" i="69"/>
  <c r="AP363" i="69" s="1"/>
  <c r="AG363" i="69"/>
  <c r="AO363" i="69" s="1"/>
  <c r="AF363" i="69"/>
  <c r="AN363" i="69" s="1"/>
  <c r="T360" i="69"/>
  <c r="U360" i="69" s="1"/>
  <c r="AF580" i="69"/>
  <c r="AN580" i="69" s="1"/>
  <c r="T552" i="69"/>
  <c r="AF552" i="69"/>
  <c r="U280" i="69"/>
  <c r="AG280" i="69"/>
  <c r="AO280" i="69" s="1"/>
  <c r="T564" i="69"/>
  <c r="AF564" i="69"/>
  <c r="AN564" i="69" s="1"/>
  <c r="U361" i="69"/>
  <c r="AG361" i="69"/>
  <c r="U364" i="69"/>
  <c r="AG364" i="69"/>
  <c r="AN365" i="69"/>
  <c r="AN361" i="69"/>
  <c r="U365" i="69"/>
  <c r="AG365" i="69"/>
  <c r="AO365" i="69" s="1"/>
  <c r="U362" i="69"/>
  <c r="AG362" i="69"/>
  <c r="U580" i="69"/>
  <c r="AG580" i="69"/>
  <c r="AS359" i="69"/>
  <c r="AT359" i="69"/>
  <c r="H658" i="65"/>
  <c r="H657" i="65"/>
  <c r="H426" i="65"/>
  <c r="H580" i="65"/>
  <c r="H656" i="65"/>
  <c r="H425" i="65"/>
  <c r="H655" i="65"/>
  <c r="H654" i="65"/>
  <c r="H234" i="65"/>
  <c r="H604" i="65"/>
  <c r="H501" i="65"/>
  <c r="H579" i="65"/>
  <c r="H578" i="65"/>
  <c r="H577" i="65"/>
  <c r="H576" i="65"/>
  <c r="H575" i="65"/>
  <c r="H574" i="65"/>
  <c r="H653" i="65"/>
  <c r="H652" i="65"/>
  <c r="H651" i="65"/>
  <c r="H650" i="65"/>
  <c r="H564" i="65"/>
  <c r="H563" i="65"/>
  <c r="H649" i="65"/>
  <c r="H560" i="65"/>
  <c r="H559" i="65"/>
  <c r="H562" i="65"/>
  <c r="H561" i="65"/>
  <c r="H558" i="65"/>
  <c r="H557" i="65"/>
  <c r="H251" i="65"/>
  <c r="H527" i="65"/>
  <c r="H648" i="65"/>
  <c r="H233" i="65"/>
  <c r="H550" i="65"/>
  <c r="H548" i="65"/>
  <c r="H547" i="65"/>
  <c r="H500" i="65"/>
  <c r="H647" i="65"/>
  <c r="H546" i="65"/>
  <c r="H544" i="65"/>
  <c r="H646" i="65"/>
  <c r="H645" i="65"/>
  <c r="H232" i="65"/>
  <c r="H499" i="65"/>
  <c r="H543" i="65"/>
  <c r="H542" i="65"/>
  <c r="H541" i="65"/>
  <c r="H540" i="65"/>
  <c r="H539" i="65"/>
  <c r="H219" i="65"/>
  <c r="H636" i="65"/>
  <c r="H524" i="65"/>
  <c r="H483" i="65"/>
  <c r="H545" i="65"/>
  <c r="H523" i="65"/>
  <c r="H521" i="65"/>
  <c r="H520" i="65"/>
  <c r="H518" i="65"/>
  <c r="H517" i="65"/>
  <c r="H479" i="65"/>
  <c r="H476" i="65"/>
  <c r="H471" i="65"/>
  <c r="H516" i="65"/>
  <c r="H515" i="65"/>
  <c r="H216" i="65"/>
  <c r="H199" i="65"/>
  <c r="H198" i="65"/>
  <c r="H215" i="65"/>
  <c r="H218" i="65"/>
  <c r="H192" i="65"/>
  <c r="H191" i="65"/>
  <c r="H190" i="65"/>
  <c r="H644" i="65"/>
  <c r="H189" i="65"/>
  <c r="H188" i="65"/>
  <c r="H503" i="65"/>
  <c r="H466" i="65"/>
  <c r="H635" i="65"/>
  <c r="H486" i="65"/>
  <c r="H683" i="65"/>
  <c r="H682" i="65"/>
  <c r="H681" i="65"/>
  <c r="H482" i="65"/>
  <c r="H478" i="65"/>
  <c r="H470" i="65"/>
  <c r="H475" i="65"/>
  <c r="H460" i="65"/>
  <c r="H447" i="65"/>
  <c r="H474" i="65"/>
  <c r="H469" i="65"/>
  <c r="H250" i="65"/>
  <c r="H415" i="65"/>
  <c r="H221" i="65"/>
  <c r="H556" i="65"/>
  <c r="H555" i="65"/>
  <c r="H554" i="65"/>
  <c r="H553" i="65"/>
  <c r="H552" i="65"/>
  <c r="H634" i="65"/>
  <c r="H633" i="65"/>
  <c r="H551" i="65"/>
  <c r="H220" i="65"/>
  <c r="H643" i="65"/>
  <c r="H642" i="65"/>
  <c r="H249" i="65"/>
  <c r="H434" i="65"/>
  <c r="H424" i="65"/>
  <c r="H439" i="65"/>
  <c r="H414" i="65"/>
  <c r="H231" i="65"/>
  <c r="H248" i="65"/>
  <c r="H438" i="65"/>
  <c r="H413" i="65"/>
  <c r="H433" i="65"/>
  <c r="H412" i="65"/>
  <c r="H411" i="65"/>
  <c r="H410" i="65"/>
  <c r="H404" i="65"/>
  <c r="H403" i="65"/>
  <c r="H432" i="65"/>
  <c r="H408" i="65"/>
  <c r="H407" i="65"/>
  <c r="H538" i="65"/>
  <c r="H537" i="65"/>
  <c r="H536" i="65"/>
  <c r="H406" i="65"/>
  <c r="H405" i="65"/>
  <c r="H402" i="65"/>
  <c r="H401" i="65"/>
  <c r="H632" i="65"/>
  <c r="H400" i="65"/>
  <c r="H399" i="65"/>
  <c r="H397" i="65"/>
  <c r="H393" i="65"/>
  <c r="H389" i="65"/>
  <c r="H385" i="65"/>
  <c r="H381" i="65"/>
  <c r="H377" i="65"/>
  <c r="H373" i="65"/>
  <c r="H370" i="65"/>
  <c r="H367" i="65"/>
  <c r="H363" i="65"/>
  <c r="H359" i="65"/>
  <c r="H357" i="65"/>
  <c r="H355" i="65"/>
  <c r="H353" i="65"/>
  <c r="H351" i="65"/>
  <c r="H350" i="65"/>
  <c r="H348" i="65"/>
  <c r="H346" i="65"/>
  <c r="H345" i="65"/>
  <c r="H344" i="65"/>
  <c r="H343" i="65"/>
  <c r="H247" i="65"/>
  <c r="H341" i="65"/>
  <c r="H338" i="65"/>
  <c r="H337" i="65"/>
  <c r="H336" i="65"/>
  <c r="H333" i="65"/>
  <c r="H331" i="65"/>
  <c r="H329" i="65"/>
  <c r="H328" i="65"/>
  <c r="H326" i="65"/>
  <c r="H325" i="65"/>
  <c r="H324" i="65"/>
  <c r="H322" i="65"/>
  <c r="H320" i="65"/>
  <c r="H318" i="65"/>
  <c r="H317" i="65"/>
  <c r="H314" i="65"/>
  <c r="H312" i="65"/>
  <c r="H311" i="65"/>
  <c r="H310" i="65"/>
  <c r="H309" i="65"/>
  <c r="H308" i="65"/>
  <c r="H306" i="65"/>
  <c r="H305" i="65"/>
  <c r="H362" i="65"/>
  <c r="H631" i="65"/>
  <c r="H630" i="65"/>
  <c r="H446" i="65"/>
  <c r="H445" i="65"/>
  <c r="H459" i="65"/>
  <c r="H464" i="65"/>
  <c r="H458" i="65"/>
  <c r="H498" i="65"/>
  <c r="H246" i="65"/>
  <c r="H497" i="65"/>
  <c r="H468" i="65"/>
  <c r="H629" i="65"/>
  <c r="H566" i="65"/>
  <c r="H485" i="65"/>
  <c r="H628" i="65"/>
  <c r="H627" i="65"/>
  <c r="H626" i="65"/>
  <c r="H625" i="65"/>
  <c r="H569" i="65"/>
  <c r="H568" i="65"/>
  <c r="H624" i="65"/>
  <c r="H572" i="65"/>
  <c r="H623" i="65"/>
  <c r="H481" i="65"/>
  <c r="H480" i="65"/>
  <c r="H565" i="65"/>
  <c r="H622" i="65"/>
  <c r="H7" i="65"/>
  <c r="H473" i="65"/>
  <c r="H621" i="65"/>
  <c r="H496" i="65"/>
  <c r="H620" i="65"/>
  <c r="H619" i="65"/>
  <c r="H567" i="65"/>
  <c r="H571" i="65"/>
  <c r="H409" i="65"/>
  <c r="H603" i="65"/>
  <c r="H570" i="65"/>
  <c r="H618" i="65"/>
  <c r="H617" i="65"/>
  <c r="H616" i="65"/>
  <c r="H615" i="65"/>
  <c r="H614" i="65"/>
  <c r="H613" i="65"/>
  <c r="H612" i="65"/>
  <c r="H611" i="65"/>
  <c r="H65" i="65"/>
  <c r="H675" i="65"/>
  <c r="H674" i="65"/>
  <c r="H66" i="65"/>
  <c r="H64" i="65"/>
  <c r="H573" i="65"/>
  <c r="H217" i="65"/>
  <c r="H302" i="65"/>
  <c r="H301" i="65"/>
  <c r="H300" i="65"/>
  <c r="H299" i="65"/>
  <c r="H298" i="65"/>
  <c r="H297" i="65"/>
  <c r="H296" i="65"/>
  <c r="H295" i="65"/>
  <c r="H294" i="65"/>
  <c r="H6" i="65"/>
  <c r="H293" i="65"/>
  <c r="H292" i="65"/>
  <c r="H291" i="65"/>
  <c r="H290" i="65"/>
  <c r="H289" i="65"/>
  <c r="H288" i="65"/>
  <c r="H287" i="65"/>
  <c r="H286" i="65"/>
  <c r="H285" i="65"/>
  <c r="H284" i="65"/>
  <c r="H283" i="65"/>
  <c r="H282" i="65"/>
  <c r="H281" i="65"/>
  <c r="H280" i="65"/>
  <c r="H279" i="65"/>
  <c r="H278" i="65"/>
  <c r="H277" i="65"/>
  <c r="H276" i="65"/>
  <c r="H275" i="65"/>
  <c r="H274" i="65"/>
  <c r="H273" i="65"/>
  <c r="H272" i="65"/>
  <c r="H271" i="65"/>
  <c r="H270" i="65"/>
  <c r="H269" i="65"/>
  <c r="H268" i="65"/>
  <c r="H267" i="65"/>
  <c r="H266" i="65"/>
  <c r="H265" i="65"/>
  <c r="H264" i="65"/>
  <c r="H263" i="65"/>
  <c r="H262" i="65"/>
  <c r="H261" i="65"/>
  <c r="H260" i="65"/>
  <c r="H259" i="65"/>
  <c r="H258" i="65"/>
  <c r="H257" i="65"/>
  <c r="H256" i="65"/>
  <c r="H255" i="65"/>
  <c r="H495" i="65"/>
  <c r="H230" i="65"/>
  <c r="H229" i="65"/>
  <c r="H494" i="65"/>
  <c r="H493" i="65"/>
  <c r="H492" i="65"/>
  <c r="H491" i="65"/>
  <c r="H228" i="65"/>
  <c r="H610" i="65"/>
  <c r="H535" i="65"/>
  <c r="H186" i="65"/>
  <c r="H185" i="65"/>
  <c r="H183" i="65"/>
  <c r="H182" i="65"/>
  <c r="H180" i="65"/>
  <c r="H179" i="65"/>
  <c r="H177" i="65"/>
  <c r="H176" i="65"/>
  <c r="H245" i="65"/>
  <c r="H227" i="65"/>
  <c r="H85" i="65"/>
  <c r="H84" i="65"/>
  <c r="H83" i="65"/>
  <c r="H82" i="65"/>
  <c r="H81" i="65"/>
  <c r="H80" i="65"/>
  <c r="H79" i="65"/>
  <c r="H175" i="65"/>
  <c r="H174" i="65"/>
  <c r="H173" i="65"/>
  <c r="H172" i="65"/>
  <c r="H171" i="65"/>
  <c r="H170" i="65"/>
  <c r="H169" i="65"/>
  <c r="H168" i="65"/>
  <c r="H167" i="65"/>
  <c r="H166" i="65"/>
  <c r="H165" i="65"/>
  <c r="H164" i="65"/>
  <c r="H163" i="65"/>
  <c r="H162" i="65"/>
  <c r="H161" i="65"/>
  <c r="H160" i="65"/>
  <c r="H159" i="65"/>
  <c r="H158" i="65"/>
  <c r="H157" i="65"/>
  <c r="H156" i="65"/>
  <c r="H155" i="65"/>
  <c r="H78" i="65"/>
  <c r="H77" i="65"/>
  <c r="H76" i="65"/>
  <c r="H75" i="65"/>
  <c r="H226" i="65"/>
  <c r="H74" i="65"/>
  <c r="H225" i="65"/>
  <c r="H153" i="65"/>
  <c r="H151" i="65"/>
  <c r="H672" i="65"/>
  <c r="H431" i="65"/>
  <c r="H149" i="65"/>
  <c r="H147" i="65"/>
  <c r="H671" i="65"/>
  <c r="H490" i="65"/>
  <c r="H145" i="65"/>
  <c r="H143" i="65"/>
  <c r="H141" i="65"/>
  <c r="H139" i="65"/>
  <c r="H137" i="65"/>
  <c r="H135" i="65"/>
  <c r="H133" i="65"/>
  <c r="H131" i="65"/>
  <c r="H129" i="65"/>
  <c r="H127" i="65"/>
  <c r="H126" i="65"/>
  <c r="H125" i="65"/>
  <c r="H124" i="65"/>
  <c r="H123" i="65"/>
  <c r="H489" i="65"/>
  <c r="H488" i="65"/>
  <c r="H430" i="65"/>
  <c r="H487" i="65"/>
  <c r="H244" i="65"/>
  <c r="H73" i="65"/>
  <c r="H224" i="65"/>
  <c r="H72" i="65"/>
  <c r="H223" i="65"/>
  <c r="H423" i="65"/>
  <c r="H422" i="65"/>
  <c r="H513" i="65"/>
  <c r="H71" i="65"/>
  <c r="H70" i="65"/>
  <c r="H243" i="65"/>
  <c r="H69" i="65"/>
  <c r="H512" i="65"/>
  <c r="H122" i="65"/>
  <c r="H121" i="65"/>
  <c r="H120" i="65"/>
  <c r="H118" i="65"/>
  <c r="H116" i="65"/>
  <c r="H114" i="65"/>
  <c r="H112" i="65"/>
  <c r="H111" i="65"/>
  <c r="H110" i="65"/>
  <c r="H109" i="65"/>
  <c r="H108" i="65"/>
  <c r="H107" i="65"/>
  <c r="H106" i="65"/>
  <c r="H105" i="65"/>
  <c r="H104" i="65"/>
  <c r="H103" i="65"/>
  <c r="H102" i="65"/>
  <c r="H101" i="65"/>
  <c r="H100" i="65"/>
  <c r="H99" i="65"/>
  <c r="H98" i="65"/>
  <c r="H97" i="65"/>
  <c r="H96" i="65"/>
  <c r="H94" i="65"/>
  <c r="H92" i="65"/>
  <c r="H91" i="65"/>
  <c r="H90" i="65"/>
  <c r="H89" i="65"/>
  <c r="H68" i="65"/>
  <c r="H88" i="65"/>
  <c r="H87" i="65"/>
  <c r="H86" i="65"/>
  <c r="H67" i="65"/>
  <c r="H222" i="65"/>
  <c r="H214" i="65"/>
  <c r="H213" i="65"/>
  <c r="H212" i="65"/>
  <c r="H211" i="65"/>
  <c r="H210" i="65"/>
  <c r="H209" i="65"/>
  <c r="H208" i="65"/>
  <c r="H207" i="65"/>
  <c r="H206" i="65"/>
  <c r="H205" i="65"/>
  <c r="H204" i="65"/>
  <c r="H203" i="65"/>
  <c r="H202" i="65"/>
  <c r="H201" i="65"/>
  <c r="H200" i="65"/>
  <c r="H197" i="65"/>
  <c r="H196" i="65"/>
  <c r="H195" i="65"/>
  <c r="H194" i="65"/>
  <c r="H193" i="65"/>
  <c r="H609" i="65"/>
  <c r="H608" i="65"/>
  <c r="H509" i="65"/>
  <c r="H508" i="65"/>
  <c r="H507" i="65"/>
  <c r="H506" i="65"/>
  <c r="H505" i="65"/>
  <c r="H504" i="65"/>
  <c r="H457" i="65"/>
  <c r="H456" i="65"/>
  <c r="H455" i="65"/>
  <c r="H463" i="65"/>
  <c r="H462" i="65"/>
  <c r="H533" i="65"/>
  <c r="H465" i="65"/>
  <c r="H437" i="65"/>
  <c r="H444" i="65"/>
  <c r="H443" i="65"/>
  <c r="H442" i="65"/>
  <c r="H441" i="65"/>
  <c r="H454" i="65"/>
  <c r="H453" i="65"/>
  <c r="H452" i="65"/>
  <c r="H451" i="65"/>
  <c r="H450" i="65"/>
  <c r="H449" i="65"/>
  <c r="H448" i="65"/>
  <c r="H436" i="65"/>
  <c r="H435" i="65"/>
  <c r="H242" i="65"/>
  <c r="H241" i="65"/>
  <c r="H240" i="65"/>
  <c r="H239" i="65"/>
  <c r="H238" i="65"/>
  <c r="H237" i="65"/>
  <c r="H534" i="65"/>
  <c r="H421" i="65"/>
  <c r="H420" i="65"/>
  <c r="H24" i="65"/>
  <c r="H11" i="65"/>
  <c r="H63" i="65"/>
  <c r="H61" i="65"/>
  <c r="H62" i="65"/>
  <c r="H60" i="65"/>
  <c r="H51" i="65"/>
  <c r="H59" i="65"/>
  <c r="H58" i="65"/>
  <c r="H57" i="65"/>
  <c r="H56" i="65"/>
  <c r="H13" i="65"/>
  <c r="H55" i="65"/>
  <c r="H54" i="65"/>
  <c r="H16" i="65"/>
  <c r="H53" i="65"/>
  <c r="H28" i="65"/>
  <c r="H50" i="65"/>
  <c r="H49" i="65"/>
  <c r="H48" i="65"/>
  <c r="H46" i="65"/>
  <c r="H45" i="65"/>
  <c r="H44" i="65"/>
  <c r="H43" i="65"/>
  <c r="H42" i="65"/>
  <c r="H41" i="65"/>
  <c r="H40" i="65"/>
  <c r="H39" i="65"/>
  <c r="H38" i="65"/>
  <c r="H37" i="65"/>
  <c r="H36" i="65"/>
  <c r="H35" i="65"/>
  <c r="H419" i="65"/>
  <c r="H34" i="65"/>
  <c r="H33" i="65"/>
  <c r="H32" i="65"/>
  <c r="H31" i="65"/>
  <c r="H30" i="65"/>
  <c r="H29" i="65"/>
  <c r="H18" i="65"/>
  <c r="H17" i="65"/>
  <c r="H26" i="65"/>
  <c r="H25" i="65"/>
  <c r="H22" i="65"/>
  <c r="H21" i="65"/>
  <c r="H20" i="65"/>
  <c r="H19" i="65"/>
  <c r="H9" i="65"/>
  <c r="H15" i="65"/>
  <c r="H8" i="65"/>
  <c r="H12" i="65"/>
  <c r="H14" i="65"/>
  <c r="H52" i="65"/>
  <c r="H23" i="65"/>
  <c r="H27" i="65"/>
  <c r="H10" i="65"/>
  <c r="H418" i="65"/>
  <c r="H417" i="65"/>
  <c r="H641" i="65"/>
  <c r="H511" i="65"/>
  <c r="H680" i="65"/>
  <c r="H679" i="65"/>
  <c r="H678" i="65"/>
  <c r="H677" i="65"/>
  <c r="H676" i="65"/>
  <c r="H607" i="65"/>
  <c r="V616" i="69" l="1"/>
  <c r="AI616" i="69" s="1"/>
  <c r="AQ616" i="69" s="1"/>
  <c r="AS363" i="69"/>
  <c r="AT363" i="69"/>
  <c r="AG360" i="69"/>
  <c r="AO360" i="69" s="1"/>
  <c r="AN552" i="69"/>
  <c r="U552" i="69"/>
  <c r="AG552" i="69"/>
  <c r="AO552" i="69" s="1"/>
  <c r="V280" i="69"/>
  <c r="AI280" i="69" s="1"/>
  <c r="AQ280" i="69" s="1"/>
  <c r="AH280" i="69"/>
  <c r="AP280" i="69" s="1"/>
  <c r="AP616" i="69"/>
  <c r="U564" i="69"/>
  <c r="AG564" i="69"/>
  <c r="AO580" i="69"/>
  <c r="V365" i="69"/>
  <c r="AI365" i="69" s="1"/>
  <c r="AQ365" i="69" s="1"/>
  <c r="AH365" i="69"/>
  <c r="AO364" i="69"/>
  <c r="V580" i="69"/>
  <c r="AI580" i="69" s="1"/>
  <c r="AQ580" i="69" s="1"/>
  <c r="AH580" i="69"/>
  <c r="AP580" i="69" s="1"/>
  <c r="V364" i="69"/>
  <c r="AI364" i="69" s="1"/>
  <c r="AQ364" i="69" s="1"/>
  <c r="AH364" i="69"/>
  <c r="AO361" i="69"/>
  <c r="AO362" i="69"/>
  <c r="V361" i="69"/>
  <c r="AI361" i="69" s="1"/>
  <c r="AQ361" i="69" s="1"/>
  <c r="AH361" i="69"/>
  <c r="AP361" i="69" s="1"/>
  <c r="V362" i="69"/>
  <c r="AI362" i="69" s="1"/>
  <c r="AQ362" i="69" s="1"/>
  <c r="AH362" i="69"/>
  <c r="AP362" i="69" s="1"/>
  <c r="V360" i="69"/>
  <c r="AI360" i="69" s="1"/>
  <c r="AQ360" i="69" s="1"/>
  <c r="AH360" i="69"/>
  <c r="AX294" i="69"/>
  <c r="AW294" i="69"/>
  <c r="AC294" i="69"/>
  <c r="AX235" i="69"/>
  <c r="AW235" i="69"/>
  <c r="AC235" i="69"/>
  <c r="AX227" i="69"/>
  <c r="AW227" i="69"/>
  <c r="AC227" i="69"/>
  <c r="AK227" i="69" s="1"/>
  <c r="AB227" i="69"/>
  <c r="AX226" i="69"/>
  <c r="AW226" i="69"/>
  <c r="AC226" i="69"/>
  <c r="AB226" i="69"/>
  <c r="Q227" i="69"/>
  <c r="R227" i="69" s="1"/>
  <c r="S227" i="69" s="1"/>
  <c r="T227" i="69" s="1"/>
  <c r="U227" i="69" s="1"/>
  <c r="V227" i="69" s="1"/>
  <c r="AI227" i="69" s="1"/>
  <c r="AQ227" i="69" s="1"/>
  <c r="Q226" i="69"/>
  <c r="R226" i="69" s="1"/>
  <c r="S226" i="69" s="1"/>
  <c r="T226" i="69" s="1"/>
  <c r="U226" i="69" s="1"/>
  <c r="V226" i="69" s="1"/>
  <c r="AI226" i="69" s="1"/>
  <c r="AQ226" i="69" s="1"/>
  <c r="AX67" i="69"/>
  <c r="AW67" i="69"/>
  <c r="AC67" i="69"/>
  <c r="AB67" i="69"/>
  <c r="Q67" i="69"/>
  <c r="R67" i="69" s="1"/>
  <c r="S67" i="69" s="1"/>
  <c r="T67" i="69" s="1"/>
  <c r="U67" i="69" s="1"/>
  <c r="V67" i="69" s="1"/>
  <c r="AI67" i="69" s="1"/>
  <c r="AQ67" i="69" s="1"/>
  <c r="AX7" i="69"/>
  <c r="AW7" i="69"/>
  <c r="AC7" i="69"/>
  <c r="AX6" i="69"/>
  <c r="AW6" i="69"/>
  <c r="AC6" i="69"/>
  <c r="BB686" i="69"/>
  <c r="BB685" i="69"/>
  <c r="BB684" i="69"/>
  <c r="BB683" i="69"/>
  <c r="BB682" i="69"/>
  <c r="BB681" i="69"/>
  <c r="BB680" i="69"/>
  <c r="BB679" i="69"/>
  <c r="BB678" i="69"/>
  <c r="BB677" i="69"/>
  <c r="BB676" i="69"/>
  <c r="BB675" i="69"/>
  <c r="BB674" i="69"/>
  <c r="BB673" i="69"/>
  <c r="BB672" i="69"/>
  <c r="BB671" i="69"/>
  <c r="BB670" i="69"/>
  <c r="BB669" i="69"/>
  <c r="BB668" i="69"/>
  <c r="BB667" i="69"/>
  <c r="BB666" i="69"/>
  <c r="BB665" i="69"/>
  <c r="BB664" i="69"/>
  <c r="BB663" i="69"/>
  <c r="BB662" i="69"/>
  <c r="BB661" i="69"/>
  <c r="BB660" i="69"/>
  <c r="BB659" i="69"/>
  <c r="BB658" i="69"/>
  <c r="BB657" i="69"/>
  <c r="BB656" i="69"/>
  <c r="BB655" i="69"/>
  <c r="BB654" i="69"/>
  <c r="BB653" i="69"/>
  <c r="BB652" i="69"/>
  <c r="BB651" i="69"/>
  <c r="BB650" i="69"/>
  <c r="BB649" i="69"/>
  <c r="BB648" i="69"/>
  <c r="BB647" i="69"/>
  <c r="BB646" i="69"/>
  <c r="BB645" i="69"/>
  <c r="BB644" i="69"/>
  <c r="BB643" i="69"/>
  <c r="BB642" i="69"/>
  <c r="BB641" i="69"/>
  <c r="BB640" i="69"/>
  <c r="BB639" i="69"/>
  <c r="BB638" i="69"/>
  <c r="BB637" i="69"/>
  <c r="BB636" i="69"/>
  <c r="BB635" i="69"/>
  <c r="BB634" i="69"/>
  <c r="BB633" i="69"/>
  <c r="BB632" i="69"/>
  <c r="BB631" i="69"/>
  <c r="BB630" i="69"/>
  <c r="BB629" i="69"/>
  <c r="BB628" i="69"/>
  <c r="BB627" i="69"/>
  <c r="BB626" i="69"/>
  <c r="BB625" i="69"/>
  <c r="BB624" i="69"/>
  <c r="BB623" i="69"/>
  <c r="BB622" i="69"/>
  <c r="BB621" i="69"/>
  <c r="BB620" i="69"/>
  <c r="BB619" i="69"/>
  <c r="BB618" i="69"/>
  <c r="BB617" i="69"/>
  <c r="BB616" i="69"/>
  <c r="BB615" i="69"/>
  <c r="BB614" i="69"/>
  <c r="BB613" i="69"/>
  <c r="BB612" i="69"/>
  <c r="BB611" i="69"/>
  <c r="BB610" i="69"/>
  <c r="BB609" i="69"/>
  <c r="BB608" i="69"/>
  <c r="BB607" i="69"/>
  <c r="BB606" i="69"/>
  <c r="BB605" i="69"/>
  <c r="BB604" i="69"/>
  <c r="BB603" i="69"/>
  <c r="BB602" i="69"/>
  <c r="BB601" i="69"/>
  <c r="BB600" i="69"/>
  <c r="BB599" i="69"/>
  <c r="BB598" i="69"/>
  <c r="BB597" i="69"/>
  <c r="BB596" i="69"/>
  <c r="BB595" i="69"/>
  <c r="BB594" i="69"/>
  <c r="BB593" i="69"/>
  <c r="BB592" i="69"/>
  <c r="BB591" i="69"/>
  <c r="BB590" i="69"/>
  <c r="BB589" i="69"/>
  <c r="BB588" i="69"/>
  <c r="BB587" i="69"/>
  <c r="BB586" i="69"/>
  <c r="BB585" i="69"/>
  <c r="BB584" i="69"/>
  <c r="BB583" i="69"/>
  <c r="BB582" i="69"/>
  <c r="BB581" i="69"/>
  <c r="BB580" i="69"/>
  <c r="BB579" i="69"/>
  <c r="BB578" i="69"/>
  <c r="BB577" i="69"/>
  <c r="BB576" i="69"/>
  <c r="BB575" i="69"/>
  <c r="BB574" i="69"/>
  <c r="BB573" i="69"/>
  <c r="BB572" i="69"/>
  <c r="BB571" i="69"/>
  <c r="BB570" i="69"/>
  <c r="BB569" i="69"/>
  <c r="BB568" i="69"/>
  <c r="BB567" i="69"/>
  <c r="BB566" i="69"/>
  <c r="BB565" i="69"/>
  <c r="BB564" i="69"/>
  <c r="BB563" i="69"/>
  <c r="BB562" i="69"/>
  <c r="BB561" i="69"/>
  <c r="BB560" i="69"/>
  <c r="BB559" i="69"/>
  <c r="BB558" i="69"/>
  <c r="BB557" i="69"/>
  <c r="BB556" i="69"/>
  <c r="BB555" i="69"/>
  <c r="BB554" i="69"/>
  <c r="BB553" i="69"/>
  <c r="BB552" i="69"/>
  <c r="BB551" i="69"/>
  <c r="BB550" i="69"/>
  <c r="BB549" i="69"/>
  <c r="BB548" i="69"/>
  <c r="BB547" i="69"/>
  <c r="BB546" i="69"/>
  <c r="BB545" i="69"/>
  <c r="BB544" i="69"/>
  <c r="BB543" i="69"/>
  <c r="BB542" i="69"/>
  <c r="BB541" i="69"/>
  <c r="BB540" i="69"/>
  <c r="BB539" i="69"/>
  <c r="BB538" i="69"/>
  <c r="BB537" i="69"/>
  <c r="BB536" i="69"/>
  <c r="BB535" i="69"/>
  <c r="BB534" i="69"/>
  <c r="BB533" i="69"/>
  <c r="BB532" i="69"/>
  <c r="BB531" i="69"/>
  <c r="BB530" i="69"/>
  <c r="BB529" i="69"/>
  <c r="BB528" i="69"/>
  <c r="BB527" i="69"/>
  <c r="BB526" i="69"/>
  <c r="BB525" i="69"/>
  <c r="BB524" i="69"/>
  <c r="BB523" i="69"/>
  <c r="BB522" i="69"/>
  <c r="BB521" i="69"/>
  <c r="BB520" i="69"/>
  <c r="BB519" i="69"/>
  <c r="BB518" i="69"/>
  <c r="BB517" i="69"/>
  <c r="BB516" i="69"/>
  <c r="BB515" i="69"/>
  <c r="BB514" i="69"/>
  <c r="BB513" i="69"/>
  <c r="BB512" i="69"/>
  <c r="BB511" i="69"/>
  <c r="BB510" i="69"/>
  <c r="BB509" i="69"/>
  <c r="BB508" i="69"/>
  <c r="BB507" i="69"/>
  <c r="BB506" i="69"/>
  <c r="BB505" i="69"/>
  <c r="BB504" i="69"/>
  <c r="BB503" i="69"/>
  <c r="BB502" i="69"/>
  <c r="BB501" i="69"/>
  <c r="BB500" i="69"/>
  <c r="BB499" i="69"/>
  <c r="BB498" i="69"/>
  <c r="BB497" i="69"/>
  <c r="BB496" i="69"/>
  <c r="BB495" i="69"/>
  <c r="BB494" i="69"/>
  <c r="BB493" i="69"/>
  <c r="BB492" i="69"/>
  <c r="BB491" i="69"/>
  <c r="BB490" i="69"/>
  <c r="BB489" i="69"/>
  <c r="BB488" i="69"/>
  <c r="BB487" i="69"/>
  <c r="BB486" i="69"/>
  <c r="BB485" i="69"/>
  <c r="BB484" i="69"/>
  <c r="BB483" i="69"/>
  <c r="BB482" i="69"/>
  <c r="BB481" i="69"/>
  <c r="BB480" i="69"/>
  <c r="BB479" i="69"/>
  <c r="BB478" i="69"/>
  <c r="BB477" i="69"/>
  <c r="BB476" i="69"/>
  <c r="BB475" i="69"/>
  <c r="BB474" i="69"/>
  <c r="BB473" i="69"/>
  <c r="BB472" i="69"/>
  <c r="BB471" i="69"/>
  <c r="BB470" i="69"/>
  <c r="BB469" i="69"/>
  <c r="BB468" i="69"/>
  <c r="BB467" i="69"/>
  <c r="BB466" i="69"/>
  <c r="BB465" i="69"/>
  <c r="BB464" i="69"/>
  <c r="BB463" i="69"/>
  <c r="BB462" i="69"/>
  <c r="BB461" i="69"/>
  <c r="BB460" i="69"/>
  <c r="BB459" i="69"/>
  <c r="BB458" i="69"/>
  <c r="BB457" i="69"/>
  <c r="BB456" i="69"/>
  <c r="BB455" i="69"/>
  <c r="BB454" i="69"/>
  <c r="BB453" i="69"/>
  <c r="BB452" i="69"/>
  <c r="BB451" i="69"/>
  <c r="BB450" i="69"/>
  <c r="BB449" i="69"/>
  <c r="BB448" i="69"/>
  <c r="BB447" i="69"/>
  <c r="BB446" i="69"/>
  <c r="BB445" i="69"/>
  <c r="BB444" i="69"/>
  <c r="BB443" i="69"/>
  <c r="BB442" i="69"/>
  <c r="BB441" i="69"/>
  <c r="BB440" i="69"/>
  <c r="BB439" i="69"/>
  <c r="BB438" i="69"/>
  <c r="BB437" i="69"/>
  <c r="BB436" i="69"/>
  <c r="BB435" i="69"/>
  <c r="BB434" i="69"/>
  <c r="BB433" i="69"/>
  <c r="BB432" i="69"/>
  <c r="BB431" i="69"/>
  <c r="BB430" i="69"/>
  <c r="BB429" i="69"/>
  <c r="BB428" i="69"/>
  <c r="BB427" i="69"/>
  <c r="BB426" i="69"/>
  <c r="BB425" i="69"/>
  <c r="BB424" i="69"/>
  <c r="BB423" i="69"/>
  <c r="BB422" i="69"/>
  <c r="BB421" i="69"/>
  <c r="BB420" i="69"/>
  <c r="BB419" i="69"/>
  <c r="BB418" i="69"/>
  <c r="BB417" i="69"/>
  <c r="BB416" i="69"/>
  <c r="BB415" i="69"/>
  <c r="BB414" i="69"/>
  <c r="BB413" i="69"/>
  <c r="BB412" i="69"/>
  <c r="BB411" i="69"/>
  <c r="BB410" i="69"/>
  <c r="BB409" i="69"/>
  <c r="BB408" i="69"/>
  <c r="BB407" i="69"/>
  <c r="BB406" i="69"/>
  <c r="BB405" i="69"/>
  <c r="BB404" i="69"/>
  <c r="BB403" i="69"/>
  <c r="BB402" i="69"/>
  <c r="BB401" i="69"/>
  <c r="BB400" i="69"/>
  <c r="BB399" i="69"/>
  <c r="BB398" i="69"/>
  <c r="BB397" i="69"/>
  <c r="BB396" i="69"/>
  <c r="BB395" i="69"/>
  <c r="BB394" i="69"/>
  <c r="BB393" i="69"/>
  <c r="BB392" i="69"/>
  <c r="BB391" i="69"/>
  <c r="BB390" i="69"/>
  <c r="BB389" i="69"/>
  <c r="BB388" i="69"/>
  <c r="BB387" i="69"/>
  <c r="BB386" i="69"/>
  <c r="BB385" i="69"/>
  <c r="BB384" i="69"/>
  <c r="BB383" i="69"/>
  <c r="BB382" i="69"/>
  <c r="BB381" i="69"/>
  <c r="BB380" i="69"/>
  <c r="BB379" i="69"/>
  <c r="BB378" i="69"/>
  <c r="BB377" i="69"/>
  <c r="BB376" i="69"/>
  <c r="BB375" i="69"/>
  <c r="BB374" i="69"/>
  <c r="BB373" i="69"/>
  <c r="BB372" i="69"/>
  <c r="BB371" i="69"/>
  <c r="BB370" i="69"/>
  <c r="BB369" i="69"/>
  <c r="BB368" i="69"/>
  <c r="BB367" i="69"/>
  <c r="BB366" i="69"/>
  <c r="BB365" i="69"/>
  <c r="BB364" i="69"/>
  <c r="BB363" i="69"/>
  <c r="BB362" i="69"/>
  <c r="BB361" i="69"/>
  <c r="BB360" i="69"/>
  <c r="BB359" i="69"/>
  <c r="BB358" i="69"/>
  <c r="BB357" i="69"/>
  <c r="BB356" i="69"/>
  <c r="BB355" i="69"/>
  <c r="BB354" i="69"/>
  <c r="BB353" i="69"/>
  <c r="BB352" i="69"/>
  <c r="BB351" i="69"/>
  <c r="BB350" i="69"/>
  <c r="BB349" i="69"/>
  <c r="BB348" i="69"/>
  <c r="BB347" i="69"/>
  <c r="BB346" i="69"/>
  <c r="BB345" i="69"/>
  <c r="BB344" i="69"/>
  <c r="BB343" i="69"/>
  <c r="BB342" i="69"/>
  <c r="BB341" i="69"/>
  <c r="BB340" i="69"/>
  <c r="BB339" i="69"/>
  <c r="BB338" i="69"/>
  <c r="BB337" i="69"/>
  <c r="BB336" i="69"/>
  <c r="BB335" i="69"/>
  <c r="BB334" i="69"/>
  <c r="BB333" i="69"/>
  <c r="BB332" i="69"/>
  <c r="BB331" i="69"/>
  <c r="BB330" i="69"/>
  <c r="BB329" i="69"/>
  <c r="BB328" i="69"/>
  <c r="BB327" i="69"/>
  <c r="BB326" i="69"/>
  <c r="BB325" i="69"/>
  <c r="BB324" i="69"/>
  <c r="BB323" i="69"/>
  <c r="BB322" i="69"/>
  <c r="BB321" i="69"/>
  <c r="BB320" i="69"/>
  <c r="BB319" i="69"/>
  <c r="BB318" i="69"/>
  <c r="BB317" i="69"/>
  <c r="BB316" i="69"/>
  <c r="BB315" i="69"/>
  <c r="BB314" i="69"/>
  <c r="BB313" i="69"/>
  <c r="BB312" i="69"/>
  <c r="BB311" i="69"/>
  <c r="BB310" i="69"/>
  <c r="BB309" i="69"/>
  <c r="BB308" i="69"/>
  <c r="BB307" i="69"/>
  <c r="BB306" i="69"/>
  <c r="BB305" i="69"/>
  <c r="BB304" i="69"/>
  <c r="BB303" i="69"/>
  <c r="BB302" i="69"/>
  <c r="BB301" i="69"/>
  <c r="BB300" i="69"/>
  <c r="BB299" i="69"/>
  <c r="BB298" i="69"/>
  <c r="BB297" i="69"/>
  <c r="BB296" i="69"/>
  <c r="BB295" i="69"/>
  <c r="BB294" i="69"/>
  <c r="BB293" i="69"/>
  <c r="BB292" i="69"/>
  <c r="BB291" i="69"/>
  <c r="BB290" i="69"/>
  <c r="BB289" i="69"/>
  <c r="BB288" i="69"/>
  <c r="BB287" i="69"/>
  <c r="BB286" i="69"/>
  <c r="BB285" i="69"/>
  <c r="BB284" i="69"/>
  <c r="BB283" i="69"/>
  <c r="BB282" i="69"/>
  <c r="BB281" i="69"/>
  <c r="BB280" i="69"/>
  <c r="BB279" i="69"/>
  <c r="BB278" i="69"/>
  <c r="BB277" i="69"/>
  <c r="BB276" i="69"/>
  <c r="BB275" i="69"/>
  <c r="BB274" i="69"/>
  <c r="BB273" i="69"/>
  <c r="BB272" i="69"/>
  <c r="BB271" i="69"/>
  <c r="BB270" i="69"/>
  <c r="BB269" i="69"/>
  <c r="BB268" i="69"/>
  <c r="BB267" i="69"/>
  <c r="BB266" i="69"/>
  <c r="BB265" i="69"/>
  <c r="BB264" i="69"/>
  <c r="BB263" i="69"/>
  <c r="BB262" i="69"/>
  <c r="BB261" i="69"/>
  <c r="BB260" i="69"/>
  <c r="BB259" i="69"/>
  <c r="BB258" i="69"/>
  <c r="BB257" i="69"/>
  <c r="BB256" i="69"/>
  <c r="BB255" i="69"/>
  <c r="BB254" i="69"/>
  <c r="BB253" i="69"/>
  <c r="BB252" i="69"/>
  <c r="BB251" i="69"/>
  <c r="BB250" i="69"/>
  <c r="BB249" i="69"/>
  <c r="BB248" i="69"/>
  <c r="BB247" i="69"/>
  <c r="BB246" i="69"/>
  <c r="BB245" i="69"/>
  <c r="BB244" i="69"/>
  <c r="BB243" i="69"/>
  <c r="BB242" i="69"/>
  <c r="BB241" i="69"/>
  <c r="BB240" i="69"/>
  <c r="BB239" i="69"/>
  <c r="BB238" i="69"/>
  <c r="BB237" i="69"/>
  <c r="BB236" i="69"/>
  <c r="BB235" i="69"/>
  <c r="BB234" i="69"/>
  <c r="BB233" i="69"/>
  <c r="BB232" i="69"/>
  <c r="BB231" i="69"/>
  <c r="BB230" i="69"/>
  <c r="BB229" i="69"/>
  <c r="BB228" i="69"/>
  <c r="BB227" i="69"/>
  <c r="BB226" i="69"/>
  <c r="BB225" i="69"/>
  <c r="BB224" i="69"/>
  <c r="BB223" i="69"/>
  <c r="BB222" i="69"/>
  <c r="BB221" i="69"/>
  <c r="BB220" i="69"/>
  <c r="BB219" i="69"/>
  <c r="BB218" i="69"/>
  <c r="BB217" i="69"/>
  <c r="BB216" i="69"/>
  <c r="BB215" i="69"/>
  <c r="BB214" i="69"/>
  <c r="BB213" i="69"/>
  <c r="BB212" i="69"/>
  <c r="BB211" i="69"/>
  <c r="BB210" i="69"/>
  <c r="BB209" i="69"/>
  <c r="BB208" i="69"/>
  <c r="BB207" i="69"/>
  <c r="BB206" i="69"/>
  <c r="BB205" i="69"/>
  <c r="BB204" i="69"/>
  <c r="BB203" i="69"/>
  <c r="BB202" i="69"/>
  <c r="BB201" i="69"/>
  <c r="BB200" i="69"/>
  <c r="BB199" i="69"/>
  <c r="BB198" i="69"/>
  <c r="BB197" i="69"/>
  <c r="BB196" i="69"/>
  <c r="BB195" i="69"/>
  <c r="BB194" i="69"/>
  <c r="BB193" i="69"/>
  <c r="BB192" i="69"/>
  <c r="BB191" i="69"/>
  <c r="BB190" i="69"/>
  <c r="BB189" i="69"/>
  <c r="BB188" i="69"/>
  <c r="BB187" i="69"/>
  <c r="BB186" i="69"/>
  <c r="BB185" i="69"/>
  <c r="BB184" i="69"/>
  <c r="BB183" i="69"/>
  <c r="BB182" i="69"/>
  <c r="BB181" i="69"/>
  <c r="BB180" i="69"/>
  <c r="BB179" i="69"/>
  <c r="BB178" i="69"/>
  <c r="BB177" i="69"/>
  <c r="BB176" i="69"/>
  <c r="BB175" i="69"/>
  <c r="BB174" i="69"/>
  <c r="BB173" i="69"/>
  <c r="BB172" i="69"/>
  <c r="BB171" i="69"/>
  <c r="BB170" i="69"/>
  <c r="BB169" i="69"/>
  <c r="BB168" i="69"/>
  <c r="BB167" i="69"/>
  <c r="BB166" i="69"/>
  <c r="BB165" i="69"/>
  <c r="BB164" i="69"/>
  <c r="BB163" i="69"/>
  <c r="BB162" i="69"/>
  <c r="BB161" i="69"/>
  <c r="BB160" i="69"/>
  <c r="BB159" i="69"/>
  <c r="BB158" i="69"/>
  <c r="BB157" i="69"/>
  <c r="BB156" i="69"/>
  <c r="BB155" i="69"/>
  <c r="BB154" i="69"/>
  <c r="BB153" i="69"/>
  <c r="BB152" i="69"/>
  <c r="BB151" i="69"/>
  <c r="BB150" i="69"/>
  <c r="BB149" i="69"/>
  <c r="BB148" i="69"/>
  <c r="BB147" i="69"/>
  <c r="BB146" i="69"/>
  <c r="BB145" i="69"/>
  <c r="BB144" i="69"/>
  <c r="BB143" i="69"/>
  <c r="BB142" i="69"/>
  <c r="BB141" i="69"/>
  <c r="BB140" i="69"/>
  <c r="BB139" i="69"/>
  <c r="BB138" i="69"/>
  <c r="BB137" i="69"/>
  <c r="BB136" i="69"/>
  <c r="BB135" i="69"/>
  <c r="BB134" i="69"/>
  <c r="BB133" i="69"/>
  <c r="BB132" i="69"/>
  <c r="BB131" i="69"/>
  <c r="BB130" i="69"/>
  <c r="BB129" i="69"/>
  <c r="BB128" i="69"/>
  <c r="BB127" i="69"/>
  <c r="BB126" i="69"/>
  <c r="BB125" i="69"/>
  <c r="BB124" i="69"/>
  <c r="BB123" i="69"/>
  <c r="BB122" i="69"/>
  <c r="BB121" i="69"/>
  <c r="BB120" i="69"/>
  <c r="BB119" i="69"/>
  <c r="BB118" i="69"/>
  <c r="BB117" i="69"/>
  <c r="BB116" i="69"/>
  <c r="BB115" i="69"/>
  <c r="BB114" i="69"/>
  <c r="BB113" i="69"/>
  <c r="BB112" i="69"/>
  <c r="BB111" i="69"/>
  <c r="BB110" i="69"/>
  <c r="BB109" i="69"/>
  <c r="BB108" i="69"/>
  <c r="BB107" i="69"/>
  <c r="BB106" i="69"/>
  <c r="BB105" i="69"/>
  <c r="BB104" i="69"/>
  <c r="BB103" i="69"/>
  <c r="BB102" i="69"/>
  <c r="BB101" i="69"/>
  <c r="BB100" i="69"/>
  <c r="BB99" i="69"/>
  <c r="BB98" i="69"/>
  <c r="BB97" i="69"/>
  <c r="BB96" i="69"/>
  <c r="BB95" i="69"/>
  <c r="BB94" i="69"/>
  <c r="BB93" i="69"/>
  <c r="BB92" i="69"/>
  <c r="BB91" i="69"/>
  <c r="BB90" i="69"/>
  <c r="BB89" i="69"/>
  <c r="BB88" i="69"/>
  <c r="BB87" i="69"/>
  <c r="BB86" i="69"/>
  <c r="BB85" i="69"/>
  <c r="BB84" i="69"/>
  <c r="BB83" i="69"/>
  <c r="BB82" i="69"/>
  <c r="BB81" i="69"/>
  <c r="BB80" i="69"/>
  <c r="BB79" i="69"/>
  <c r="BB78" i="69"/>
  <c r="BB77" i="69"/>
  <c r="BB76" i="69"/>
  <c r="BB75" i="69"/>
  <c r="BB74" i="69"/>
  <c r="BB73" i="69"/>
  <c r="BB72" i="69"/>
  <c r="BB69" i="69"/>
  <c r="BB68" i="69"/>
  <c r="BB67" i="69"/>
  <c r="BB66" i="69"/>
  <c r="BB65" i="69"/>
  <c r="BB64" i="69"/>
  <c r="BB63" i="69"/>
  <c r="BB62" i="69"/>
  <c r="BB61" i="69"/>
  <c r="BB60" i="69"/>
  <c r="BB59" i="69"/>
  <c r="BB58" i="69"/>
  <c r="BB57" i="69"/>
  <c r="BB56" i="69"/>
  <c r="BB55" i="69"/>
  <c r="BB54" i="69"/>
  <c r="BB53" i="69"/>
  <c r="BB52" i="69"/>
  <c r="BB51" i="69"/>
  <c r="BB50" i="69"/>
  <c r="BB49" i="69"/>
  <c r="BB48" i="69"/>
  <c r="BB47" i="69"/>
  <c r="BB46" i="69"/>
  <c r="BB45" i="69"/>
  <c r="BB44" i="69"/>
  <c r="BB43" i="69"/>
  <c r="BB42" i="69"/>
  <c r="BB41" i="69"/>
  <c r="BB40" i="69"/>
  <c r="BB39" i="69"/>
  <c r="BB38" i="69"/>
  <c r="BB37" i="69"/>
  <c r="BB36" i="69"/>
  <c r="BB35" i="69"/>
  <c r="BB34" i="69"/>
  <c r="BB33" i="69"/>
  <c r="BB32" i="69"/>
  <c r="BB31" i="69"/>
  <c r="BB30" i="69"/>
  <c r="BB29" i="69"/>
  <c r="BB28" i="69"/>
  <c r="BB27" i="69"/>
  <c r="BB26" i="69"/>
  <c r="BB25" i="69"/>
  <c r="BB24" i="69"/>
  <c r="BB23" i="69"/>
  <c r="BB22" i="69"/>
  <c r="BB21" i="69"/>
  <c r="BB20" i="69"/>
  <c r="BB19" i="69"/>
  <c r="BB18" i="69"/>
  <c r="BB17" i="69"/>
  <c r="BB16" i="69"/>
  <c r="BB15" i="69"/>
  <c r="BB14" i="69"/>
  <c r="BB13" i="69"/>
  <c r="BB12" i="69"/>
  <c r="BB11" i="69"/>
  <c r="BB10" i="69"/>
  <c r="BB9" i="69"/>
  <c r="BB8" i="69"/>
  <c r="BB7" i="69"/>
  <c r="BB6" i="69"/>
  <c r="BB5" i="69"/>
  <c r="BB4" i="69"/>
  <c r="BB3" i="69"/>
  <c r="BB2" i="69"/>
  <c r="AS616" i="69" l="1"/>
  <c r="AS360" i="69"/>
  <c r="AS364" i="69"/>
  <c r="AT361" i="69"/>
  <c r="AS580" i="69"/>
  <c r="V552" i="69"/>
  <c r="AI552" i="69" s="1"/>
  <c r="AQ552" i="69" s="1"/>
  <c r="AH552" i="69"/>
  <c r="AP552" i="69" s="1"/>
  <c r="AD227" i="69"/>
  <c r="AL227" i="69" s="1"/>
  <c r="AD226" i="69"/>
  <c r="AL226" i="69" s="1"/>
  <c r="AE227" i="69"/>
  <c r="AM227" i="69" s="1"/>
  <c r="AE226" i="69"/>
  <c r="AM226" i="69" s="1"/>
  <c r="AF227" i="69"/>
  <c r="AN227" i="69" s="1"/>
  <c r="AG226" i="69"/>
  <c r="AO226" i="69" s="1"/>
  <c r="AS362" i="69"/>
  <c r="AS280" i="69"/>
  <c r="AS361" i="69"/>
  <c r="AT280" i="69"/>
  <c r="AO564" i="69"/>
  <c r="AH564" i="69"/>
  <c r="V564" i="69"/>
  <c r="AI564" i="69" s="1"/>
  <c r="AQ564" i="69" s="1"/>
  <c r="AT616" i="69"/>
  <c r="AP360" i="69"/>
  <c r="AT362" i="69"/>
  <c r="AP364" i="69"/>
  <c r="AP365" i="69"/>
  <c r="AS365" i="69"/>
  <c r="AT580" i="69"/>
  <c r="AH67" i="69"/>
  <c r="AP67" i="69" s="1"/>
  <c r="AF226" i="69"/>
  <c r="AN226" i="69" s="1"/>
  <c r="AD67" i="69"/>
  <c r="AL67" i="69" s="1"/>
  <c r="AH226" i="69"/>
  <c r="AP226" i="69" s="1"/>
  <c r="AE67" i="69"/>
  <c r="AM67" i="69" s="1"/>
  <c r="AG227" i="69"/>
  <c r="AO227" i="69" s="1"/>
  <c r="AF67" i="69"/>
  <c r="AN67" i="69" s="1"/>
  <c r="AH227" i="69"/>
  <c r="AP227" i="69" s="1"/>
  <c r="AG67" i="69"/>
  <c r="AO67" i="69" s="1"/>
  <c r="AK294" i="69"/>
  <c r="AK235" i="69"/>
  <c r="AK226" i="69"/>
  <c r="AK67" i="69"/>
  <c r="AK7" i="69"/>
  <c r="AK6" i="69"/>
  <c r="Q426" i="69"/>
  <c r="R426" i="69" s="1"/>
  <c r="AE426" i="69" s="1"/>
  <c r="AM426" i="69" s="1"/>
  <c r="Q656" i="69"/>
  <c r="R656" i="69" s="1"/>
  <c r="AX656" i="69"/>
  <c r="AW656" i="69"/>
  <c r="AC656" i="69"/>
  <c r="AB656" i="69"/>
  <c r="AX426" i="69"/>
  <c r="AW426" i="69"/>
  <c r="AC426" i="69"/>
  <c r="AB426" i="69"/>
  <c r="AX485" i="69"/>
  <c r="AW485" i="69"/>
  <c r="AC485" i="69"/>
  <c r="AK485" i="69" s="1"/>
  <c r="AB485" i="69"/>
  <c r="AX466" i="69"/>
  <c r="AW466" i="69"/>
  <c r="AC466" i="69"/>
  <c r="AB466" i="69"/>
  <c r="AX232" i="69"/>
  <c r="AW232" i="69"/>
  <c r="AC232" i="69"/>
  <c r="AB232" i="69"/>
  <c r="AX231" i="69"/>
  <c r="AW231" i="69"/>
  <c r="AC231" i="69"/>
  <c r="AB231" i="69"/>
  <c r="AX230" i="69"/>
  <c r="AW230" i="69"/>
  <c r="AC230" i="69"/>
  <c r="AB230" i="69"/>
  <c r="AX229" i="69"/>
  <c r="AW229" i="69"/>
  <c r="AC229" i="69"/>
  <c r="AB229" i="69"/>
  <c r="AX228" i="69"/>
  <c r="AW228" i="69"/>
  <c r="AC228" i="69"/>
  <c r="AB228" i="69"/>
  <c r="Q485" i="69"/>
  <c r="R485" i="69" s="1"/>
  <c r="S485" i="69" s="1"/>
  <c r="T485" i="69" s="1"/>
  <c r="U485" i="69" s="1"/>
  <c r="V485" i="69" s="1"/>
  <c r="AI485" i="69" s="1"/>
  <c r="AQ485" i="69" s="1"/>
  <c r="Q466" i="69"/>
  <c r="R466" i="69" s="1"/>
  <c r="S466" i="69" s="1"/>
  <c r="T466" i="69" s="1"/>
  <c r="U466" i="69" s="1"/>
  <c r="V466" i="69" s="1"/>
  <c r="AI466" i="69" s="1"/>
  <c r="AQ466" i="69" s="1"/>
  <c r="Q232" i="69"/>
  <c r="AD232" i="69" s="1"/>
  <c r="AL232" i="69" s="1"/>
  <c r="Q231" i="69"/>
  <c r="R231" i="69" s="1"/>
  <c r="S231" i="69" s="1"/>
  <c r="T231" i="69" s="1"/>
  <c r="U231" i="69" s="1"/>
  <c r="V231" i="69" s="1"/>
  <c r="AI231" i="69" s="1"/>
  <c r="AQ231" i="69" s="1"/>
  <c r="Q230" i="69"/>
  <c r="R230" i="69" s="1"/>
  <c r="Q229" i="69"/>
  <c r="R229" i="69" s="1"/>
  <c r="S229" i="69" s="1"/>
  <c r="T229" i="69" s="1"/>
  <c r="U229" i="69" s="1"/>
  <c r="V229" i="69" s="1"/>
  <c r="AI229" i="69" s="1"/>
  <c r="AQ229" i="69" s="1"/>
  <c r="Q228" i="69"/>
  <c r="AD228" i="69" s="1"/>
  <c r="AL228" i="69" s="1"/>
  <c r="Q663" i="69"/>
  <c r="J233" i="69"/>
  <c r="I233" i="69"/>
  <c r="AX448" i="69"/>
  <c r="AW448" i="69"/>
  <c r="AC448" i="69"/>
  <c r="AB448" i="69"/>
  <c r="Q448" i="69"/>
  <c r="R448" i="69" s="1"/>
  <c r="S448" i="69" s="1"/>
  <c r="T448" i="69" s="1"/>
  <c r="U448" i="69" s="1"/>
  <c r="V448" i="69" s="1"/>
  <c r="AI448" i="69" s="1"/>
  <c r="AQ448" i="69" s="1"/>
  <c r="AX98" i="69"/>
  <c r="AW98" i="69"/>
  <c r="AC98" i="69"/>
  <c r="AB98" i="69"/>
  <c r="AX97" i="69"/>
  <c r="AW97" i="69"/>
  <c r="AC97" i="69"/>
  <c r="AB97" i="69"/>
  <c r="AX96" i="69"/>
  <c r="AW96" i="69"/>
  <c r="AC96" i="69"/>
  <c r="AB96" i="69"/>
  <c r="AX95" i="69"/>
  <c r="AW95" i="69"/>
  <c r="AC95" i="69"/>
  <c r="AB95" i="69"/>
  <c r="AX94" i="69"/>
  <c r="AW94" i="69"/>
  <c r="AC94" i="69"/>
  <c r="AB94" i="69"/>
  <c r="AX93" i="69"/>
  <c r="AW93" i="69"/>
  <c r="AC93" i="69"/>
  <c r="AB93" i="69"/>
  <c r="Q98" i="69"/>
  <c r="R98" i="69" s="1"/>
  <c r="S98" i="69" s="1"/>
  <c r="T98" i="69" s="1"/>
  <c r="U98" i="69" s="1"/>
  <c r="V98" i="69" s="1"/>
  <c r="AI98" i="69" s="1"/>
  <c r="AQ98" i="69" s="1"/>
  <c r="Q97" i="69"/>
  <c r="R97" i="69" s="1"/>
  <c r="S97" i="69" s="1"/>
  <c r="T97" i="69" s="1"/>
  <c r="U97" i="69" s="1"/>
  <c r="V97" i="69" s="1"/>
  <c r="AI97" i="69" s="1"/>
  <c r="AQ97" i="69" s="1"/>
  <c r="Q96" i="69"/>
  <c r="R96" i="69" s="1"/>
  <c r="S96" i="69" s="1"/>
  <c r="T96" i="69" s="1"/>
  <c r="U96" i="69" s="1"/>
  <c r="V96" i="69" s="1"/>
  <c r="AI96" i="69" s="1"/>
  <c r="AQ96" i="69" s="1"/>
  <c r="Q95" i="69"/>
  <c r="R95" i="69" s="1"/>
  <c r="S95" i="69" s="1"/>
  <c r="T95" i="69" s="1"/>
  <c r="U95" i="69" s="1"/>
  <c r="V95" i="69" s="1"/>
  <c r="AI95" i="69" s="1"/>
  <c r="AQ95" i="69" s="1"/>
  <c r="Q94" i="69"/>
  <c r="R94" i="69" s="1"/>
  <c r="S94" i="69" s="1"/>
  <c r="T94" i="69" s="1"/>
  <c r="U94" i="69" s="1"/>
  <c r="V94" i="69" s="1"/>
  <c r="AI94" i="69" s="1"/>
  <c r="AQ94" i="69" s="1"/>
  <c r="Q93" i="69"/>
  <c r="R93" i="69" s="1"/>
  <c r="S93" i="69" s="1"/>
  <c r="T93" i="69" s="1"/>
  <c r="U93" i="69" s="1"/>
  <c r="V93" i="69" s="1"/>
  <c r="AI93" i="69" s="1"/>
  <c r="AQ93" i="69" s="1"/>
  <c r="AX84" i="69"/>
  <c r="AW84" i="69"/>
  <c r="AC84" i="69"/>
  <c r="AB84" i="69"/>
  <c r="AX83" i="69"/>
  <c r="AW83" i="69"/>
  <c r="AC83" i="69"/>
  <c r="AB83" i="69"/>
  <c r="AX82" i="69"/>
  <c r="AW82" i="69"/>
  <c r="AC82" i="69"/>
  <c r="AB82" i="69"/>
  <c r="Q84" i="69"/>
  <c r="R84" i="69" s="1"/>
  <c r="S84" i="69" s="1"/>
  <c r="T84" i="69" s="1"/>
  <c r="U84" i="69" s="1"/>
  <c r="V84" i="69" s="1"/>
  <c r="AI84" i="69" s="1"/>
  <c r="AQ84" i="69" s="1"/>
  <c r="Q83" i="69"/>
  <c r="R83" i="69" s="1"/>
  <c r="S83" i="69" s="1"/>
  <c r="T83" i="69" s="1"/>
  <c r="U83" i="69" s="1"/>
  <c r="V83" i="69" s="1"/>
  <c r="AI83" i="69" s="1"/>
  <c r="AQ83" i="69" s="1"/>
  <c r="Q82" i="69"/>
  <c r="R82" i="69" s="1"/>
  <c r="S82" i="69" s="1"/>
  <c r="T82" i="69" s="1"/>
  <c r="U82" i="69" s="1"/>
  <c r="V82" i="69" s="1"/>
  <c r="AI82" i="69" s="1"/>
  <c r="AQ82" i="69" s="1"/>
  <c r="AX80" i="69"/>
  <c r="AW80" i="69"/>
  <c r="AC80" i="69"/>
  <c r="AB80" i="69"/>
  <c r="Q80" i="69"/>
  <c r="R80" i="69" s="1"/>
  <c r="S80" i="69" s="1"/>
  <c r="T80" i="69" s="1"/>
  <c r="U80" i="69" s="1"/>
  <c r="V80" i="69" s="1"/>
  <c r="AI80" i="69" s="1"/>
  <c r="AQ80" i="69" s="1"/>
  <c r="AT552" i="69" l="1"/>
  <c r="AS552" i="69"/>
  <c r="AP564" i="69"/>
  <c r="AS564" i="69"/>
  <c r="AT364" i="69"/>
  <c r="AT227" i="69"/>
  <c r="AT365" i="69"/>
  <c r="AT360" i="69"/>
  <c r="AS226" i="69"/>
  <c r="AS227" i="69"/>
  <c r="AS67" i="69"/>
  <c r="AT226" i="69"/>
  <c r="AT67" i="69"/>
  <c r="AD426" i="69"/>
  <c r="AL426" i="69" s="1"/>
  <c r="S426" i="69"/>
  <c r="S656" i="69"/>
  <c r="AE656" i="69"/>
  <c r="AM656" i="69" s="1"/>
  <c r="AD656" i="69"/>
  <c r="AL656" i="69" s="1"/>
  <c r="AD229" i="69"/>
  <c r="AL229" i="69" s="1"/>
  <c r="AD80" i="69"/>
  <c r="AL80" i="69" s="1"/>
  <c r="AD82" i="69"/>
  <c r="AL82" i="69" s="1"/>
  <c r="AE229" i="69"/>
  <c r="AM229" i="69" s="1"/>
  <c r="AE82" i="69"/>
  <c r="AM82" i="69" s="1"/>
  <c r="AH466" i="69"/>
  <c r="AP466" i="69" s="1"/>
  <c r="AK426" i="69"/>
  <c r="AK656" i="69"/>
  <c r="AG231" i="69"/>
  <c r="AO231" i="69" s="1"/>
  <c r="AF82" i="69"/>
  <c r="AN82" i="69" s="1"/>
  <c r="AF229" i="69"/>
  <c r="AN229" i="69" s="1"/>
  <c r="R232" i="69"/>
  <c r="S232" i="69" s="1"/>
  <c r="T232" i="69" s="1"/>
  <c r="U232" i="69" s="1"/>
  <c r="V232" i="69" s="1"/>
  <c r="AI232" i="69" s="1"/>
  <c r="AQ232" i="69" s="1"/>
  <c r="AE231" i="69"/>
  <c r="AM231" i="69" s="1"/>
  <c r="AE485" i="69"/>
  <c r="AM485" i="69" s="1"/>
  <c r="AF231" i="69"/>
  <c r="AN231" i="69" s="1"/>
  <c r="S230" i="69"/>
  <c r="AE230" i="69"/>
  <c r="AM230" i="69" s="1"/>
  <c r="AF485" i="69"/>
  <c r="AN485" i="69" s="1"/>
  <c r="AE80" i="69"/>
  <c r="AM80" i="69" s="1"/>
  <c r="AD96" i="69"/>
  <c r="AL96" i="69" s="1"/>
  <c r="AF80" i="69"/>
  <c r="AN80" i="69" s="1"/>
  <c r="AF96" i="69"/>
  <c r="AN96" i="69" s="1"/>
  <c r="AD448" i="69"/>
  <c r="AL448" i="69" s="1"/>
  <c r="R228" i="69"/>
  <c r="AH231" i="69"/>
  <c r="AP231" i="69" s="1"/>
  <c r="AG485" i="69"/>
  <c r="AO485" i="69" s="1"/>
  <c r="AG80" i="69"/>
  <c r="AO80" i="69" s="1"/>
  <c r="AH96" i="69"/>
  <c r="AP96" i="69" s="1"/>
  <c r="AH448" i="69"/>
  <c r="AP448" i="69" s="1"/>
  <c r="AG229" i="69"/>
  <c r="AO229" i="69" s="1"/>
  <c r="AD230" i="69"/>
  <c r="AL230" i="69" s="1"/>
  <c r="AH485" i="69"/>
  <c r="AP485" i="69" s="1"/>
  <c r="AH98" i="69"/>
  <c r="AP98" i="69" s="1"/>
  <c r="AH229" i="69"/>
  <c r="AP229" i="69" s="1"/>
  <c r="AD466" i="69"/>
  <c r="AL466" i="69" s="1"/>
  <c r="AE466" i="69"/>
  <c r="AM466" i="69" s="1"/>
  <c r="AG83" i="69"/>
  <c r="AO83" i="69" s="1"/>
  <c r="AD231" i="69"/>
  <c r="AL231" i="69" s="1"/>
  <c r="AF466" i="69"/>
  <c r="AN466" i="69" s="1"/>
  <c r="AH83" i="69"/>
  <c r="AP83" i="69" s="1"/>
  <c r="AH82" i="69"/>
  <c r="AP82" i="69" s="1"/>
  <c r="AG466" i="69"/>
  <c r="AO466" i="69" s="1"/>
  <c r="AD485" i="69"/>
  <c r="AL485" i="69" s="1"/>
  <c r="AK466" i="69"/>
  <c r="AK232" i="69"/>
  <c r="AK231" i="69"/>
  <c r="AK230" i="69"/>
  <c r="AK229" i="69"/>
  <c r="AK228" i="69"/>
  <c r="AD93" i="69"/>
  <c r="AL93" i="69" s="1"/>
  <c r="AE448" i="69"/>
  <c r="AM448" i="69" s="1"/>
  <c r="AG82" i="69"/>
  <c r="AO82" i="69" s="1"/>
  <c r="AD83" i="69"/>
  <c r="AL83" i="69" s="1"/>
  <c r="AG93" i="69"/>
  <c r="AO93" i="69" s="1"/>
  <c r="AH94" i="69"/>
  <c r="AP94" i="69" s="1"/>
  <c r="AF448" i="69"/>
  <c r="AN448" i="69" s="1"/>
  <c r="AF93" i="69"/>
  <c r="AN93" i="69" s="1"/>
  <c r="AF83" i="69"/>
  <c r="AN83" i="69" s="1"/>
  <c r="AH93" i="69"/>
  <c r="AP93" i="69" s="1"/>
  <c r="AG448" i="69"/>
  <c r="AO448" i="69" s="1"/>
  <c r="AE93" i="69"/>
  <c r="AM93" i="69" s="1"/>
  <c r="AD98" i="69"/>
  <c r="AL98" i="69" s="1"/>
  <c r="AE98" i="69"/>
  <c r="AM98" i="69" s="1"/>
  <c r="AH80" i="69"/>
  <c r="AP80" i="69" s="1"/>
  <c r="AE96" i="69"/>
  <c r="AM96" i="69" s="1"/>
  <c r="AG97" i="69"/>
  <c r="AO97" i="69" s="1"/>
  <c r="AF98" i="69"/>
  <c r="AN98" i="69" s="1"/>
  <c r="AG98" i="69"/>
  <c r="AO98" i="69" s="1"/>
  <c r="AK448" i="69"/>
  <c r="AH97" i="69"/>
  <c r="AP97" i="69" s="1"/>
  <c r="AE97" i="69"/>
  <c r="AM97" i="69" s="1"/>
  <c r="AD97" i="69"/>
  <c r="AL97" i="69" s="1"/>
  <c r="AF97" i="69"/>
  <c r="AN97" i="69" s="1"/>
  <c r="AG96" i="69"/>
  <c r="AO96" i="69" s="1"/>
  <c r="AE95" i="69"/>
  <c r="AM95" i="69" s="1"/>
  <c r="AF95" i="69"/>
  <c r="AN95" i="69" s="1"/>
  <c r="AG95" i="69"/>
  <c r="AO95" i="69" s="1"/>
  <c r="AH95" i="69"/>
  <c r="AP95" i="69" s="1"/>
  <c r="AD95" i="69"/>
  <c r="AL95" i="69" s="1"/>
  <c r="AD94" i="69"/>
  <c r="AE94" i="69"/>
  <c r="AM94" i="69" s="1"/>
  <c r="AF94" i="69"/>
  <c r="AN94" i="69" s="1"/>
  <c r="AG94" i="69"/>
  <c r="AO94" i="69" s="1"/>
  <c r="AK98" i="69"/>
  <c r="AK97" i="69"/>
  <c r="AK93" i="69"/>
  <c r="AK96" i="69"/>
  <c r="AK95" i="69"/>
  <c r="AK94" i="69"/>
  <c r="AE84" i="69"/>
  <c r="AM84" i="69" s="1"/>
  <c r="AG84" i="69"/>
  <c r="AO84" i="69" s="1"/>
  <c r="AH84" i="69"/>
  <c r="AP84" i="69" s="1"/>
  <c r="AD84" i="69"/>
  <c r="AL84" i="69" s="1"/>
  <c r="AF84" i="69"/>
  <c r="AN84" i="69" s="1"/>
  <c r="AE83" i="69"/>
  <c r="AM83" i="69" s="1"/>
  <c r="AK84" i="69"/>
  <c r="AK83" i="69"/>
  <c r="AK82" i="69"/>
  <c r="AK80" i="69"/>
  <c r="AX645" i="69"/>
  <c r="AW645" i="69"/>
  <c r="AC645" i="69"/>
  <c r="AK645" i="69" s="1"/>
  <c r="AB645" i="69"/>
  <c r="Q645" i="69"/>
  <c r="AD645" i="69" s="1"/>
  <c r="AL645" i="69" s="1"/>
  <c r="AX619" i="69"/>
  <c r="AW619" i="69"/>
  <c r="AC619" i="69"/>
  <c r="AK619" i="69" s="1"/>
  <c r="AB619" i="69"/>
  <c r="Q619" i="69"/>
  <c r="R619" i="69" s="1"/>
  <c r="AX618" i="69"/>
  <c r="AW618" i="69"/>
  <c r="AC618" i="69"/>
  <c r="AK618" i="69" s="1"/>
  <c r="AB618" i="69"/>
  <c r="Q618" i="69"/>
  <c r="AD618" i="69" s="1"/>
  <c r="AL618" i="69" s="1"/>
  <c r="AX617" i="69"/>
  <c r="AW617" i="69"/>
  <c r="AC617" i="69"/>
  <c r="AB617" i="69"/>
  <c r="Q617" i="69"/>
  <c r="AD617" i="69" s="1"/>
  <c r="AL617" i="69" s="1"/>
  <c r="AX490" i="69"/>
  <c r="AW490" i="69"/>
  <c r="AC490" i="69"/>
  <c r="AK490" i="69" s="1"/>
  <c r="AB490" i="69"/>
  <c r="Q490" i="69"/>
  <c r="AD490" i="69" s="1"/>
  <c r="AL490" i="69" s="1"/>
  <c r="AT564" i="69" l="1"/>
  <c r="T426" i="69"/>
  <c r="AF426" i="69"/>
  <c r="T656" i="69"/>
  <c r="AF656" i="69"/>
  <c r="AN656" i="69" s="1"/>
  <c r="AT485" i="69"/>
  <c r="AG232" i="69"/>
  <c r="AO232" i="69" s="1"/>
  <c r="AS80" i="69"/>
  <c r="AF232" i="69"/>
  <c r="AN232" i="69" s="1"/>
  <c r="AH232" i="69"/>
  <c r="AP232" i="69" s="1"/>
  <c r="AS229" i="69"/>
  <c r="AE232" i="69"/>
  <c r="AM232" i="69" s="1"/>
  <c r="AS231" i="69"/>
  <c r="AS466" i="69"/>
  <c r="AS94" i="69"/>
  <c r="AS485" i="69"/>
  <c r="S228" i="69"/>
  <c r="AE228" i="69"/>
  <c r="T230" i="69"/>
  <c r="AF230" i="69"/>
  <c r="AT466" i="69"/>
  <c r="AT231" i="69"/>
  <c r="AT229" i="69"/>
  <c r="AS82" i="69"/>
  <c r="AS448" i="69"/>
  <c r="AS83" i="69"/>
  <c r="AS98" i="69"/>
  <c r="AS93" i="69"/>
  <c r="AT448" i="69"/>
  <c r="AS97" i="69"/>
  <c r="AS96" i="69"/>
  <c r="AS95" i="69"/>
  <c r="AL94" i="69"/>
  <c r="AT94" i="69" s="1"/>
  <c r="AT98" i="69"/>
  <c r="AT95" i="69"/>
  <c r="AT96" i="69"/>
  <c r="AT93" i="69"/>
  <c r="AT97" i="69"/>
  <c r="AS84" i="69"/>
  <c r="AT82" i="69"/>
  <c r="AT83" i="69"/>
  <c r="AT84" i="69"/>
  <c r="AT80" i="69"/>
  <c r="R645" i="69"/>
  <c r="AE619" i="69"/>
  <c r="AM619" i="69" s="1"/>
  <c r="S619" i="69"/>
  <c r="AD619" i="69"/>
  <c r="AL619" i="69" s="1"/>
  <c r="R618" i="69"/>
  <c r="AK617" i="69"/>
  <c r="R617" i="69"/>
  <c r="R490" i="69"/>
  <c r="Z106" i="69"/>
  <c r="Z346" i="69"/>
  <c r="Z427" i="69"/>
  <c r="Z540" i="69"/>
  <c r="Z631" i="69"/>
  <c r="AJ631" i="69" s="1"/>
  <c r="Z634" i="69"/>
  <c r="Z635" i="69"/>
  <c r="Z636" i="69"/>
  <c r="Z676" i="69"/>
  <c r="Z677" i="69"/>
  <c r="H16" i="82"/>
  <c r="Z90" i="69" s="1"/>
  <c r="H15" i="82"/>
  <c r="Z252" i="69" s="1"/>
  <c r="H14" i="82"/>
  <c r="Z154" i="69" s="1"/>
  <c r="H13" i="82"/>
  <c r="Z36" i="69" s="1"/>
  <c r="H12" i="82"/>
  <c r="Z328" i="69" s="1"/>
  <c r="AJ328" i="69" s="1"/>
  <c r="H11" i="82"/>
  <c r="Z552" i="69" s="1"/>
  <c r="AJ552" i="69" s="1"/>
  <c r="H10" i="82"/>
  <c r="Z194" i="69" s="1"/>
  <c r="H9" i="82"/>
  <c r="Z459" i="69" s="1"/>
  <c r="AJ459" i="69" s="1"/>
  <c r="H8" i="82"/>
  <c r="Z274" i="69" s="1"/>
  <c r="H7" i="82"/>
  <c r="Z276" i="69" s="1"/>
  <c r="H6" i="82"/>
  <c r="Z490" i="69" s="1"/>
  <c r="AJ490" i="69" s="1"/>
  <c r="H5" i="82"/>
  <c r="Z340" i="69" s="1"/>
  <c r="H4" i="82"/>
  <c r="Z52" i="69" s="1"/>
  <c r="H3" i="82"/>
  <c r="Z104" i="69" s="1"/>
  <c r="H29" i="82"/>
  <c r="Z17" i="69" s="1"/>
  <c r="H28" i="82"/>
  <c r="Z16" i="69" s="1"/>
  <c r="H27" i="82"/>
  <c r="Z367" i="69" s="1"/>
  <c r="H26" i="82"/>
  <c r="Z529" i="69" s="1"/>
  <c r="H25" i="82"/>
  <c r="Z80" i="69" s="1"/>
  <c r="AJ80" i="69" s="1"/>
  <c r="AR80" i="69" s="1"/>
  <c r="H24" i="82"/>
  <c r="Z350" i="69" s="1"/>
  <c r="H23" i="82"/>
  <c r="Z545" i="69" s="1"/>
  <c r="H22" i="82"/>
  <c r="Z82" i="69" s="1"/>
  <c r="AJ82" i="69" s="1"/>
  <c r="AR82" i="69" s="1"/>
  <c r="H21" i="82"/>
  <c r="Z130" i="69" s="1"/>
  <c r="H20" i="82"/>
  <c r="Z372" i="69" s="1"/>
  <c r="H19" i="82"/>
  <c r="Z24" i="69" s="1"/>
  <c r="H18" i="82"/>
  <c r="Z170" i="69" s="1"/>
  <c r="H17" i="82"/>
  <c r="Z364" i="69" s="1"/>
  <c r="AJ364" i="69" s="1"/>
  <c r="AR459" i="69" l="1"/>
  <c r="AU459" i="69"/>
  <c r="AV459" i="69" s="1"/>
  <c r="Z684" i="69"/>
  <c r="Z668" i="69"/>
  <c r="Z660" i="69"/>
  <c r="Z651" i="69"/>
  <c r="Z642" i="69"/>
  <c r="Z633" i="69"/>
  <c r="Z624" i="69"/>
  <c r="AJ624" i="69" s="1"/>
  <c r="Z610" i="69"/>
  <c r="Z602" i="69"/>
  <c r="Z594" i="69"/>
  <c r="Z586" i="69"/>
  <c r="Z577" i="69"/>
  <c r="Z569" i="69"/>
  <c r="Z560" i="69"/>
  <c r="Z551" i="69"/>
  <c r="Z543" i="69"/>
  <c r="Z535" i="69"/>
  <c r="Z527" i="69"/>
  <c r="Z511" i="69"/>
  <c r="Z503" i="69"/>
  <c r="Z486" i="69"/>
  <c r="Z477" i="69"/>
  <c r="Z469" i="69"/>
  <c r="Z461" i="69"/>
  <c r="Z452" i="69"/>
  <c r="Z444" i="69"/>
  <c r="Z436" i="69"/>
  <c r="Z428" i="69"/>
  <c r="Z419" i="69"/>
  <c r="Z411" i="69"/>
  <c r="Z403" i="69"/>
  <c r="AJ403" i="69" s="1"/>
  <c r="Z395" i="69"/>
  <c r="Z387" i="69"/>
  <c r="Z379" i="69"/>
  <c r="Z371" i="69"/>
  <c r="Z356" i="69"/>
  <c r="Z348" i="69"/>
  <c r="Z339" i="69"/>
  <c r="Z331" i="69"/>
  <c r="Z322" i="69"/>
  <c r="Z314" i="69"/>
  <c r="Z306" i="69"/>
  <c r="Z298" i="69"/>
  <c r="Z290" i="69"/>
  <c r="Z282" i="69"/>
  <c r="Z273" i="69"/>
  <c r="Z265" i="69"/>
  <c r="Z257" i="69"/>
  <c r="Z249" i="69"/>
  <c r="Z241" i="69"/>
  <c r="Z233" i="69"/>
  <c r="Z225" i="69"/>
  <c r="Z217" i="69"/>
  <c r="Z209" i="69"/>
  <c r="Z201" i="69"/>
  <c r="Z193" i="69"/>
  <c r="Z185" i="69"/>
  <c r="Z177" i="69"/>
  <c r="Z169" i="69"/>
  <c r="Z161" i="69"/>
  <c r="Z153" i="69"/>
  <c r="Z145" i="69"/>
  <c r="Z137" i="69"/>
  <c r="Z129" i="69"/>
  <c r="Z121" i="69"/>
  <c r="AJ121" i="69" s="1"/>
  <c r="Z113" i="69"/>
  <c r="AJ113" i="69" s="1"/>
  <c r="Z105" i="69"/>
  <c r="Z97" i="69"/>
  <c r="AJ97" i="69" s="1"/>
  <c r="AR97" i="69" s="1"/>
  <c r="Z89" i="69"/>
  <c r="Z81" i="69"/>
  <c r="Z72" i="69"/>
  <c r="Z63" i="69"/>
  <c r="Z55" i="69"/>
  <c r="Z47" i="69"/>
  <c r="Z39" i="69"/>
  <c r="Z31" i="69"/>
  <c r="Z23" i="69"/>
  <c r="Z15" i="69"/>
  <c r="Z7" i="69"/>
  <c r="AJ7" i="69" s="1"/>
  <c r="AU80" i="69"/>
  <c r="AV80" i="69" s="1"/>
  <c r="Z683" i="69"/>
  <c r="Z675" i="69"/>
  <c r="AJ675" i="69" s="1"/>
  <c r="Z667" i="69"/>
  <c r="Z659" i="69"/>
  <c r="Z650" i="69"/>
  <c r="Z641" i="69"/>
  <c r="Z623" i="69"/>
  <c r="AJ623" i="69" s="1"/>
  <c r="Z609" i="69"/>
  <c r="Z601" i="69"/>
  <c r="Z593" i="69"/>
  <c r="Z585" i="69"/>
  <c r="Z576" i="69"/>
  <c r="Z568" i="69"/>
  <c r="Z559" i="69"/>
  <c r="Z550" i="69"/>
  <c r="Z542" i="69"/>
  <c r="Z534" i="69"/>
  <c r="Z510" i="69"/>
  <c r="Z502" i="69"/>
  <c r="Z494" i="69"/>
  <c r="Z485" i="69"/>
  <c r="AJ485" i="69" s="1"/>
  <c r="AU485" i="69" s="1"/>
  <c r="AV485" i="69" s="1"/>
  <c r="Z476" i="69"/>
  <c r="Z468" i="69"/>
  <c r="Z460" i="69"/>
  <c r="Z451" i="69"/>
  <c r="Z443" i="69"/>
  <c r="Z435" i="69"/>
  <c r="Z418" i="69"/>
  <c r="Z410" i="69"/>
  <c r="Z402" i="69"/>
  <c r="AJ402" i="69" s="1"/>
  <c r="AR402" i="69" s="1"/>
  <c r="Z394" i="69"/>
  <c r="Z386" i="69"/>
  <c r="Z378" i="69"/>
  <c r="Z370" i="69"/>
  <c r="Z355" i="69"/>
  <c r="Z347" i="69"/>
  <c r="Z338" i="69"/>
  <c r="Z330" i="69"/>
  <c r="Z321" i="69"/>
  <c r="Z313" i="69"/>
  <c r="Z297" i="69"/>
  <c r="Z289" i="69"/>
  <c r="Z281" i="69"/>
  <c r="Z272" i="69"/>
  <c r="Z264" i="69"/>
  <c r="Z256" i="69"/>
  <c r="Z248" i="69"/>
  <c r="Z240" i="69"/>
  <c r="Z232" i="69"/>
  <c r="AJ232" i="69" s="1"/>
  <c r="AU232" i="69" s="1"/>
  <c r="AV232" i="69" s="1"/>
  <c r="Z224" i="69"/>
  <c r="Z216" i="69"/>
  <c r="Z208" i="69"/>
  <c r="Z200" i="69"/>
  <c r="Z192" i="69"/>
  <c r="Z184" i="69"/>
  <c r="Z176" i="69"/>
  <c r="Z168" i="69"/>
  <c r="Z160" i="69"/>
  <c r="Z152" i="69"/>
  <c r="Z144" i="69"/>
  <c r="Z136" i="69"/>
  <c r="Z128" i="69"/>
  <c r="Z120" i="69"/>
  <c r="AJ120" i="69" s="1"/>
  <c r="Z112" i="69"/>
  <c r="AJ112" i="69" s="1"/>
  <c r="Z96" i="69"/>
  <c r="AJ96" i="69" s="1"/>
  <c r="AU96" i="69" s="1"/>
  <c r="AV96" i="69" s="1"/>
  <c r="Z88" i="69"/>
  <c r="Z71" i="69"/>
  <c r="Z62" i="69"/>
  <c r="Z54" i="69"/>
  <c r="Z46" i="69"/>
  <c r="Z38" i="69"/>
  <c r="Z30" i="69"/>
  <c r="Z22" i="69"/>
  <c r="Z14" i="69"/>
  <c r="Z6" i="69"/>
  <c r="AJ6" i="69" s="1"/>
  <c r="Z342" i="69"/>
  <c r="Z483" i="69"/>
  <c r="AJ483" i="69" s="1"/>
  <c r="Z632" i="69"/>
  <c r="AJ632" i="69" s="1"/>
  <c r="Z616" i="69"/>
  <c r="AJ616" i="69" s="1"/>
  <c r="Z637" i="69"/>
  <c r="AJ637" i="69" s="1"/>
  <c r="Z656" i="69"/>
  <c r="AJ656" i="69" s="1"/>
  <c r="Z619" i="69"/>
  <c r="AJ619" i="69" s="1"/>
  <c r="Z645" i="69"/>
  <c r="AJ645" i="69" s="1"/>
  <c r="Z617" i="69"/>
  <c r="AJ617" i="69" s="1"/>
  <c r="Z618" i="69"/>
  <c r="AJ618" i="69" s="1"/>
  <c r="AU552" i="69"/>
  <c r="AV552" i="69" s="1"/>
  <c r="AR552" i="69"/>
  <c r="Z674" i="69"/>
  <c r="Z666" i="69"/>
  <c r="Z658" i="69"/>
  <c r="Z649" i="69"/>
  <c r="Z640" i="69"/>
  <c r="Z630" i="69"/>
  <c r="AJ630" i="69" s="1"/>
  <c r="AR630" i="69" s="1"/>
  <c r="Z622" i="69"/>
  <c r="AJ622" i="69" s="1"/>
  <c r="AR622" i="69" s="1"/>
  <c r="Z608" i="69"/>
  <c r="Z600" i="69"/>
  <c r="Z592" i="69"/>
  <c r="Z584" i="69"/>
  <c r="Z575" i="69"/>
  <c r="Z567" i="69"/>
  <c r="Z558" i="69"/>
  <c r="Z549" i="69"/>
  <c r="Z541" i="69"/>
  <c r="Z533" i="69"/>
  <c r="Z509" i="69"/>
  <c r="Z501" i="69"/>
  <c r="Z475" i="69"/>
  <c r="Z467" i="69"/>
  <c r="Z458" i="69"/>
  <c r="Z450" i="69"/>
  <c r="Z442" i="69"/>
  <c r="Z434" i="69"/>
  <c r="AJ434" i="69" s="1"/>
  <c r="Z426" i="69"/>
  <c r="AJ426" i="69" s="1"/>
  <c r="Z417" i="69"/>
  <c r="AJ417" i="69" s="1"/>
  <c r="Z409" i="69"/>
  <c r="Z401" i="69"/>
  <c r="Z393" i="69"/>
  <c r="Z385" i="69"/>
  <c r="Z377" i="69"/>
  <c r="Z354" i="69"/>
  <c r="Z337" i="69"/>
  <c r="Z329" i="69"/>
  <c r="Z320" i="69"/>
  <c r="Z304" i="69"/>
  <c r="Z296" i="69"/>
  <c r="Z288" i="69"/>
  <c r="Z279" i="69"/>
  <c r="Z271" i="69"/>
  <c r="Z263" i="69"/>
  <c r="Z255" i="69"/>
  <c r="Z247" i="69"/>
  <c r="Z239" i="69"/>
  <c r="Z231" i="69"/>
  <c r="AJ231" i="69" s="1"/>
  <c r="AR231" i="69" s="1"/>
  <c r="Z223" i="69"/>
  <c r="Z215" i="69"/>
  <c r="Z207" i="69"/>
  <c r="Z199" i="69"/>
  <c r="Z191" i="69"/>
  <c r="Z183" i="69"/>
  <c r="Z175" i="69"/>
  <c r="Z167" i="69"/>
  <c r="Z159" i="69"/>
  <c r="Z151" i="69"/>
  <c r="Z143" i="69"/>
  <c r="Z135" i="69"/>
  <c r="Z127" i="69"/>
  <c r="Z119" i="69"/>
  <c r="AJ119" i="69" s="1"/>
  <c r="Z111" i="69"/>
  <c r="AJ111" i="69" s="1"/>
  <c r="Z103" i="69"/>
  <c r="Z95" i="69"/>
  <c r="AJ95" i="69" s="1"/>
  <c r="AU95" i="69" s="1"/>
  <c r="AV95" i="69" s="1"/>
  <c r="Z87" i="69"/>
  <c r="Z78" i="69"/>
  <c r="Z69" i="69"/>
  <c r="Z61" i="69"/>
  <c r="Z53" i="69"/>
  <c r="Z45" i="69"/>
  <c r="Z37" i="69"/>
  <c r="Z29" i="69"/>
  <c r="Z21" i="69"/>
  <c r="Z13" i="69"/>
  <c r="Z5" i="69"/>
  <c r="AU328" i="69"/>
  <c r="AV328" i="69" s="1"/>
  <c r="AR328" i="69"/>
  <c r="Z673" i="69"/>
  <c r="Z665" i="69"/>
  <c r="Z657" i="69"/>
  <c r="Z648" i="69"/>
  <c r="Z639" i="69"/>
  <c r="Z629" i="69"/>
  <c r="AJ629" i="69" s="1"/>
  <c r="AU629" i="69" s="1"/>
  <c r="AV629" i="69" s="1"/>
  <c r="Z621" i="69"/>
  <c r="AJ621" i="69" s="1"/>
  <c r="AU621" i="69" s="1"/>
  <c r="AV621" i="69" s="1"/>
  <c r="Z607" i="69"/>
  <c r="Z599" i="69"/>
  <c r="Z591" i="69"/>
  <c r="Z583" i="69"/>
  <c r="Z574" i="69"/>
  <c r="Z566" i="69"/>
  <c r="Z557" i="69"/>
  <c r="Z548" i="69"/>
  <c r="Z532" i="69"/>
  <c r="Z508" i="69"/>
  <c r="Z500" i="69"/>
  <c r="Z492" i="69"/>
  <c r="Z482" i="69"/>
  <c r="Z474" i="69"/>
  <c r="Z466" i="69"/>
  <c r="AJ466" i="69" s="1"/>
  <c r="AU466" i="69" s="1"/>
  <c r="AV466" i="69" s="1"/>
  <c r="Z457" i="69"/>
  <c r="Z449" i="69"/>
  <c r="Z441" i="69"/>
  <c r="AJ441" i="69" s="1"/>
  <c r="Z433" i="69"/>
  <c r="Z424" i="69"/>
  <c r="Z416" i="69"/>
  <c r="Z408" i="69"/>
  <c r="Z400" i="69"/>
  <c r="Z392" i="69"/>
  <c r="Z384" i="69"/>
  <c r="Z376" i="69"/>
  <c r="Z368" i="69"/>
  <c r="Z353" i="69"/>
  <c r="Z345" i="69"/>
  <c r="AJ345" i="69" s="1"/>
  <c r="Z336" i="69"/>
  <c r="Z327" i="69"/>
  <c r="Z319" i="69"/>
  <c r="Z303" i="69"/>
  <c r="Z295" i="69"/>
  <c r="Z287" i="69"/>
  <c r="Z278" i="69"/>
  <c r="Z270" i="69"/>
  <c r="Z262" i="69"/>
  <c r="Z254" i="69"/>
  <c r="Z246" i="69"/>
  <c r="Z238" i="69"/>
  <c r="Z230" i="69"/>
  <c r="AJ230" i="69" s="1"/>
  <c r="Z222" i="69"/>
  <c r="Z214" i="69"/>
  <c r="Z206" i="69"/>
  <c r="Z198" i="69"/>
  <c r="Z190" i="69"/>
  <c r="Z182" i="69"/>
  <c r="Z174" i="69"/>
  <c r="Z166" i="69"/>
  <c r="Z158" i="69"/>
  <c r="Z150" i="69"/>
  <c r="Z142" i="69"/>
  <c r="Z134" i="69"/>
  <c r="Z126" i="69"/>
  <c r="AJ126" i="69" s="1"/>
  <c r="Z118" i="69"/>
  <c r="AJ118" i="69" s="1"/>
  <c r="Z110" i="69"/>
  <c r="AJ110" i="69" s="1"/>
  <c r="Z102" i="69"/>
  <c r="Z94" i="69"/>
  <c r="AJ94" i="69" s="1"/>
  <c r="AU94" i="69" s="1"/>
  <c r="AV94" i="69" s="1"/>
  <c r="Z86" i="69"/>
  <c r="Z77" i="69"/>
  <c r="Z68" i="69"/>
  <c r="Z60" i="69"/>
  <c r="Z44" i="69"/>
  <c r="Z28" i="69"/>
  <c r="Z20" i="69"/>
  <c r="Z12" i="69"/>
  <c r="Z4" i="69"/>
  <c r="Z612" i="69"/>
  <c r="Z613" i="69"/>
  <c r="Z580" i="69"/>
  <c r="AJ580" i="69" s="1"/>
  <c r="Z564" i="69"/>
  <c r="AJ564" i="69" s="1"/>
  <c r="Z365" i="69"/>
  <c r="AJ365" i="69" s="1"/>
  <c r="Z672" i="69"/>
  <c r="Z664" i="69"/>
  <c r="Z655" i="69"/>
  <c r="Z647" i="69"/>
  <c r="Z638" i="69"/>
  <c r="Z628" i="69"/>
  <c r="AJ628" i="69" s="1"/>
  <c r="AR628" i="69" s="1"/>
  <c r="Z620" i="69"/>
  <c r="Z606" i="69"/>
  <c r="Z598" i="69"/>
  <c r="Z590" i="69"/>
  <c r="Z582" i="69"/>
  <c r="Z573" i="69"/>
  <c r="Z565" i="69"/>
  <c r="Z556" i="69"/>
  <c r="Z547" i="69"/>
  <c r="Z539" i="69"/>
  <c r="Z531" i="69"/>
  <c r="Z515" i="69"/>
  <c r="AJ515" i="69" s="1"/>
  <c r="Z507" i="69"/>
  <c r="Z491" i="69"/>
  <c r="Z481" i="69"/>
  <c r="Z473" i="69"/>
  <c r="Z465" i="69"/>
  <c r="AJ465" i="69" s="1"/>
  <c r="AU465" i="69" s="1"/>
  <c r="AV465" i="69" s="1"/>
  <c r="Z456" i="69"/>
  <c r="Z448" i="69"/>
  <c r="AJ448" i="69" s="1"/>
  <c r="AR448" i="69" s="1"/>
  <c r="Z440" i="69"/>
  <c r="AJ440" i="69" s="1"/>
  <c r="Z432" i="69"/>
  <c r="Z423" i="69"/>
  <c r="Z415" i="69"/>
  <c r="Z407" i="69"/>
  <c r="Z399" i="69"/>
  <c r="Z391" i="69"/>
  <c r="Z383" i="69"/>
  <c r="Z375" i="69"/>
  <c r="Z352" i="69"/>
  <c r="Z344" i="69"/>
  <c r="AJ344" i="69" s="1"/>
  <c r="AR344" i="69" s="1"/>
  <c r="Z335" i="69"/>
  <c r="Z326" i="69"/>
  <c r="Z318" i="69"/>
  <c r="AJ318" i="69" s="1"/>
  <c r="AR318" i="69" s="1"/>
  <c r="Z310" i="69"/>
  <c r="Z302" i="69"/>
  <c r="Z294" i="69"/>
  <c r="AJ294" i="69" s="1"/>
  <c r="Z286" i="69"/>
  <c r="Z277" i="69"/>
  <c r="Z269" i="69"/>
  <c r="Z261" i="69"/>
  <c r="Z253" i="69"/>
  <c r="Z245" i="69"/>
  <c r="Z237" i="69"/>
  <c r="Z229" i="69"/>
  <c r="AJ229" i="69" s="1"/>
  <c r="AU229" i="69" s="1"/>
  <c r="AV229" i="69" s="1"/>
  <c r="Z221" i="69"/>
  <c r="Z213" i="69"/>
  <c r="Z205" i="69"/>
  <c r="Z197" i="69"/>
  <c r="Z189" i="69"/>
  <c r="Z181" i="69"/>
  <c r="Z173" i="69"/>
  <c r="Z165" i="69"/>
  <c r="Z157" i="69"/>
  <c r="Z149" i="69"/>
  <c r="Z141" i="69"/>
  <c r="Z133" i="69"/>
  <c r="Z125" i="69"/>
  <c r="AJ125" i="69" s="1"/>
  <c r="Z117" i="69"/>
  <c r="AJ117" i="69" s="1"/>
  <c r="Z109" i="69"/>
  <c r="AJ109" i="69" s="1"/>
  <c r="Z101" i="69"/>
  <c r="Z93" i="69"/>
  <c r="AJ93" i="69" s="1"/>
  <c r="AU93" i="69" s="1"/>
  <c r="AV93" i="69" s="1"/>
  <c r="Z76" i="69"/>
  <c r="Z67" i="69"/>
  <c r="AJ67" i="69" s="1"/>
  <c r="AU67" i="69" s="1"/>
  <c r="AV67" i="69" s="1"/>
  <c r="Z59" i="69"/>
  <c r="Z51" i="69"/>
  <c r="Z43" i="69"/>
  <c r="Z35" i="69"/>
  <c r="Z27" i="69"/>
  <c r="Z19" i="69"/>
  <c r="Z3" i="69"/>
  <c r="Z679" i="69"/>
  <c r="Z671" i="69"/>
  <c r="Z663" i="69"/>
  <c r="Z654" i="69"/>
  <c r="Z646" i="69"/>
  <c r="Z627" i="69"/>
  <c r="AJ627" i="69" s="1"/>
  <c r="AU627" i="69" s="1"/>
  <c r="AV627" i="69" s="1"/>
  <c r="Z615" i="69"/>
  <c r="Z605" i="69"/>
  <c r="Z597" i="69"/>
  <c r="Z589" i="69"/>
  <c r="Z581" i="69"/>
  <c r="Z572" i="69"/>
  <c r="Z563" i="69"/>
  <c r="Z555" i="69"/>
  <c r="Z546" i="69"/>
  <c r="Z538" i="69"/>
  <c r="Z530" i="69"/>
  <c r="Z522" i="69"/>
  <c r="Z514" i="69"/>
  <c r="Z506" i="69"/>
  <c r="Z498" i="69"/>
  <c r="Z489" i="69"/>
  <c r="Z480" i="69"/>
  <c r="Z472" i="69"/>
  <c r="Z464" i="69"/>
  <c r="Z455" i="69"/>
  <c r="Z447" i="69"/>
  <c r="Z439" i="69"/>
  <c r="AJ439" i="69" s="1"/>
  <c r="AR439" i="69" s="1"/>
  <c r="Z431" i="69"/>
  <c r="Z422" i="69"/>
  <c r="Z414" i="69"/>
  <c r="Z406" i="69"/>
  <c r="Z398" i="69"/>
  <c r="Z390" i="69"/>
  <c r="Z382" i="69"/>
  <c r="Z374" i="69"/>
  <c r="Z366" i="69"/>
  <c r="Z351" i="69"/>
  <c r="Z343" i="69"/>
  <c r="Z334" i="69"/>
  <c r="Z325" i="69"/>
  <c r="Z317" i="69"/>
  <c r="Z309" i="69"/>
  <c r="Z301" i="69"/>
  <c r="Z293" i="69"/>
  <c r="Z285" i="69"/>
  <c r="Z268" i="69"/>
  <c r="Z260" i="69"/>
  <c r="Z244" i="69"/>
  <c r="Z236" i="69"/>
  <c r="Z228" i="69"/>
  <c r="AJ228" i="69" s="1"/>
  <c r="Z220" i="69"/>
  <c r="Z212" i="69"/>
  <c r="Z204" i="69"/>
  <c r="Z196" i="69"/>
  <c r="Z188" i="69"/>
  <c r="Z180" i="69"/>
  <c r="Z172" i="69"/>
  <c r="Z164" i="69"/>
  <c r="Z156" i="69"/>
  <c r="Z148" i="69"/>
  <c r="Z140" i="69"/>
  <c r="Z132" i="69"/>
  <c r="Z124" i="69"/>
  <c r="AJ124" i="69" s="1"/>
  <c r="Z116" i="69"/>
  <c r="AJ116" i="69" s="1"/>
  <c r="Z108" i="69"/>
  <c r="AJ108" i="69" s="1"/>
  <c r="Z100" i="69"/>
  <c r="Z92" i="69"/>
  <c r="Z84" i="69"/>
  <c r="AJ84" i="69" s="1"/>
  <c r="AR84" i="69" s="1"/>
  <c r="Z75" i="69"/>
  <c r="Z66" i="69"/>
  <c r="Z58" i="69"/>
  <c r="Z50" i="69"/>
  <c r="Z42" i="69"/>
  <c r="Z34" i="69"/>
  <c r="Z26" i="69"/>
  <c r="Z18" i="69"/>
  <c r="Z2" i="69"/>
  <c r="AR364" i="69"/>
  <c r="AU364" i="69"/>
  <c r="AV364" i="69" s="1"/>
  <c r="Z425" i="69"/>
  <c r="AJ425" i="69" s="1"/>
  <c r="Z280" i="69"/>
  <c r="AJ280" i="69" s="1"/>
  <c r="Z678" i="69"/>
  <c r="Z670" i="69"/>
  <c r="Z662" i="69"/>
  <c r="Z653" i="69"/>
  <c r="Z644" i="69"/>
  <c r="Z626" i="69"/>
  <c r="AJ626" i="69" s="1"/>
  <c r="AR626" i="69" s="1"/>
  <c r="Z614" i="69"/>
  <c r="Z604" i="69"/>
  <c r="Z596" i="69"/>
  <c r="Z588" i="69"/>
  <c r="Z579" i="69"/>
  <c r="Z571" i="69"/>
  <c r="Z562" i="69"/>
  <c r="Z554" i="69"/>
  <c r="Z537" i="69"/>
  <c r="Z513" i="69"/>
  <c r="Z505" i="69"/>
  <c r="Z497" i="69"/>
  <c r="Z488" i="69"/>
  <c r="Z479" i="69"/>
  <c r="Z471" i="69"/>
  <c r="Z463" i="69"/>
  <c r="Z454" i="69"/>
  <c r="Z446" i="69"/>
  <c r="Z438" i="69"/>
  <c r="AJ438" i="69" s="1"/>
  <c r="AR438" i="69" s="1"/>
  <c r="Z430" i="69"/>
  <c r="Z421" i="69"/>
  <c r="Z413" i="69"/>
  <c r="Z405" i="69"/>
  <c r="Z397" i="69"/>
  <c r="Z389" i="69"/>
  <c r="Z381" i="69"/>
  <c r="Z373" i="69"/>
  <c r="Z358" i="69"/>
  <c r="Z341" i="69"/>
  <c r="Z333" i="69"/>
  <c r="Z324" i="69"/>
  <c r="Z308" i="69"/>
  <c r="Z300" i="69"/>
  <c r="Z292" i="69"/>
  <c r="Z284" i="69"/>
  <c r="Z275" i="69"/>
  <c r="Z267" i="69"/>
  <c r="Z259" i="69"/>
  <c r="Z251" i="69"/>
  <c r="Z243" i="69"/>
  <c r="Z235" i="69"/>
  <c r="AJ235" i="69" s="1"/>
  <c r="Z227" i="69"/>
  <c r="AJ227" i="69" s="1"/>
  <c r="AU227" i="69" s="1"/>
  <c r="AV227" i="69" s="1"/>
  <c r="Z219" i="69"/>
  <c r="Z211" i="69"/>
  <c r="Z203" i="69"/>
  <c r="Z195" i="69"/>
  <c r="Z187" i="69"/>
  <c r="Z179" i="69"/>
  <c r="Z171" i="69"/>
  <c r="Z163" i="69"/>
  <c r="Z155" i="69"/>
  <c r="Z147" i="69"/>
  <c r="Z139" i="69"/>
  <c r="Z131" i="69"/>
  <c r="Z123" i="69"/>
  <c r="AJ123" i="69" s="1"/>
  <c r="Z115" i="69"/>
  <c r="AJ115" i="69" s="1"/>
  <c r="Z107" i="69"/>
  <c r="AJ107" i="69" s="1"/>
  <c r="Z99" i="69"/>
  <c r="Z91" i="69"/>
  <c r="Z83" i="69"/>
  <c r="AJ83" i="69" s="1"/>
  <c r="AU83" i="69" s="1"/>
  <c r="AV83" i="69" s="1"/>
  <c r="Z74" i="69"/>
  <c r="Z65" i="69"/>
  <c r="Z57" i="69"/>
  <c r="Z49" i="69"/>
  <c r="Z41" i="69"/>
  <c r="Z33" i="69"/>
  <c r="Z25" i="69"/>
  <c r="Z669" i="69"/>
  <c r="Z661" i="69"/>
  <c r="Z652" i="69"/>
  <c r="Z643" i="69"/>
  <c r="Z625" i="69"/>
  <c r="AJ625" i="69" s="1"/>
  <c r="AU625" i="69" s="1"/>
  <c r="AV625" i="69" s="1"/>
  <c r="Z611" i="69"/>
  <c r="Z603" i="69"/>
  <c r="Z595" i="69"/>
  <c r="Z587" i="69"/>
  <c r="Z578" i="69"/>
  <c r="Z570" i="69"/>
  <c r="Z561" i="69"/>
  <c r="Z553" i="69"/>
  <c r="Z544" i="69"/>
  <c r="Z536" i="69"/>
  <c r="Z528" i="69"/>
  <c r="Z512" i="69"/>
  <c r="Z504" i="69"/>
  <c r="Z496" i="69"/>
  <c r="Z487" i="69"/>
  <c r="Z478" i="69"/>
  <c r="Z470" i="69"/>
  <c r="Z462" i="69"/>
  <c r="AJ462" i="69" s="1"/>
  <c r="Z453" i="69"/>
  <c r="Z445" i="69"/>
  <c r="Z437" i="69"/>
  <c r="AJ437" i="69" s="1"/>
  <c r="AU437" i="69" s="1"/>
  <c r="AV437" i="69" s="1"/>
  <c r="Z429" i="69"/>
  <c r="Z420" i="69"/>
  <c r="Z412" i="69"/>
  <c r="Z404" i="69"/>
  <c r="AJ404" i="69" s="1"/>
  <c r="AR404" i="69" s="1"/>
  <c r="Z396" i="69"/>
  <c r="Z388" i="69"/>
  <c r="Z380" i="69"/>
  <c r="Z357" i="69"/>
  <c r="AJ357" i="69" s="1"/>
  <c r="AU357" i="69" s="1"/>
  <c r="AV357" i="69" s="1"/>
  <c r="Z349" i="69"/>
  <c r="Z332" i="69"/>
  <c r="Z323" i="69"/>
  <c r="Z307" i="69"/>
  <c r="Z299" i="69"/>
  <c r="Z291" i="69"/>
  <c r="Z283" i="69"/>
  <c r="Z266" i="69"/>
  <c r="Z258" i="69"/>
  <c r="Z250" i="69"/>
  <c r="Z242" i="69"/>
  <c r="Z234" i="69"/>
  <c r="Z226" i="69"/>
  <c r="AJ226" i="69" s="1"/>
  <c r="AU226" i="69" s="1"/>
  <c r="AV226" i="69" s="1"/>
  <c r="Z218" i="69"/>
  <c r="Z210" i="69"/>
  <c r="Z202" i="69"/>
  <c r="Z186" i="69"/>
  <c r="Z178" i="69"/>
  <c r="Z162" i="69"/>
  <c r="Z146" i="69"/>
  <c r="Z138" i="69"/>
  <c r="Z122" i="69"/>
  <c r="AJ122" i="69" s="1"/>
  <c r="Z114" i="69"/>
  <c r="AJ114" i="69" s="1"/>
  <c r="Z98" i="69"/>
  <c r="AJ98" i="69" s="1"/>
  <c r="AU98" i="69" s="1"/>
  <c r="AV98" i="69" s="1"/>
  <c r="Z73" i="69"/>
  <c r="Z64" i="69"/>
  <c r="Z56" i="69"/>
  <c r="Z48" i="69"/>
  <c r="Z40" i="69"/>
  <c r="Z32" i="69"/>
  <c r="Z8" i="69"/>
  <c r="AU403" i="69"/>
  <c r="AV403" i="69" s="1"/>
  <c r="AR403" i="69"/>
  <c r="AR417" i="69"/>
  <c r="AU417" i="69"/>
  <c r="AV417" i="69" s="1"/>
  <c r="AR357" i="69"/>
  <c r="AU631" i="69"/>
  <c r="AV631" i="69" s="1"/>
  <c r="AR631" i="69"/>
  <c r="AU434" i="69"/>
  <c r="AV434" i="69" s="1"/>
  <c r="AR434" i="69"/>
  <c r="AR515" i="69"/>
  <c r="AU515" i="69"/>
  <c r="AV515" i="69" s="1"/>
  <c r="AR441" i="69"/>
  <c r="AU441" i="69"/>
  <c r="AV441" i="69" s="1"/>
  <c r="AR440" i="69"/>
  <c r="AU440" i="69"/>
  <c r="AV440" i="69" s="1"/>
  <c r="AU630" i="69"/>
  <c r="AV630" i="69" s="1"/>
  <c r="AU628" i="69"/>
  <c r="AV628" i="69" s="1"/>
  <c r="AR624" i="69"/>
  <c r="AU624" i="69"/>
  <c r="AV624" i="69" s="1"/>
  <c r="AR623" i="69"/>
  <c r="AU623" i="69"/>
  <c r="AV623" i="69" s="1"/>
  <c r="AR226" i="69"/>
  <c r="AN426" i="69"/>
  <c r="AG426" i="69"/>
  <c r="AO426" i="69" s="1"/>
  <c r="U426" i="69"/>
  <c r="U656" i="69"/>
  <c r="AG656" i="69"/>
  <c r="AT232" i="69"/>
  <c r="AS232" i="69"/>
  <c r="AU82" i="69"/>
  <c r="AV82" i="69" s="1"/>
  <c r="AR466" i="69"/>
  <c r="AR229" i="69"/>
  <c r="AN230" i="69"/>
  <c r="U230" i="69"/>
  <c r="AG230" i="69"/>
  <c r="AO230" i="69" s="1"/>
  <c r="AM228" i="69"/>
  <c r="AR96" i="69"/>
  <c r="T228" i="69"/>
  <c r="AF228" i="69"/>
  <c r="AN228" i="69" s="1"/>
  <c r="AR485" i="69"/>
  <c r="AR98" i="69"/>
  <c r="AU84" i="69"/>
  <c r="AV84" i="69" s="1"/>
  <c r="AU97" i="69"/>
  <c r="AV97" i="69" s="1"/>
  <c r="AU448" i="69"/>
  <c r="AV448" i="69" s="1"/>
  <c r="AE645" i="69"/>
  <c r="S645" i="69"/>
  <c r="AF619" i="69"/>
  <c r="T619" i="69"/>
  <c r="AE618" i="69"/>
  <c r="S618" i="69"/>
  <c r="AE617" i="69"/>
  <c r="S617" i="69"/>
  <c r="S490" i="69"/>
  <c r="AE490" i="69"/>
  <c r="G8" i="82"/>
  <c r="G7" i="82"/>
  <c r="G6" i="82"/>
  <c r="G5" i="82"/>
  <c r="G4" i="82"/>
  <c r="G50" i="82"/>
  <c r="G49" i="82"/>
  <c r="G48" i="82"/>
  <c r="G47" i="82"/>
  <c r="G46" i="82"/>
  <c r="G45" i="82"/>
  <c r="G44" i="82"/>
  <c r="G43" i="82"/>
  <c r="G42" i="82"/>
  <c r="G41" i="82"/>
  <c r="G40" i="82"/>
  <c r="G39" i="82"/>
  <c r="G38" i="82"/>
  <c r="G37" i="82"/>
  <c r="G36" i="82"/>
  <c r="G35" i="82"/>
  <c r="G34" i="82"/>
  <c r="G33" i="82"/>
  <c r="G32" i="82"/>
  <c r="G31" i="82"/>
  <c r="G30" i="82"/>
  <c r="G29" i="82"/>
  <c r="G28" i="82"/>
  <c r="G27" i="82"/>
  <c r="G26" i="82"/>
  <c r="G25" i="82"/>
  <c r="G24" i="82"/>
  <c r="G23" i="82"/>
  <c r="G22" i="82"/>
  <c r="G21" i="82"/>
  <c r="G20" i="82"/>
  <c r="G19" i="82"/>
  <c r="G18" i="82"/>
  <c r="G17" i="82"/>
  <c r="G16" i="82"/>
  <c r="G15" i="82"/>
  <c r="G14" i="82"/>
  <c r="G13" i="82"/>
  <c r="G12" i="82"/>
  <c r="G11" i="82"/>
  <c r="G10" i="82"/>
  <c r="G9" i="82"/>
  <c r="G3" i="82"/>
  <c r="AJ540" i="69"/>
  <c r="AJ106" i="69"/>
  <c r="AX675" i="69"/>
  <c r="AW675" i="69"/>
  <c r="AC675" i="69"/>
  <c r="AB675" i="69"/>
  <c r="Q675" i="69"/>
  <c r="R675" i="69" s="1"/>
  <c r="AX620" i="69"/>
  <c r="AW620" i="69"/>
  <c r="AC620" i="69"/>
  <c r="AB620" i="69"/>
  <c r="Q620" i="69"/>
  <c r="AD620" i="69" s="1"/>
  <c r="AL620" i="69" s="1"/>
  <c r="AX540" i="69"/>
  <c r="AW540" i="69"/>
  <c r="AC540" i="69"/>
  <c r="AK540" i="69" s="1"/>
  <c r="AB540" i="69"/>
  <c r="Q540" i="69"/>
  <c r="AD540" i="69" s="1"/>
  <c r="AL540" i="69" s="1"/>
  <c r="AX539" i="69"/>
  <c r="AW539" i="69"/>
  <c r="AC539" i="69"/>
  <c r="AB539" i="69"/>
  <c r="Q539" i="69"/>
  <c r="R539" i="69" s="1"/>
  <c r="AX538" i="69"/>
  <c r="AW538" i="69"/>
  <c r="AC538" i="69"/>
  <c r="AB538" i="69"/>
  <c r="Q538" i="69"/>
  <c r="AD538" i="69" s="1"/>
  <c r="AL538" i="69" s="1"/>
  <c r="AX462" i="69"/>
  <c r="AW462" i="69"/>
  <c r="AC462" i="69"/>
  <c r="AB462" i="69"/>
  <c r="Q462" i="69"/>
  <c r="AD462" i="69" s="1"/>
  <c r="AL462" i="69" s="1"/>
  <c r="AX436" i="69"/>
  <c r="AW436" i="69"/>
  <c r="AC436" i="69"/>
  <c r="AB436" i="69"/>
  <c r="Q436" i="69"/>
  <c r="R436" i="69" s="1"/>
  <c r="AX435" i="69"/>
  <c r="AW435" i="69"/>
  <c r="AC435" i="69"/>
  <c r="AK435" i="69" s="1"/>
  <c r="AB435" i="69"/>
  <c r="Q435" i="69"/>
  <c r="R435" i="69" s="1"/>
  <c r="AX345" i="69"/>
  <c r="AW345" i="69"/>
  <c r="AC345" i="69"/>
  <c r="AB345" i="69"/>
  <c r="Q345" i="69"/>
  <c r="AD345" i="69" s="1"/>
  <c r="AL345" i="69" s="1"/>
  <c r="AX106" i="69"/>
  <c r="AW106" i="69"/>
  <c r="AC106" i="69"/>
  <c r="AK106" i="69" s="1"/>
  <c r="AB106" i="69"/>
  <c r="Q106" i="69"/>
  <c r="R106" i="69" s="1"/>
  <c r="AR83" i="69" l="1"/>
  <c r="AU439" i="69"/>
  <c r="AV439" i="69" s="1"/>
  <c r="N136" i="65"/>
  <c r="O136" i="65" s="1"/>
  <c r="I136" i="65"/>
  <c r="Y2" i="68"/>
  <c r="N18" i="68" s="1"/>
  <c r="N13" i="68" s="1"/>
  <c r="O9" i="87" s="1"/>
  <c r="C20" i="87" s="1"/>
  <c r="Z2" i="68"/>
  <c r="N19" i="68" s="1"/>
  <c r="O15" i="87" s="1"/>
  <c r="N134" i="65"/>
  <c r="O134" i="65" s="1"/>
  <c r="I134" i="65"/>
  <c r="N117" i="65"/>
  <c r="O117" i="65" s="1"/>
  <c r="I117" i="65"/>
  <c r="N140" i="65"/>
  <c r="O140" i="65" s="1"/>
  <c r="I140" i="65"/>
  <c r="M140" i="65"/>
  <c r="K140" i="65"/>
  <c r="N128" i="65"/>
  <c r="O128" i="65" s="1"/>
  <c r="I128" i="65"/>
  <c r="M132" i="65"/>
  <c r="K132" i="65"/>
  <c r="N142" i="65"/>
  <c r="O142" i="65" s="1"/>
  <c r="I142" i="65"/>
  <c r="M138" i="65"/>
  <c r="K138" i="65"/>
  <c r="M142" i="65"/>
  <c r="K142" i="65"/>
  <c r="N130" i="65"/>
  <c r="O130" i="65" s="1"/>
  <c r="I130" i="65"/>
  <c r="M130" i="65"/>
  <c r="K130" i="65"/>
  <c r="M119" i="65"/>
  <c r="K119" i="65"/>
  <c r="M376" i="65"/>
  <c r="K376" i="65"/>
  <c r="N376" i="65"/>
  <c r="O376" i="65" s="1"/>
  <c r="I376" i="65"/>
  <c r="N119" i="65"/>
  <c r="O119" i="65" s="1"/>
  <c r="I119" i="65"/>
  <c r="AU318" i="69"/>
  <c r="AV318" i="69" s="1"/>
  <c r="AU438" i="69"/>
  <c r="AV438" i="69" s="1"/>
  <c r="AU344" i="69"/>
  <c r="AV344" i="69" s="1"/>
  <c r="AR232" i="69"/>
  <c r="AR67" i="69"/>
  <c r="AR629" i="69"/>
  <c r="AU231" i="69"/>
  <c r="AV231" i="69" s="1"/>
  <c r="AR94" i="69"/>
  <c r="AU404" i="69"/>
  <c r="AV404" i="69" s="1"/>
  <c r="AR627" i="69"/>
  <c r="AR621" i="69"/>
  <c r="AR437" i="69"/>
  <c r="AR465" i="69"/>
  <c r="AR625" i="69"/>
  <c r="AR632" i="69"/>
  <c r="AU632" i="69"/>
  <c r="AV632" i="69" s="1"/>
  <c r="AR95" i="69"/>
  <c r="AU622" i="69"/>
  <c r="AV622" i="69" s="1"/>
  <c r="AU626" i="69"/>
  <c r="AV626" i="69" s="1"/>
  <c r="AU483" i="69"/>
  <c r="AV483" i="69" s="1"/>
  <c r="AR483" i="69"/>
  <c r="AR227" i="69"/>
  <c r="AU402" i="69"/>
  <c r="AV402" i="69" s="1"/>
  <c r="AU365" i="69"/>
  <c r="AV365" i="69" s="1"/>
  <c r="AR365" i="69"/>
  <c r="AU564" i="69"/>
  <c r="AV564" i="69" s="1"/>
  <c r="AR564" i="69"/>
  <c r="AR93" i="69"/>
  <c r="AU280" i="69"/>
  <c r="AV280" i="69" s="1"/>
  <c r="AR280" i="69"/>
  <c r="AR580" i="69"/>
  <c r="AU580" i="69"/>
  <c r="AV580" i="69" s="1"/>
  <c r="AU425" i="69"/>
  <c r="AV425" i="69" s="1"/>
  <c r="AR425" i="69"/>
  <c r="AU637" i="69"/>
  <c r="AV637" i="69" s="1"/>
  <c r="AR637" i="69"/>
  <c r="AU616" i="69"/>
  <c r="AV616" i="69" s="1"/>
  <c r="AR616" i="69"/>
  <c r="AH426" i="69"/>
  <c r="AP426" i="69" s="1"/>
  <c r="V426" i="69"/>
  <c r="AI426" i="69" s="1"/>
  <c r="AQ426" i="69" s="1"/>
  <c r="AO656" i="69"/>
  <c r="AH656" i="69"/>
  <c r="AP656" i="69" s="1"/>
  <c r="V656" i="69"/>
  <c r="AI656" i="69" s="1"/>
  <c r="AQ656" i="69" s="1"/>
  <c r="V230" i="69"/>
  <c r="AI230" i="69" s="1"/>
  <c r="AQ230" i="69" s="1"/>
  <c r="AH230" i="69"/>
  <c r="U228" i="69"/>
  <c r="AG228" i="69"/>
  <c r="AM645" i="69"/>
  <c r="AF645" i="69"/>
  <c r="AN645" i="69" s="1"/>
  <c r="T645" i="69"/>
  <c r="AN619" i="69"/>
  <c r="AG619" i="69"/>
  <c r="AO619" i="69" s="1"/>
  <c r="U619" i="69"/>
  <c r="AF618" i="69"/>
  <c r="AN618" i="69" s="1"/>
  <c r="T618" i="69"/>
  <c r="AM618" i="69"/>
  <c r="AF617" i="69"/>
  <c r="AN617" i="69" s="1"/>
  <c r="T617" i="69"/>
  <c r="AM617" i="69"/>
  <c r="AM490" i="69"/>
  <c r="AF490" i="69"/>
  <c r="AN490" i="69" s="1"/>
  <c r="T490" i="69"/>
  <c r="AJ539" i="69"/>
  <c r="AD106" i="69"/>
  <c r="AL106" i="69" s="1"/>
  <c r="S106" i="69"/>
  <c r="AF106" i="69" s="1"/>
  <c r="AN106" i="69" s="1"/>
  <c r="AE106" i="69"/>
  <c r="AM106" i="69" s="1"/>
  <c r="AE675" i="69"/>
  <c r="AM675" i="69" s="1"/>
  <c r="S675" i="69"/>
  <c r="AK675" i="69"/>
  <c r="AD675" i="69"/>
  <c r="AL675" i="69" s="1"/>
  <c r="R620" i="69"/>
  <c r="AK620" i="69"/>
  <c r="R540" i="69"/>
  <c r="AE539" i="69"/>
  <c r="AM539" i="69" s="1"/>
  <c r="S539" i="69"/>
  <c r="AK539" i="69"/>
  <c r="AD539" i="69"/>
  <c r="AL539" i="69" s="1"/>
  <c r="AK538" i="69"/>
  <c r="R538" i="69"/>
  <c r="AK462" i="69"/>
  <c r="R462" i="69"/>
  <c r="AE436" i="69"/>
  <c r="AM436" i="69" s="1"/>
  <c r="S436" i="69"/>
  <c r="AK436" i="69"/>
  <c r="AD436" i="69"/>
  <c r="AL436" i="69" s="1"/>
  <c r="AE435" i="69"/>
  <c r="AM435" i="69" s="1"/>
  <c r="S435" i="69"/>
  <c r="AD435" i="69"/>
  <c r="AL435" i="69" s="1"/>
  <c r="AK345" i="69"/>
  <c r="R345" i="69"/>
  <c r="N132" i="65" l="1"/>
  <c r="O132" i="65" s="1"/>
  <c r="I132" i="65"/>
  <c r="N138" i="65"/>
  <c r="O138" i="65" s="1"/>
  <c r="I138" i="65"/>
  <c r="M117" i="65"/>
  <c r="K117" i="65"/>
  <c r="O14" i="87"/>
  <c r="N525" i="65"/>
  <c r="O525" i="65" s="1"/>
  <c r="I525" i="65"/>
  <c r="M525" i="65"/>
  <c r="K525" i="65"/>
  <c r="M128" i="65"/>
  <c r="K128" i="65"/>
  <c r="M136" i="65"/>
  <c r="K136" i="65"/>
  <c r="M316" i="65"/>
  <c r="K316" i="65"/>
  <c r="N316" i="65"/>
  <c r="O316" i="65" s="1"/>
  <c r="I316" i="65"/>
  <c r="M134" i="65"/>
  <c r="K134" i="65"/>
  <c r="N12" i="76"/>
  <c r="C17" i="87"/>
  <c r="AT426" i="69"/>
  <c r="AS656" i="69"/>
  <c r="AS426" i="69"/>
  <c r="AR426" i="69"/>
  <c r="AU426" i="69"/>
  <c r="AV426" i="69" s="1"/>
  <c r="AR656" i="69"/>
  <c r="M640" i="65" s="1"/>
  <c r="AT656" i="69"/>
  <c r="L640" i="65" s="1"/>
  <c r="AU656" i="69"/>
  <c r="AV656" i="69" s="1"/>
  <c r="AO228" i="69"/>
  <c r="V228" i="69"/>
  <c r="AI228" i="69" s="1"/>
  <c r="AQ228" i="69" s="1"/>
  <c r="AH228" i="69"/>
  <c r="AP228" i="69" s="1"/>
  <c r="AP230" i="69"/>
  <c r="AU230" i="69" s="1"/>
  <c r="AV230" i="69" s="1"/>
  <c r="AS230" i="69"/>
  <c r="AG645" i="69"/>
  <c r="AO645" i="69" s="1"/>
  <c r="U645" i="69"/>
  <c r="AH619" i="69"/>
  <c r="V619" i="69"/>
  <c r="AI619" i="69" s="1"/>
  <c r="AQ619" i="69" s="1"/>
  <c r="AG618" i="69"/>
  <c r="U618" i="69"/>
  <c r="AG617" i="69"/>
  <c r="AO617" i="69" s="1"/>
  <c r="U617" i="69"/>
  <c r="AG490" i="69"/>
  <c r="AO490" i="69" s="1"/>
  <c r="U490" i="69"/>
  <c r="T106" i="69"/>
  <c r="AG106" i="69" s="1"/>
  <c r="AF675" i="69"/>
  <c r="AN675" i="69" s="1"/>
  <c r="T675" i="69"/>
  <c r="AE620" i="69"/>
  <c r="S620" i="69"/>
  <c r="AE540" i="69"/>
  <c r="S540" i="69"/>
  <c r="AF539" i="69"/>
  <c r="AN539" i="69" s="1"/>
  <c r="T539" i="69"/>
  <c r="AE538" i="69"/>
  <c r="S538" i="69"/>
  <c r="AE462" i="69"/>
  <c r="S462" i="69"/>
  <c r="AF436" i="69"/>
  <c r="AN436" i="69" s="1"/>
  <c r="T436" i="69"/>
  <c r="AF435" i="69"/>
  <c r="AN435" i="69" s="1"/>
  <c r="T435" i="69"/>
  <c r="AE345" i="69"/>
  <c r="S345" i="69"/>
  <c r="AX281" i="69"/>
  <c r="N640" i="65" l="1"/>
  <c r="O640" i="65" s="1"/>
  <c r="I640" i="65"/>
  <c r="K640" i="65"/>
  <c r="AT228" i="69"/>
  <c r="AR228" i="69"/>
  <c r="AR230" i="69"/>
  <c r="AT230" i="69"/>
  <c r="AS228" i="69"/>
  <c r="AU228" i="69"/>
  <c r="AV228" i="69" s="1"/>
  <c r="AS619" i="69"/>
  <c r="V645" i="69"/>
  <c r="AI645" i="69" s="1"/>
  <c r="AQ645" i="69" s="1"/>
  <c r="AH645" i="69"/>
  <c r="AP645" i="69" s="1"/>
  <c r="AP619" i="69"/>
  <c r="AU619" i="69" s="1"/>
  <c r="AV619" i="69" s="1"/>
  <c r="I356" i="65" s="1"/>
  <c r="AO618" i="69"/>
  <c r="AH618" i="69"/>
  <c r="AP618" i="69" s="1"/>
  <c r="V618" i="69"/>
  <c r="AI618" i="69" s="1"/>
  <c r="AQ618" i="69" s="1"/>
  <c r="AH617" i="69"/>
  <c r="AP617" i="69" s="1"/>
  <c r="V617" i="69"/>
  <c r="AI617" i="69" s="1"/>
  <c r="AQ617" i="69" s="1"/>
  <c r="AH490" i="69"/>
  <c r="AP490" i="69" s="1"/>
  <c r="V490" i="69"/>
  <c r="AI490" i="69" s="1"/>
  <c r="AQ490" i="69" s="1"/>
  <c r="U106" i="69"/>
  <c r="V106" i="69" s="1"/>
  <c r="AI106" i="69" s="1"/>
  <c r="AQ106" i="69" s="1"/>
  <c r="AG675" i="69"/>
  <c r="AO675" i="69" s="1"/>
  <c r="U675" i="69"/>
  <c r="AF620" i="69"/>
  <c r="AN620" i="69" s="1"/>
  <c r="T620" i="69"/>
  <c r="AM620" i="69"/>
  <c r="AF540" i="69"/>
  <c r="AN540" i="69" s="1"/>
  <c r="T540" i="69"/>
  <c r="AM540" i="69"/>
  <c r="AG539" i="69"/>
  <c r="AO539" i="69" s="1"/>
  <c r="U539" i="69"/>
  <c r="AF538" i="69"/>
  <c r="AN538" i="69" s="1"/>
  <c r="T538" i="69"/>
  <c r="AM538" i="69"/>
  <c r="AF462" i="69"/>
  <c r="AN462" i="69" s="1"/>
  <c r="T462" i="69"/>
  <c r="AM462" i="69"/>
  <c r="AG436" i="69"/>
  <c r="AO436" i="69" s="1"/>
  <c r="U436" i="69"/>
  <c r="AG435" i="69"/>
  <c r="U435" i="69"/>
  <c r="AM345" i="69"/>
  <c r="AF345" i="69"/>
  <c r="AN345" i="69" s="1"/>
  <c r="T345" i="69"/>
  <c r="AO106" i="69"/>
  <c r="Q303" i="69"/>
  <c r="R303" i="69" s="1"/>
  <c r="S303" i="69" s="1"/>
  <c r="AJ303" i="69"/>
  <c r="AB303" i="69"/>
  <c r="AC303" i="69"/>
  <c r="AK303" i="69" s="1"/>
  <c r="AW303" i="69"/>
  <c r="AX303" i="69"/>
  <c r="Q299" i="69"/>
  <c r="R299" i="69" s="1"/>
  <c r="S299" i="69" s="1"/>
  <c r="AB299" i="69"/>
  <c r="AC299" i="69"/>
  <c r="AK299" i="69" s="1"/>
  <c r="AW299" i="69"/>
  <c r="AX299" i="69"/>
  <c r="Q300" i="69"/>
  <c r="R300" i="69" s="1"/>
  <c r="AB300" i="69"/>
  <c r="AC300" i="69"/>
  <c r="AK300" i="69" s="1"/>
  <c r="AW300" i="69"/>
  <c r="AX300" i="69"/>
  <c r="Q301" i="69"/>
  <c r="R301" i="69" s="1"/>
  <c r="AJ301" i="69"/>
  <c r="AB301" i="69"/>
  <c r="AC301" i="69"/>
  <c r="AK301" i="69" s="1"/>
  <c r="AW301" i="69"/>
  <c r="AX301" i="69"/>
  <c r="Q294" i="69"/>
  <c r="AB294" i="69"/>
  <c r="Q295" i="69"/>
  <c r="R295" i="69" s="1"/>
  <c r="AB295" i="69"/>
  <c r="AC295" i="69"/>
  <c r="AK295" i="69" s="1"/>
  <c r="AW295" i="69"/>
  <c r="AX295" i="69"/>
  <c r="Q296" i="69"/>
  <c r="R296" i="69" s="1"/>
  <c r="AB296" i="69"/>
  <c r="AC296" i="69"/>
  <c r="AK296" i="69" s="1"/>
  <c r="AW296" i="69"/>
  <c r="AX296" i="69"/>
  <c r="Q297" i="69"/>
  <c r="R297" i="69" s="1"/>
  <c r="AB297" i="69"/>
  <c r="AC297" i="69"/>
  <c r="AK297" i="69" s="1"/>
  <c r="AW297" i="69"/>
  <c r="AX297" i="69"/>
  <c r="Q282" i="69"/>
  <c r="R282" i="69" s="1"/>
  <c r="Q283" i="69"/>
  <c r="R283" i="69" s="1"/>
  <c r="Q284" i="69"/>
  <c r="R284" i="69" s="1"/>
  <c r="AB282" i="69"/>
  <c r="AB283" i="69"/>
  <c r="AB284" i="69"/>
  <c r="AC282" i="69"/>
  <c r="AK282" i="69" s="1"/>
  <c r="AC283" i="69"/>
  <c r="AK283" i="69" s="1"/>
  <c r="AC284" i="69"/>
  <c r="AK284" i="69" s="1"/>
  <c r="AW282" i="69"/>
  <c r="AW283" i="69"/>
  <c r="AW284" i="69"/>
  <c r="AX282" i="69"/>
  <c r="AX283" i="69"/>
  <c r="AX284" i="69"/>
  <c r="Q285" i="69"/>
  <c r="R285" i="69" s="1"/>
  <c r="Q286" i="69"/>
  <c r="R286" i="69" s="1"/>
  <c r="Q287" i="69"/>
  <c r="R287" i="69" s="1"/>
  <c r="S287" i="69" s="1"/>
  <c r="AB285" i="69"/>
  <c r="AB286" i="69"/>
  <c r="AB287" i="69"/>
  <c r="AC285" i="69"/>
  <c r="AK285" i="69" s="1"/>
  <c r="AC286" i="69"/>
  <c r="AK286" i="69" s="1"/>
  <c r="AC287" i="69"/>
  <c r="AK287" i="69" s="1"/>
  <c r="AW285" i="69"/>
  <c r="AW286" i="69"/>
  <c r="AW287" i="69"/>
  <c r="AX285" i="69"/>
  <c r="AX286" i="69"/>
  <c r="AX287" i="69"/>
  <c r="Q288" i="69"/>
  <c r="AD288" i="69" s="1"/>
  <c r="AL288" i="69" s="1"/>
  <c r="Q289" i="69"/>
  <c r="R289" i="69" s="1"/>
  <c r="Q290" i="69"/>
  <c r="R290" i="69" s="1"/>
  <c r="AB288" i="69"/>
  <c r="AB289" i="69"/>
  <c r="AB290" i="69"/>
  <c r="AC288" i="69"/>
  <c r="AK288" i="69" s="1"/>
  <c r="AC289" i="69"/>
  <c r="AK289" i="69" s="1"/>
  <c r="AC290" i="69"/>
  <c r="AK290" i="69" s="1"/>
  <c r="AW288" i="69"/>
  <c r="AW289" i="69"/>
  <c r="AW290" i="69"/>
  <c r="AX288" i="69"/>
  <c r="AX289" i="69"/>
  <c r="AX290" i="69"/>
  <c r="Q291" i="69"/>
  <c r="R291" i="69" s="1"/>
  <c r="Q292" i="69"/>
  <c r="R292" i="69" s="1"/>
  <c r="AB291" i="69"/>
  <c r="AB292" i="69"/>
  <c r="AC291" i="69"/>
  <c r="AK291" i="69" s="1"/>
  <c r="AC292" i="69"/>
  <c r="AK292" i="69" s="1"/>
  <c r="AW291" i="69"/>
  <c r="AW292" i="69"/>
  <c r="AX291" i="69"/>
  <c r="AX292" i="69"/>
  <c r="Q256" i="69"/>
  <c r="R256" i="69" s="1"/>
  <c r="Q257" i="69"/>
  <c r="R257" i="69" s="1"/>
  <c r="Q258" i="69"/>
  <c r="AD258" i="69" s="1"/>
  <c r="AL258" i="69" s="1"/>
  <c r="AB256" i="69"/>
  <c r="AB257" i="69"/>
  <c r="AB258" i="69"/>
  <c r="AC256" i="69"/>
  <c r="AK256" i="69" s="1"/>
  <c r="AC257" i="69"/>
  <c r="AK257" i="69" s="1"/>
  <c r="AC258" i="69"/>
  <c r="AK258" i="69" s="1"/>
  <c r="AW256" i="69"/>
  <c r="AW257" i="69"/>
  <c r="AW258" i="69"/>
  <c r="AX256" i="69"/>
  <c r="AX257" i="69"/>
  <c r="AX258" i="69"/>
  <c r="Q259" i="69"/>
  <c r="R259" i="69" s="1"/>
  <c r="S259" i="69" s="1"/>
  <c r="T259" i="69" s="1"/>
  <c r="Q260" i="69"/>
  <c r="R260" i="69" s="1"/>
  <c r="Q261" i="69"/>
  <c r="R261" i="69" s="1"/>
  <c r="S261" i="69" s="1"/>
  <c r="AB259" i="69"/>
  <c r="AB260" i="69"/>
  <c r="AB261" i="69"/>
  <c r="AC259" i="69"/>
  <c r="AK259" i="69" s="1"/>
  <c r="AC260" i="69"/>
  <c r="AK260" i="69" s="1"/>
  <c r="AC261" i="69"/>
  <c r="AK261" i="69" s="1"/>
  <c r="AW259" i="69"/>
  <c r="AW260" i="69"/>
  <c r="AW261" i="69"/>
  <c r="AX259" i="69"/>
  <c r="AX260" i="69"/>
  <c r="AX261" i="69"/>
  <c r="Q262" i="69"/>
  <c r="R262" i="69" s="1"/>
  <c r="Q263" i="69"/>
  <c r="R263" i="69" s="1"/>
  <c r="S263" i="69" s="1"/>
  <c r="Q264" i="69"/>
  <c r="R264" i="69" s="1"/>
  <c r="AB262" i="69"/>
  <c r="AB263" i="69"/>
  <c r="AB264" i="69"/>
  <c r="AC262" i="69"/>
  <c r="AK262" i="69" s="1"/>
  <c r="AC263" i="69"/>
  <c r="AK263" i="69" s="1"/>
  <c r="AC264" i="69"/>
  <c r="AK264" i="69" s="1"/>
  <c r="AW262" i="69"/>
  <c r="AW263" i="69"/>
  <c r="AW264" i="69"/>
  <c r="AX262" i="69"/>
  <c r="AX263" i="69"/>
  <c r="AX264" i="69"/>
  <c r="Q265" i="69"/>
  <c r="R265" i="69" s="1"/>
  <c r="Q266" i="69"/>
  <c r="R266" i="69" s="1"/>
  <c r="Q267" i="69"/>
  <c r="AD267" i="69" s="1"/>
  <c r="AL267" i="69" s="1"/>
  <c r="AB265" i="69"/>
  <c r="AB266" i="69"/>
  <c r="AB267" i="69"/>
  <c r="AC265" i="69"/>
  <c r="AK265" i="69" s="1"/>
  <c r="AC266" i="69"/>
  <c r="AK266" i="69" s="1"/>
  <c r="AC267" i="69"/>
  <c r="AK267" i="69" s="1"/>
  <c r="AW265" i="69"/>
  <c r="AW266" i="69"/>
  <c r="AW267" i="69"/>
  <c r="AX265" i="69"/>
  <c r="AX266" i="69"/>
  <c r="AX267" i="69"/>
  <c r="Q268" i="69"/>
  <c r="R268" i="69" s="1"/>
  <c r="Q269" i="69"/>
  <c r="AD269" i="69" s="1"/>
  <c r="AL269" i="69" s="1"/>
  <c r="Q270" i="69"/>
  <c r="R270" i="69" s="1"/>
  <c r="AB268" i="69"/>
  <c r="AB269" i="69"/>
  <c r="AB270" i="69"/>
  <c r="AC268" i="69"/>
  <c r="AK268" i="69" s="1"/>
  <c r="AC269" i="69"/>
  <c r="AK269" i="69" s="1"/>
  <c r="AC270" i="69"/>
  <c r="AK270" i="69" s="1"/>
  <c r="AW268" i="69"/>
  <c r="AW269" i="69"/>
  <c r="AW270" i="69"/>
  <c r="AX268" i="69"/>
  <c r="AX269" i="69"/>
  <c r="AX270" i="69"/>
  <c r="Q271" i="69"/>
  <c r="R271" i="69" s="1"/>
  <c r="Q272" i="69"/>
  <c r="R272" i="69" s="1"/>
  <c r="S272" i="69" s="1"/>
  <c r="Q273" i="69"/>
  <c r="AD273" i="69" s="1"/>
  <c r="AL273" i="69" s="1"/>
  <c r="AB271" i="69"/>
  <c r="AB272" i="69"/>
  <c r="AB273" i="69"/>
  <c r="AC271" i="69"/>
  <c r="AK271" i="69" s="1"/>
  <c r="AC272" i="69"/>
  <c r="AK272" i="69" s="1"/>
  <c r="AC273" i="69"/>
  <c r="AK273" i="69" s="1"/>
  <c r="AW271" i="69"/>
  <c r="AW272" i="69"/>
  <c r="AW273" i="69"/>
  <c r="AX271" i="69"/>
  <c r="AX272" i="69"/>
  <c r="AX273" i="69"/>
  <c r="Q274" i="69"/>
  <c r="R274" i="69" s="1"/>
  <c r="Q275" i="69"/>
  <c r="R275" i="69" s="1"/>
  <c r="Q276" i="69"/>
  <c r="AD276" i="69" s="1"/>
  <c r="AL276" i="69" s="1"/>
  <c r="AB274" i="69"/>
  <c r="AB275" i="69"/>
  <c r="AB276" i="69"/>
  <c r="AC274" i="69"/>
  <c r="AK274" i="69" s="1"/>
  <c r="AC275" i="69"/>
  <c r="AK275" i="69" s="1"/>
  <c r="AC276" i="69"/>
  <c r="AK276" i="69" s="1"/>
  <c r="AW274" i="69"/>
  <c r="AW275" i="69"/>
  <c r="AW276" i="69"/>
  <c r="AX274" i="69"/>
  <c r="AX275" i="69"/>
  <c r="AX276" i="69"/>
  <c r="Q277" i="69"/>
  <c r="R277" i="69" s="1"/>
  <c r="Q278" i="69"/>
  <c r="R278" i="69" s="1"/>
  <c r="Q279" i="69"/>
  <c r="R279" i="69" s="1"/>
  <c r="S279" i="69" s="1"/>
  <c r="AB277" i="69"/>
  <c r="AB278" i="69"/>
  <c r="AB279" i="69"/>
  <c r="AC277" i="69"/>
  <c r="AK277" i="69" s="1"/>
  <c r="AC278" i="69"/>
  <c r="AK278" i="69" s="1"/>
  <c r="AC279" i="69"/>
  <c r="AK279" i="69" s="1"/>
  <c r="AW277" i="69"/>
  <c r="AW278" i="69"/>
  <c r="AW279" i="69"/>
  <c r="AX277" i="69"/>
  <c r="AX278" i="69"/>
  <c r="AX279" i="69"/>
  <c r="Q107" i="69"/>
  <c r="R108" i="69"/>
  <c r="Q109" i="69"/>
  <c r="Q110" i="69"/>
  <c r="Q111" i="69"/>
  <c r="Q112" i="69"/>
  <c r="Q113" i="69"/>
  <c r="Q114" i="69"/>
  <c r="AD114" i="69" s="1"/>
  <c r="R115" i="69"/>
  <c r="AE115" i="69" s="1"/>
  <c r="Q116" i="69"/>
  <c r="Q117" i="69"/>
  <c r="Q118" i="69"/>
  <c r="AD118" i="69" s="1"/>
  <c r="Q119" i="69"/>
  <c r="R120" i="69"/>
  <c r="AE120" i="69" s="1"/>
  <c r="Q121" i="69"/>
  <c r="Q122" i="69"/>
  <c r="R123" i="69"/>
  <c r="AE123" i="69" s="1"/>
  <c r="Q124" i="69"/>
  <c r="AD124" i="69" s="1"/>
  <c r="R125" i="69"/>
  <c r="AE125" i="69" s="1"/>
  <c r="AH106" i="69" l="1"/>
  <c r="AP106" i="69" s="1"/>
  <c r="E66" i="87"/>
  <c r="AM125" i="69"/>
  <c r="AL124" i="69"/>
  <c r="AM123" i="69"/>
  <c r="R122" i="69"/>
  <c r="AE122" i="69" s="1"/>
  <c r="AM122" i="69" s="1"/>
  <c r="AD122" i="69"/>
  <c r="R121" i="69"/>
  <c r="AE121" i="69" s="1"/>
  <c r="AM121" i="69" s="1"/>
  <c r="AD121" i="69"/>
  <c r="AM120" i="69"/>
  <c r="R119" i="69"/>
  <c r="AE119" i="69" s="1"/>
  <c r="AM119" i="69" s="1"/>
  <c r="AD119" i="69"/>
  <c r="AL118" i="69"/>
  <c r="R117" i="69"/>
  <c r="AE117" i="69" s="1"/>
  <c r="AM117" i="69" s="1"/>
  <c r="AD117" i="69"/>
  <c r="R116" i="69"/>
  <c r="AD116" i="69"/>
  <c r="AM115" i="69"/>
  <c r="AL114" i="69"/>
  <c r="R113" i="69"/>
  <c r="AE113" i="69" s="1"/>
  <c r="AM113" i="69" s="1"/>
  <c r="AD113" i="69"/>
  <c r="R112" i="69"/>
  <c r="AE112" i="69" s="1"/>
  <c r="AM112" i="69" s="1"/>
  <c r="AD112" i="69"/>
  <c r="R111" i="69"/>
  <c r="AE111" i="69" s="1"/>
  <c r="AM111" i="69" s="1"/>
  <c r="AD111" i="69"/>
  <c r="R110" i="69"/>
  <c r="AE110" i="69" s="1"/>
  <c r="AM110" i="69" s="1"/>
  <c r="AD110" i="69"/>
  <c r="R109" i="69"/>
  <c r="AE109" i="69" s="1"/>
  <c r="AM109" i="69" s="1"/>
  <c r="AD109" i="69"/>
  <c r="S108" i="69"/>
  <c r="AF108" i="69" s="1"/>
  <c r="AN108" i="69" s="1"/>
  <c r="AE108" i="69"/>
  <c r="R107" i="69"/>
  <c r="AE107" i="69" s="1"/>
  <c r="AM107" i="69" s="1"/>
  <c r="AD107" i="69"/>
  <c r="K356" i="65"/>
  <c r="N356" i="65"/>
  <c r="O356" i="65" s="1"/>
  <c r="R294" i="69"/>
  <c r="AE294" i="69" s="1"/>
  <c r="AM294" i="69" s="1"/>
  <c r="AD294" i="69"/>
  <c r="AU490" i="69"/>
  <c r="AV490" i="69" s="1"/>
  <c r="AT645" i="69"/>
  <c r="L584" i="65" s="1"/>
  <c r="AR617" i="69"/>
  <c r="AS617" i="69"/>
  <c r="AS645" i="69"/>
  <c r="AU645" i="69"/>
  <c r="AV645" i="69" s="1"/>
  <c r="AR645" i="69"/>
  <c r="M584" i="65" s="1"/>
  <c r="AR619" i="69"/>
  <c r="AT619" i="69"/>
  <c r="AU618" i="69"/>
  <c r="AV618" i="69" s="1"/>
  <c r="I358" i="65" s="1"/>
  <c r="AS618" i="69"/>
  <c r="AT618" i="69"/>
  <c r="AR618" i="69"/>
  <c r="AT617" i="69"/>
  <c r="AU617" i="69"/>
  <c r="AV617" i="69" s="1"/>
  <c r="I354" i="65" s="1"/>
  <c r="AT490" i="69"/>
  <c r="AR490" i="69"/>
  <c r="AS490" i="69"/>
  <c r="AH675" i="69"/>
  <c r="V675" i="69"/>
  <c r="AI675" i="69" s="1"/>
  <c r="AQ675" i="69" s="1"/>
  <c r="AG620" i="69"/>
  <c r="AO620" i="69" s="1"/>
  <c r="U620" i="69"/>
  <c r="AG540" i="69"/>
  <c r="AO540" i="69" s="1"/>
  <c r="U540" i="69"/>
  <c r="AH539" i="69"/>
  <c r="V539" i="69"/>
  <c r="AI539" i="69" s="1"/>
  <c r="AQ539" i="69" s="1"/>
  <c r="AG538" i="69"/>
  <c r="AO538" i="69" s="1"/>
  <c r="U538" i="69"/>
  <c r="AG462" i="69"/>
  <c r="AO462" i="69" s="1"/>
  <c r="U462" i="69"/>
  <c r="AH436" i="69"/>
  <c r="V436" i="69"/>
  <c r="AI436" i="69" s="1"/>
  <c r="AQ436" i="69" s="1"/>
  <c r="AO435" i="69"/>
  <c r="AH435" i="69"/>
  <c r="AP435" i="69" s="1"/>
  <c r="V435" i="69"/>
  <c r="AI435" i="69" s="1"/>
  <c r="AQ435" i="69" s="1"/>
  <c r="AG345" i="69"/>
  <c r="AO345" i="69" s="1"/>
  <c r="U345" i="69"/>
  <c r="AS106" i="69"/>
  <c r="AU106" i="69"/>
  <c r="AV106" i="69" s="1"/>
  <c r="AR106" i="69"/>
  <c r="AT106" i="69"/>
  <c r="AD303" i="69"/>
  <c r="AL303" i="69" s="1"/>
  <c r="AD299" i="69"/>
  <c r="AL299" i="69" s="1"/>
  <c r="T303" i="69"/>
  <c r="AF303" i="69"/>
  <c r="AN303" i="69" s="1"/>
  <c r="AE303" i="69"/>
  <c r="AM303" i="69" s="1"/>
  <c r="T299" i="69"/>
  <c r="AF299" i="69"/>
  <c r="AN299" i="69" s="1"/>
  <c r="AE299" i="69"/>
  <c r="AM299" i="69" s="1"/>
  <c r="S300" i="69"/>
  <c r="AE300" i="69"/>
  <c r="AM300" i="69" s="1"/>
  <c r="AD300" i="69"/>
  <c r="S301" i="69"/>
  <c r="AE301" i="69"/>
  <c r="AM301" i="69" s="1"/>
  <c r="AD289" i="69"/>
  <c r="AL289" i="69" s="1"/>
  <c r="AD301" i="69"/>
  <c r="S295" i="69"/>
  <c r="AE295" i="69"/>
  <c r="AM295" i="69" s="1"/>
  <c r="AD295" i="69"/>
  <c r="S289" i="69"/>
  <c r="T289" i="69" s="1"/>
  <c r="AG289" i="69" s="1"/>
  <c r="AO289" i="69" s="1"/>
  <c r="AE289" i="69"/>
  <c r="AM289" i="69" s="1"/>
  <c r="S296" i="69"/>
  <c r="AE296" i="69"/>
  <c r="AM296" i="69" s="1"/>
  <c r="R258" i="69"/>
  <c r="S258" i="69" s="1"/>
  <c r="T258" i="69" s="1"/>
  <c r="AD284" i="69"/>
  <c r="AL284" i="69" s="1"/>
  <c r="AD296" i="69"/>
  <c r="AD287" i="69"/>
  <c r="AL287" i="69" s="1"/>
  <c r="S297" i="69"/>
  <c r="AE297" i="69"/>
  <c r="AM297" i="69" s="1"/>
  <c r="S284" i="69"/>
  <c r="T284" i="69" s="1"/>
  <c r="AE284" i="69"/>
  <c r="AM284" i="69" s="1"/>
  <c r="AD283" i="69"/>
  <c r="AL283" i="69" s="1"/>
  <c r="AD282" i="69"/>
  <c r="AL282" i="69" s="1"/>
  <c r="R288" i="69"/>
  <c r="S288" i="69" s="1"/>
  <c r="T288" i="69" s="1"/>
  <c r="AG288" i="69" s="1"/>
  <c r="AO288" i="69" s="1"/>
  <c r="AD297" i="69"/>
  <c r="S282" i="69"/>
  <c r="T282" i="69" s="1"/>
  <c r="U282" i="69" s="1"/>
  <c r="AE282" i="69"/>
  <c r="AM282" i="69" s="1"/>
  <c r="AE283" i="69"/>
  <c r="AM283" i="69" s="1"/>
  <c r="S283" i="69"/>
  <c r="T283" i="69" s="1"/>
  <c r="U283" i="69" s="1"/>
  <c r="S286" i="69"/>
  <c r="AE286" i="69"/>
  <c r="AM286" i="69" s="1"/>
  <c r="S285" i="69"/>
  <c r="AE285" i="69"/>
  <c r="AM285" i="69" s="1"/>
  <c r="AD261" i="69"/>
  <c r="AL261" i="69" s="1"/>
  <c r="AD268" i="69"/>
  <c r="AL268" i="69" s="1"/>
  <c r="AD286" i="69"/>
  <c r="AL286" i="69" s="1"/>
  <c r="AD257" i="69"/>
  <c r="AL257" i="69" s="1"/>
  <c r="AD285" i="69"/>
  <c r="AL285" i="69" s="1"/>
  <c r="T287" i="69"/>
  <c r="AF287" i="69"/>
  <c r="AN287" i="69" s="1"/>
  <c r="AE287" i="69"/>
  <c r="AM287" i="69" s="1"/>
  <c r="S290" i="69"/>
  <c r="AE290" i="69"/>
  <c r="AM290" i="69" s="1"/>
  <c r="AD290" i="69"/>
  <c r="S292" i="69"/>
  <c r="AE292" i="69"/>
  <c r="AM292" i="69" s="1"/>
  <c r="S291" i="69"/>
  <c r="AE291" i="69"/>
  <c r="AM291" i="69" s="1"/>
  <c r="AD259" i="69"/>
  <c r="AL259" i="69" s="1"/>
  <c r="AD272" i="69"/>
  <c r="AL272" i="69" s="1"/>
  <c r="AD292" i="69"/>
  <c r="AD271" i="69"/>
  <c r="AL271" i="69" s="1"/>
  <c r="AD263" i="69"/>
  <c r="AL263" i="69" s="1"/>
  <c r="AD291" i="69"/>
  <c r="AD262" i="69"/>
  <c r="AL262" i="69" s="1"/>
  <c r="AE257" i="69"/>
  <c r="AM257" i="69" s="1"/>
  <c r="S257" i="69"/>
  <c r="T257" i="69" s="1"/>
  <c r="U257" i="69" s="1"/>
  <c r="AD260" i="69"/>
  <c r="AL260" i="69" s="1"/>
  <c r="AD256" i="69"/>
  <c r="AL256" i="69" s="1"/>
  <c r="S260" i="69"/>
  <c r="T260" i="69" s="1"/>
  <c r="U260" i="69" s="1"/>
  <c r="AE260" i="69"/>
  <c r="AM260" i="69" s="1"/>
  <c r="S256" i="69"/>
  <c r="AE256" i="69"/>
  <c r="AM256" i="69" s="1"/>
  <c r="AE259" i="69"/>
  <c r="AM259" i="69" s="1"/>
  <c r="T261" i="69"/>
  <c r="AF261" i="69"/>
  <c r="AN261" i="69" s="1"/>
  <c r="U259" i="69"/>
  <c r="AG259" i="69"/>
  <c r="AO259" i="69" s="1"/>
  <c r="AD266" i="69"/>
  <c r="AL266" i="69" s="1"/>
  <c r="AD265" i="69"/>
  <c r="AL265" i="69" s="1"/>
  <c r="AD275" i="69"/>
  <c r="AL275" i="69" s="1"/>
  <c r="AD264" i="69"/>
  <c r="AL264" i="69" s="1"/>
  <c r="AF259" i="69"/>
  <c r="AE261" i="69"/>
  <c r="AM261" i="69" s="1"/>
  <c r="T263" i="69"/>
  <c r="AF263" i="69"/>
  <c r="AN263" i="69" s="1"/>
  <c r="AE265" i="69"/>
  <c r="AM265" i="69" s="1"/>
  <c r="S265" i="69"/>
  <c r="T265" i="69" s="1"/>
  <c r="AG265" i="69" s="1"/>
  <c r="AO265" i="69" s="1"/>
  <c r="S264" i="69"/>
  <c r="AE264" i="69"/>
  <c r="S262" i="69"/>
  <c r="AE262" i="69"/>
  <c r="AM262" i="69" s="1"/>
  <c r="AE263" i="69"/>
  <c r="AM263" i="69" s="1"/>
  <c r="R269" i="69"/>
  <c r="R267" i="69"/>
  <c r="S267" i="69" s="1"/>
  <c r="T267" i="69" s="1"/>
  <c r="AE272" i="69"/>
  <c r="AM272" i="69" s="1"/>
  <c r="R273" i="69"/>
  <c r="S273" i="69" s="1"/>
  <c r="AF273" i="69" s="1"/>
  <c r="AN273" i="69" s="1"/>
  <c r="S266" i="69"/>
  <c r="AE266" i="69"/>
  <c r="S271" i="69"/>
  <c r="T271" i="69" s="1"/>
  <c r="U271" i="69" s="1"/>
  <c r="AE271" i="69"/>
  <c r="AM271" i="69" s="1"/>
  <c r="T272" i="69"/>
  <c r="AG272" i="69" s="1"/>
  <c r="AF272" i="69"/>
  <c r="AN272" i="69" s="1"/>
  <c r="S270" i="69"/>
  <c r="AE270" i="69"/>
  <c r="AM270" i="69" s="1"/>
  <c r="S268" i="69"/>
  <c r="AE268" i="69"/>
  <c r="AM268" i="69" s="1"/>
  <c r="R276" i="69"/>
  <c r="AD270" i="69"/>
  <c r="AE275" i="69"/>
  <c r="AM275" i="69" s="1"/>
  <c r="S275" i="69"/>
  <c r="T275" i="69" s="1"/>
  <c r="U275" i="69" s="1"/>
  <c r="AD279" i="69"/>
  <c r="AL279" i="69" s="1"/>
  <c r="S274" i="69"/>
  <c r="AE274" i="69"/>
  <c r="AM274" i="69" s="1"/>
  <c r="R126" i="69"/>
  <c r="AD274" i="69"/>
  <c r="S278" i="69"/>
  <c r="AE278" i="69"/>
  <c r="AM278" i="69" s="1"/>
  <c r="S277" i="69"/>
  <c r="AE277" i="69"/>
  <c r="AM277" i="69" s="1"/>
  <c r="T279" i="69"/>
  <c r="AF279" i="69"/>
  <c r="AN279" i="69" s="1"/>
  <c r="R118" i="69"/>
  <c r="AE118" i="69" s="1"/>
  <c r="AM118" i="69" s="1"/>
  <c r="AD278" i="69"/>
  <c r="AD277" i="69"/>
  <c r="AE279" i="69"/>
  <c r="AM279" i="69" s="1"/>
  <c r="R124" i="69"/>
  <c r="R114" i="69"/>
  <c r="S125" i="69"/>
  <c r="AF125" i="69" s="1"/>
  <c r="AN125" i="69" s="1"/>
  <c r="S123" i="69"/>
  <c r="AF123" i="69" s="1"/>
  <c r="AN123" i="69" s="1"/>
  <c r="S115" i="69"/>
  <c r="AF115" i="69" s="1"/>
  <c r="AN115" i="69" s="1"/>
  <c r="S120" i="69"/>
  <c r="AF120" i="69" s="1"/>
  <c r="AN120" i="69" s="1"/>
  <c r="K584" i="65" l="1"/>
  <c r="N584" i="65"/>
  <c r="O584" i="65" s="1"/>
  <c r="I584" i="65"/>
  <c r="S122" i="69"/>
  <c r="AF122" i="69" s="1"/>
  <c r="AN122" i="69" s="1"/>
  <c r="S121" i="69"/>
  <c r="AF121" i="69" s="1"/>
  <c r="AN121" i="69" s="1"/>
  <c r="T108" i="69"/>
  <c r="AG108" i="69" s="1"/>
  <c r="AO108" i="69" s="1"/>
  <c r="S111" i="69"/>
  <c r="AF111" i="69" s="1"/>
  <c r="AN111" i="69" s="1"/>
  <c r="S109" i="69"/>
  <c r="AF109" i="69" s="1"/>
  <c r="AN109" i="69" s="1"/>
  <c r="S117" i="69"/>
  <c r="AF117" i="69" s="1"/>
  <c r="AN117" i="69" s="1"/>
  <c r="S126" i="69"/>
  <c r="AE126" i="69"/>
  <c r="S124" i="69"/>
  <c r="AE124" i="69"/>
  <c r="AL122" i="69"/>
  <c r="AL121" i="69"/>
  <c r="S119" i="69"/>
  <c r="AF119" i="69" s="1"/>
  <c r="AN119" i="69" s="1"/>
  <c r="AL119" i="69"/>
  <c r="AL117" i="69"/>
  <c r="AL116" i="69"/>
  <c r="S116" i="69"/>
  <c r="AE116" i="69"/>
  <c r="AM116" i="69" s="1"/>
  <c r="S114" i="69"/>
  <c r="AE114" i="69"/>
  <c r="S113" i="69"/>
  <c r="AF113" i="69" s="1"/>
  <c r="AN113" i="69" s="1"/>
  <c r="AL113" i="69"/>
  <c r="S112" i="69"/>
  <c r="AF112" i="69" s="1"/>
  <c r="AN112" i="69" s="1"/>
  <c r="AL112" i="69"/>
  <c r="AL111" i="69"/>
  <c r="S110" i="69"/>
  <c r="AL110" i="69"/>
  <c r="AL109" i="69"/>
  <c r="AM108" i="69"/>
  <c r="S107" i="69"/>
  <c r="AF107" i="69" s="1"/>
  <c r="AN107" i="69" s="1"/>
  <c r="AL107" i="69"/>
  <c r="S294" i="69"/>
  <c r="AF294" i="69" s="1"/>
  <c r="AN294" i="69" s="1"/>
  <c r="L358" i="65"/>
  <c r="M354" i="65"/>
  <c r="N358" i="65"/>
  <c r="O358" i="65" s="1"/>
  <c r="K354" i="65"/>
  <c r="K358" i="65"/>
  <c r="L356" i="65"/>
  <c r="M358" i="65"/>
  <c r="M356" i="65"/>
  <c r="N354" i="65"/>
  <c r="O354" i="65" s="1"/>
  <c r="L354" i="65"/>
  <c r="AL294" i="69"/>
  <c r="AS435" i="69"/>
  <c r="AP675" i="69"/>
  <c r="AS675" i="69"/>
  <c r="AH620" i="69"/>
  <c r="AP620" i="69" s="1"/>
  <c r="V620" i="69"/>
  <c r="AI620" i="69" s="1"/>
  <c r="AQ620" i="69" s="1"/>
  <c r="AH540" i="69"/>
  <c r="AP540" i="69" s="1"/>
  <c r="V540" i="69"/>
  <c r="AI540" i="69" s="1"/>
  <c r="AQ540" i="69" s="1"/>
  <c r="AP539" i="69"/>
  <c r="AR539" i="69" s="1"/>
  <c r="M427" i="65" s="1"/>
  <c r="AS539" i="69"/>
  <c r="K427" i="65" s="1"/>
  <c r="AH538" i="69"/>
  <c r="AP538" i="69" s="1"/>
  <c r="V538" i="69"/>
  <c r="AI538" i="69" s="1"/>
  <c r="AQ538" i="69" s="1"/>
  <c r="AH462" i="69"/>
  <c r="AP462" i="69" s="1"/>
  <c r="V462" i="69"/>
  <c r="AI462" i="69" s="1"/>
  <c r="AQ462" i="69" s="1"/>
  <c r="AP436" i="69"/>
  <c r="AS436" i="69"/>
  <c r="AT435" i="69"/>
  <c r="AH345" i="69"/>
  <c r="V345" i="69"/>
  <c r="AI345" i="69" s="1"/>
  <c r="AQ345" i="69" s="1"/>
  <c r="AF258" i="69"/>
  <c r="AN258" i="69" s="1"/>
  <c r="AG303" i="69"/>
  <c r="U303" i="69"/>
  <c r="U299" i="69"/>
  <c r="AG299" i="69"/>
  <c r="AO299" i="69" s="1"/>
  <c r="T300" i="69"/>
  <c r="AF300" i="69"/>
  <c r="AN300" i="69" s="1"/>
  <c r="AL300" i="69"/>
  <c r="AF288" i="69"/>
  <c r="AN288" i="69" s="1"/>
  <c r="U288" i="69"/>
  <c r="V288" i="69" s="1"/>
  <c r="AI288" i="69" s="1"/>
  <c r="AQ288" i="69" s="1"/>
  <c r="AE288" i="69"/>
  <c r="AM288" i="69" s="1"/>
  <c r="AL301" i="69"/>
  <c r="T301" i="69"/>
  <c r="AF301" i="69"/>
  <c r="AN301" i="69" s="1"/>
  <c r="AL295" i="69"/>
  <c r="AE258" i="69"/>
  <c r="AM258" i="69" s="1"/>
  <c r="T295" i="69"/>
  <c r="AF295" i="69"/>
  <c r="AN295" i="69" s="1"/>
  <c r="U289" i="69"/>
  <c r="V289" i="69" s="1"/>
  <c r="AI289" i="69" s="1"/>
  <c r="AQ289" i="69" s="1"/>
  <c r="AF289" i="69"/>
  <c r="AN289" i="69" s="1"/>
  <c r="T296" i="69"/>
  <c r="AF296" i="69"/>
  <c r="AN296" i="69" s="1"/>
  <c r="AL296" i="69"/>
  <c r="AF283" i="69"/>
  <c r="AN283" i="69" s="1"/>
  <c r="AG283" i="69"/>
  <c r="AO283" i="69" s="1"/>
  <c r="AF284" i="69"/>
  <c r="AN284" i="69" s="1"/>
  <c r="AL297" i="69"/>
  <c r="T297" i="69"/>
  <c r="AF297" i="69"/>
  <c r="AN297" i="69" s="1"/>
  <c r="T285" i="69"/>
  <c r="AF285" i="69"/>
  <c r="AN285" i="69" s="1"/>
  <c r="AF282" i="69"/>
  <c r="AN282" i="69" s="1"/>
  <c r="AG282" i="69"/>
  <c r="AO282" i="69" s="1"/>
  <c r="U284" i="69"/>
  <c r="AG284" i="69"/>
  <c r="AO284" i="69" s="1"/>
  <c r="AF286" i="69"/>
  <c r="T286" i="69"/>
  <c r="U265" i="69"/>
  <c r="AH265" i="69" s="1"/>
  <c r="AP265" i="69" s="1"/>
  <c r="U287" i="69"/>
  <c r="AG287" i="69"/>
  <c r="AO287" i="69" s="1"/>
  <c r="V283" i="69"/>
  <c r="AI283" i="69" s="1"/>
  <c r="AQ283" i="69" s="1"/>
  <c r="AH283" i="69"/>
  <c r="AP283" i="69" s="1"/>
  <c r="AH282" i="69"/>
  <c r="AP282" i="69" s="1"/>
  <c r="V282" i="69"/>
  <c r="AI282" i="69" s="1"/>
  <c r="AQ282" i="69" s="1"/>
  <c r="AL290" i="69"/>
  <c r="AF257" i="69"/>
  <c r="AN257" i="69" s="1"/>
  <c r="AG257" i="69"/>
  <c r="AO257" i="69" s="1"/>
  <c r="T290" i="69"/>
  <c r="AF290" i="69"/>
  <c r="T292" i="69"/>
  <c r="AF292" i="69"/>
  <c r="AN292" i="69" s="1"/>
  <c r="AE267" i="69"/>
  <c r="AM267" i="69" s="1"/>
  <c r="AL292" i="69"/>
  <c r="T291" i="69"/>
  <c r="AF291" i="69"/>
  <c r="AN291" i="69" s="1"/>
  <c r="AL291" i="69"/>
  <c r="AF265" i="69"/>
  <c r="AN265" i="69" s="1"/>
  <c r="T256" i="69"/>
  <c r="AF256" i="69"/>
  <c r="AG260" i="69"/>
  <c r="AO260" i="69" s="1"/>
  <c r="U258" i="69"/>
  <c r="AG258" i="69"/>
  <c r="AO258" i="69" s="1"/>
  <c r="AF260" i="69"/>
  <c r="AN260" i="69" s="1"/>
  <c r="V257" i="69"/>
  <c r="AI257" i="69" s="1"/>
  <c r="AQ257" i="69" s="1"/>
  <c r="AH257" i="69"/>
  <c r="U272" i="69"/>
  <c r="AH272" i="69" s="1"/>
  <c r="V259" i="69"/>
  <c r="AI259" i="69" s="1"/>
  <c r="AQ259" i="69" s="1"/>
  <c r="AH259" i="69"/>
  <c r="AP259" i="69" s="1"/>
  <c r="AN259" i="69"/>
  <c r="U261" i="69"/>
  <c r="AG261" i="69"/>
  <c r="AO261" i="69" s="1"/>
  <c r="T273" i="69"/>
  <c r="U273" i="69" s="1"/>
  <c r="AF267" i="69"/>
  <c r="AN267" i="69" s="1"/>
  <c r="V260" i="69"/>
  <c r="AI260" i="69" s="1"/>
  <c r="AQ260" i="69" s="1"/>
  <c r="AH260" i="69"/>
  <c r="AP260" i="69" s="1"/>
  <c r="T262" i="69"/>
  <c r="AF262" i="69"/>
  <c r="AN262" i="69" s="1"/>
  <c r="AE273" i="69"/>
  <c r="AM273" i="69" s="1"/>
  <c r="AM264" i="69"/>
  <c r="T264" i="69"/>
  <c r="AF264" i="69"/>
  <c r="AN264" i="69" s="1"/>
  <c r="U263" i="69"/>
  <c r="AG263" i="69"/>
  <c r="AO263" i="69" s="1"/>
  <c r="AE269" i="69"/>
  <c r="AM269" i="69" s="1"/>
  <c r="S269" i="69"/>
  <c r="AF271" i="69"/>
  <c r="AN271" i="69" s="1"/>
  <c r="AM266" i="69"/>
  <c r="T266" i="69"/>
  <c r="AF266" i="69"/>
  <c r="AN266" i="69" s="1"/>
  <c r="U267" i="69"/>
  <c r="AG267" i="69"/>
  <c r="AO267" i="69" s="1"/>
  <c r="T268" i="69"/>
  <c r="AF268" i="69"/>
  <c r="AG275" i="69"/>
  <c r="AO275" i="69" s="1"/>
  <c r="AF275" i="69"/>
  <c r="AN275" i="69" s="1"/>
  <c r="T270" i="69"/>
  <c r="AF270" i="69"/>
  <c r="AN270" i="69" s="1"/>
  <c r="AL270" i="69"/>
  <c r="AG271" i="69"/>
  <c r="AO271" i="69" s="1"/>
  <c r="AE276" i="69"/>
  <c r="AM276" i="69" s="1"/>
  <c r="S276" i="69"/>
  <c r="V271" i="69"/>
  <c r="AI271" i="69" s="1"/>
  <c r="AQ271" i="69" s="1"/>
  <c r="AH271" i="69"/>
  <c r="AP271" i="69" s="1"/>
  <c r="AO272" i="69"/>
  <c r="V275" i="69"/>
  <c r="AI275" i="69" s="1"/>
  <c r="AQ275" i="69" s="1"/>
  <c r="AH275" i="69"/>
  <c r="AL274" i="69"/>
  <c r="T274" i="69"/>
  <c r="AF274" i="69"/>
  <c r="AN274" i="69" s="1"/>
  <c r="AL277" i="69"/>
  <c r="AL278" i="69"/>
  <c r="T277" i="69"/>
  <c r="AF277" i="69"/>
  <c r="AN277" i="69" s="1"/>
  <c r="S118" i="69"/>
  <c r="AF118" i="69" s="1"/>
  <c r="AN118" i="69" s="1"/>
  <c r="T278" i="69"/>
  <c r="AF278" i="69"/>
  <c r="U279" i="69"/>
  <c r="AG279" i="69"/>
  <c r="AO279" i="69" s="1"/>
  <c r="T115" i="69"/>
  <c r="AG115" i="69" s="1"/>
  <c r="AO115" i="69" s="1"/>
  <c r="T123" i="69"/>
  <c r="AG123" i="69" s="1"/>
  <c r="AO123" i="69" s="1"/>
  <c r="T125" i="69"/>
  <c r="AG125" i="69" s="1"/>
  <c r="AO125" i="69" s="1"/>
  <c r="T121" i="69"/>
  <c r="AG121" i="69" s="1"/>
  <c r="AO121" i="69" s="1"/>
  <c r="T120" i="69"/>
  <c r="AG120" i="69" s="1"/>
  <c r="AO120" i="69" s="1"/>
  <c r="T112" i="69"/>
  <c r="AG112" i="69" s="1"/>
  <c r="AO112" i="69" s="1"/>
  <c r="T122" i="69" l="1"/>
  <c r="U122" i="69" s="1"/>
  <c r="AH122" i="69" s="1"/>
  <c r="AP122" i="69" s="1"/>
  <c r="T107" i="69"/>
  <c r="AG107" i="69" s="1"/>
  <c r="AO107" i="69" s="1"/>
  <c r="U108" i="69"/>
  <c r="AH108" i="69" s="1"/>
  <c r="AP108" i="69" s="1"/>
  <c r="T117" i="69"/>
  <c r="AG117" i="69" s="1"/>
  <c r="AO117" i="69" s="1"/>
  <c r="T111" i="69"/>
  <c r="AG111" i="69" s="1"/>
  <c r="AO111" i="69" s="1"/>
  <c r="T294" i="69"/>
  <c r="AG294" i="69" s="1"/>
  <c r="AO294" i="69" s="1"/>
  <c r="T109" i="69"/>
  <c r="AG109" i="69" s="1"/>
  <c r="AO109" i="69" s="1"/>
  <c r="T113" i="69"/>
  <c r="AG113" i="69" s="1"/>
  <c r="AO113" i="69" s="1"/>
  <c r="T119" i="69"/>
  <c r="AG119" i="69" s="1"/>
  <c r="AO119" i="69" s="1"/>
  <c r="AM126" i="69"/>
  <c r="T126" i="69"/>
  <c r="AF126" i="69"/>
  <c r="AN126" i="69" s="1"/>
  <c r="AM124" i="69"/>
  <c r="T124" i="69"/>
  <c r="AF124" i="69"/>
  <c r="AN124" i="69" s="1"/>
  <c r="AF116" i="69"/>
  <c r="AN116" i="69" s="1"/>
  <c r="T116" i="69"/>
  <c r="AM114" i="69"/>
  <c r="T114" i="69"/>
  <c r="AF114" i="69"/>
  <c r="AN114" i="69" s="1"/>
  <c r="T110" i="69"/>
  <c r="AF110" i="69"/>
  <c r="AT462" i="69"/>
  <c r="AT620" i="69"/>
  <c r="AR540" i="69"/>
  <c r="M660" i="65" s="1"/>
  <c r="AT538" i="69"/>
  <c r="L659" i="65" s="1"/>
  <c r="AR462" i="69"/>
  <c r="AU540" i="69"/>
  <c r="AV540" i="69" s="1"/>
  <c r="AT540" i="69"/>
  <c r="L660" i="65" s="1"/>
  <c r="AT436" i="69"/>
  <c r="AS462" i="69"/>
  <c r="AU462" i="69"/>
  <c r="AV462" i="69" s="1"/>
  <c r="AS540" i="69"/>
  <c r="K660" i="65" s="1"/>
  <c r="AR675" i="69"/>
  <c r="M670" i="65" s="1"/>
  <c r="AT675" i="69"/>
  <c r="L670" i="65" s="1"/>
  <c r="AU675" i="69"/>
  <c r="AV675" i="69" s="1"/>
  <c r="AS620" i="69"/>
  <c r="AT539" i="69"/>
  <c r="L427" i="65" s="1"/>
  <c r="AU539" i="69"/>
  <c r="AV539" i="69" s="1"/>
  <c r="AS538" i="69"/>
  <c r="AP345" i="69"/>
  <c r="AS345" i="69"/>
  <c r="V272" i="69"/>
  <c r="AI272" i="69" s="1"/>
  <c r="AQ272" i="69" s="1"/>
  <c r="AO303" i="69"/>
  <c r="V303" i="69"/>
  <c r="AI303" i="69" s="1"/>
  <c r="AQ303" i="69" s="1"/>
  <c r="AH303" i="69"/>
  <c r="AP303" i="69" s="1"/>
  <c r="AH288" i="69"/>
  <c r="AP288" i="69" s="1"/>
  <c r="V265" i="69"/>
  <c r="AI265" i="69" s="1"/>
  <c r="AQ265" i="69" s="1"/>
  <c r="AT265" i="69" s="1"/>
  <c r="V299" i="69"/>
  <c r="AI299" i="69" s="1"/>
  <c r="AQ299" i="69" s="1"/>
  <c r="AH299" i="69"/>
  <c r="AP299" i="69" s="1"/>
  <c r="U300" i="69"/>
  <c r="AG300" i="69"/>
  <c r="AO300" i="69" s="1"/>
  <c r="U301" i="69"/>
  <c r="AG301" i="69"/>
  <c r="AH289" i="69"/>
  <c r="AP289" i="69" s="1"/>
  <c r="U295" i="69"/>
  <c r="AG295" i="69"/>
  <c r="AO295" i="69" s="1"/>
  <c r="U296" i="69"/>
  <c r="AG296" i="69"/>
  <c r="AO296" i="69" s="1"/>
  <c r="U297" i="69"/>
  <c r="AG297" i="69"/>
  <c r="AO297" i="69" s="1"/>
  <c r="U286" i="69"/>
  <c r="AG286" i="69"/>
  <c r="AN286" i="69"/>
  <c r="V284" i="69"/>
  <c r="AI284" i="69" s="1"/>
  <c r="AQ284" i="69" s="1"/>
  <c r="AH284" i="69"/>
  <c r="AS259" i="69"/>
  <c r="AS283" i="69"/>
  <c r="U285" i="69"/>
  <c r="AG285" i="69"/>
  <c r="AO285" i="69" s="1"/>
  <c r="V287" i="69"/>
  <c r="AI287" i="69" s="1"/>
  <c r="AQ287" i="69" s="1"/>
  <c r="AH287" i="69"/>
  <c r="AP287" i="69" s="1"/>
  <c r="AG273" i="69"/>
  <c r="AO273" i="69" s="1"/>
  <c r="AT283" i="69"/>
  <c r="AS282" i="69"/>
  <c r="AT282" i="69"/>
  <c r="AN290" i="69"/>
  <c r="U290" i="69"/>
  <c r="AG290" i="69"/>
  <c r="AO290" i="69" s="1"/>
  <c r="U291" i="69"/>
  <c r="AG291" i="69"/>
  <c r="U292" i="69"/>
  <c r="AG292" i="69"/>
  <c r="AP257" i="69"/>
  <c r="AS257" i="69"/>
  <c r="V258" i="69"/>
  <c r="AI258" i="69" s="1"/>
  <c r="AQ258" i="69" s="1"/>
  <c r="AH258" i="69"/>
  <c r="AN256" i="69"/>
  <c r="U256" i="69"/>
  <c r="AG256" i="69"/>
  <c r="V261" i="69"/>
  <c r="AI261" i="69" s="1"/>
  <c r="AQ261" i="69" s="1"/>
  <c r="AH261" i="69"/>
  <c r="AP261" i="69" s="1"/>
  <c r="AS260" i="69"/>
  <c r="AT259" i="69"/>
  <c r="AT260" i="69"/>
  <c r="T269" i="69"/>
  <c r="AF269" i="69"/>
  <c r="AN269" i="69" s="1"/>
  <c r="U264" i="69"/>
  <c r="AG264" i="69"/>
  <c r="AO264" i="69" s="1"/>
  <c r="V263" i="69"/>
  <c r="AI263" i="69" s="1"/>
  <c r="AQ263" i="69" s="1"/>
  <c r="AH263" i="69"/>
  <c r="U262" i="69"/>
  <c r="AG262" i="69"/>
  <c r="V267" i="69"/>
  <c r="AI267" i="69" s="1"/>
  <c r="AQ267" i="69" s="1"/>
  <c r="AH267" i="69"/>
  <c r="AP267" i="69" s="1"/>
  <c r="U266" i="69"/>
  <c r="AG266" i="69"/>
  <c r="AO266" i="69" s="1"/>
  <c r="AT271" i="69"/>
  <c r="AN268" i="69"/>
  <c r="T276" i="69"/>
  <c r="AF276" i="69"/>
  <c r="AN276" i="69" s="1"/>
  <c r="U268" i="69"/>
  <c r="AG268" i="69"/>
  <c r="AO268" i="69" s="1"/>
  <c r="U270" i="69"/>
  <c r="AG270" i="69"/>
  <c r="AO270" i="69" s="1"/>
  <c r="AP272" i="69"/>
  <c r="V273" i="69"/>
  <c r="AI273" i="69" s="1"/>
  <c r="AQ273" i="69" s="1"/>
  <c r="AH273" i="69"/>
  <c r="AS271" i="69"/>
  <c r="AP275" i="69"/>
  <c r="AS275" i="69"/>
  <c r="U274" i="69"/>
  <c r="AG274" i="69"/>
  <c r="AO274" i="69" s="1"/>
  <c r="V279" i="69"/>
  <c r="AI279" i="69" s="1"/>
  <c r="AQ279" i="69" s="1"/>
  <c r="AH279" i="69"/>
  <c r="AP279" i="69" s="1"/>
  <c r="U277" i="69"/>
  <c r="AG277" i="69"/>
  <c r="AO277" i="69" s="1"/>
  <c r="T118" i="69"/>
  <c r="AG118" i="69" s="1"/>
  <c r="AO118" i="69" s="1"/>
  <c r="AN278" i="69"/>
  <c r="U278" i="69"/>
  <c r="AG278" i="69"/>
  <c r="U120" i="69"/>
  <c r="AH120" i="69" s="1"/>
  <c r="AP120" i="69" s="1"/>
  <c r="U125" i="69"/>
  <c r="AH125" i="69" s="1"/>
  <c r="AP125" i="69" s="1"/>
  <c r="U107" i="69"/>
  <c r="AH107" i="69" s="1"/>
  <c r="AP107" i="69" s="1"/>
  <c r="U112" i="69"/>
  <c r="AH112" i="69" s="1"/>
  <c r="AP112" i="69" s="1"/>
  <c r="U121" i="69"/>
  <c r="AH121" i="69" s="1"/>
  <c r="AP121" i="69" s="1"/>
  <c r="U115" i="69"/>
  <c r="AH115" i="69" s="1"/>
  <c r="AP115" i="69" s="1"/>
  <c r="U123" i="69"/>
  <c r="AH123" i="69" s="1"/>
  <c r="AP123" i="69" s="1"/>
  <c r="U119" i="69" l="1"/>
  <c r="AH119" i="69" s="1"/>
  <c r="AP119" i="69" s="1"/>
  <c r="N660" i="65"/>
  <c r="O660" i="65" s="1"/>
  <c r="I660" i="65"/>
  <c r="N427" i="65"/>
  <c r="O427" i="65" s="1"/>
  <c r="I427" i="65"/>
  <c r="AG122" i="69"/>
  <c r="AO122" i="69" s="1"/>
  <c r="N670" i="65"/>
  <c r="O670" i="65" s="1"/>
  <c r="I670" i="65"/>
  <c r="L664" i="65"/>
  <c r="K670" i="65"/>
  <c r="U117" i="69"/>
  <c r="AH117" i="69" s="1"/>
  <c r="AP117" i="69" s="1"/>
  <c r="V108" i="69"/>
  <c r="AI108" i="69" s="1"/>
  <c r="AQ108" i="69" s="1"/>
  <c r="AT108" i="69" s="1"/>
  <c r="U113" i="69"/>
  <c r="AH113" i="69" s="1"/>
  <c r="AP113" i="69" s="1"/>
  <c r="U109" i="69"/>
  <c r="AH109" i="69" s="1"/>
  <c r="AP109" i="69" s="1"/>
  <c r="V122" i="69"/>
  <c r="AI122" i="69" s="1"/>
  <c r="AQ122" i="69" s="1"/>
  <c r="U111" i="69"/>
  <c r="AH111" i="69" s="1"/>
  <c r="AP111" i="69" s="1"/>
  <c r="U294" i="69"/>
  <c r="AH294" i="69" s="1"/>
  <c r="AP294" i="69" s="1"/>
  <c r="AG126" i="69"/>
  <c r="AO126" i="69" s="1"/>
  <c r="U126" i="69"/>
  <c r="AG124" i="69"/>
  <c r="AO124" i="69" s="1"/>
  <c r="U124" i="69"/>
  <c r="AG116" i="69"/>
  <c r="U116" i="69"/>
  <c r="AG114" i="69"/>
  <c r="U114" i="69"/>
  <c r="AN110" i="69"/>
  <c r="AG110" i="69"/>
  <c r="AO110" i="69" s="1"/>
  <c r="U110" i="69"/>
  <c r="AT345" i="69"/>
  <c r="AR345" i="69"/>
  <c r="AU345" i="69"/>
  <c r="AV345" i="69" s="1"/>
  <c r="AS265" i="69"/>
  <c r="AT299" i="69"/>
  <c r="AS303" i="69"/>
  <c r="AS272" i="69"/>
  <c r="AS288" i="69"/>
  <c r="AT288" i="69"/>
  <c r="AU303" i="69"/>
  <c r="AV303" i="69" s="1"/>
  <c r="AR303" i="69"/>
  <c r="AT303" i="69"/>
  <c r="AS299" i="69"/>
  <c r="V300" i="69"/>
  <c r="AI300" i="69" s="1"/>
  <c r="AQ300" i="69" s="1"/>
  <c r="AH300" i="69"/>
  <c r="AT289" i="69"/>
  <c r="AO301" i="69"/>
  <c r="AS289" i="69"/>
  <c r="V301" i="69"/>
  <c r="AI301" i="69" s="1"/>
  <c r="AQ301" i="69" s="1"/>
  <c r="AH301" i="69"/>
  <c r="V295" i="69"/>
  <c r="AI295" i="69" s="1"/>
  <c r="AH295" i="69"/>
  <c r="AP295" i="69" s="1"/>
  <c r="V296" i="69"/>
  <c r="AI296" i="69" s="1"/>
  <c r="AQ296" i="69" s="1"/>
  <c r="AH296" i="69"/>
  <c r="AS287" i="69"/>
  <c r="V297" i="69"/>
  <c r="AI297" i="69" s="1"/>
  <c r="AQ297" i="69" s="1"/>
  <c r="AH297" i="69"/>
  <c r="AP284" i="69"/>
  <c r="AS284" i="69"/>
  <c r="AT287" i="69"/>
  <c r="V285" i="69"/>
  <c r="AI285" i="69" s="1"/>
  <c r="AQ285" i="69" s="1"/>
  <c r="AH285" i="69"/>
  <c r="AO286" i="69"/>
  <c r="V286" i="69"/>
  <c r="AI286" i="69" s="1"/>
  <c r="AQ286" i="69" s="1"/>
  <c r="AH286" i="69"/>
  <c r="AP286" i="69" s="1"/>
  <c r="V290" i="69"/>
  <c r="AI290" i="69" s="1"/>
  <c r="AQ290" i="69" s="1"/>
  <c r="AH290" i="69"/>
  <c r="V292" i="69"/>
  <c r="AI292" i="69" s="1"/>
  <c r="AQ292" i="69" s="1"/>
  <c r="AH292" i="69"/>
  <c r="AP292" i="69" s="1"/>
  <c r="AO292" i="69"/>
  <c r="AO291" i="69"/>
  <c r="V291" i="69"/>
  <c r="AI291" i="69" s="1"/>
  <c r="AH291" i="69"/>
  <c r="AP291" i="69" s="1"/>
  <c r="AT261" i="69"/>
  <c r="AO256" i="69"/>
  <c r="AH256" i="69"/>
  <c r="AP256" i="69" s="1"/>
  <c r="V256" i="69"/>
  <c r="AI256" i="69" s="1"/>
  <c r="AQ256" i="69" s="1"/>
  <c r="AP258" i="69"/>
  <c r="AS258" i="69"/>
  <c r="AT257" i="69"/>
  <c r="AS261" i="69"/>
  <c r="AT267" i="69"/>
  <c r="V262" i="69"/>
  <c r="AI262" i="69" s="1"/>
  <c r="AQ262" i="69" s="1"/>
  <c r="AH262" i="69"/>
  <c r="AP262" i="69" s="1"/>
  <c r="AP263" i="69"/>
  <c r="AS263" i="69"/>
  <c r="U269" i="69"/>
  <c r="AG269" i="69"/>
  <c r="AO269" i="69" s="1"/>
  <c r="AO262" i="69"/>
  <c r="V264" i="69"/>
  <c r="AI264" i="69" s="1"/>
  <c r="AQ264" i="69" s="1"/>
  <c r="AH264" i="69"/>
  <c r="AS267" i="69"/>
  <c r="V266" i="69"/>
  <c r="AI266" i="69" s="1"/>
  <c r="AH266" i="69"/>
  <c r="AP266" i="69" s="1"/>
  <c r="V270" i="69"/>
  <c r="AI270" i="69" s="1"/>
  <c r="AQ270" i="69" s="1"/>
  <c r="AH270" i="69"/>
  <c r="AT272" i="69"/>
  <c r="AG276" i="69"/>
  <c r="U276" i="69"/>
  <c r="V268" i="69"/>
  <c r="AI268" i="69" s="1"/>
  <c r="AQ268" i="69" s="1"/>
  <c r="AH268" i="69"/>
  <c r="AP268" i="69" s="1"/>
  <c r="AP273" i="69"/>
  <c r="AT273" i="69" s="1"/>
  <c r="AS273" i="69"/>
  <c r="AT279" i="69"/>
  <c r="L279" i="65" s="1"/>
  <c r="AT275" i="69"/>
  <c r="V274" i="69"/>
  <c r="AI274" i="69" s="1"/>
  <c r="AH274" i="69"/>
  <c r="AP274" i="69" s="1"/>
  <c r="V278" i="69"/>
  <c r="AI278" i="69" s="1"/>
  <c r="AQ278" i="69" s="1"/>
  <c r="AH278" i="69"/>
  <c r="AP278" i="69" s="1"/>
  <c r="AO278" i="69"/>
  <c r="V277" i="69"/>
  <c r="AI277" i="69" s="1"/>
  <c r="AQ277" i="69" s="1"/>
  <c r="AH277" i="69"/>
  <c r="AS279" i="69"/>
  <c r="U118" i="69"/>
  <c r="AH118" i="69" s="1"/>
  <c r="AP118" i="69" s="1"/>
  <c r="V112" i="69"/>
  <c r="AI112" i="69" s="1"/>
  <c r="AQ112" i="69" s="1"/>
  <c r="AR112" i="69" s="1"/>
  <c r="V107" i="69"/>
  <c r="AI107" i="69" s="1"/>
  <c r="AQ107" i="69" s="1"/>
  <c r="AR107" i="69" s="1"/>
  <c r="V119" i="69"/>
  <c r="AI119" i="69" s="1"/>
  <c r="AQ119" i="69" s="1"/>
  <c r="AR119" i="69" s="1"/>
  <c r="V121" i="69"/>
  <c r="AI121" i="69" s="1"/>
  <c r="AQ121" i="69" s="1"/>
  <c r="AR121" i="69" s="1"/>
  <c r="V125" i="69"/>
  <c r="AI125" i="69" s="1"/>
  <c r="AQ125" i="69" s="1"/>
  <c r="AT125" i="69" s="1"/>
  <c r="V123" i="69"/>
  <c r="AI123" i="69" s="1"/>
  <c r="AQ123" i="69" s="1"/>
  <c r="AT123" i="69" s="1"/>
  <c r="V120" i="69"/>
  <c r="AI120" i="69" s="1"/>
  <c r="AQ120" i="69" s="1"/>
  <c r="AR120" i="69" s="1"/>
  <c r="V115" i="69"/>
  <c r="AI115" i="69" s="1"/>
  <c r="AQ115" i="69" s="1"/>
  <c r="AT115" i="69" s="1"/>
  <c r="V117" i="69" l="1"/>
  <c r="AI117" i="69" s="1"/>
  <c r="AQ117" i="69" s="1"/>
  <c r="AR117" i="69" s="1"/>
  <c r="AU108" i="69"/>
  <c r="AV108" i="69" s="1"/>
  <c r="AS108" i="69"/>
  <c r="AR108" i="69"/>
  <c r="V113" i="69"/>
  <c r="AI113" i="69" s="1"/>
  <c r="AQ113" i="69" s="1"/>
  <c r="AT113" i="69" s="1"/>
  <c r="AS122" i="69"/>
  <c r="V109" i="69"/>
  <c r="AI109" i="69" s="1"/>
  <c r="AQ109" i="69" s="1"/>
  <c r="AT109" i="69" s="1"/>
  <c r="V111" i="69"/>
  <c r="AI111" i="69" s="1"/>
  <c r="AQ111" i="69" s="1"/>
  <c r="AR111" i="69" s="1"/>
  <c r="V294" i="69"/>
  <c r="AI294" i="69" s="1"/>
  <c r="AS294" i="69" s="1"/>
  <c r="AU119" i="69"/>
  <c r="AV119" i="69" s="1"/>
  <c r="AU112" i="69"/>
  <c r="AV112" i="69" s="1"/>
  <c r="AH126" i="69"/>
  <c r="AP126" i="69" s="1"/>
  <c r="V126" i="69"/>
  <c r="AI126" i="69" s="1"/>
  <c r="AQ126" i="69" s="1"/>
  <c r="AR125" i="69"/>
  <c r="AS125" i="69"/>
  <c r="AU125" i="69"/>
  <c r="AV125" i="69" s="1"/>
  <c r="AH124" i="69"/>
  <c r="AP124" i="69" s="1"/>
  <c r="V124" i="69"/>
  <c r="AI124" i="69" s="1"/>
  <c r="AQ124" i="69" s="1"/>
  <c r="AS123" i="69"/>
  <c r="AU123" i="69"/>
  <c r="AV123" i="69" s="1"/>
  <c r="AR123" i="69"/>
  <c r="AR122" i="69"/>
  <c r="AT122" i="69"/>
  <c r="AU122" i="69"/>
  <c r="AV122" i="69" s="1"/>
  <c r="AU121" i="69"/>
  <c r="AV121" i="69" s="1"/>
  <c r="AS121" i="69"/>
  <c r="AT121" i="69"/>
  <c r="AT120" i="69"/>
  <c r="AS120" i="69"/>
  <c r="AU120" i="69"/>
  <c r="AV120" i="69" s="1"/>
  <c r="AS119" i="69"/>
  <c r="AT119" i="69"/>
  <c r="AT117" i="69"/>
  <c r="AU117" i="69"/>
  <c r="AV117" i="69" s="1"/>
  <c r="AS117" i="69"/>
  <c r="AO116" i="69"/>
  <c r="AH116" i="69"/>
  <c r="AP116" i="69" s="1"/>
  <c r="V116" i="69"/>
  <c r="AI116" i="69" s="1"/>
  <c r="AQ116" i="69" s="1"/>
  <c r="AS115" i="69"/>
  <c r="AR115" i="69"/>
  <c r="AU115" i="69"/>
  <c r="AV115" i="69" s="1"/>
  <c r="AH114" i="69"/>
  <c r="AP114" i="69" s="1"/>
  <c r="V114" i="69"/>
  <c r="AI114" i="69" s="1"/>
  <c r="AQ114" i="69" s="1"/>
  <c r="AO114" i="69"/>
  <c r="AS112" i="69"/>
  <c r="AT112" i="69"/>
  <c r="AH110" i="69"/>
  <c r="AP110" i="69" s="1"/>
  <c r="V110" i="69"/>
  <c r="AI110" i="69" s="1"/>
  <c r="AQ110" i="69" s="1"/>
  <c r="AU107" i="69"/>
  <c r="AV107" i="69" s="1"/>
  <c r="AS107" i="69"/>
  <c r="AT107" i="69"/>
  <c r="AP300" i="69"/>
  <c r="AS300" i="69"/>
  <c r="AP301" i="69"/>
  <c r="AU301" i="69" s="1"/>
  <c r="AV301" i="69" s="1"/>
  <c r="AS301" i="69"/>
  <c r="AQ295" i="69"/>
  <c r="AS295" i="69"/>
  <c r="AP296" i="69"/>
  <c r="AS296" i="69"/>
  <c r="AT286" i="69"/>
  <c r="AP297" i="69"/>
  <c r="AS297" i="69"/>
  <c r="AS285" i="69"/>
  <c r="AP285" i="69"/>
  <c r="AS286" i="69"/>
  <c r="AT284" i="69"/>
  <c r="AS292" i="69"/>
  <c r="AP290" i="69"/>
  <c r="AS290" i="69"/>
  <c r="AT292" i="69"/>
  <c r="AQ291" i="69"/>
  <c r="AS291" i="69"/>
  <c r="AT256" i="69"/>
  <c r="AT258" i="69"/>
  <c r="AT268" i="69"/>
  <c r="AS256" i="69"/>
  <c r="AS262" i="69"/>
  <c r="AH269" i="69"/>
  <c r="V269" i="69"/>
  <c r="AI269" i="69" s="1"/>
  <c r="AQ269" i="69" s="1"/>
  <c r="AP264" i="69"/>
  <c r="AS264" i="69"/>
  <c r="AT263" i="69"/>
  <c r="AT262" i="69"/>
  <c r="AQ266" i="69"/>
  <c r="AS266" i="69"/>
  <c r="V276" i="69"/>
  <c r="AI276" i="69" s="1"/>
  <c r="AQ276" i="69" s="1"/>
  <c r="AH276" i="69"/>
  <c r="AP276" i="69" s="1"/>
  <c r="AO276" i="69"/>
  <c r="AP270" i="69"/>
  <c r="AS274" i="69"/>
  <c r="AS270" i="69"/>
  <c r="AS268" i="69"/>
  <c r="AQ274" i="69"/>
  <c r="AT274" i="69" s="1"/>
  <c r="AT278" i="69"/>
  <c r="AP277" i="69"/>
  <c r="AS278" i="69"/>
  <c r="AS277" i="69"/>
  <c r="V118" i="69"/>
  <c r="AI118" i="69" s="1"/>
  <c r="AS113" i="69" l="1"/>
  <c r="AU113" i="69"/>
  <c r="AV113" i="69" s="1"/>
  <c r="AR113" i="69"/>
  <c r="AS109" i="69"/>
  <c r="AU109" i="69"/>
  <c r="AV109" i="69" s="1"/>
  <c r="AR109" i="69"/>
  <c r="AT111" i="69"/>
  <c r="AS111" i="69"/>
  <c r="AU111" i="69"/>
  <c r="AV111" i="69" s="1"/>
  <c r="AQ294" i="69"/>
  <c r="AU294" i="69" s="1"/>
  <c r="AV294" i="69" s="1"/>
  <c r="AT124" i="69"/>
  <c r="AR110" i="69"/>
  <c r="AT126" i="69"/>
  <c r="AR126" i="69"/>
  <c r="AU126" i="69"/>
  <c r="AV126" i="69" s="1"/>
  <c r="AS126" i="69"/>
  <c r="AU124" i="69"/>
  <c r="AV124" i="69" s="1"/>
  <c r="AS124" i="69"/>
  <c r="AR124" i="69"/>
  <c r="AQ118" i="69"/>
  <c r="AS118" i="69"/>
  <c r="AT116" i="69"/>
  <c r="AR116" i="69"/>
  <c r="AU116" i="69"/>
  <c r="AV116" i="69" s="1"/>
  <c r="AS116" i="69"/>
  <c r="AS114" i="69"/>
  <c r="AU114" i="69"/>
  <c r="AV114" i="69" s="1"/>
  <c r="AR114" i="69"/>
  <c r="AT114" i="69"/>
  <c r="AU110" i="69"/>
  <c r="AV110" i="69" s="1"/>
  <c r="AT110" i="69"/>
  <c r="AS110" i="69"/>
  <c r="AT300" i="69"/>
  <c r="AR301" i="69"/>
  <c r="AT301" i="69"/>
  <c r="AT295" i="69"/>
  <c r="AT296" i="69"/>
  <c r="AT297" i="69"/>
  <c r="AT285" i="69"/>
  <c r="AT290" i="69"/>
  <c r="AT291" i="69"/>
  <c r="AP269" i="69"/>
  <c r="AS269" i="69"/>
  <c r="AT264" i="69"/>
  <c r="AT266" i="69"/>
  <c r="AS276" i="69"/>
  <c r="AT276" i="69"/>
  <c r="AT270" i="69"/>
  <c r="AT277" i="69"/>
  <c r="AR294" i="69" l="1"/>
  <c r="AT294" i="69"/>
  <c r="AT118" i="69"/>
  <c r="AR118" i="69"/>
  <c r="AU118" i="69"/>
  <c r="AV118" i="69" s="1"/>
  <c r="AT269" i="69"/>
  <c r="BF1" i="69" l="1"/>
  <c r="C689" i="69" l="1"/>
  <c r="C688" i="69"/>
  <c r="AX684" i="69" l="1"/>
  <c r="AX683" i="69"/>
  <c r="AX682" i="69"/>
  <c r="AX681" i="69"/>
  <c r="AX680" i="69"/>
  <c r="AX679" i="69"/>
  <c r="AX657" i="69"/>
  <c r="AX678" i="69"/>
  <c r="AX677" i="69"/>
  <c r="AX676" i="69"/>
  <c r="AX674" i="69"/>
  <c r="AX673" i="69"/>
  <c r="AX672" i="69"/>
  <c r="AX671" i="69"/>
  <c r="AX670" i="69"/>
  <c r="AX669" i="69"/>
  <c r="AX668" i="69"/>
  <c r="AX667" i="69"/>
  <c r="AX666" i="69"/>
  <c r="AX665" i="69"/>
  <c r="AX664" i="69"/>
  <c r="AX663" i="69"/>
  <c r="AX662" i="69"/>
  <c r="AX661" i="69"/>
  <c r="AX660" i="69"/>
  <c r="AX659" i="69"/>
  <c r="AX658" i="69"/>
  <c r="AX655" i="69"/>
  <c r="AX654" i="69"/>
  <c r="AX653" i="69"/>
  <c r="AX652" i="69"/>
  <c r="AX651" i="69"/>
  <c r="AX650" i="69"/>
  <c r="AX649" i="69"/>
  <c r="AX648" i="69"/>
  <c r="AX647" i="69"/>
  <c r="AX646" i="69"/>
  <c r="AX644" i="69"/>
  <c r="AX643" i="69"/>
  <c r="AX642" i="69"/>
  <c r="AX641" i="69"/>
  <c r="AX640" i="69"/>
  <c r="AX639" i="69"/>
  <c r="AX638" i="69"/>
  <c r="AX636" i="69"/>
  <c r="AX635" i="69"/>
  <c r="AX634" i="69"/>
  <c r="AX633" i="69"/>
  <c r="AX615" i="69"/>
  <c r="AX614" i="69"/>
  <c r="AX613" i="69"/>
  <c r="AX612" i="69"/>
  <c r="AX611" i="69"/>
  <c r="AX610" i="69"/>
  <c r="AX609" i="69"/>
  <c r="AX608" i="69"/>
  <c r="AX607" i="69"/>
  <c r="AX606" i="69"/>
  <c r="AX605" i="69"/>
  <c r="AX604" i="69"/>
  <c r="AX603" i="69"/>
  <c r="AX602" i="69"/>
  <c r="AX601" i="69"/>
  <c r="AX600" i="69"/>
  <c r="AX599" i="69"/>
  <c r="AX598" i="69"/>
  <c r="AX597" i="69"/>
  <c r="AX596" i="69"/>
  <c r="AX595" i="69"/>
  <c r="AX594" i="69"/>
  <c r="AX593" i="69"/>
  <c r="AX592" i="69"/>
  <c r="AX591" i="69"/>
  <c r="AX590" i="69"/>
  <c r="AX589" i="69"/>
  <c r="AX588" i="69"/>
  <c r="AX587" i="69"/>
  <c r="AX586" i="69"/>
  <c r="AX585" i="69"/>
  <c r="AX584" i="69"/>
  <c r="AX583" i="69"/>
  <c r="AX582" i="69"/>
  <c r="AX581" i="69"/>
  <c r="AX579" i="69"/>
  <c r="AX578" i="69"/>
  <c r="AX577" i="69"/>
  <c r="AX576" i="69"/>
  <c r="AX575" i="69"/>
  <c r="AX574" i="69"/>
  <c r="AX573" i="69"/>
  <c r="AX572" i="69"/>
  <c r="AX571" i="69"/>
  <c r="AX570" i="69"/>
  <c r="AX569" i="69"/>
  <c r="AX568" i="69"/>
  <c r="AX567" i="69"/>
  <c r="AX566" i="69"/>
  <c r="AX565" i="69"/>
  <c r="AX563" i="69"/>
  <c r="AX562" i="69"/>
  <c r="AX561" i="69"/>
  <c r="AX560" i="69"/>
  <c r="AX559" i="69"/>
  <c r="AX558" i="69"/>
  <c r="AX557" i="69"/>
  <c r="AX556" i="69"/>
  <c r="AX555" i="69"/>
  <c r="AX554" i="69"/>
  <c r="AX553" i="69"/>
  <c r="AX551" i="69"/>
  <c r="AX550" i="69"/>
  <c r="AX549" i="69"/>
  <c r="AX548" i="69"/>
  <c r="AX547" i="69"/>
  <c r="AX546" i="69"/>
  <c r="AX545" i="69"/>
  <c r="AX544" i="69"/>
  <c r="AX543" i="69"/>
  <c r="AX542" i="69"/>
  <c r="AX541" i="69"/>
  <c r="AX537" i="69"/>
  <c r="AX536" i="69"/>
  <c r="AX535" i="69"/>
  <c r="AX534" i="69"/>
  <c r="AX533" i="69"/>
  <c r="AX532" i="69"/>
  <c r="AX531" i="69"/>
  <c r="AX530" i="69"/>
  <c r="AX529" i="69"/>
  <c r="AX528" i="69"/>
  <c r="AX527" i="69"/>
  <c r="AX526" i="69"/>
  <c r="AX525" i="69"/>
  <c r="AX524" i="69"/>
  <c r="AX523" i="69"/>
  <c r="AX522" i="69"/>
  <c r="AX521" i="69"/>
  <c r="AX520" i="69"/>
  <c r="AX519" i="69"/>
  <c r="AX518" i="69"/>
  <c r="AX517" i="69"/>
  <c r="AX516" i="69"/>
  <c r="AX514" i="69"/>
  <c r="AX513" i="69"/>
  <c r="AX512" i="69"/>
  <c r="AX511" i="69"/>
  <c r="AX510" i="69"/>
  <c r="AX509" i="69"/>
  <c r="AX508" i="69"/>
  <c r="AX507" i="69"/>
  <c r="AX506" i="69"/>
  <c r="AX505" i="69"/>
  <c r="AX504" i="69"/>
  <c r="AX503" i="69"/>
  <c r="AX502" i="69"/>
  <c r="AX501" i="69"/>
  <c r="AX500" i="69"/>
  <c r="AX499" i="69"/>
  <c r="AX498" i="69"/>
  <c r="AX497" i="69"/>
  <c r="AX496" i="69"/>
  <c r="AX495" i="69"/>
  <c r="AX494" i="69"/>
  <c r="AX493" i="69"/>
  <c r="AX492" i="69"/>
  <c r="AX491" i="69"/>
  <c r="AX489" i="69"/>
  <c r="AX488" i="69"/>
  <c r="AX487" i="69"/>
  <c r="AX486" i="69"/>
  <c r="AX484" i="69"/>
  <c r="AX482" i="69"/>
  <c r="AX481" i="69"/>
  <c r="AX480" i="69"/>
  <c r="AX479" i="69"/>
  <c r="AX478" i="69"/>
  <c r="AX477" i="69"/>
  <c r="AX476" i="69"/>
  <c r="AX475" i="69"/>
  <c r="AX474" i="69"/>
  <c r="AX473" i="69"/>
  <c r="AX472" i="69"/>
  <c r="AX471" i="69"/>
  <c r="AX470" i="69"/>
  <c r="AX469" i="69"/>
  <c r="AX468" i="69"/>
  <c r="AX467" i="69"/>
  <c r="AX464" i="69"/>
  <c r="AX463" i="69"/>
  <c r="AX461" i="69"/>
  <c r="AX460" i="69"/>
  <c r="AX458" i="69"/>
  <c r="AX457" i="69"/>
  <c r="AX456" i="69"/>
  <c r="AX455" i="69"/>
  <c r="AX454" i="69"/>
  <c r="AX453" i="69"/>
  <c r="AX452" i="69"/>
  <c r="AX451" i="69"/>
  <c r="AX450" i="69"/>
  <c r="AX449" i="69"/>
  <c r="AX447" i="69"/>
  <c r="AX446" i="69"/>
  <c r="AX445" i="69"/>
  <c r="AX444" i="69"/>
  <c r="AX443" i="69"/>
  <c r="AX442" i="69"/>
  <c r="AX433" i="69"/>
  <c r="AX432" i="69"/>
  <c r="AX431" i="69"/>
  <c r="AX430" i="69"/>
  <c r="AX429" i="69"/>
  <c r="AX428" i="69"/>
  <c r="AX427" i="69"/>
  <c r="AX424" i="69"/>
  <c r="AX423" i="69"/>
  <c r="AX422" i="69"/>
  <c r="AX421" i="69"/>
  <c r="AX420" i="69"/>
  <c r="AX419" i="69"/>
  <c r="AX418" i="69"/>
  <c r="AX416" i="69"/>
  <c r="AX415" i="69"/>
  <c r="AX414" i="69"/>
  <c r="AX413" i="69"/>
  <c r="AX412" i="69"/>
  <c r="AX411" i="69"/>
  <c r="AX410" i="69"/>
  <c r="AX409" i="69"/>
  <c r="AX408" i="69"/>
  <c r="AX407" i="69"/>
  <c r="AX406" i="69"/>
  <c r="AX405" i="69"/>
  <c r="AX401" i="69"/>
  <c r="AX400" i="69"/>
  <c r="AX399" i="69"/>
  <c r="AX398" i="69"/>
  <c r="AX397" i="69"/>
  <c r="AX396" i="69"/>
  <c r="AX395" i="69"/>
  <c r="AX394" i="69"/>
  <c r="AX393" i="69"/>
  <c r="AX392" i="69"/>
  <c r="AX391" i="69"/>
  <c r="AX390" i="69"/>
  <c r="AX389" i="69"/>
  <c r="AX388" i="69"/>
  <c r="AX387" i="69"/>
  <c r="AX386" i="69"/>
  <c r="AX385" i="69"/>
  <c r="AX384" i="69"/>
  <c r="AX383" i="69"/>
  <c r="AX382" i="69"/>
  <c r="AX381" i="69"/>
  <c r="AX380" i="69"/>
  <c r="AX379" i="69"/>
  <c r="AX378" i="69"/>
  <c r="AX377" i="69"/>
  <c r="AX376" i="69"/>
  <c r="AX375" i="69"/>
  <c r="AX374" i="69"/>
  <c r="AX373" i="69"/>
  <c r="AX372" i="69"/>
  <c r="AX371" i="69"/>
  <c r="AX370" i="69"/>
  <c r="AX369" i="69"/>
  <c r="AX368" i="69"/>
  <c r="AX367" i="69"/>
  <c r="AX366" i="69"/>
  <c r="AX358" i="69"/>
  <c r="AX356" i="69"/>
  <c r="AX355" i="69"/>
  <c r="AX354" i="69"/>
  <c r="AX353" i="69"/>
  <c r="AX352" i="69"/>
  <c r="AX351" i="69"/>
  <c r="AX350" i="69"/>
  <c r="AX349" i="69"/>
  <c r="AX348" i="69"/>
  <c r="AX347" i="69"/>
  <c r="AX346" i="69"/>
  <c r="AX343" i="69"/>
  <c r="AX342" i="69"/>
  <c r="AX341" i="69"/>
  <c r="AX340" i="69"/>
  <c r="AX339" i="69"/>
  <c r="AX338" i="69"/>
  <c r="AX337" i="69"/>
  <c r="AX336" i="69"/>
  <c r="AX335" i="69"/>
  <c r="AX334" i="69"/>
  <c r="AX333" i="69"/>
  <c r="AX332" i="69"/>
  <c r="AX331" i="69"/>
  <c r="AX330" i="69"/>
  <c r="AX329" i="69"/>
  <c r="AX327" i="69"/>
  <c r="AX326" i="69"/>
  <c r="AX325" i="69"/>
  <c r="AX324" i="69"/>
  <c r="AX323" i="69"/>
  <c r="AX322" i="69"/>
  <c r="AX321" i="69"/>
  <c r="AX320" i="69"/>
  <c r="AX319" i="69"/>
  <c r="AX317" i="69"/>
  <c r="AX316" i="69"/>
  <c r="AX315" i="69"/>
  <c r="AX314" i="69"/>
  <c r="AX313" i="69"/>
  <c r="AX312" i="69"/>
  <c r="AX311" i="69"/>
  <c r="AX310" i="69"/>
  <c r="AX309" i="69"/>
  <c r="AX308" i="69"/>
  <c r="AX307" i="69"/>
  <c r="AX306" i="69"/>
  <c r="AX305" i="69"/>
  <c r="AX304" i="69"/>
  <c r="AX302" i="69"/>
  <c r="AX298" i="69"/>
  <c r="AX293" i="69"/>
  <c r="AX255" i="69"/>
  <c r="AX254" i="69"/>
  <c r="AX253" i="69"/>
  <c r="AX252" i="69"/>
  <c r="AX251" i="69"/>
  <c r="AX250" i="69"/>
  <c r="AX249" i="69"/>
  <c r="AX248" i="69"/>
  <c r="AX247" i="69"/>
  <c r="AX246" i="69"/>
  <c r="AX245" i="69"/>
  <c r="AX244" i="69"/>
  <c r="AX243" i="69"/>
  <c r="AX242" i="69"/>
  <c r="AX241" i="69"/>
  <c r="AX240" i="69"/>
  <c r="AX239" i="69"/>
  <c r="AX238" i="69"/>
  <c r="AX237" i="69"/>
  <c r="AX236" i="69"/>
  <c r="AX234" i="69"/>
  <c r="AX233" i="69"/>
  <c r="AX225" i="69"/>
  <c r="AX224" i="69"/>
  <c r="AX223" i="69"/>
  <c r="AX222" i="69"/>
  <c r="AX221" i="69"/>
  <c r="AX220" i="69"/>
  <c r="AX219" i="69"/>
  <c r="AX218" i="69"/>
  <c r="AX217" i="69"/>
  <c r="AX216" i="69"/>
  <c r="AX215" i="69"/>
  <c r="AX214" i="69"/>
  <c r="AX213" i="69"/>
  <c r="AX212" i="69"/>
  <c r="AX211" i="69"/>
  <c r="AX210" i="69"/>
  <c r="AX209" i="69"/>
  <c r="AX208" i="69"/>
  <c r="AX207" i="69"/>
  <c r="AX206" i="69"/>
  <c r="AX205" i="69"/>
  <c r="AX204" i="69"/>
  <c r="AX203" i="69"/>
  <c r="AX202" i="69"/>
  <c r="AX201" i="69"/>
  <c r="AX200" i="69"/>
  <c r="AX199" i="69"/>
  <c r="AX198" i="69"/>
  <c r="AX197" i="69"/>
  <c r="AX196" i="69"/>
  <c r="AX195" i="69"/>
  <c r="AX194" i="69"/>
  <c r="AX193" i="69"/>
  <c r="AX192" i="69"/>
  <c r="AX191" i="69"/>
  <c r="AX190" i="69"/>
  <c r="AX189" i="69"/>
  <c r="AX188" i="69"/>
  <c r="AX187" i="69"/>
  <c r="AX186" i="69"/>
  <c r="AX185" i="69"/>
  <c r="AX184" i="69"/>
  <c r="AX183" i="69"/>
  <c r="AX182" i="69"/>
  <c r="AX181" i="69"/>
  <c r="AX180" i="69"/>
  <c r="AX179" i="69"/>
  <c r="AX178" i="69"/>
  <c r="AX177" i="69"/>
  <c r="AX176" i="69"/>
  <c r="AX175" i="69"/>
  <c r="AX174" i="69"/>
  <c r="AX173" i="69"/>
  <c r="AX172" i="69"/>
  <c r="AX171" i="69"/>
  <c r="AX170" i="69"/>
  <c r="AX169" i="69"/>
  <c r="AX168" i="69"/>
  <c r="AX167" i="69"/>
  <c r="AX166" i="69"/>
  <c r="AX165" i="69"/>
  <c r="AX164" i="69"/>
  <c r="AX163" i="69"/>
  <c r="AX162" i="69"/>
  <c r="AX161" i="69"/>
  <c r="AX160" i="69"/>
  <c r="AX159" i="69"/>
  <c r="AX158" i="69"/>
  <c r="AX157" i="69"/>
  <c r="AX156" i="69"/>
  <c r="AX155" i="69"/>
  <c r="AX154" i="69"/>
  <c r="AX153" i="69"/>
  <c r="AX152" i="69"/>
  <c r="AX151" i="69"/>
  <c r="AX150" i="69"/>
  <c r="AX149" i="69"/>
  <c r="AX148" i="69"/>
  <c r="AX147" i="69"/>
  <c r="AX146" i="69"/>
  <c r="AX145" i="69"/>
  <c r="AX144" i="69"/>
  <c r="AX143" i="69"/>
  <c r="AX142" i="69"/>
  <c r="AX141" i="69"/>
  <c r="AX140" i="69"/>
  <c r="AX139" i="69"/>
  <c r="AX138" i="69"/>
  <c r="AX137" i="69"/>
  <c r="AX136" i="69"/>
  <c r="AX135" i="69"/>
  <c r="AX134" i="69"/>
  <c r="AX133" i="69"/>
  <c r="AX132" i="69"/>
  <c r="AX131" i="69"/>
  <c r="AX130" i="69"/>
  <c r="AX129" i="69"/>
  <c r="AX128" i="69"/>
  <c r="AX127" i="69"/>
  <c r="AX105" i="69"/>
  <c r="AX104" i="69"/>
  <c r="AX103" i="69"/>
  <c r="AX102" i="69"/>
  <c r="AX101" i="69"/>
  <c r="AX100" i="69"/>
  <c r="AX99" i="69"/>
  <c r="AX92" i="69"/>
  <c r="AX91" i="69"/>
  <c r="AX90" i="69"/>
  <c r="AX89" i="69"/>
  <c r="AX88" i="69"/>
  <c r="AX87" i="69"/>
  <c r="AX86" i="69"/>
  <c r="AX85" i="69"/>
  <c r="AX81" i="69"/>
  <c r="AX79" i="69"/>
  <c r="AX78" i="69"/>
  <c r="AX77" i="69"/>
  <c r="AX76" i="69"/>
  <c r="AX75" i="69"/>
  <c r="AX74" i="69"/>
  <c r="AX73" i="69"/>
  <c r="AX72" i="69"/>
  <c r="AX71" i="69"/>
  <c r="AX69" i="69"/>
  <c r="AX68" i="69"/>
  <c r="AX66" i="69"/>
  <c r="AX65" i="69"/>
  <c r="AX64" i="69"/>
  <c r="AX63" i="69"/>
  <c r="AX62" i="69"/>
  <c r="AX61" i="69"/>
  <c r="AX60" i="69"/>
  <c r="AX59" i="69"/>
  <c r="AX58" i="69"/>
  <c r="AX57" i="69"/>
  <c r="AX56" i="69"/>
  <c r="AX55" i="69"/>
  <c r="AX54" i="69"/>
  <c r="AX53" i="69"/>
  <c r="AX52" i="69"/>
  <c r="AX51" i="69"/>
  <c r="AX50" i="69"/>
  <c r="AX49" i="69"/>
  <c r="AX48" i="69"/>
  <c r="AX47" i="69"/>
  <c r="AX46" i="69"/>
  <c r="AX45" i="69"/>
  <c r="AX44" i="69"/>
  <c r="AX43" i="69"/>
  <c r="AX42" i="69"/>
  <c r="AX41" i="69"/>
  <c r="AX40" i="69"/>
  <c r="AX39" i="69"/>
  <c r="AX38" i="69"/>
  <c r="AX37" i="69"/>
  <c r="AX36" i="69"/>
  <c r="AX35" i="69"/>
  <c r="AX34" i="69"/>
  <c r="AX33" i="69"/>
  <c r="AX32" i="69"/>
  <c r="AX31" i="69"/>
  <c r="AX30" i="69"/>
  <c r="AX29" i="69"/>
  <c r="AX28" i="69"/>
  <c r="AX27" i="69"/>
  <c r="AX26" i="69"/>
  <c r="AX25" i="69"/>
  <c r="AX24" i="69"/>
  <c r="AX23" i="69"/>
  <c r="AX22" i="69"/>
  <c r="AX21" i="69"/>
  <c r="AX20" i="69"/>
  <c r="AX19" i="69"/>
  <c r="AX18" i="69"/>
  <c r="AX17" i="69"/>
  <c r="AX16" i="69"/>
  <c r="AX15" i="69"/>
  <c r="AX14" i="69"/>
  <c r="AX13" i="69"/>
  <c r="AX12" i="69"/>
  <c r="AX11" i="69"/>
  <c r="AX10" i="69"/>
  <c r="AX9" i="69"/>
  <c r="AX8" i="69"/>
  <c r="AX5" i="69"/>
  <c r="AX4" i="69"/>
  <c r="AX3" i="69"/>
  <c r="AX2" i="69"/>
  <c r="AI539" i="65" l="1"/>
  <c r="AI538" i="65"/>
  <c r="AI537" i="65"/>
  <c r="AI536" i="65"/>
  <c r="AI535" i="65"/>
  <c r="AI534" i="65"/>
  <c r="AI533" i="65"/>
  <c r="AI532" i="65"/>
  <c r="AI531" i="65"/>
  <c r="AI530" i="65"/>
  <c r="AI529" i="65"/>
  <c r="AI528" i="65"/>
  <c r="AI527" i="65"/>
  <c r="AI526" i="65"/>
  <c r="AI525" i="65"/>
  <c r="AI524" i="65"/>
  <c r="AI523" i="65"/>
  <c r="AI522" i="65"/>
  <c r="AI521" i="65"/>
  <c r="AI520" i="65"/>
  <c r="AI519" i="65"/>
  <c r="AI518" i="65"/>
  <c r="AI517" i="65"/>
  <c r="AI516" i="65"/>
  <c r="AI515" i="65"/>
  <c r="AI514" i="65"/>
  <c r="AI513" i="65"/>
  <c r="AI512" i="65"/>
  <c r="AI511" i="65"/>
  <c r="AI510" i="65"/>
  <c r="AI509" i="65"/>
  <c r="AI508" i="65"/>
  <c r="AI507" i="65"/>
  <c r="AI506" i="65"/>
  <c r="AI505" i="65"/>
  <c r="AI504" i="65"/>
  <c r="AI503" i="65"/>
  <c r="AI502" i="65"/>
  <c r="AI501" i="65"/>
  <c r="AI500" i="65"/>
  <c r="AI499" i="65"/>
  <c r="AI498" i="65"/>
  <c r="AI497" i="65"/>
  <c r="AI496" i="65"/>
  <c r="AI495" i="65"/>
  <c r="AI494" i="65"/>
  <c r="AI493" i="65"/>
  <c r="AI492" i="65"/>
  <c r="AI491" i="65"/>
  <c r="AI490" i="65"/>
  <c r="AI489" i="65"/>
  <c r="AI488" i="65"/>
  <c r="AI487" i="65"/>
  <c r="AI486" i="65"/>
  <c r="AI485" i="65"/>
  <c r="AI484" i="65"/>
  <c r="AI483" i="65"/>
  <c r="AI482" i="65"/>
  <c r="AI481" i="65"/>
  <c r="AI480" i="65"/>
  <c r="AI479" i="65"/>
  <c r="AI478" i="65"/>
  <c r="AI477" i="65"/>
  <c r="AI476" i="65"/>
  <c r="AI475" i="65"/>
  <c r="AI474" i="65"/>
  <c r="AI473" i="65"/>
  <c r="AI472" i="65"/>
  <c r="AI471" i="65"/>
  <c r="AI470" i="65"/>
  <c r="AI469" i="65"/>
  <c r="AI468" i="65"/>
  <c r="AI467" i="65"/>
  <c r="AI466" i="65"/>
  <c r="AI465" i="65"/>
  <c r="AI464" i="65"/>
  <c r="AI463" i="65"/>
  <c r="AI462" i="65"/>
  <c r="AI461" i="65"/>
  <c r="AI460" i="65"/>
  <c r="AI459" i="65"/>
  <c r="AI458" i="65"/>
  <c r="AI457" i="65"/>
  <c r="AI456" i="65"/>
  <c r="AI455" i="65"/>
  <c r="AI454" i="65"/>
  <c r="AI453" i="65"/>
  <c r="AI452" i="65"/>
  <c r="AI451" i="65"/>
  <c r="AI450" i="65"/>
  <c r="AI449" i="65"/>
  <c r="AI448" i="65"/>
  <c r="AI447" i="65"/>
  <c r="AI446" i="65"/>
  <c r="AI445" i="65"/>
  <c r="AI444" i="65"/>
  <c r="AI443" i="65"/>
  <c r="AI442" i="65"/>
  <c r="AI441" i="65"/>
  <c r="AI440" i="65"/>
  <c r="AI439" i="65"/>
  <c r="AI438" i="65"/>
  <c r="AI437" i="65"/>
  <c r="AI436" i="65"/>
  <c r="AI435" i="65"/>
  <c r="AI434" i="65"/>
  <c r="AI433" i="65"/>
  <c r="AI432" i="65"/>
  <c r="AI431" i="65"/>
  <c r="AI430" i="65"/>
  <c r="AI429" i="65"/>
  <c r="AI428" i="65"/>
  <c r="AI427" i="65"/>
  <c r="AI426" i="65"/>
  <c r="AI425" i="65"/>
  <c r="AI424" i="65"/>
  <c r="AI423" i="65"/>
  <c r="AI422" i="65"/>
  <c r="AI421" i="65"/>
  <c r="AI420" i="65"/>
  <c r="AI419" i="65"/>
  <c r="AI418" i="65"/>
  <c r="AI417" i="65"/>
  <c r="AI416" i="65"/>
  <c r="AI415" i="65"/>
  <c r="AI414" i="65"/>
  <c r="AI413" i="65"/>
  <c r="AI412" i="65"/>
  <c r="AI411" i="65"/>
  <c r="AI410" i="65"/>
  <c r="AI409" i="65"/>
  <c r="AI408" i="65"/>
  <c r="AI407" i="65"/>
  <c r="AI406" i="65"/>
  <c r="AI405" i="65"/>
  <c r="AI404" i="65"/>
  <c r="AI403" i="65"/>
  <c r="AI402" i="65"/>
  <c r="AI401" i="65"/>
  <c r="AI400" i="65"/>
  <c r="AI399" i="65"/>
  <c r="AI398" i="65"/>
  <c r="AI397" i="65"/>
  <c r="AI396" i="65"/>
  <c r="AI395" i="65"/>
  <c r="AI394" i="65"/>
  <c r="AI393" i="65"/>
  <c r="AI392" i="65"/>
  <c r="AI391" i="65"/>
  <c r="AI390" i="65"/>
  <c r="AI389" i="65"/>
  <c r="AI388" i="65"/>
  <c r="AI387" i="65"/>
  <c r="AI386" i="65"/>
  <c r="AI385" i="65"/>
  <c r="AI384" i="65"/>
  <c r="AI383" i="65"/>
  <c r="AI382" i="65"/>
  <c r="AI381" i="65"/>
  <c r="AI380" i="65"/>
  <c r="AI379" i="65"/>
  <c r="AI378" i="65"/>
  <c r="AI377" i="65"/>
  <c r="AI376" i="65"/>
  <c r="AI375" i="65"/>
  <c r="AI374" i="65"/>
  <c r="AI373" i="65"/>
  <c r="AI372" i="65"/>
  <c r="AI371" i="65"/>
  <c r="AI370" i="65"/>
  <c r="AI369" i="65"/>
  <c r="AI368" i="65"/>
  <c r="AI367" i="65"/>
  <c r="AI366" i="65"/>
  <c r="AI365" i="65"/>
  <c r="AI364" i="65"/>
  <c r="AI363" i="65"/>
  <c r="AI362" i="65"/>
  <c r="AI361" i="65"/>
  <c r="AI360" i="65"/>
  <c r="AI359" i="65"/>
  <c r="AI358" i="65"/>
  <c r="AI357" i="65"/>
  <c r="AI356" i="65"/>
  <c r="AI355" i="65"/>
  <c r="AI354" i="65"/>
  <c r="AI353" i="65"/>
  <c r="AI352" i="65"/>
  <c r="AI351" i="65"/>
  <c r="AI350" i="65"/>
  <c r="AI349" i="65"/>
  <c r="AI348" i="65"/>
  <c r="AI347" i="65"/>
  <c r="AI346" i="65"/>
  <c r="AI345" i="65"/>
  <c r="AI344" i="65"/>
  <c r="AI343" i="65"/>
  <c r="AI342" i="65"/>
  <c r="AI341" i="65"/>
  <c r="AI340" i="65"/>
  <c r="AI339" i="65"/>
  <c r="AI338" i="65"/>
  <c r="AI337" i="65"/>
  <c r="AI336" i="65"/>
  <c r="AI335" i="65"/>
  <c r="AI334" i="65"/>
  <c r="AI333" i="65"/>
  <c r="AI332" i="65"/>
  <c r="AI331" i="65"/>
  <c r="AI330" i="65"/>
  <c r="AI329" i="65"/>
  <c r="AI328" i="65"/>
  <c r="AI327" i="65"/>
  <c r="AI326" i="65"/>
  <c r="AI325" i="65"/>
  <c r="AI324" i="65"/>
  <c r="AI323" i="65"/>
  <c r="AI322" i="65"/>
  <c r="AI321" i="65"/>
  <c r="AI320" i="65"/>
  <c r="AI319" i="65"/>
  <c r="AI318" i="65"/>
  <c r="AI317" i="65"/>
  <c r="AI316" i="65"/>
  <c r="AI315" i="65"/>
  <c r="AI314" i="65"/>
  <c r="AI313" i="65"/>
  <c r="AI312" i="65"/>
  <c r="AI311" i="65"/>
  <c r="AI310" i="65"/>
  <c r="AI309" i="65"/>
  <c r="AI308" i="65"/>
  <c r="AI307" i="65"/>
  <c r="AI306" i="65"/>
  <c r="AI305" i="65"/>
  <c r="AI304" i="65"/>
  <c r="AI303" i="65"/>
  <c r="AI302" i="65"/>
  <c r="AI301" i="65"/>
  <c r="AI300" i="65"/>
  <c r="AI299" i="65"/>
  <c r="AI298" i="65"/>
  <c r="AI297" i="65"/>
  <c r="AI296" i="65"/>
  <c r="AI295" i="65"/>
  <c r="AI294" i="65"/>
  <c r="AI293" i="65"/>
  <c r="AI292" i="65"/>
  <c r="AI291" i="65"/>
  <c r="AI290" i="65"/>
  <c r="AI289" i="65"/>
  <c r="AI288" i="65"/>
  <c r="AI287" i="65"/>
  <c r="AI286" i="65"/>
  <c r="AI285" i="65"/>
  <c r="AI284" i="65"/>
  <c r="AI283" i="65"/>
  <c r="AI282" i="65"/>
  <c r="AI281" i="65"/>
  <c r="AI280" i="65"/>
  <c r="AI279" i="65"/>
  <c r="AI278" i="65"/>
  <c r="AI277" i="65"/>
  <c r="AI276" i="65"/>
  <c r="AI275" i="65"/>
  <c r="AI274" i="65"/>
  <c r="AI273" i="65"/>
  <c r="AI272" i="65"/>
  <c r="AI271" i="65"/>
  <c r="AI270" i="65"/>
  <c r="AI269" i="65"/>
  <c r="AI268" i="65"/>
  <c r="AI267" i="65"/>
  <c r="AI266" i="65"/>
  <c r="AI265" i="65"/>
  <c r="AI264" i="65"/>
  <c r="AI263" i="65"/>
  <c r="AI262" i="65"/>
  <c r="AI261" i="65"/>
  <c r="AI260" i="65"/>
  <c r="AI259" i="65"/>
  <c r="AI258" i="65"/>
  <c r="AI257" i="65"/>
  <c r="AI256" i="65"/>
  <c r="AI255" i="65"/>
  <c r="AI254" i="65"/>
  <c r="AI253" i="65"/>
  <c r="AI252" i="65"/>
  <c r="AI251" i="65"/>
  <c r="AI250" i="65"/>
  <c r="AI249" i="65"/>
  <c r="AI248" i="65"/>
  <c r="AI247" i="65"/>
  <c r="AI246" i="65"/>
  <c r="AI245" i="65"/>
  <c r="AI244" i="65"/>
  <c r="AI243" i="65"/>
  <c r="AI242" i="65"/>
  <c r="AI241" i="65"/>
  <c r="AI240" i="65"/>
  <c r="AI239" i="65"/>
  <c r="AI238" i="65"/>
  <c r="AI237" i="65"/>
  <c r="AI236" i="65"/>
  <c r="AI235" i="65"/>
  <c r="AI234" i="65"/>
  <c r="AI233" i="65"/>
  <c r="AI232" i="65"/>
  <c r="AI231" i="65"/>
  <c r="AI230" i="65"/>
  <c r="AI229" i="65"/>
  <c r="AI228" i="65"/>
  <c r="AI227" i="65"/>
  <c r="AI226" i="65"/>
  <c r="AI225" i="65"/>
  <c r="AI224" i="65"/>
  <c r="AI223" i="65"/>
  <c r="AI222" i="65"/>
  <c r="AI221" i="65"/>
  <c r="AI220" i="65"/>
  <c r="AI219" i="65"/>
  <c r="AI218" i="65"/>
  <c r="AI217" i="65"/>
  <c r="AI216" i="65"/>
  <c r="AI215" i="65"/>
  <c r="AI214" i="65"/>
  <c r="AI213" i="65"/>
  <c r="AI212" i="65"/>
  <c r="AI211" i="65"/>
  <c r="AI210" i="65"/>
  <c r="AI209" i="65"/>
  <c r="AI208" i="65"/>
  <c r="AI207" i="65"/>
  <c r="AI206" i="65"/>
  <c r="AI205" i="65"/>
  <c r="AI204" i="65"/>
  <c r="AI203" i="65"/>
  <c r="AI202" i="65"/>
  <c r="AI201" i="65"/>
  <c r="AI200" i="65"/>
  <c r="AI199" i="65"/>
  <c r="AI198" i="65"/>
  <c r="AI197" i="65"/>
  <c r="AI196" i="65"/>
  <c r="AI195" i="65"/>
  <c r="AI194" i="65"/>
  <c r="AI193" i="65"/>
  <c r="AI192" i="65"/>
  <c r="AI191" i="65"/>
  <c r="AI190" i="65"/>
  <c r="AI189" i="65"/>
  <c r="AI188" i="65"/>
  <c r="AI187" i="65"/>
  <c r="AI186" i="65"/>
  <c r="AI185" i="65"/>
  <c r="AI184" i="65"/>
  <c r="AI183" i="65"/>
  <c r="AI182" i="65"/>
  <c r="AI181" i="65"/>
  <c r="AI180" i="65"/>
  <c r="AI179" i="65"/>
  <c r="AI178" i="65"/>
  <c r="AI177" i="65"/>
  <c r="AI176" i="65"/>
  <c r="AI175" i="65"/>
  <c r="AI174" i="65"/>
  <c r="AI173" i="65"/>
  <c r="AI172" i="65"/>
  <c r="AI171" i="65"/>
  <c r="AI170" i="65"/>
  <c r="AI169" i="65"/>
  <c r="AI168" i="65"/>
  <c r="AI167" i="65"/>
  <c r="AI166" i="65"/>
  <c r="AI165" i="65"/>
  <c r="AI164" i="65"/>
  <c r="AI163" i="65"/>
  <c r="AI162" i="65"/>
  <c r="AI161" i="65"/>
  <c r="AI160" i="65"/>
  <c r="AI159" i="65"/>
  <c r="AI158" i="65"/>
  <c r="AI157" i="65"/>
  <c r="AI156" i="65"/>
  <c r="AI155" i="65"/>
  <c r="AI154" i="65"/>
  <c r="AI153" i="65"/>
  <c r="AI152" i="65"/>
  <c r="AI151" i="65"/>
  <c r="AI150" i="65"/>
  <c r="AI149" i="65"/>
  <c r="AI148" i="65"/>
  <c r="AI147" i="65"/>
  <c r="AI146" i="65"/>
  <c r="AI145" i="65"/>
  <c r="AI144" i="65"/>
  <c r="AI143" i="65"/>
  <c r="AI142" i="65"/>
  <c r="AI141" i="65"/>
  <c r="AI140" i="65"/>
  <c r="AI139" i="65"/>
  <c r="AI138" i="65"/>
  <c r="AI137" i="65"/>
  <c r="AI136" i="65"/>
  <c r="AI135" i="65"/>
  <c r="AI134" i="65"/>
  <c r="AI133" i="65"/>
  <c r="AI132" i="65"/>
  <c r="AI131" i="65"/>
  <c r="AI130" i="65"/>
  <c r="AI129" i="65"/>
  <c r="AI128" i="65"/>
  <c r="AI127" i="65"/>
  <c r="AI126" i="65"/>
  <c r="AI125" i="65"/>
  <c r="AI124" i="65"/>
  <c r="AI123" i="65"/>
  <c r="AI122" i="65"/>
  <c r="AI121" i="65"/>
  <c r="AI120" i="65"/>
  <c r="AI119" i="65"/>
  <c r="AI118" i="65"/>
  <c r="AI117" i="65"/>
  <c r="AI116" i="65"/>
  <c r="AI115" i="65"/>
  <c r="AI114" i="65"/>
  <c r="AI113" i="65"/>
  <c r="AI112" i="65"/>
  <c r="AI111" i="65"/>
  <c r="AI110" i="65"/>
  <c r="AI109" i="65"/>
  <c r="AI108" i="65"/>
  <c r="AI107" i="65"/>
  <c r="AI106" i="65"/>
  <c r="AI105" i="65"/>
  <c r="AI104" i="65"/>
  <c r="AI103" i="65"/>
  <c r="AI102" i="65"/>
  <c r="AI101" i="65"/>
  <c r="AI100" i="65"/>
  <c r="AI99" i="65"/>
  <c r="AI98" i="65"/>
  <c r="AI97" i="65"/>
  <c r="AI96" i="65"/>
  <c r="AI95" i="65"/>
  <c r="AI94" i="65"/>
  <c r="AI93" i="65"/>
  <c r="AI92" i="65"/>
  <c r="AI91" i="65"/>
  <c r="AI90" i="65"/>
  <c r="AI89" i="65"/>
  <c r="AI88" i="65"/>
  <c r="AI87" i="65"/>
  <c r="AI86" i="65"/>
  <c r="AI85" i="65"/>
  <c r="AI84" i="65"/>
  <c r="AI83" i="65"/>
  <c r="AI82" i="65"/>
  <c r="AI81" i="65"/>
  <c r="AI80" i="65"/>
  <c r="AI79" i="65"/>
  <c r="AI78" i="65"/>
  <c r="AI77" i="65"/>
  <c r="AI76" i="65"/>
  <c r="AI75" i="65"/>
  <c r="AI73" i="65"/>
  <c r="AI72" i="65"/>
  <c r="AI71" i="65"/>
  <c r="AI70" i="65"/>
  <c r="AI69" i="65"/>
  <c r="AI68" i="65"/>
  <c r="AI67" i="65"/>
  <c r="AI66" i="65"/>
  <c r="AI65" i="65"/>
  <c r="AI64" i="65"/>
  <c r="AI63" i="65"/>
  <c r="AI62" i="65"/>
  <c r="AI61" i="65"/>
  <c r="AI60" i="65"/>
  <c r="AI59" i="65"/>
  <c r="AI58" i="65"/>
  <c r="AI57" i="65"/>
  <c r="AI56" i="65"/>
  <c r="AI55" i="65"/>
  <c r="AI54" i="65"/>
  <c r="AI53" i="65"/>
  <c r="AI52" i="65"/>
  <c r="AI51" i="65"/>
  <c r="AI50" i="65"/>
  <c r="AI49" i="65"/>
  <c r="AI48" i="65"/>
  <c r="AI47" i="65"/>
  <c r="AI46" i="65"/>
  <c r="AI45" i="65"/>
  <c r="AI44" i="65"/>
  <c r="AI43" i="65"/>
  <c r="AI42" i="65"/>
  <c r="AI41" i="65"/>
  <c r="AI40" i="65"/>
  <c r="AI39" i="65"/>
  <c r="AI38" i="65"/>
  <c r="AI37" i="65"/>
  <c r="AI36" i="65"/>
  <c r="AI35" i="65"/>
  <c r="AI34" i="65"/>
  <c r="AI33" i="65"/>
  <c r="AI32" i="65"/>
  <c r="AI31" i="65"/>
  <c r="AI30" i="65"/>
  <c r="AI29" i="65"/>
  <c r="AI28" i="65"/>
  <c r="AI27" i="65"/>
  <c r="AI26" i="65"/>
  <c r="AI25" i="65"/>
  <c r="AI24" i="65"/>
  <c r="AI23" i="65"/>
  <c r="AI22" i="65"/>
  <c r="AI21" i="65"/>
  <c r="AI20" i="65"/>
  <c r="AI19" i="65"/>
  <c r="AI18" i="65"/>
  <c r="AI17" i="65"/>
  <c r="AI16" i="65"/>
  <c r="AI15" i="65"/>
  <c r="AI14" i="65"/>
  <c r="AI13" i="65"/>
  <c r="AI12" i="65"/>
  <c r="AI11" i="65"/>
  <c r="AI10" i="65"/>
  <c r="AI9" i="65"/>
  <c r="AI8" i="65"/>
  <c r="AI7" i="65"/>
  <c r="AI6" i="65"/>
  <c r="AI5" i="65"/>
  <c r="G658" i="65" l="1"/>
  <c r="G657" i="65"/>
  <c r="G426" i="65"/>
  <c r="G580" i="65"/>
  <c r="G656" i="65"/>
  <c r="G425" i="65"/>
  <c r="G655" i="65"/>
  <c r="G654" i="65"/>
  <c r="G234" i="65"/>
  <c r="G604" i="65"/>
  <c r="G501" i="65"/>
  <c r="G579" i="65"/>
  <c r="G578" i="65"/>
  <c r="G577" i="65"/>
  <c r="G576" i="65"/>
  <c r="G575" i="65"/>
  <c r="G574" i="65"/>
  <c r="G653" i="65"/>
  <c r="G652" i="65"/>
  <c r="G651" i="65"/>
  <c r="G650" i="65"/>
  <c r="G564" i="65"/>
  <c r="G563" i="65"/>
  <c r="G649" i="65"/>
  <c r="G560" i="65"/>
  <c r="G559" i="65"/>
  <c r="G562" i="65"/>
  <c r="G561" i="65"/>
  <c r="G558" i="65"/>
  <c r="G557" i="65"/>
  <c r="G251" i="65"/>
  <c r="G527" i="65"/>
  <c r="G648" i="65"/>
  <c r="G233" i="65"/>
  <c r="G550" i="65"/>
  <c r="G548" i="65"/>
  <c r="G547" i="65"/>
  <c r="G500" i="65"/>
  <c r="G647" i="65"/>
  <c r="G546" i="65"/>
  <c r="G544" i="65"/>
  <c r="G646" i="65"/>
  <c r="G645" i="65"/>
  <c r="G637" i="65"/>
  <c r="G232" i="65"/>
  <c r="G499" i="65"/>
  <c r="G543" i="65"/>
  <c r="G542" i="65"/>
  <c r="G541" i="65"/>
  <c r="G540" i="65"/>
  <c r="G539" i="65"/>
  <c r="G219" i="65"/>
  <c r="G636" i="65"/>
  <c r="G524" i="65"/>
  <c r="G483" i="65"/>
  <c r="G545" i="65"/>
  <c r="G523" i="65"/>
  <c r="G521" i="65"/>
  <c r="G520" i="65"/>
  <c r="G518" i="65"/>
  <c r="G517" i="65"/>
  <c r="G479" i="65"/>
  <c r="G476" i="65"/>
  <c r="G471" i="65"/>
  <c r="G516" i="65"/>
  <c r="G515" i="65"/>
  <c r="G216" i="65"/>
  <c r="G199" i="65"/>
  <c r="G198" i="65"/>
  <c r="G215" i="65"/>
  <c r="G218" i="65"/>
  <c r="G192" i="65"/>
  <c r="G191" i="65"/>
  <c r="G190" i="65"/>
  <c r="G644" i="65"/>
  <c r="G189" i="65"/>
  <c r="G188" i="65"/>
  <c r="G503" i="65"/>
  <c r="G466" i="65"/>
  <c r="G635" i="65"/>
  <c r="G486" i="65"/>
  <c r="G683" i="65"/>
  <c r="G682" i="65"/>
  <c r="G681" i="65"/>
  <c r="G482" i="65"/>
  <c r="G478" i="65"/>
  <c r="G470" i="65"/>
  <c r="G475" i="65"/>
  <c r="G460" i="65"/>
  <c r="G447" i="65"/>
  <c r="G474" i="65"/>
  <c r="G469" i="65"/>
  <c r="G250" i="65"/>
  <c r="G415" i="65"/>
  <c r="G221" i="65"/>
  <c r="G556" i="65"/>
  <c r="G555" i="65"/>
  <c r="G554" i="65"/>
  <c r="G553" i="65"/>
  <c r="G552" i="65"/>
  <c r="G634" i="65"/>
  <c r="G633" i="65"/>
  <c r="G551" i="65"/>
  <c r="G220" i="65"/>
  <c r="G643" i="65"/>
  <c r="G642" i="65"/>
  <c r="G249" i="65"/>
  <c r="G434" i="65"/>
  <c r="G424" i="65"/>
  <c r="G439" i="65"/>
  <c r="G414" i="65"/>
  <c r="G231" i="65"/>
  <c r="G248" i="65"/>
  <c r="G438" i="65"/>
  <c r="G413" i="65"/>
  <c r="G433" i="65"/>
  <c r="G412" i="65"/>
  <c r="G411" i="65"/>
  <c r="G410" i="65"/>
  <c r="G404" i="65"/>
  <c r="G403" i="65"/>
  <c r="G432" i="65"/>
  <c r="G408" i="65"/>
  <c r="G407" i="65"/>
  <c r="G538" i="65"/>
  <c r="G537" i="65"/>
  <c r="G536" i="65"/>
  <c r="G406" i="65"/>
  <c r="G405" i="65"/>
  <c r="G402" i="65"/>
  <c r="G401" i="65"/>
  <c r="G632" i="65"/>
  <c r="G400" i="65"/>
  <c r="G399" i="65"/>
  <c r="G397" i="65"/>
  <c r="G393" i="65"/>
  <c r="G389" i="65"/>
  <c r="G385" i="65"/>
  <c r="G381" i="65"/>
  <c r="G377" i="65"/>
  <c r="G373" i="65"/>
  <c r="G370" i="65"/>
  <c r="G367" i="65"/>
  <c r="G363" i="65"/>
  <c r="G359" i="65"/>
  <c r="G357" i="65"/>
  <c r="G355" i="65"/>
  <c r="G353" i="65"/>
  <c r="G351" i="65"/>
  <c r="G350" i="65"/>
  <c r="G348" i="65"/>
  <c r="G346" i="65"/>
  <c r="G345" i="65"/>
  <c r="G344" i="65"/>
  <c r="G343" i="65"/>
  <c r="G247" i="65"/>
  <c r="G341" i="65"/>
  <c r="G338" i="65"/>
  <c r="G337" i="65"/>
  <c r="G336" i="65"/>
  <c r="G333" i="65"/>
  <c r="G331" i="65"/>
  <c r="G329" i="65"/>
  <c r="G328" i="65"/>
  <c r="G326" i="65"/>
  <c r="G325" i="65"/>
  <c r="G324" i="65"/>
  <c r="G322" i="65"/>
  <c r="G320" i="65"/>
  <c r="G318" i="65"/>
  <c r="G317" i="65"/>
  <c r="G314" i="65"/>
  <c r="G312" i="65"/>
  <c r="G311" i="65"/>
  <c r="G310" i="65"/>
  <c r="G309" i="65"/>
  <c r="G308" i="65"/>
  <c r="G306" i="65"/>
  <c r="G305" i="65"/>
  <c r="G362" i="65"/>
  <c r="G631" i="65"/>
  <c r="G630" i="65"/>
  <c r="G446" i="65"/>
  <c r="G445" i="65"/>
  <c r="G459" i="65"/>
  <c r="G464" i="65"/>
  <c r="G458" i="65"/>
  <c r="G498" i="65"/>
  <c r="G246" i="65"/>
  <c r="G497" i="65"/>
  <c r="G468" i="65"/>
  <c r="G629" i="65"/>
  <c r="G566" i="65"/>
  <c r="G485" i="65"/>
  <c r="G628" i="65"/>
  <c r="G627" i="65"/>
  <c r="G626" i="65"/>
  <c r="G625" i="65"/>
  <c r="G569" i="65"/>
  <c r="G568" i="65"/>
  <c r="G624" i="65"/>
  <c r="G572" i="65"/>
  <c r="G623" i="65"/>
  <c r="G481" i="65"/>
  <c r="G480" i="65"/>
  <c r="G565" i="65"/>
  <c r="G622" i="65"/>
  <c r="G7" i="65"/>
  <c r="G473" i="65"/>
  <c r="G621" i="65"/>
  <c r="G496" i="65"/>
  <c r="G620" i="65"/>
  <c r="G619" i="65"/>
  <c r="G567" i="65"/>
  <c r="G571" i="65"/>
  <c r="G409" i="65"/>
  <c r="G603" i="65"/>
  <c r="G570" i="65"/>
  <c r="G618" i="65"/>
  <c r="G617" i="65"/>
  <c r="G616" i="65"/>
  <c r="G615" i="65"/>
  <c r="G614" i="65"/>
  <c r="G613" i="65"/>
  <c r="G612" i="65"/>
  <c r="G611" i="65"/>
  <c r="G65" i="65"/>
  <c r="G675" i="65"/>
  <c r="G674" i="65"/>
  <c r="G66" i="65"/>
  <c r="G64" i="65"/>
  <c r="G573" i="65"/>
  <c r="G217" i="65"/>
  <c r="G302" i="65"/>
  <c r="G301" i="65"/>
  <c r="G300" i="65"/>
  <c r="G299" i="65"/>
  <c r="G298" i="65"/>
  <c r="G297" i="65"/>
  <c r="G296" i="65"/>
  <c r="G295" i="65"/>
  <c r="G294" i="65"/>
  <c r="G6" i="65"/>
  <c r="G293" i="65"/>
  <c r="G292" i="65"/>
  <c r="G291" i="65"/>
  <c r="G290" i="65"/>
  <c r="G289" i="65"/>
  <c r="G288" i="65"/>
  <c r="G287" i="65"/>
  <c r="G286" i="65"/>
  <c r="G285" i="65"/>
  <c r="G284" i="65"/>
  <c r="G283" i="65"/>
  <c r="G282" i="65"/>
  <c r="G281" i="65"/>
  <c r="G280" i="65"/>
  <c r="G279" i="65"/>
  <c r="G278" i="65"/>
  <c r="G277" i="65"/>
  <c r="G276" i="65"/>
  <c r="G275" i="65"/>
  <c r="G274" i="65"/>
  <c r="G273" i="65"/>
  <c r="G272" i="65"/>
  <c r="G271" i="65"/>
  <c r="G270" i="65"/>
  <c r="G269" i="65"/>
  <c r="G268" i="65"/>
  <c r="G267" i="65"/>
  <c r="G266" i="65"/>
  <c r="G265" i="65"/>
  <c r="G264" i="65"/>
  <c r="G263" i="65"/>
  <c r="G262" i="65"/>
  <c r="G261" i="65"/>
  <c r="G260" i="65"/>
  <c r="G259" i="65"/>
  <c r="G258" i="65"/>
  <c r="G257" i="65"/>
  <c r="G256" i="65"/>
  <c r="G255" i="65"/>
  <c r="G495" i="65"/>
  <c r="G230" i="65"/>
  <c r="G229" i="65"/>
  <c r="G494" i="65"/>
  <c r="G493" i="65"/>
  <c r="G492" i="65"/>
  <c r="G491" i="65"/>
  <c r="G228" i="65"/>
  <c r="G610" i="65"/>
  <c r="G535" i="65"/>
  <c r="G186" i="65"/>
  <c r="G185" i="65"/>
  <c r="G183" i="65"/>
  <c r="G182" i="65"/>
  <c r="G180" i="65"/>
  <c r="G179" i="65"/>
  <c r="G177" i="65"/>
  <c r="G176" i="65"/>
  <c r="G245" i="65"/>
  <c r="G227" i="65"/>
  <c r="G85" i="65"/>
  <c r="G84" i="65"/>
  <c r="G83" i="65"/>
  <c r="G82" i="65"/>
  <c r="G81" i="65"/>
  <c r="G80" i="65"/>
  <c r="G79" i="65"/>
  <c r="G175" i="65"/>
  <c r="G174" i="65"/>
  <c r="G173" i="65"/>
  <c r="G172" i="65"/>
  <c r="G171" i="65"/>
  <c r="G170" i="65"/>
  <c r="G169" i="65"/>
  <c r="G168" i="65"/>
  <c r="G167" i="65"/>
  <c r="G166" i="65"/>
  <c r="G165" i="65"/>
  <c r="G164" i="65"/>
  <c r="G163" i="65"/>
  <c r="G162" i="65"/>
  <c r="G161" i="65"/>
  <c r="G160" i="65"/>
  <c r="G159" i="65"/>
  <c r="G158" i="65"/>
  <c r="G157" i="65"/>
  <c r="G156" i="65"/>
  <c r="G155" i="65"/>
  <c r="G78" i="65"/>
  <c r="G77" i="65"/>
  <c r="G76" i="65"/>
  <c r="G75" i="65"/>
  <c r="G226" i="65"/>
  <c r="G74" i="65"/>
  <c r="G225" i="65"/>
  <c r="G153" i="65"/>
  <c r="G151" i="65"/>
  <c r="G672" i="65"/>
  <c r="G431" i="65"/>
  <c r="G149" i="65"/>
  <c r="G147" i="65"/>
  <c r="G671" i="65"/>
  <c r="G490" i="65"/>
  <c r="G145" i="65"/>
  <c r="G143" i="65"/>
  <c r="G141" i="65"/>
  <c r="G139" i="65"/>
  <c r="G137" i="65"/>
  <c r="G135" i="65"/>
  <c r="G133" i="65"/>
  <c r="G131" i="65"/>
  <c r="G129" i="65"/>
  <c r="G127" i="65"/>
  <c r="G126" i="65"/>
  <c r="G125" i="65"/>
  <c r="G124" i="65"/>
  <c r="G123" i="65"/>
  <c r="G489" i="65"/>
  <c r="G488" i="65"/>
  <c r="G430" i="65"/>
  <c r="G487" i="65"/>
  <c r="G244" i="65"/>
  <c r="G73" i="65"/>
  <c r="G224" i="65"/>
  <c r="G72" i="65"/>
  <c r="G223" i="65"/>
  <c r="G423" i="65"/>
  <c r="G422" i="65"/>
  <c r="G513" i="65"/>
  <c r="G71" i="65"/>
  <c r="G70" i="65"/>
  <c r="G243" i="65"/>
  <c r="G69" i="65"/>
  <c r="G512" i="65"/>
  <c r="G122" i="65"/>
  <c r="G121" i="65"/>
  <c r="G120" i="65"/>
  <c r="G118" i="65"/>
  <c r="G116" i="65"/>
  <c r="G114" i="65"/>
  <c r="G112" i="65"/>
  <c r="G111" i="65"/>
  <c r="G110" i="65"/>
  <c r="G109" i="65"/>
  <c r="G108" i="65"/>
  <c r="G107" i="65"/>
  <c r="G106" i="65"/>
  <c r="G105" i="65"/>
  <c r="G104" i="65"/>
  <c r="G103" i="65"/>
  <c r="G102" i="65"/>
  <c r="G101" i="65"/>
  <c r="G100" i="65"/>
  <c r="G99" i="65"/>
  <c r="G98" i="65"/>
  <c r="G97" i="65"/>
  <c r="G96" i="65"/>
  <c r="G94" i="65"/>
  <c r="G92" i="65"/>
  <c r="G91" i="65"/>
  <c r="G90" i="65"/>
  <c r="G89" i="65"/>
  <c r="G68" i="65"/>
  <c r="G88" i="65"/>
  <c r="G87" i="65"/>
  <c r="G86" i="65"/>
  <c r="G67" i="65"/>
  <c r="G222" i="65"/>
  <c r="G214" i="65"/>
  <c r="G213" i="65"/>
  <c r="G212" i="65"/>
  <c r="G211" i="65"/>
  <c r="G210" i="65"/>
  <c r="G209" i="65"/>
  <c r="G208" i="65"/>
  <c r="G207" i="65"/>
  <c r="G206" i="65"/>
  <c r="G205" i="65"/>
  <c r="G204" i="65"/>
  <c r="G203" i="65"/>
  <c r="G202" i="65"/>
  <c r="G201" i="65"/>
  <c r="G200" i="65"/>
  <c r="G197" i="65"/>
  <c r="G196" i="65"/>
  <c r="G195" i="65"/>
  <c r="G194" i="65"/>
  <c r="G193" i="65"/>
  <c r="G609" i="65"/>
  <c r="G608" i="65"/>
  <c r="G509" i="65"/>
  <c r="G508" i="65"/>
  <c r="G507" i="65"/>
  <c r="G506" i="65"/>
  <c r="G505" i="65"/>
  <c r="G504" i="65"/>
  <c r="G457" i="65"/>
  <c r="G456" i="65"/>
  <c r="G455" i="65"/>
  <c r="G463" i="65"/>
  <c r="G462" i="65"/>
  <c r="G533" i="65"/>
  <c r="G465" i="65"/>
  <c r="G437" i="65"/>
  <c r="G444" i="65"/>
  <c r="G443" i="65"/>
  <c r="G442" i="65"/>
  <c r="G441" i="65"/>
  <c r="G454" i="65"/>
  <c r="G453" i="65"/>
  <c r="G452" i="65"/>
  <c r="G451" i="65"/>
  <c r="G450" i="65"/>
  <c r="G449" i="65"/>
  <c r="G448" i="65"/>
  <c r="G436" i="65"/>
  <c r="G435" i="65"/>
  <c r="G242" i="65"/>
  <c r="G241" i="65"/>
  <c r="G240" i="65"/>
  <c r="G239" i="65"/>
  <c r="G238" i="65"/>
  <c r="G237" i="65"/>
  <c r="G534" i="65"/>
  <c r="G421" i="65"/>
  <c r="G420" i="65"/>
  <c r="G24" i="65"/>
  <c r="G11" i="65"/>
  <c r="G63" i="65"/>
  <c r="G61" i="65"/>
  <c r="G62" i="65"/>
  <c r="G60" i="65"/>
  <c r="G51" i="65"/>
  <c r="G59" i="65"/>
  <c r="G58" i="65"/>
  <c r="G57" i="65"/>
  <c r="G56" i="65"/>
  <c r="G13" i="65"/>
  <c r="G55" i="65"/>
  <c r="G54" i="65"/>
  <c r="G16" i="65"/>
  <c r="G53" i="65"/>
  <c r="G28" i="65"/>
  <c r="G50" i="65"/>
  <c r="G49" i="65"/>
  <c r="G48" i="65"/>
  <c r="G46" i="65"/>
  <c r="G45" i="65"/>
  <c r="G44" i="65"/>
  <c r="G43" i="65"/>
  <c r="G42" i="65"/>
  <c r="G41" i="65"/>
  <c r="G40" i="65"/>
  <c r="G39" i="65"/>
  <c r="G38" i="65"/>
  <c r="G37" i="65"/>
  <c r="G36" i="65"/>
  <c r="G35" i="65"/>
  <c r="G419" i="65"/>
  <c r="G34" i="65"/>
  <c r="G33" i="65"/>
  <c r="G32" i="65"/>
  <c r="G31" i="65"/>
  <c r="G30" i="65"/>
  <c r="G29" i="65"/>
  <c r="G18" i="65"/>
  <c r="G17" i="65"/>
  <c r="G26" i="65"/>
  <c r="G25" i="65"/>
  <c r="G22" i="65"/>
  <c r="G21" i="65"/>
  <c r="G20" i="65"/>
  <c r="G19" i="65"/>
  <c r="G9" i="65"/>
  <c r="G15" i="65"/>
  <c r="G8" i="65"/>
  <c r="G12" i="65"/>
  <c r="G14" i="65"/>
  <c r="G52" i="65"/>
  <c r="G23" i="65"/>
  <c r="G27" i="65"/>
  <c r="G10" i="65"/>
  <c r="G418" i="65"/>
  <c r="G417" i="65"/>
  <c r="G641" i="65"/>
  <c r="G511" i="65"/>
  <c r="G680" i="65"/>
  <c r="G679" i="65"/>
  <c r="G678" i="65"/>
  <c r="G677" i="65"/>
  <c r="G676" i="65"/>
  <c r="G3" i="65"/>
  <c r="N3" i="65"/>
  <c r="M3" i="65"/>
  <c r="L3" i="65"/>
  <c r="K3" i="65"/>
  <c r="I3" i="65"/>
  <c r="H3" i="65"/>
  <c r="P579" i="65" l="1"/>
  <c r="P163" i="65"/>
  <c r="P612" i="65"/>
  <c r="P501" i="65"/>
  <c r="P458" i="65"/>
  <c r="P624" i="65"/>
  <c r="P500" i="65"/>
  <c r="P325" i="65"/>
  <c r="P425" i="65"/>
  <c r="P656" i="65"/>
  <c r="P548" i="65"/>
  <c r="P367" i="65"/>
  <c r="P257" i="65"/>
  <c r="P7" i="65"/>
  <c r="P492" i="65"/>
  <c r="P546" i="65"/>
  <c r="P157" i="65"/>
  <c r="P448" i="65"/>
  <c r="P449" i="65"/>
  <c r="P454" i="65"/>
  <c r="P56" i="65"/>
  <c r="P444" i="65"/>
  <c r="P295" i="65"/>
  <c r="P568" i="65"/>
  <c r="P566" i="65"/>
  <c r="P542" i="65"/>
  <c r="P456" i="65"/>
  <c r="P473" i="65"/>
  <c r="P543" i="65"/>
  <c r="P125" i="65"/>
  <c r="P160" i="65"/>
  <c r="P61" i="65"/>
  <c r="P420" i="65"/>
  <c r="P499" i="65"/>
  <c r="P161" i="65"/>
  <c r="P255" i="65"/>
  <c r="P16" i="65"/>
  <c r="P565" i="65"/>
  <c r="P232" i="65"/>
  <c r="P124" i="65"/>
  <c r="P623" i="65"/>
  <c r="P62" i="65"/>
  <c r="P494" i="65"/>
  <c r="P445" i="65"/>
  <c r="P645" i="65"/>
  <c r="P159" i="65"/>
  <c r="P145" i="65"/>
  <c r="P680" i="65"/>
  <c r="P635" i="65"/>
  <c r="P446" i="65"/>
  <c r="P646" i="65"/>
  <c r="P127" i="65"/>
  <c r="P459" i="65"/>
  <c r="P540" i="65"/>
  <c r="P452" i="65"/>
  <c r="P490" i="65"/>
  <c r="P123" i="65"/>
  <c r="P541" i="65"/>
  <c r="P558" i="65"/>
  <c r="O3" i="65"/>
  <c r="M293" i="69"/>
  <c r="M281" i="69"/>
  <c r="M255" i="69"/>
  <c r="Q127" i="69" l="1"/>
  <c r="R127" i="69" s="1"/>
  <c r="S127" i="69" s="1"/>
  <c r="T127" i="69" s="1"/>
  <c r="U127" i="69" s="1"/>
  <c r="V127" i="69" s="1"/>
  <c r="Q169" i="69"/>
  <c r="R169" i="69" s="1"/>
  <c r="S169" i="69" s="1"/>
  <c r="T169" i="69" s="1"/>
  <c r="U169" i="69" s="1"/>
  <c r="V169" i="69" s="1"/>
  <c r="Q171" i="69"/>
  <c r="R171" i="69" s="1"/>
  <c r="S171" i="69" s="1"/>
  <c r="T171" i="69" s="1"/>
  <c r="U171" i="69" s="1"/>
  <c r="V171" i="69" s="1"/>
  <c r="Q174" i="69"/>
  <c r="R174" i="69" s="1"/>
  <c r="S174" i="69" s="1"/>
  <c r="T174" i="69" s="1"/>
  <c r="U174" i="69" s="1"/>
  <c r="V174" i="69" s="1"/>
  <c r="Q176" i="69"/>
  <c r="R176" i="69" s="1"/>
  <c r="S176" i="69" s="1"/>
  <c r="T176" i="69" s="1"/>
  <c r="U176" i="69" s="1"/>
  <c r="V176" i="69" s="1"/>
  <c r="Q177" i="69"/>
  <c r="R177" i="69" s="1"/>
  <c r="S177" i="69" s="1"/>
  <c r="T177" i="69" s="1"/>
  <c r="U177" i="69" s="1"/>
  <c r="V177" i="69" s="1"/>
  <c r="Q192" i="69"/>
  <c r="R192" i="69" s="1"/>
  <c r="S192" i="69" s="1"/>
  <c r="T192" i="69" s="1"/>
  <c r="U192" i="69" s="1"/>
  <c r="V192" i="69" s="1"/>
  <c r="Q200" i="69"/>
  <c r="R200" i="69" s="1"/>
  <c r="S200" i="69" s="1"/>
  <c r="T200" i="69" s="1"/>
  <c r="U200" i="69" s="1"/>
  <c r="V200" i="69" s="1"/>
  <c r="Q202" i="69"/>
  <c r="R202" i="69" s="1"/>
  <c r="S202" i="69" s="1"/>
  <c r="T202" i="69" s="1"/>
  <c r="U202" i="69" s="1"/>
  <c r="V202" i="69" s="1"/>
  <c r="Q247" i="69"/>
  <c r="R247" i="69" s="1"/>
  <c r="S247" i="69" s="1"/>
  <c r="T247" i="69" s="1"/>
  <c r="U247" i="69" s="1"/>
  <c r="V247" i="69" s="1"/>
  <c r="Q248" i="69"/>
  <c r="R248" i="69" s="1"/>
  <c r="S248" i="69" s="1"/>
  <c r="T248" i="69" s="1"/>
  <c r="U248" i="69" s="1"/>
  <c r="V248" i="69" s="1"/>
  <c r="Q249" i="69"/>
  <c r="R249" i="69" s="1"/>
  <c r="S249" i="69" s="1"/>
  <c r="T249" i="69" s="1"/>
  <c r="U249" i="69" s="1"/>
  <c r="V249" i="69" s="1"/>
  <c r="Q250" i="69"/>
  <c r="R250" i="69" s="1"/>
  <c r="S250" i="69" s="1"/>
  <c r="T250" i="69" s="1"/>
  <c r="U250" i="69" s="1"/>
  <c r="V250" i="69" s="1"/>
  <c r="Q251" i="69"/>
  <c r="R251" i="69" s="1"/>
  <c r="S251" i="69" s="1"/>
  <c r="T251" i="69" s="1"/>
  <c r="U251" i="69" s="1"/>
  <c r="V251" i="69" s="1"/>
  <c r="Q252" i="69"/>
  <c r="R252" i="69" s="1"/>
  <c r="S252" i="69" s="1"/>
  <c r="T252" i="69" s="1"/>
  <c r="U252" i="69" s="1"/>
  <c r="V252" i="69" s="1"/>
  <c r="Q253" i="69"/>
  <c r="R253" i="69" s="1"/>
  <c r="S253" i="69" s="1"/>
  <c r="T253" i="69" s="1"/>
  <c r="U253" i="69" s="1"/>
  <c r="V253" i="69" s="1"/>
  <c r="Q254" i="69"/>
  <c r="R254" i="69" s="1"/>
  <c r="S254" i="69" s="1"/>
  <c r="T254" i="69" s="1"/>
  <c r="U254" i="69" s="1"/>
  <c r="V254" i="69" s="1"/>
  <c r="Q326" i="69"/>
  <c r="R326" i="69" s="1"/>
  <c r="S326" i="69" s="1"/>
  <c r="T326" i="69" s="1"/>
  <c r="U326" i="69" s="1"/>
  <c r="V326" i="69" s="1"/>
  <c r="Q347" i="69"/>
  <c r="R347" i="69" s="1"/>
  <c r="S347" i="69" s="1"/>
  <c r="T347" i="69" s="1"/>
  <c r="U347" i="69" s="1"/>
  <c r="V347" i="69" s="1"/>
  <c r="Q349" i="69"/>
  <c r="R349" i="69" s="1"/>
  <c r="S349" i="69" s="1"/>
  <c r="T349" i="69" s="1"/>
  <c r="U349" i="69" s="1"/>
  <c r="V349" i="69" s="1"/>
  <c r="Q433" i="69"/>
  <c r="R433" i="69" s="1"/>
  <c r="S433" i="69" s="1"/>
  <c r="T433" i="69" s="1"/>
  <c r="U433" i="69" s="1"/>
  <c r="V433" i="69" s="1"/>
  <c r="Q491" i="69"/>
  <c r="R491" i="69" s="1"/>
  <c r="S491" i="69" s="1"/>
  <c r="T491" i="69" s="1"/>
  <c r="U491" i="69" s="1"/>
  <c r="V491" i="69" s="1"/>
  <c r="Q492" i="69"/>
  <c r="R492" i="69" s="1"/>
  <c r="S492" i="69" s="1"/>
  <c r="T492" i="69" s="1"/>
  <c r="U492" i="69" s="1"/>
  <c r="V492" i="69" s="1"/>
  <c r="Q499" i="69"/>
  <c r="R499" i="69" s="1"/>
  <c r="S499" i="69" s="1"/>
  <c r="T499" i="69" s="1"/>
  <c r="U499" i="69" s="1"/>
  <c r="V499" i="69" s="1"/>
  <c r="Q503" i="69"/>
  <c r="R503" i="69" s="1"/>
  <c r="S503" i="69" s="1"/>
  <c r="T503" i="69" s="1"/>
  <c r="U503" i="69" s="1"/>
  <c r="V503" i="69" s="1"/>
  <c r="Q526" i="69"/>
  <c r="R526" i="69" s="1"/>
  <c r="S526" i="69" s="1"/>
  <c r="T526" i="69" s="1"/>
  <c r="U526" i="69" s="1"/>
  <c r="V526" i="69" s="1"/>
  <c r="Q528" i="69"/>
  <c r="R528" i="69" s="1"/>
  <c r="S528" i="69" s="1"/>
  <c r="T528" i="69" s="1"/>
  <c r="U528" i="69" s="1"/>
  <c r="V528" i="69" s="1"/>
  <c r="Q537" i="69"/>
  <c r="R537" i="69" s="1"/>
  <c r="S537" i="69" s="1"/>
  <c r="T537" i="69" s="1"/>
  <c r="U537" i="69" s="1"/>
  <c r="V537" i="69" s="1"/>
  <c r="Q547" i="69" l="1"/>
  <c r="R547" i="69" s="1"/>
  <c r="S547" i="69" s="1"/>
  <c r="T547" i="69" s="1"/>
  <c r="U547" i="69" s="1"/>
  <c r="V547" i="69" s="1"/>
  <c r="Q416" i="69" l="1"/>
  <c r="Q597" i="69" l="1"/>
  <c r="R597" i="69" s="1"/>
  <c r="S597" i="69" s="1"/>
  <c r="T597" i="69" s="1"/>
  <c r="U597" i="69" s="1"/>
  <c r="V597" i="69" s="1"/>
  <c r="Q596" i="69"/>
  <c r="R596" i="69" s="1"/>
  <c r="S596" i="69" s="1"/>
  <c r="T596" i="69" s="1"/>
  <c r="U596" i="69" s="1"/>
  <c r="V596" i="69" s="1"/>
  <c r="Q595" i="69"/>
  <c r="R595" i="69" s="1"/>
  <c r="S595" i="69" s="1"/>
  <c r="T595" i="69" s="1"/>
  <c r="U595" i="69" s="1"/>
  <c r="V595" i="69" s="1"/>
  <c r="R594" i="69"/>
  <c r="S594" i="69" s="1"/>
  <c r="T594" i="69" s="1"/>
  <c r="U594" i="69" s="1"/>
  <c r="V594" i="69" s="1"/>
  <c r="Q586" i="69"/>
  <c r="R586" i="69" s="1"/>
  <c r="S586" i="69" s="1"/>
  <c r="T586" i="69" s="1"/>
  <c r="U586" i="69" s="1"/>
  <c r="V586" i="69" s="1"/>
  <c r="R585" i="69"/>
  <c r="S585" i="69" s="1"/>
  <c r="T585" i="69" s="1"/>
  <c r="U585" i="69" s="1"/>
  <c r="V585" i="69" s="1"/>
  <c r="Q584" i="69"/>
  <c r="R584" i="69" s="1"/>
  <c r="S584" i="69" s="1"/>
  <c r="T584" i="69" s="1"/>
  <c r="U584" i="69" s="1"/>
  <c r="V584" i="69" s="1"/>
  <c r="Q578" i="69"/>
  <c r="R578" i="69" s="1"/>
  <c r="S578" i="69" s="1"/>
  <c r="T578" i="69" s="1"/>
  <c r="U578" i="69" s="1"/>
  <c r="V578" i="69" s="1"/>
  <c r="R577" i="69"/>
  <c r="S577" i="69" s="1"/>
  <c r="T577" i="69" s="1"/>
  <c r="U577" i="69" s="1"/>
  <c r="V577" i="69" s="1"/>
  <c r="Q576" i="69"/>
  <c r="R576" i="69" s="1"/>
  <c r="S576" i="69" s="1"/>
  <c r="T576" i="69" s="1"/>
  <c r="U576" i="69" s="1"/>
  <c r="V576" i="69" s="1"/>
  <c r="Q570" i="69"/>
  <c r="R570" i="69" s="1"/>
  <c r="S570" i="69" s="1"/>
  <c r="T570" i="69" s="1"/>
  <c r="U570" i="69" s="1"/>
  <c r="V570" i="69" s="1"/>
  <c r="Q569" i="69"/>
  <c r="R569" i="69" s="1"/>
  <c r="S569" i="69" s="1"/>
  <c r="T569" i="69" s="1"/>
  <c r="U569" i="69" s="1"/>
  <c r="V569" i="69" s="1"/>
  <c r="R568" i="69"/>
  <c r="S568" i="69" s="1"/>
  <c r="T568" i="69" s="1"/>
  <c r="U568" i="69" s="1"/>
  <c r="V568" i="69" s="1"/>
  <c r="Q567" i="69"/>
  <c r="R567" i="69" s="1"/>
  <c r="S567" i="69" s="1"/>
  <c r="T567" i="69" s="1"/>
  <c r="U567" i="69" s="1"/>
  <c r="V567" i="69" s="1"/>
  <c r="Q566" i="69"/>
  <c r="R566" i="69" s="1"/>
  <c r="S566" i="69" s="1"/>
  <c r="T566" i="69" s="1"/>
  <c r="U566" i="69" s="1"/>
  <c r="V566" i="69" s="1"/>
  <c r="Q565" i="69"/>
  <c r="R565" i="69" s="1"/>
  <c r="S565" i="69" s="1"/>
  <c r="T565" i="69" s="1"/>
  <c r="U565" i="69" s="1"/>
  <c r="V565" i="69" s="1"/>
  <c r="Q563" i="69"/>
  <c r="R563" i="69" s="1"/>
  <c r="S563" i="69" s="1"/>
  <c r="T563" i="69" s="1"/>
  <c r="U563" i="69" s="1"/>
  <c r="V563" i="69" s="1"/>
  <c r="Q561" i="69"/>
  <c r="R561" i="69" s="1"/>
  <c r="S561" i="69" s="1"/>
  <c r="T561" i="69" s="1"/>
  <c r="U561" i="69" s="1"/>
  <c r="V561" i="69" s="1"/>
  <c r="Q560" i="69"/>
  <c r="R560" i="69" s="1"/>
  <c r="S560" i="69" s="1"/>
  <c r="T560" i="69" s="1"/>
  <c r="U560" i="69" s="1"/>
  <c r="V560" i="69" s="1"/>
  <c r="Q559" i="69"/>
  <c r="R559" i="69" s="1"/>
  <c r="S559" i="69" s="1"/>
  <c r="T559" i="69" s="1"/>
  <c r="U559" i="69" s="1"/>
  <c r="V559" i="69" s="1"/>
  <c r="Q558" i="69"/>
  <c r="R558" i="69" s="1"/>
  <c r="S558" i="69" s="1"/>
  <c r="T558" i="69" s="1"/>
  <c r="U558" i="69" s="1"/>
  <c r="V558" i="69" s="1"/>
  <c r="Q556" i="69"/>
  <c r="R556" i="69" s="1"/>
  <c r="S556" i="69" s="1"/>
  <c r="T556" i="69" s="1"/>
  <c r="U556" i="69" s="1"/>
  <c r="V556" i="69" s="1"/>
  <c r="Q555" i="69"/>
  <c r="R555" i="69" s="1"/>
  <c r="S555" i="69" s="1"/>
  <c r="T555" i="69" s="1"/>
  <c r="U555" i="69" s="1"/>
  <c r="V555" i="69" s="1"/>
  <c r="R554" i="69"/>
  <c r="S554" i="69" s="1"/>
  <c r="T554" i="69" s="1"/>
  <c r="U554" i="69" s="1"/>
  <c r="V554" i="69" s="1"/>
  <c r="R553" i="69"/>
  <c r="S553" i="69" s="1"/>
  <c r="T553" i="69" s="1"/>
  <c r="U553" i="69" s="1"/>
  <c r="V553" i="69" s="1"/>
  <c r="Q551" i="69"/>
  <c r="R551" i="69" s="1"/>
  <c r="S551" i="69" s="1"/>
  <c r="T551" i="69" s="1"/>
  <c r="U551" i="69" s="1"/>
  <c r="V551" i="69" s="1"/>
  <c r="Q550" i="69"/>
  <c r="R550" i="69" s="1"/>
  <c r="S550" i="69" s="1"/>
  <c r="T550" i="69" s="1"/>
  <c r="U550" i="69" s="1"/>
  <c r="V550" i="69" s="1"/>
  <c r="Q549" i="69"/>
  <c r="R549" i="69" s="1"/>
  <c r="S549" i="69" s="1"/>
  <c r="T549" i="69" s="1"/>
  <c r="U549" i="69" s="1"/>
  <c r="V549" i="69" s="1"/>
  <c r="Q546" i="69"/>
  <c r="R546" i="69" s="1"/>
  <c r="S546" i="69" s="1"/>
  <c r="T546" i="69" s="1"/>
  <c r="U546" i="69" s="1"/>
  <c r="V546" i="69" s="1"/>
  <c r="Q545" i="69"/>
  <c r="R545" i="69" s="1"/>
  <c r="S545" i="69" s="1"/>
  <c r="T545" i="69" s="1"/>
  <c r="U545" i="69" s="1"/>
  <c r="V545" i="69" s="1"/>
  <c r="Q544" i="69"/>
  <c r="R544" i="69" s="1"/>
  <c r="S544" i="69" s="1"/>
  <c r="T544" i="69" s="1"/>
  <c r="U544" i="69" s="1"/>
  <c r="V544" i="69" s="1"/>
  <c r="Q541" i="69"/>
  <c r="R541" i="69" s="1"/>
  <c r="S541" i="69" s="1"/>
  <c r="T541" i="69" s="1"/>
  <c r="U541" i="69" s="1"/>
  <c r="V541" i="69" s="1"/>
  <c r="Q489" i="69"/>
  <c r="R489" i="69" s="1"/>
  <c r="S489" i="69" s="1"/>
  <c r="T489" i="69" s="1"/>
  <c r="U489" i="69" s="1"/>
  <c r="V489" i="69" s="1"/>
  <c r="Q488" i="69"/>
  <c r="R488" i="69" s="1"/>
  <c r="S488" i="69" s="1"/>
  <c r="T488" i="69" s="1"/>
  <c r="U488" i="69" s="1"/>
  <c r="V488" i="69" s="1"/>
  <c r="R416" i="69"/>
  <c r="S416" i="69" s="1"/>
  <c r="T416" i="69" s="1"/>
  <c r="U416" i="69" s="1"/>
  <c r="V416" i="69" s="1"/>
  <c r="R407" i="69"/>
  <c r="S407" i="69" s="1"/>
  <c r="T407" i="69" s="1"/>
  <c r="U407" i="69" s="1"/>
  <c r="V407" i="69" s="1"/>
  <c r="Q406" i="69"/>
  <c r="R406" i="69" s="1"/>
  <c r="S406" i="69" s="1"/>
  <c r="T406" i="69" s="1"/>
  <c r="U406" i="69" s="1"/>
  <c r="V406" i="69" s="1"/>
  <c r="Q399" i="69"/>
  <c r="R399" i="69" s="1"/>
  <c r="S399" i="69" s="1"/>
  <c r="T399" i="69" s="1"/>
  <c r="U399" i="69" s="1"/>
  <c r="V399" i="69" s="1"/>
  <c r="Q398" i="69"/>
  <c r="R398" i="69" s="1"/>
  <c r="S398" i="69" s="1"/>
  <c r="T398" i="69" s="1"/>
  <c r="U398" i="69" s="1"/>
  <c r="V398" i="69" s="1"/>
  <c r="Q397" i="69"/>
  <c r="R397" i="69" s="1"/>
  <c r="S397" i="69" s="1"/>
  <c r="T397" i="69" s="1"/>
  <c r="U397" i="69" s="1"/>
  <c r="V397" i="69" s="1"/>
  <c r="Q396" i="69"/>
  <c r="R396" i="69" s="1"/>
  <c r="S396" i="69" s="1"/>
  <c r="T396" i="69" s="1"/>
  <c r="U396" i="69" s="1"/>
  <c r="V396" i="69" s="1"/>
  <c r="Q395" i="69"/>
  <c r="R395" i="69" s="1"/>
  <c r="S395" i="69" s="1"/>
  <c r="T395" i="69" s="1"/>
  <c r="U395" i="69" s="1"/>
  <c r="V395" i="69" s="1"/>
  <c r="Q394" i="69"/>
  <c r="R394" i="69" s="1"/>
  <c r="S394" i="69" s="1"/>
  <c r="T394" i="69" s="1"/>
  <c r="U394" i="69" s="1"/>
  <c r="V394" i="69" s="1"/>
  <c r="Q393" i="69"/>
  <c r="R393" i="69" s="1"/>
  <c r="S393" i="69" s="1"/>
  <c r="T393" i="69" s="1"/>
  <c r="U393" i="69" s="1"/>
  <c r="V393" i="69" s="1"/>
  <c r="Q392" i="69"/>
  <c r="R392" i="69" s="1"/>
  <c r="S392" i="69" s="1"/>
  <c r="T392" i="69" s="1"/>
  <c r="U392" i="69" s="1"/>
  <c r="V392" i="69" s="1"/>
  <c r="Q379" i="69"/>
  <c r="R379" i="69" s="1"/>
  <c r="S379" i="69" s="1"/>
  <c r="T379" i="69" s="1"/>
  <c r="U379" i="69" s="1"/>
  <c r="V379" i="69" s="1"/>
  <c r="Q376" i="69"/>
  <c r="R376" i="69" s="1"/>
  <c r="S376" i="69" s="1"/>
  <c r="T376" i="69" s="1"/>
  <c r="U376" i="69" s="1"/>
  <c r="V376" i="69" s="1"/>
  <c r="Q375" i="69"/>
  <c r="R375" i="69" s="1"/>
  <c r="S375" i="69" s="1"/>
  <c r="T375" i="69" s="1"/>
  <c r="U375" i="69" s="1"/>
  <c r="V375" i="69" s="1"/>
  <c r="Q372" i="69"/>
  <c r="R372" i="69" s="1"/>
  <c r="S372" i="69" s="1"/>
  <c r="T372" i="69" s="1"/>
  <c r="U372" i="69" s="1"/>
  <c r="V372" i="69" s="1"/>
  <c r="Q374" i="69"/>
  <c r="R374" i="69" s="1"/>
  <c r="S374" i="69" s="1"/>
  <c r="T374" i="69" s="1"/>
  <c r="U374" i="69" s="1"/>
  <c r="V374" i="69" s="1"/>
  <c r="Q369" i="69"/>
  <c r="R369" i="69" s="1"/>
  <c r="S369" i="69" s="1"/>
  <c r="T369" i="69" s="1"/>
  <c r="U369" i="69" s="1"/>
  <c r="V369" i="69" s="1"/>
  <c r="Q368" i="69"/>
  <c r="R368" i="69" s="1"/>
  <c r="S368" i="69" s="1"/>
  <c r="T368" i="69" s="1"/>
  <c r="U368" i="69" s="1"/>
  <c r="V368" i="69" s="1"/>
  <c r="Q367" i="69"/>
  <c r="R367" i="69" s="1"/>
  <c r="S367" i="69" s="1"/>
  <c r="T367" i="69" s="1"/>
  <c r="U367" i="69" s="1"/>
  <c r="V367" i="69" s="1"/>
  <c r="R323" i="69"/>
  <c r="S323" i="69" s="1"/>
  <c r="T323" i="69" s="1"/>
  <c r="U323" i="69" s="1"/>
  <c r="V323" i="69" s="1"/>
  <c r="R331" i="69"/>
  <c r="S331" i="69" s="1"/>
  <c r="T331" i="69" s="1"/>
  <c r="U331" i="69" s="1"/>
  <c r="V331" i="69" s="1"/>
  <c r="Q337" i="69"/>
  <c r="R337" i="69" s="1"/>
  <c r="S337" i="69" s="1"/>
  <c r="T337" i="69" s="1"/>
  <c r="U337" i="69" s="1"/>
  <c r="V337" i="69" s="1"/>
  <c r="M338" i="69" l="1"/>
  <c r="M337" i="69"/>
  <c r="M331" i="69"/>
  <c r="M323" i="69"/>
  <c r="R668" i="69"/>
  <c r="S668" i="69" s="1"/>
  <c r="T668" i="69" s="1"/>
  <c r="U668" i="69" s="1"/>
  <c r="V668" i="69" s="1"/>
  <c r="Q667" i="69"/>
  <c r="R667" i="69" s="1"/>
  <c r="S667" i="69" s="1"/>
  <c r="T667" i="69" s="1"/>
  <c r="U667" i="69" s="1"/>
  <c r="V667" i="69" s="1"/>
  <c r="Q666" i="69"/>
  <c r="R666" i="69" s="1"/>
  <c r="S666" i="69" s="1"/>
  <c r="T666" i="69" s="1"/>
  <c r="U666" i="69" s="1"/>
  <c r="V666" i="69" s="1"/>
  <c r="Q664" i="69"/>
  <c r="R664" i="69" s="1"/>
  <c r="S664" i="69" s="1"/>
  <c r="T664" i="69" s="1"/>
  <c r="U664" i="69" s="1"/>
  <c r="V664" i="69" s="1"/>
  <c r="Q661" i="69"/>
  <c r="R661" i="69" s="1"/>
  <c r="S661" i="69" s="1"/>
  <c r="T661" i="69" s="1"/>
  <c r="U661" i="69" s="1"/>
  <c r="V661" i="69" s="1"/>
  <c r="Q660" i="69"/>
  <c r="R660" i="69" s="1"/>
  <c r="S660" i="69" s="1"/>
  <c r="T660" i="69" s="1"/>
  <c r="U660" i="69" s="1"/>
  <c r="V660" i="69" s="1"/>
  <c r="Q600" i="69"/>
  <c r="R600" i="69" s="1"/>
  <c r="S600" i="69" s="1"/>
  <c r="T600" i="69" s="1"/>
  <c r="U600" i="69" s="1"/>
  <c r="V600" i="69" s="1"/>
  <c r="Q599" i="69"/>
  <c r="R599" i="69" s="1"/>
  <c r="S599" i="69" s="1"/>
  <c r="T599" i="69" s="1"/>
  <c r="U599" i="69" s="1"/>
  <c r="V599" i="69" s="1"/>
  <c r="Q598" i="69"/>
  <c r="R598" i="69" s="1"/>
  <c r="S598" i="69" s="1"/>
  <c r="T598" i="69" s="1"/>
  <c r="U598" i="69" s="1"/>
  <c r="V598" i="69" s="1"/>
  <c r="Q589" i="69"/>
  <c r="R589" i="69" s="1"/>
  <c r="S589" i="69" s="1"/>
  <c r="T589" i="69" s="1"/>
  <c r="U589" i="69" s="1"/>
  <c r="V589" i="69" s="1"/>
  <c r="Q588" i="69"/>
  <c r="R588" i="69" s="1"/>
  <c r="S588" i="69" s="1"/>
  <c r="T588" i="69" s="1"/>
  <c r="U588" i="69" s="1"/>
  <c r="V588" i="69" s="1"/>
  <c r="Q583" i="69"/>
  <c r="R583" i="69" s="1"/>
  <c r="S583" i="69" s="1"/>
  <c r="T583" i="69" s="1"/>
  <c r="U583" i="69" s="1"/>
  <c r="V583" i="69" s="1"/>
  <c r="Q573" i="69"/>
  <c r="R573" i="69" s="1"/>
  <c r="S573" i="69" s="1"/>
  <c r="T573" i="69" s="1"/>
  <c r="U573" i="69" s="1"/>
  <c r="V573" i="69" s="1"/>
  <c r="Q572" i="69"/>
  <c r="R572" i="69" s="1"/>
  <c r="S572" i="69" s="1"/>
  <c r="T572" i="69" s="1"/>
  <c r="U572" i="69" s="1"/>
  <c r="V572" i="69" s="1"/>
  <c r="Q502" i="69"/>
  <c r="R502" i="69" s="1"/>
  <c r="S502" i="69" s="1"/>
  <c r="T502" i="69" s="1"/>
  <c r="U502" i="69" s="1"/>
  <c r="V502" i="69" s="1"/>
  <c r="Q501" i="69"/>
  <c r="R501" i="69" s="1"/>
  <c r="S501" i="69" s="1"/>
  <c r="T501" i="69" s="1"/>
  <c r="U501" i="69" s="1"/>
  <c r="V501" i="69" s="1"/>
  <c r="Q500" i="69"/>
  <c r="R500" i="69" s="1"/>
  <c r="S500" i="69" s="1"/>
  <c r="T500" i="69" s="1"/>
  <c r="U500" i="69" s="1"/>
  <c r="V500" i="69" s="1"/>
  <c r="Q479" i="69"/>
  <c r="R479" i="69" s="1"/>
  <c r="S479" i="69" s="1"/>
  <c r="T479" i="69" s="1"/>
  <c r="U479" i="69" s="1"/>
  <c r="V479" i="69" s="1"/>
  <c r="Q477" i="69"/>
  <c r="R477" i="69" s="1"/>
  <c r="S477" i="69" s="1"/>
  <c r="T477" i="69" s="1"/>
  <c r="U477" i="69" s="1"/>
  <c r="V477" i="69" s="1"/>
  <c r="Q456" i="69"/>
  <c r="R456" i="69" s="1"/>
  <c r="S456" i="69" s="1"/>
  <c r="T456" i="69" s="1"/>
  <c r="U456" i="69" s="1"/>
  <c r="V456" i="69" s="1"/>
  <c r="Q454" i="69"/>
  <c r="R454" i="69" s="1"/>
  <c r="S454" i="69" s="1"/>
  <c r="T454" i="69" s="1"/>
  <c r="U454" i="69" s="1"/>
  <c r="V454" i="69" s="1"/>
  <c r="Q453" i="69"/>
  <c r="R453" i="69" s="1"/>
  <c r="S453" i="69" s="1"/>
  <c r="T453" i="69" s="1"/>
  <c r="U453" i="69" s="1"/>
  <c r="V453" i="69" s="1"/>
  <c r="Q309" i="69"/>
  <c r="R309" i="69" s="1"/>
  <c r="S309" i="69" s="1"/>
  <c r="T309" i="69" s="1"/>
  <c r="U309" i="69" s="1"/>
  <c r="V309" i="69" s="1"/>
  <c r="Q308" i="69"/>
  <c r="R308" i="69" s="1"/>
  <c r="S308" i="69" s="1"/>
  <c r="T308" i="69" s="1"/>
  <c r="U308" i="69" s="1"/>
  <c r="V308" i="69" s="1"/>
  <c r="Q4" i="69"/>
  <c r="R4" i="69" s="1"/>
  <c r="S4" i="69" s="1"/>
  <c r="T4" i="69" s="1"/>
  <c r="U4" i="69" s="1"/>
  <c r="V4" i="69" s="1"/>
  <c r="Q6" i="69" l="1"/>
  <c r="AB6" i="69"/>
  <c r="R6" i="69" l="1"/>
  <c r="AE6" i="69" s="1"/>
  <c r="AM6" i="69" s="1"/>
  <c r="AD6" i="69"/>
  <c r="S6" i="69" l="1"/>
  <c r="AF6" i="69" s="1"/>
  <c r="AN6" i="69" s="1"/>
  <c r="AL6" i="69"/>
  <c r="T6" i="69" l="1"/>
  <c r="AG6" i="69" s="1"/>
  <c r="AO6" i="69" s="1"/>
  <c r="U6" i="69" l="1"/>
  <c r="AH6" i="69" s="1"/>
  <c r="AP6" i="69" s="1"/>
  <c r="V6" i="69" l="1"/>
  <c r="AI6" i="69" s="1"/>
  <c r="AQ6" i="69" s="1"/>
  <c r="AR6" i="69" s="1"/>
  <c r="M679" i="65" s="1"/>
  <c r="AT6" i="69" l="1"/>
  <c r="AU6" i="69"/>
  <c r="AV6" i="69" s="1"/>
  <c r="AS6" i="69"/>
  <c r="K679" i="65" s="1"/>
  <c r="Q209" i="69"/>
  <c r="R209" i="69" s="1"/>
  <c r="Q208" i="69"/>
  <c r="R208" i="69" s="1"/>
  <c r="S208" i="69" s="1"/>
  <c r="T208" i="69" s="1"/>
  <c r="U208" i="69" s="1"/>
  <c r="V208" i="69" s="1"/>
  <c r="Q207" i="69"/>
  <c r="R207" i="69" s="1"/>
  <c r="S207" i="69" s="1"/>
  <c r="T207" i="69" s="1"/>
  <c r="U207" i="69" s="1"/>
  <c r="V207" i="69" s="1"/>
  <c r="Q199" i="69"/>
  <c r="R199" i="69" s="1"/>
  <c r="S199" i="69" s="1"/>
  <c r="T199" i="69" s="1"/>
  <c r="U199" i="69" s="1"/>
  <c r="V199" i="69" s="1"/>
  <c r="Q198" i="69"/>
  <c r="R198" i="69" s="1"/>
  <c r="S198" i="69" s="1"/>
  <c r="T198" i="69" s="1"/>
  <c r="U198" i="69" s="1"/>
  <c r="V198" i="69" s="1"/>
  <c r="Q195" i="69"/>
  <c r="R195" i="69" s="1"/>
  <c r="S195" i="69" s="1"/>
  <c r="T195" i="69" s="1"/>
  <c r="U195" i="69" s="1"/>
  <c r="V195" i="69" s="1"/>
  <c r="Q194" i="69"/>
  <c r="R194" i="69" s="1"/>
  <c r="S194" i="69" s="1"/>
  <c r="T194" i="69" s="1"/>
  <c r="U194" i="69" s="1"/>
  <c r="V194" i="69" s="1"/>
  <c r="Q191" i="69"/>
  <c r="R191" i="69" s="1"/>
  <c r="S191" i="69" s="1"/>
  <c r="T191" i="69" s="1"/>
  <c r="U191" i="69" s="1"/>
  <c r="V191" i="69" s="1"/>
  <c r="Q190" i="69"/>
  <c r="R190" i="69" s="1"/>
  <c r="S190" i="69" s="1"/>
  <c r="T190" i="69" s="1"/>
  <c r="U190" i="69" s="1"/>
  <c r="V190" i="69" s="1"/>
  <c r="Q189" i="69"/>
  <c r="R189" i="69" s="1"/>
  <c r="S189" i="69" s="1"/>
  <c r="T189" i="69" s="1"/>
  <c r="U189" i="69" s="1"/>
  <c r="V189" i="69" s="1"/>
  <c r="Q188" i="69"/>
  <c r="R188" i="69" s="1"/>
  <c r="S188" i="69" s="1"/>
  <c r="T188" i="69" s="1"/>
  <c r="U188" i="69" s="1"/>
  <c r="V188" i="69" s="1"/>
  <c r="Q187" i="69"/>
  <c r="R187" i="69" s="1"/>
  <c r="S187" i="69" s="1"/>
  <c r="T187" i="69" s="1"/>
  <c r="U187" i="69" s="1"/>
  <c r="V187" i="69" s="1"/>
  <c r="Q186" i="69"/>
  <c r="R186" i="69" s="1"/>
  <c r="S186" i="69" s="1"/>
  <c r="T186" i="69" s="1"/>
  <c r="U186" i="69" s="1"/>
  <c r="V186" i="69" s="1"/>
  <c r="Q185" i="69"/>
  <c r="R185" i="69" s="1"/>
  <c r="S185" i="69" s="1"/>
  <c r="T185" i="69" s="1"/>
  <c r="U185" i="69" s="1"/>
  <c r="V185" i="69" s="1"/>
  <c r="Q184" i="69"/>
  <c r="R184" i="69" s="1"/>
  <c r="S184" i="69" s="1"/>
  <c r="T184" i="69" s="1"/>
  <c r="U184" i="69" s="1"/>
  <c r="V184" i="69" s="1"/>
  <c r="Q183" i="69"/>
  <c r="R183" i="69" s="1"/>
  <c r="S183" i="69" s="1"/>
  <c r="T183" i="69" s="1"/>
  <c r="U183" i="69" s="1"/>
  <c r="V183" i="69" s="1"/>
  <c r="Q182" i="69"/>
  <c r="R182" i="69" s="1"/>
  <c r="S182" i="69" s="1"/>
  <c r="T182" i="69" s="1"/>
  <c r="U182" i="69" s="1"/>
  <c r="V182" i="69" s="1"/>
  <c r="Q181" i="69"/>
  <c r="R181" i="69" s="1"/>
  <c r="S181" i="69" s="1"/>
  <c r="T181" i="69" s="1"/>
  <c r="U181" i="69" s="1"/>
  <c r="V181" i="69" s="1"/>
  <c r="Q180" i="69"/>
  <c r="R180" i="69" s="1"/>
  <c r="S180" i="69" s="1"/>
  <c r="T180" i="69" s="1"/>
  <c r="U180" i="69" s="1"/>
  <c r="V180" i="69" s="1"/>
  <c r="Q179" i="69"/>
  <c r="R179" i="69" s="1"/>
  <c r="S179" i="69" s="1"/>
  <c r="T179" i="69" s="1"/>
  <c r="U179" i="69" s="1"/>
  <c r="V179" i="69" s="1"/>
  <c r="Q178" i="69"/>
  <c r="R178" i="69" s="1"/>
  <c r="S178" i="69" s="1"/>
  <c r="T178" i="69" s="1"/>
  <c r="U178" i="69" s="1"/>
  <c r="V178" i="69" s="1"/>
  <c r="Q160" i="69"/>
  <c r="R160" i="69" s="1"/>
  <c r="S160" i="69" s="1"/>
  <c r="T160" i="69" s="1"/>
  <c r="U160" i="69" s="1"/>
  <c r="V160" i="69" s="1"/>
  <c r="Q159" i="69"/>
  <c r="R159" i="69" s="1"/>
  <c r="S159" i="69" s="1"/>
  <c r="T159" i="69" s="1"/>
  <c r="U159" i="69" s="1"/>
  <c r="V159" i="69" s="1"/>
  <c r="Q158" i="69"/>
  <c r="R158" i="69" s="1"/>
  <c r="S158" i="69" s="1"/>
  <c r="T158" i="69" s="1"/>
  <c r="U158" i="69" s="1"/>
  <c r="V158" i="69" s="1"/>
  <c r="Q157" i="69"/>
  <c r="R157" i="69" s="1"/>
  <c r="S157" i="69" s="1"/>
  <c r="T157" i="69" s="1"/>
  <c r="U157" i="69" s="1"/>
  <c r="V157" i="69" s="1"/>
  <c r="Q156" i="69"/>
  <c r="R156" i="69" s="1"/>
  <c r="S156" i="69" s="1"/>
  <c r="T156" i="69" s="1"/>
  <c r="U156" i="69" s="1"/>
  <c r="V156" i="69" s="1"/>
  <c r="Q155" i="69"/>
  <c r="R155" i="69" s="1"/>
  <c r="S155" i="69" s="1"/>
  <c r="T155" i="69" s="1"/>
  <c r="U155" i="69" s="1"/>
  <c r="V155" i="69" s="1"/>
  <c r="Q154" i="69"/>
  <c r="R154" i="69" s="1"/>
  <c r="S154" i="69" s="1"/>
  <c r="T154" i="69" s="1"/>
  <c r="U154" i="69" s="1"/>
  <c r="V154" i="69" s="1"/>
  <c r="Q153" i="69"/>
  <c r="R153" i="69" s="1"/>
  <c r="S153" i="69" s="1"/>
  <c r="T153" i="69" s="1"/>
  <c r="U153" i="69" s="1"/>
  <c r="V153" i="69" s="1"/>
  <c r="Q152" i="69"/>
  <c r="R152" i="69" s="1"/>
  <c r="S152" i="69" s="1"/>
  <c r="T152" i="69" s="1"/>
  <c r="U152" i="69" s="1"/>
  <c r="V152" i="69" s="1"/>
  <c r="Q151" i="69"/>
  <c r="R151" i="69" s="1"/>
  <c r="S151" i="69" s="1"/>
  <c r="T151" i="69" s="1"/>
  <c r="U151" i="69" s="1"/>
  <c r="V151" i="69" s="1"/>
  <c r="Q150" i="69"/>
  <c r="R150" i="69" s="1"/>
  <c r="S150" i="69" s="1"/>
  <c r="T150" i="69" s="1"/>
  <c r="U150" i="69" s="1"/>
  <c r="V150" i="69" s="1"/>
  <c r="Q149" i="69"/>
  <c r="R149" i="69" s="1"/>
  <c r="S149" i="69" s="1"/>
  <c r="T149" i="69" s="1"/>
  <c r="U149" i="69" s="1"/>
  <c r="V149" i="69" s="1"/>
  <c r="Q148" i="69"/>
  <c r="R148" i="69" s="1"/>
  <c r="S148" i="69" s="1"/>
  <c r="T148" i="69" s="1"/>
  <c r="U148" i="69" s="1"/>
  <c r="V148" i="69" s="1"/>
  <c r="R147" i="69"/>
  <c r="S147" i="69" s="1"/>
  <c r="T147" i="69" s="1"/>
  <c r="U147" i="69" s="1"/>
  <c r="V147" i="69" s="1"/>
  <c r="R146" i="69"/>
  <c r="S146" i="69" s="1"/>
  <c r="T146" i="69" s="1"/>
  <c r="U146" i="69" s="1"/>
  <c r="V146" i="69" s="1"/>
  <c r="Q145" i="69"/>
  <c r="R145" i="69" s="1"/>
  <c r="S145" i="69" s="1"/>
  <c r="T145" i="69" s="1"/>
  <c r="U145" i="69" s="1"/>
  <c r="V145" i="69" s="1"/>
  <c r="R144" i="69"/>
  <c r="S144" i="69" s="1"/>
  <c r="T144" i="69" s="1"/>
  <c r="U144" i="69" s="1"/>
  <c r="V144" i="69" s="1"/>
  <c r="Q143" i="69"/>
  <c r="R143" i="69" s="1"/>
  <c r="S143" i="69" s="1"/>
  <c r="T143" i="69" s="1"/>
  <c r="U143" i="69" s="1"/>
  <c r="V143" i="69" s="1"/>
  <c r="Q142" i="69"/>
  <c r="R142" i="69" s="1"/>
  <c r="S142" i="69" s="1"/>
  <c r="T142" i="69" s="1"/>
  <c r="U142" i="69" s="1"/>
  <c r="V142" i="69" s="1"/>
  <c r="Q141" i="69"/>
  <c r="R141" i="69" s="1"/>
  <c r="S141" i="69" s="1"/>
  <c r="T141" i="69" s="1"/>
  <c r="U141" i="69" s="1"/>
  <c r="V141" i="69" s="1"/>
  <c r="Q140" i="69"/>
  <c r="R140" i="69" s="1"/>
  <c r="S140" i="69" s="1"/>
  <c r="T140" i="69" s="1"/>
  <c r="U140" i="69" s="1"/>
  <c r="V140" i="69" s="1"/>
  <c r="Q139" i="69"/>
  <c r="R139" i="69" s="1"/>
  <c r="S139" i="69" s="1"/>
  <c r="T139" i="69" s="1"/>
  <c r="U139" i="69" s="1"/>
  <c r="V139" i="69" s="1"/>
  <c r="R138" i="69"/>
  <c r="S138" i="69" s="1"/>
  <c r="T138" i="69" s="1"/>
  <c r="U138" i="69" s="1"/>
  <c r="V138" i="69" s="1"/>
  <c r="R137" i="69"/>
  <c r="S137" i="69" s="1"/>
  <c r="T137" i="69" s="1"/>
  <c r="U137" i="69" s="1"/>
  <c r="V137" i="69" s="1"/>
  <c r="Q136" i="69"/>
  <c r="R136" i="69" s="1"/>
  <c r="S136" i="69" s="1"/>
  <c r="T136" i="69" s="1"/>
  <c r="U136" i="69" s="1"/>
  <c r="V136" i="69" s="1"/>
  <c r="Q135" i="69"/>
  <c r="R135" i="69" s="1"/>
  <c r="S135" i="69" s="1"/>
  <c r="T135" i="69" s="1"/>
  <c r="U135" i="69" s="1"/>
  <c r="V135" i="69" s="1"/>
  <c r="Q134" i="69"/>
  <c r="R134" i="69" s="1"/>
  <c r="S134" i="69" s="1"/>
  <c r="T134" i="69" s="1"/>
  <c r="U134" i="69" s="1"/>
  <c r="V134" i="69" s="1"/>
  <c r="Q133" i="69"/>
  <c r="R133" i="69" s="1"/>
  <c r="S133" i="69" s="1"/>
  <c r="T133" i="69" s="1"/>
  <c r="U133" i="69" s="1"/>
  <c r="V133" i="69" s="1"/>
  <c r="R131" i="69"/>
  <c r="S131" i="69" s="1"/>
  <c r="T131" i="69" s="1"/>
  <c r="U131" i="69" s="1"/>
  <c r="V131" i="69" s="1"/>
  <c r="Q130" i="69"/>
  <c r="R130" i="69" s="1"/>
  <c r="S130" i="69" s="1"/>
  <c r="T130" i="69" s="1"/>
  <c r="U130" i="69" s="1"/>
  <c r="V130" i="69" s="1"/>
  <c r="Q129" i="69"/>
  <c r="R129" i="69" s="1"/>
  <c r="S129" i="69" s="1"/>
  <c r="T129" i="69" s="1"/>
  <c r="U129" i="69" s="1"/>
  <c r="V129" i="69" s="1"/>
  <c r="N679" i="65" l="1"/>
  <c r="I679" i="65"/>
  <c r="L679" i="65"/>
  <c r="R307" i="69"/>
  <c r="S307" i="69" s="1"/>
  <c r="T307" i="69" s="1"/>
  <c r="U307" i="69" s="1"/>
  <c r="V307" i="69" s="1"/>
  <c r="Q12" i="69" l="1"/>
  <c r="R12" i="69" s="1"/>
  <c r="S12" i="69" s="1"/>
  <c r="T12" i="69" s="1"/>
  <c r="U12" i="69" s="1"/>
  <c r="V12" i="69" s="1"/>
  <c r="Q13" i="69"/>
  <c r="R13" i="69" s="1"/>
  <c r="S13" i="69" s="1"/>
  <c r="T13" i="69" s="1"/>
  <c r="U13" i="69" s="1"/>
  <c r="V13" i="69" s="1"/>
  <c r="Q14" i="69"/>
  <c r="R14" i="69" s="1"/>
  <c r="S14" i="69" s="1"/>
  <c r="T14" i="69" s="1"/>
  <c r="U14" i="69" s="1"/>
  <c r="V14" i="69" s="1"/>
  <c r="Q15" i="69"/>
  <c r="R15" i="69" s="1"/>
  <c r="S15" i="69" s="1"/>
  <c r="T15" i="69" s="1"/>
  <c r="U15" i="69" s="1"/>
  <c r="V15" i="69" s="1"/>
  <c r="Q16" i="69"/>
  <c r="R16" i="69" s="1"/>
  <c r="S16" i="69" s="1"/>
  <c r="T16" i="69" s="1"/>
  <c r="U16" i="69" s="1"/>
  <c r="V16" i="69" s="1"/>
  <c r="Q17" i="69"/>
  <c r="R17" i="69" s="1"/>
  <c r="S17" i="69" s="1"/>
  <c r="T17" i="69" s="1"/>
  <c r="U17" i="69" s="1"/>
  <c r="V17" i="69" s="1"/>
  <c r="Q18" i="69"/>
  <c r="R18" i="69" s="1"/>
  <c r="S18" i="69" s="1"/>
  <c r="T18" i="69" s="1"/>
  <c r="U18" i="69" s="1"/>
  <c r="V18" i="69" s="1"/>
  <c r="Q19" i="69"/>
  <c r="R19" i="69" s="1"/>
  <c r="S19" i="69" s="1"/>
  <c r="T19" i="69" s="1"/>
  <c r="U19" i="69" s="1"/>
  <c r="V19" i="69" s="1"/>
  <c r="Q20" i="69"/>
  <c r="R20" i="69" s="1"/>
  <c r="S20" i="69" s="1"/>
  <c r="T20" i="69" s="1"/>
  <c r="U20" i="69" s="1"/>
  <c r="V20" i="69" s="1"/>
  <c r="Q21" i="69"/>
  <c r="R21" i="69" s="1"/>
  <c r="S21" i="69" s="1"/>
  <c r="T21" i="69" s="1"/>
  <c r="U21" i="69" s="1"/>
  <c r="V21" i="69" s="1"/>
  <c r="Q22" i="69"/>
  <c r="R22" i="69" s="1"/>
  <c r="S22" i="69" s="1"/>
  <c r="T22" i="69" s="1"/>
  <c r="U22" i="69" s="1"/>
  <c r="V22" i="69" s="1"/>
  <c r="Q23" i="69"/>
  <c r="R23" i="69" s="1"/>
  <c r="S23" i="69" s="1"/>
  <c r="T23" i="69" s="1"/>
  <c r="U23" i="69" s="1"/>
  <c r="V23" i="69" s="1"/>
  <c r="Q24" i="69"/>
  <c r="R24" i="69" s="1"/>
  <c r="S24" i="69" s="1"/>
  <c r="T24" i="69" s="1"/>
  <c r="U24" i="69" s="1"/>
  <c r="V24" i="69" s="1"/>
  <c r="Q25" i="69"/>
  <c r="R25" i="69" s="1"/>
  <c r="S25" i="69" s="1"/>
  <c r="T25" i="69" s="1"/>
  <c r="U25" i="69" s="1"/>
  <c r="V25" i="69" s="1"/>
  <c r="Q26" i="69"/>
  <c r="R26" i="69" s="1"/>
  <c r="S26" i="69" s="1"/>
  <c r="T26" i="69" s="1"/>
  <c r="U26" i="69" s="1"/>
  <c r="V26" i="69" s="1"/>
  <c r="Q27" i="69"/>
  <c r="R27" i="69" s="1"/>
  <c r="S27" i="69" s="1"/>
  <c r="T27" i="69" s="1"/>
  <c r="U27" i="69" s="1"/>
  <c r="V27" i="69" s="1"/>
  <c r="Q28" i="69"/>
  <c r="R28" i="69" s="1"/>
  <c r="S28" i="69" s="1"/>
  <c r="T28" i="69" s="1"/>
  <c r="U28" i="69" s="1"/>
  <c r="V28" i="69" s="1"/>
  <c r="Q29" i="69"/>
  <c r="R29" i="69" s="1"/>
  <c r="S29" i="69" s="1"/>
  <c r="T29" i="69" s="1"/>
  <c r="U29" i="69" s="1"/>
  <c r="V29" i="69" s="1"/>
  <c r="Q30" i="69"/>
  <c r="R30" i="69" s="1"/>
  <c r="S30" i="69" s="1"/>
  <c r="T30" i="69" s="1"/>
  <c r="U30" i="69" s="1"/>
  <c r="V30" i="69" s="1"/>
  <c r="Q31" i="69"/>
  <c r="R31" i="69" s="1"/>
  <c r="S31" i="69" s="1"/>
  <c r="T31" i="69" s="1"/>
  <c r="U31" i="69" s="1"/>
  <c r="V31" i="69" s="1"/>
  <c r="Q32" i="69"/>
  <c r="R32" i="69" s="1"/>
  <c r="S32" i="69" s="1"/>
  <c r="T32" i="69" s="1"/>
  <c r="U32" i="69" s="1"/>
  <c r="V32" i="69" s="1"/>
  <c r="Q33" i="69"/>
  <c r="R33" i="69" s="1"/>
  <c r="S33" i="69" s="1"/>
  <c r="T33" i="69" s="1"/>
  <c r="U33" i="69" s="1"/>
  <c r="V33" i="69" s="1"/>
  <c r="Q34" i="69"/>
  <c r="R34" i="69" s="1"/>
  <c r="S34" i="69" s="1"/>
  <c r="T34" i="69" s="1"/>
  <c r="U34" i="69" s="1"/>
  <c r="V34" i="69" s="1"/>
  <c r="Q36" i="69"/>
  <c r="R36" i="69" s="1"/>
  <c r="S36" i="69" s="1"/>
  <c r="T36" i="69" s="1"/>
  <c r="U36" i="69" s="1"/>
  <c r="V36" i="69" s="1"/>
  <c r="Q37" i="69"/>
  <c r="R37" i="69" s="1"/>
  <c r="S37" i="69" s="1"/>
  <c r="T37" i="69" s="1"/>
  <c r="U37" i="69" s="1"/>
  <c r="V37" i="69" s="1"/>
  <c r="Q38" i="69"/>
  <c r="R38" i="69" s="1"/>
  <c r="S38" i="69" s="1"/>
  <c r="T38" i="69" s="1"/>
  <c r="U38" i="69" s="1"/>
  <c r="V38" i="69" s="1"/>
  <c r="Q39" i="69"/>
  <c r="R39" i="69" s="1"/>
  <c r="S39" i="69" s="1"/>
  <c r="T39" i="69" s="1"/>
  <c r="U39" i="69" s="1"/>
  <c r="V39" i="69" s="1"/>
  <c r="Q40" i="69"/>
  <c r="R40" i="69" s="1"/>
  <c r="S40" i="69" s="1"/>
  <c r="T40" i="69" s="1"/>
  <c r="U40" i="69" s="1"/>
  <c r="V40" i="69" s="1"/>
  <c r="Q41" i="69"/>
  <c r="R41" i="69" s="1"/>
  <c r="S41" i="69" s="1"/>
  <c r="T41" i="69" s="1"/>
  <c r="U41" i="69" s="1"/>
  <c r="V41" i="69" s="1"/>
  <c r="R42" i="69"/>
  <c r="S42" i="69" s="1"/>
  <c r="T42" i="69" s="1"/>
  <c r="U42" i="69" s="1"/>
  <c r="V42" i="69" s="1"/>
  <c r="Q43" i="69"/>
  <c r="R43" i="69" s="1"/>
  <c r="S43" i="69" s="1"/>
  <c r="T43" i="69" s="1"/>
  <c r="U43" i="69" s="1"/>
  <c r="V43" i="69" s="1"/>
  <c r="Q44" i="69"/>
  <c r="R44" i="69" s="1"/>
  <c r="S44" i="69" s="1"/>
  <c r="T44" i="69" s="1"/>
  <c r="U44" i="69" s="1"/>
  <c r="V44" i="69" s="1"/>
  <c r="Q45" i="69"/>
  <c r="R45" i="69" s="1"/>
  <c r="S45" i="69" s="1"/>
  <c r="T45" i="69" s="1"/>
  <c r="U45" i="69" s="1"/>
  <c r="V45" i="69" s="1"/>
  <c r="Q46" i="69"/>
  <c r="R46" i="69" s="1"/>
  <c r="S46" i="69" s="1"/>
  <c r="T46" i="69" s="1"/>
  <c r="U46" i="69" s="1"/>
  <c r="V46" i="69" s="1"/>
  <c r="R47" i="69"/>
  <c r="S47" i="69" s="1"/>
  <c r="T47" i="69" s="1"/>
  <c r="U47" i="69" s="1"/>
  <c r="V47" i="69" s="1"/>
  <c r="Q48" i="69"/>
  <c r="R48" i="69" s="1"/>
  <c r="S48" i="69" s="1"/>
  <c r="T48" i="69" s="1"/>
  <c r="U48" i="69" s="1"/>
  <c r="V48" i="69" s="1"/>
  <c r="Q49" i="69"/>
  <c r="R49" i="69" s="1"/>
  <c r="S49" i="69" s="1"/>
  <c r="T49" i="69" s="1"/>
  <c r="U49" i="69" s="1"/>
  <c r="V49" i="69" s="1"/>
  <c r="Q50" i="69"/>
  <c r="R50" i="69" s="1"/>
  <c r="S50" i="69" s="1"/>
  <c r="T50" i="69" s="1"/>
  <c r="U50" i="69" s="1"/>
  <c r="V50" i="69" s="1"/>
  <c r="T162" i="82"/>
  <c r="T161" i="82"/>
  <c r="T160" i="82"/>
  <c r="T159" i="82"/>
  <c r="T158" i="82"/>
  <c r="T157" i="82"/>
  <c r="T156" i="82"/>
  <c r="T155" i="82"/>
  <c r="T154" i="82"/>
  <c r="T153" i="82"/>
  <c r="T152" i="82"/>
  <c r="T151" i="82"/>
  <c r="T150" i="82"/>
  <c r="T149" i="82"/>
  <c r="T148" i="82"/>
  <c r="T147" i="82"/>
  <c r="T146" i="82"/>
  <c r="T145" i="82"/>
  <c r="T144" i="82"/>
  <c r="T143" i="82"/>
  <c r="T142" i="82"/>
  <c r="T141" i="82"/>
  <c r="T140" i="82"/>
  <c r="T139" i="82"/>
  <c r="T138" i="82"/>
  <c r="T137" i="82"/>
  <c r="T136" i="82"/>
  <c r="T135" i="82"/>
  <c r="T134" i="82"/>
  <c r="T133" i="82"/>
  <c r="T132" i="82"/>
  <c r="T130" i="82"/>
  <c r="T128" i="82"/>
  <c r="T127" i="82"/>
  <c r="T126" i="82"/>
  <c r="T123" i="82"/>
  <c r="T122" i="82"/>
  <c r="S75" i="82"/>
  <c r="S74" i="82"/>
  <c r="S73" i="82"/>
  <c r="S72" i="82"/>
  <c r="S71" i="82"/>
  <c r="S70" i="82"/>
  <c r="S69" i="82"/>
  <c r="S68" i="82"/>
  <c r="S67" i="82"/>
  <c r="S66" i="82"/>
  <c r="S65" i="82"/>
  <c r="S64" i="82"/>
  <c r="S63" i="82"/>
  <c r="S62" i="82"/>
  <c r="S61" i="82"/>
  <c r="S60" i="82"/>
  <c r="S59" i="82"/>
  <c r="S58" i="82"/>
  <c r="S57" i="82"/>
  <c r="S56" i="82"/>
  <c r="S55" i="82"/>
  <c r="S54" i="82"/>
  <c r="S53" i="82"/>
  <c r="S52" i="82"/>
  <c r="S51" i="82"/>
  <c r="S50" i="82"/>
  <c r="S49" i="82"/>
  <c r="S48" i="82"/>
  <c r="S47" i="82"/>
  <c r="S46" i="82"/>
  <c r="AW255" i="69" l="1"/>
  <c r="J50" i="82" l="1"/>
  <c r="J49" i="82"/>
  <c r="J48" i="82"/>
  <c r="J47" i="82"/>
  <c r="J46" i="82"/>
  <c r="J45" i="82"/>
  <c r="J44" i="82"/>
  <c r="J43" i="82"/>
  <c r="J42" i="82"/>
  <c r="J41" i="82"/>
  <c r="J40" i="82"/>
  <c r="J39" i="82"/>
  <c r="J38" i="82"/>
  <c r="J37" i="82"/>
  <c r="J36" i="82"/>
  <c r="J35" i="82"/>
  <c r="J34" i="82"/>
  <c r="J33" i="82"/>
  <c r="J32" i="82"/>
  <c r="J31" i="82"/>
  <c r="J30" i="82"/>
  <c r="J29" i="82"/>
  <c r="J28" i="82"/>
  <c r="O2" i="82" s="1"/>
  <c r="P2" i="82" s="1"/>
  <c r="J27" i="82"/>
  <c r="J26" i="82"/>
  <c r="J25" i="82"/>
  <c r="J24" i="82"/>
  <c r="J23" i="82"/>
  <c r="J22" i="82"/>
  <c r="J21" i="82"/>
  <c r="J20" i="82"/>
  <c r="J19" i="82"/>
  <c r="J18" i="82"/>
  <c r="J17" i="82"/>
  <c r="J16" i="82"/>
  <c r="J15" i="82"/>
  <c r="J14" i="82"/>
  <c r="J13" i="82"/>
  <c r="J12" i="82"/>
  <c r="J11" i="82"/>
  <c r="J10" i="82"/>
  <c r="J9" i="82"/>
  <c r="M9" i="82" s="1"/>
  <c r="J8" i="82"/>
  <c r="J7" i="82"/>
  <c r="M7" i="82" s="1"/>
  <c r="J6" i="82"/>
  <c r="J5" i="82"/>
  <c r="J4" i="82"/>
  <c r="D30" i="82"/>
  <c r="AB2" i="69"/>
  <c r="H48" i="82" l="1"/>
  <c r="H40" i="82"/>
  <c r="H32" i="82"/>
  <c r="H38" i="82"/>
  <c r="Z360" i="69" s="1"/>
  <c r="AJ360" i="69" s="1"/>
  <c r="H35" i="82"/>
  <c r="Z311" i="69" s="1"/>
  <c r="H47" i="82"/>
  <c r="H39" i="82"/>
  <c r="H31" i="82"/>
  <c r="Z85" i="69" s="1"/>
  <c r="H46" i="82"/>
  <c r="Z361" i="69" s="1"/>
  <c r="AJ361" i="69" s="1"/>
  <c r="H30" i="82"/>
  <c r="H45" i="82"/>
  <c r="Z681" i="69" s="1"/>
  <c r="H37" i="82"/>
  <c r="Z519" i="69" s="1"/>
  <c r="H36" i="82"/>
  <c r="H44" i="82"/>
  <c r="H43" i="82"/>
  <c r="H50" i="82"/>
  <c r="H42" i="82"/>
  <c r="H34" i="82"/>
  <c r="H49" i="82"/>
  <c r="H41" i="82"/>
  <c r="Z493" i="69" s="1"/>
  <c r="H33" i="82"/>
  <c r="AJ268" i="69"/>
  <c r="AJ267" i="69"/>
  <c r="AJ266" i="69"/>
  <c r="AJ620" i="69"/>
  <c r="AJ300" i="69"/>
  <c r="AJ299" i="69"/>
  <c r="AJ538" i="69"/>
  <c r="AJ297" i="69"/>
  <c r="AJ265" i="69"/>
  <c r="AJ264" i="69"/>
  <c r="AJ50" i="69"/>
  <c r="AJ296" i="69"/>
  <c r="AJ295" i="69"/>
  <c r="AJ263" i="69"/>
  <c r="AJ262" i="69"/>
  <c r="AJ261" i="69"/>
  <c r="AJ292" i="69"/>
  <c r="AJ284" i="69"/>
  <c r="AJ291" i="69"/>
  <c r="AJ283" i="69"/>
  <c r="AJ290" i="69"/>
  <c r="AJ282" i="69"/>
  <c r="AJ289" i="69"/>
  <c r="AJ288" i="69"/>
  <c r="AJ287" i="69"/>
  <c r="AJ286" i="69"/>
  <c r="AJ285" i="69"/>
  <c r="AJ260" i="69"/>
  <c r="AJ259" i="69"/>
  <c r="AJ258" i="69"/>
  <c r="AJ271" i="69"/>
  <c r="AJ270" i="69"/>
  <c r="AJ269" i="69"/>
  <c r="AJ257" i="69"/>
  <c r="AJ256" i="69"/>
  <c r="AJ2" i="69"/>
  <c r="AJ436" i="69"/>
  <c r="AJ276" i="69"/>
  <c r="AJ435" i="69"/>
  <c r="AJ275" i="69"/>
  <c r="AJ279" i="69"/>
  <c r="AJ278" i="69"/>
  <c r="AJ277" i="69"/>
  <c r="AJ274" i="69"/>
  <c r="AJ273" i="69"/>
  <c r="AJ272" i="69"/>
  <c r="Z520" i="69" l="1"/>
  <c r="Z523" i="69"/>
  <c r="Z305" i="69"/>
  <c r="Z518" i="69"/>
  <c r="Z362" i="69"/>
  <c r="AJ362" i="69" s="1"/>
  <c r="Z9" i="69"/>
  <c r="Z680" i="69"/>
  <c r="Z524" i="69"/>
  <c r="Z521" i="69"/>
  <c r="Z484" i="69"/>
  <c r="AU360" i="69"/>
  <c r="AV360" i="69" s="1"/>
  <c r="AR360" i="69"/>
  <c r="Z525" i="69"/>
  <c r="Z526" i="69"/>
  <c r="Z70" i="69"/>
  <c r="AJ70" i="69" s="1"/>
  <c r="Z312" i="69"/>
  <c r="Z363" i="69"/>
  <c r="AJ363" i="69" s="1"/>
  <c r="Z499" i="69"/>
  <c r="Z369" i="69"/>
  <c r="Z79" i="69"/>
  <c r="Z495" i="69"/>
  <c r="Z315" i="69"/>
  <c r="Z316" i="69"/>
  <c r="Z11" i="69"/>
  <c r="AR361" i="69"/>
  <c r="AU361" i="69"/>
  <c r="AV361" i="69" s="1"/>
  <c r="Z359" i="69"/>
  <c r="AJ359" i="69" s="1"/>
  <c r="Z10" i="69"/>
  <c r="Z516" i="69"/>
  <c r="Z517" i="69"/>
  <c r="Z682" i="69"/>
  <c r="AU296" i="69"/>
  <c r="AV296" i="69" s="1"/>
  <c r="AR296" i="69"/>
  <c r="AR299" i="69"/>
  <c r="AU299" i="69"/>
  <c r="AV299" i="69" s="1"/>
  <c r="AR273" i="69"/>
  <c r="AU273" i="69"/>
  <c r="AV273" i="69" s="1"/>
  <c r="AU269" i="69"/>
  <c r="AV269" i="69" s="1"/>
  <c r="AR269" i="69"/>
  <c r="AR285" i="69"/>
  <c r="AU285" i="69"/>
  <c r="AV285" i="69" s="1"/>
  <c r="AU284" i="69"/>
  <c r="AV284" i="69" s="1"/>
  <c r="AR284" i="69"/>
  <c r="AR261" i="69"/>
  <c r="AU261" i="69"/>
  <c r="AV261" i="69" s="1"/>
  <c r="AR538" i="69"/>
  <c r="AU538" i="69"/>
  <c r="AV538" i="69" s="1"/>
  <c r="AU274" i="69"/>
  <c r="AV274" i="69" s="1"/>
  <c r="AR274" i="69"/>
  <c r="AR279" i="69"/>
  <c r="AU279" i="69"/>
  <c r="AV279" i="69" s="1"/>
  <c r="AR275" i="69"/>
  <c r="AU275" i="69"/>
  <c r="AV275" i="69" s="1"/>
  <c r="AU287" i="69"/>
  <c r="AV287" i="69" s="1"/>
  <c r="AR287" i="69"/>
  <c r="AR292" i="69"/>
  <c r="AU292" i="69"/>
  <c r="AV292" i="69" s="1"/>
  <c r="AU262" i="69"/>
  <c r="AV262" i="69" s="1"/>
  <c r="AR262" i="69"/>
  <c r="AR264" i="69"/>
  <c r="AU264" i="69"/>
  <c r="AV264" i="69" s="1"/>
  <c r="AR266" i="69"/>
  <c r="AU266" i="69"/>
  <c r="AV266" i="69" s="1"/>
  <c r="AR277" i="69"/>
  <c r="AU277" i="69"/>
  <c r="AV277" i="69" s="1"/>
  <c r="AU435" i="69"/>
  <c r="AV435" i="69" s="1"/>
  <c r="AR435" i="69"/>
  <c r="AU260" i="69"/>
  <c r="AV260" i="69" s="1"/>
  <c r="AR260" i="69"/>
  <c r="AR300" i="69"/>
  <c r="AU300" i="69"/>
  <c r="AV300" i="69" s="1"/>
  <c r="AR276" i="69"/>
  <c r="AU276" i="69"/>
  <c r="AV276" i="69" s="1"/>
  <c r="AR257" i="69"/>
  <c r="AU257" i="69"/>
  <c r="AV257" i="69" s="1"/>
  <c r="AR259" i="69"/>
  <c r="AU259" i="69"/>
  <c r="AV259" i="69" s="1"/>
  <c r="AR289" i="69"/>
  <c r="AU289" i="69"/>
  <c r="AV289" i="69" s="1"/>
  <c r="AR620" i="69"/>
  <c r="AU620" i="69"/>
  <c r="AV620" i="69" s="1"/>
  <c r="AU267" i="69"/>
  <c r="AV267" i="69" s="1"/>
  <c r="AR267" i="69"/>
  <c r="AR436" i="69"/>
  <c r="AU436" i="69"/>
  <c r="AV436" i="69" s="1"/>
  <c r="AR290" i="69"/>
  <c r="AU290" i="69"/>
  <c r="AV290" i="69" s="1"/>
  <c r="AR256" i="69"/>
  <c r="AU256" i="69"/>
  <c r="AV256" i="69" s="1"/>
  <c r="AR270" i="69"/>
  <c r="AU270" i="69"/>
  <c r="AV270" i="69" s="1"/>
  <c r="AU283" i="69"/>
  <c r="AV283" i="69" s="1"/>
  <c r="AR283" i="69"/>
  <c r="AU278" i="69"/>
  <c r="AV278" i="69" s="1"/>
  <c r="AR278" i="69"/>
  <c r="AR288" i="69"/>
  <c r="AU288" i="69"/>
  <c r="AV288" i="69" s="1"/>
  <c r="AR291" i="69"/>
  <c r="AU291" i="69"/>
  <c r="AV291" i="69" s="1"/>
  <c r="AR295" i="69"/>
  <c r="AU295" i="69"/>
  <c r="AV295" i="69" s="1"/>
  <c r="AU265" i="69"/>
  <c r="AV265" i="69" s="1"/>
  <c r="AR265" i="69"/>
  <c r="AU268" i="69"/>
  <c r="AV268" i="69" s="1"/>
  <c r="AR268" i="69"/>
  <c r="AR272" i="69"/>
  <c r="AU272" i="69"/>
  <c r="AV272" i="69" s="1"/>
  <c r="AR286" i="69"/>
  <c r="AU286" i="69"/>
  <c r="AV286" i="69" s="1"/>
  <c r="AU263" i="69"/>
  <c r="AV263" i="69" s="1"/>
  <c r="AR263" i="69"/>
  <c r="AR271" i="69"/>
  <c r="AU271" i="69"/>
  <c r="AV271" i="69" s="1"/>
  <c r="AR258" i="69"/>
  <c r="AU258" i="69"/>
  <c r="AV258" i="69" s="1"/>
  <c r="AU282" i="69"/>
  <c r="AV282" i="69" s="1"/>
  <c r="AR282" i="69"/>
  <c r="AU297" i="69"/>
  <c r="AV297" i="69" s="1"/>
  <c r="AR297" i="69"/>
  <c r="AE6" i="65"/>
  <c r="AE5" i="65"/>
  <c r="AE4" i="65"/>
  <c r="AD6" i="65"/>
  <c r="AD5" i="65"/>
  <c r="AD4" i="65"/>
  <c r="AC6" i="65"/>
  <c r="AC5" i="65"/>
  <c r="AC4" i="65"/>
  <c r="M659" i="65" l="1"/>
  <c r="K659" i="65"/>
  <c r="N659" i="65"/>
  <c r="O659" i="65" s="1"/>
  <c r="I659" i="65"/>
  <c r="N664" i="65"/>
  <c r="O664" i="65" s="1"/>
  <c r="I664" i="65"/>
  <c r="M664" i="65"/>
  <c r="K664" i="65"/>
  <c r="N279" i="65"/>
  <c r="I279" i="65"/>
  <c r="M279" i="65"/>
  <c r="K279" i="65"/>
  <c r="AR70" i="69"/>
  <c r="AU70" i="69"/>
  <c r="AV70" i="69" s="1"/>
  <c r="AU362" i="69"/>
  <c r="AV362" i="69" s="1"/>
  <c r="AR362" i="69"/>
  <c r="AU359" i="69"/>
  <c r="AV359" i="69" s="1"/>
  <c r="AR359" i="69"/>
  <c r="AR363" i="69"/>
  <c r="AU363" i="69"/>
  <c r="AV363" i="69" s="1"/>
  <c r="P511" i="65"/>
  <c r="P647" i="65"/>
  <c r="P198" i="65"/>
  <c r="P479" i="65"/>
  <c r="P234" i="65"/>
  <c r="P294" i="65"/>
  <c r="P6" i="65"/>
  <c r="P348" i="65"/>
  <c r="P679" i="65"/>
  <c r="P259" i="65"/>
  <c r="P143" i="65"/>
  <c r="P63" i="65"/>
  <c r="P139" i="65"/>
  <c r="P630" i="65"/>
  <c r="P137" i="65"/>
  <c r="P324" i="65"/>
  <c r="P135" i="65"/>
  <c r="P320" i="65"/>
  <c r="P226" i="65"/>
  <c r="P636" i="65"/>
  <c r="P131" i="65"/>
  <c r="P59" i="65"/>
  <c r="P58" i="65"/>
  <c r="P13" i="65"/>
  <c r="P559" i="65"/>
  <c r="P518" i="65"/>
  <c r="P480" i="65"/>
  <c r="P488" i="65"/>
  <c r="P51" i="65"/>
  <c r="P55" i="65"/>
  <c r="P521" i="65"/>
  <c r="P346" i="65"/>
  <c r="P141" i="65"/>
  <c r="P126" i="65"/>
  <c r="P430" i="65"/>
  <c r="P523" i="65"/>
  <c r="P317" i="65"/>
  <c r="P481" i="65"/>
  <c r="P426" i="65"/>
  <c r="P219" i="65"/>
  <c r="P129" i="65"/>
  <c r="P524" i="65"/>
  <c r="P441" i="65"/>
  <c r="P453" i="65"/>
  <c r="P563" i="65"/>
  <c r="P442" i="65"/>
  <c r="P64" i="65"/>
  <c r="P495" i="65"/>
  <c r="P162" i="65"/>
  <c r="P622" i="65"/>
  <c r="P68" i="65"/>
  <c r="P171" i="65"/>
  <c r="P627" i="65"/>
  <c r="P569" i="65"/>
  <c r="P246" i="65"/>
  <c r="P75" i="65"/>
  <c r="P271" i="65"/>
  <c r="P621" i="65"/>
  <c r="P258" i="65"/>
  <c r="P465" i="65"/>
  <c r="P262" i="65"/>
  <c r="P50" i="65"/>
  <c r="P260" i="65"/>
  <c r="P156" i="65"/>
  <c r="P464" i="65"/>
  <c r="P625" i="65"/>
  <c r="P580" i="65"/>
  <c r="P498" i="65"/>
  <c r="P451" i="65"/>
  <c r="P240" i="65"/>
  <c r="P496" i="65"/>
  <c r="P404" i="65"/>
  <c r="P626" i="65"/>
  <c r="P28" i="65"/>
  <c r="P256" i="65"/>
  <c r="P78" i="65"/>
  <c r="P77" i="65"/>
  <c r="P497" i="65"/>
  <c r="P491" i="65"/>
  <c r="P158" i="65"/>
  <c r="P562" i="65"/>
  <c r="P322" i="65"/>
  <c r="N429" i="65" l="1"/>
  <c r="I429" i="65"/>
  <c r="M429" i="65"/>
  <c r="K429" i="65"/>
  <c r="P233" i="65"/>
  <c r="P353" i="65"/>
  <c r="P328" i="65"/>
  <c r="P385" i="65"/>
  <c r="P359" i="65"/>
  <c r="P308" i="65"/>
  <c r="P674" i="65"/>
  <c r="P99" i="65"/>
  <c r="P553" i="65"/>
  <c r="P373" i="65"/>
  <c r="P557" i="65"/>
  <c r="P221" i="65"/>
  <c r="P650" i="65"/>
  <c r="P410" i="65"/>
  <c r="P66" i="65"/>
  <c r="P470" i="65"/>
  <c r="P414" i="65"/>
  <c r="P189" i="65"/>
  <c r="P575" i="65"/>
  <c r="P331" i="65"/>
  <c r="P567" i="65"/>
  <c r="P515" i="65"/>
  <c r="P190" i="65"/>
  <c r="P344" i="65"/>
  <c r="P616" i="65"/>
  <c r="P683" i="65"/>
  <c r="P564" i="65"/>
  <c r="P87" i="65"/>
  <c r="P555" i="65"/>
  <c r="P357" i="65"/>
  <c r="P274" i="65"/>
  <c r="P114" i="65"/>
  <c r="P363" i="65"/>
  <c r="P309" i="65"/>
  <c r="P485" i="65"/>
  <c r="P415" i="65"/>
  <c r="P576" i="65"/>
  <c r="P527" i="65"/>
  <c r="P107" i="65"/>
  <c r="P100" i="65"/>
  <c r="P108" i="65"/>
  <c r="P310" i="65"/>
  <c r="P305" i="65"/>
  <c r="P620" i="65"/>
  <c r="P98" i="65"/>
  <c r="P633" i="65"/>
  <c r="P411" i="65"/>
  <c r="P651" i="65"/>
  <c r="P574" i="65"/>
  <c r="P227" i="65"/>
  <c r="P215" i="65"/>
  <c r="P270" i="65"/>
  <c r="P537" i="65"/>
  <c r="P560" i="65"/>
  <c r="P91" i="65"/>
  <c r="P167" i="65"/>
  <c r="P460" i="65"/>
  <c r="P38" i="65"/>
  <c r="P194" i="65"/>
  <c r="P681" i="65"/>
  <c r="P653" i="65"/>
  <c r="P96" i="65"/>
  <c r="P112" i="65"/>
  <c r="P273" i="65"/>
  <c r="P265" i="65"/>
  <c r="P508" i="65"/>
  <c r="P217" i="65"/>
  <c r="P248" i="65"/>
  <c r="P193" i="65"/>
  <c r="P486" i="65"/>
  <c r="P111" i="65"/>
  <c r="P389" i="65"/>
  <c r="P33" i="65"/>
  <c r="P412" i="65"/>
  <c r="P32" i="65"/>
  <c r="P176" i="65"/>
  <c r="P333" i="65"/>
  <c r="P617" i="65"/>
  <c r="P168" i="65"/>
  <c r="P675" i="65"/>
  <c r="P571" i="65"/>
  <c r="P208" i="65"/>
  <c r="P67" i="65"/>
  <c r="P314" i="65"/>
  <c r="P199" i="65"/>
  <c r="P407" i="65"/>
  <c r="P250" i="65"/>
  <c r="P21" i="65"/>
  <c r="P70" i="65"/>
  <c r="P46" i="65"/>
  <c r="P306" i="65"/>
  <c r="P507" i="65"/>
  <c r="P116" i="65"/>
  <c r="P206" i="65"/>
  <c r="P577" i="65"/>
  <c r="P214" i="65"/>
  <c r="P212" i="65"/>
  <c r="P610" i="65"/>
  <c r="P121" i="65"/>
  <c r="P103" i="65"/>
  <c r="P101" i="65"/>
  <c r="P36" i="65"/>
  <c r="P94" i="65"/>
  <c r="P607" i="65"/>
  <c r="P278" i="65"/>
  <c r="P41" i="65"/>
  <c r="P301" i="65"/>
  <c r="P432" i="65"/>
  <c r="P603" i="65"/>
  <c r="P615" i="65"/>
  <c r="P468" i="65"/>
  <c r="P169" i="65"/>
  <c r="P53" i="65"/>
  <c r="P338" i="65"/>
  <c r="P556" i="65"/>
  <c r="P370" i="65"/>
  <c r="P179" i="65"/>
  <c r="P336" i="65"/>
  <c r="P443" i="65"/>
  <c r="P439" i="65"/>
  <c r="P397" i="65"/>
  <c r="P399" i="65"/>
  <c r="P400" i="65"/>
  <c r="P503" i="65"/>
  <c r="P31" i="65"/>
  <c r="P417" i="65"/>
  <c r="P29" i="65"/>
  <c r="P642" i="65"/>
  <c r="P22" i="65"/>
  <c r="P26" i="65"/>
  <c r="P478" i="65"/>
  <c r="P462" i="65"/>
  <c r="P381" i="65"/>
  <c r="P207" i="65"/>
  <c r="P37" i="65"/>
  <c r="P12" i="65"/>
  <c r="P231" i="65"/>
  <c r="P102" i="65"/>
  <c r="P109" i="65"/>
  <c r="P552" i="65"/>
  <c r="P423" i="65"/>
  <c r="P106" i="65"/>
  <c r="P431" i="65"/>
  <c r="P513" i="65"/>
  <c r="P245" i="65"/>
  <c r="P355" i="65"/>
  <c r="P263" i="65"/>
  <c r="P641" i="65"/>
  <c r="P279" i="65"/>
  <c r="P435" i="65"/>
  <c r="P302" i="65"/>
  <c r="P237" i="65"/>
  <c r="P631" i="65"/>
  <c r="P174" i="65"/>
  <c r="P312" i="65"/>
  <c r="P54" i="65"/>
  <c r="P351" i="65"/>
  <c r="P341" i="65"/>
  <c r="P538" i="65"/>
  <c r="P393" i="65"/>
  <c r="P11" i="65"/>
  <c r="P188" i="65"/>
  <c r="P65" i="65"/>
  <c r="P652" i="65"/>
  <c r="P469" i="65"/>
  <c r="P676" i="65"/>
  <c r="P326" i="65"/>
  <c r="P25" i="65"/>
  <c r="P45" i="65"/>
  <c r="P40" i="65"/>
  <c r="P80" i="65"/>
  <c r="P200" i="65"/>
  <c r="P455" i="65"/>
  <c r="P213" i="65"/>
  <c r="P34" i="65"/>
  <c r="P512" i="65"/>
  <c r="P17" i="65"/>
  <c r="P165" i="65"/>
  <c r="P475" i="65"/>
  <c r="P264" i="65"/>
  <c r="P613" i="65"/>
  <c r="P272" i="65"/>
  <c r="P42" i="65"/>
  <c r="P280" i="65"/>
  <c r="P350" i="65"/>
  <c r="P288" i="65"/>
  <c r="P287" i="65"/>
  <c r="P230" i="65"/>
  <c r="P614" i="65"/>
  <c r="P421" i="65"/>
  <c r="P450" i="65"/>
  <c r="P362" i="65"/>
  <c r="P229" i="65"/>
  <c r="P172" i="65"/>
  <c r="P239" i="65"/>
  <c r="P377" i="65"/>
  <c r="P655" i="65"/>
  <c r="P632" i="65"/>
  <c r="P133" i="65"/>
  <c r="P434" i="65"/>
  <c r="P329" i="65"/>
  <c r="P489" i="65"/>
  <c r="P550" i="65"/>
  <c r="P192" i="65"/>
  <c r="P337" i="65"/>
  <c r="P8" i="65"/>
  <c r="P110" i="65"/>
  <c r="P608" i="65"/>
  <c r="P48" i="65"/>
  <c r="P209" i="65"/>
  <c r="P205" i="65"/>
  <c r="P104" i="65"/>
  <c r="P18" i="65"/>
  <c r="P243" i="65"/>
  <c r="P69" i="65"/>
  <c r="P197" i="65"/>
  <c r="P72" i="65"/>
  <c r="P170" i="65"/>
  <c r="P276" i="65"/>
  <c r="P177" i="65"/>
  <c r="P44" i="65"/>
  <c r="P105" i="65"/>
  <c r="P122" i="65"/>
  <c r="P281" i="65"/>
  <c r="P424" i="65"/>
  <c r="P289" i="65"/>
  <c r="P218" i="65"/>
  <c r="P296" i="65"/>
  <c r="P422" i="65"/>
  <c r="P79" i="65"/>
  <c r="P297" i="65"/>
  <c r="P343" i="65"/>
  <c r="P487" i="65"/>
  <c r="P643" i="65"/>
  <c r="P408" i="65"/>
  <c r="P654" i="65"/>
  <c r="P413" i="65"/>
  <c r="P292" i="65"/>
  <c r="P249" i="65"/>
  <c r="P604" i="65"/>
  <c r="P474" i="65"/>
  <c r="P493" i="65"/>
  <c r="P682" i="65"/>
  <c r="P482" i="65"/>
  <c r="P644" i="65"/>
  <c r="P247" i="65"/>
  <c r="P672" i="65"/>
  <c r="P149" i="65"/>
  <c r="P447" i="65"/>
  <c r="P27" i="65"/>
  <c r="P433" i="65"/>
  <c r="P15" i="65"/>
  <c r="P223" i="65"/>
  <c r="P419" i="65"/>
  <c r="P509" i="65"/>
  <c r="P457" i="65"/>
  <c r="P118" i="65"/>
  <c r="P609" i="65"/>
  <c r="P195" i="65"/>
  <c r="P210" i="65"/>
  <c r="P241" i="65"/>
  <c r="P97" i="65"/>
  <c r="P463" i="65"/>
  <c r="P84" i="65"/>
  <c r="P224" i="65"/>
  <c r="P628" i="65"/>
  <c r="P153" i="65"/>
  <c r="P504" i="65"/>
  <c r="P82" i="65"/>
  <c r="P671" i="65"/>
  <c r="P290" i="65"/>
  <c r="P678" i="65"/>
  <c r="P164" i="65"/>
  <c r="P24" i="65"/>
  <c r="P318" i="65"/>
  <c r="P282" i="65"/>
  <c r="P658" i="65"/>
  <c r="P402" i="65"/>
  <c r="P49" i="65"/>
  <c r="P438" i="65"/>
  <c r="P175" i="65"/>
  <c r="P554" i="65"/>
  <c r="P225" i="65"/>
  <c r="P466" i="65"/>
  <c r="P483" i="65"/>
  <c r="P151" i="65"/>
  <c r="P648" i="65"/>
  <c r="P517" i="65"/>
  <c r="P649" i="65"/>
  <c r="P147" i="65"/>
  <c r="P76" i="65"/>
  <c r="P23" i="65"/>
  <c r="P30" i="65"/>
  <c r="P9" i="65"/>
  <c r="P39" i="65"/>
  <c r="P43" i="65"/>
  <c r="P572" i="65"/>
  <c r="P203" i="65"/>
  <c r="P92" i="65"/>
  <c r="P211" i="65"/>
  <c r="P251" i="65"/>
  <c r="P88" i="65"/>
  <c r="P533" i="65"/>
  <c r="P505" i="65"/>
  <c r="P85" i="65"/>
  <c r="P73" i="65"/>
  <c r="P196" i="65"/>
  <c r="P83" i="65"/>
  <c r="P401" i="65"/>
  <c r="P267" i="65"/>
  <c r="P182" i="65"/>
  <c r="P275" i="65"/>
  <c r="P155" i="65"/>
  <c r="P291" i="65"/>
  <c r="P202" i="65"/>
  <c r="P298" i="65"/>
  <c r="P293" i="65"/>
  <c r="P166" i="65"/>
  <c r="P570" i="65"/>
  <c r="P299" i="65"/>
  <c r="P539" i="65"/>
  <c r="P345" i="65"/>
  <c r="P60" i="65"/>
  <c r="P405" i="65"/>
  <c r="P57" i="65"/>
  <c r="P403" i="65"/>
  <c r="P180" i="65"/>
  <c r="P534" i="65"/>
  <c r="P191" i="65"/>
  <c r="P228" i="65"/>
  <c r="P516" i="65"/>
  <c r="P266" i="65"/>
  <c r="P19" i="65"/>
  <c r="P629" i="65"/>
  <c r="P204" i="65"/>
  <c r="P120" i="65"/>
  <c r="P89" i="65"/>
  <c r="P506" i="65"/>
  <c r="P14" i="65"/>
  <c r="P71" i="65"/>
  <c r="P261" i="65"/>
  <c r="P244" i="65"/>
  <c r="P311" i="65"/>
  <c r="P173" i="65"/>
  <c r="P677" i="65"/>
  <c r="P436" i="65"/>
  <c r="P268" i="65"/>
  <c r="P545" i="65"/>
  <c r="P284" i="65"/>
  <c r="P536" i="65"/>
  <c r="P618" i="65"/>
  <c r="P10" i="65"/>
  <c r="P437" i="65"/>
  <c r="P406" i="65"/>
  <c r="P520" i="65"/>
  <c r="P220" i="65"/>
  <c r="P185" i="65"/>
  <c r="P183" i="65"/>
  <c r="P222" i="65"/>
  <c r="P634" i="65"/>
  <c r="P471" i="65"/>
  <c r="P551" i="65"/>
  <c r="P186" i="65"/>
  <c r="P535" i="65"/>
  <c r="P242" i="65"/>
  <c r="P20" i="65"/>
  <c r="P52" i="65"/>
  <c r="P201" i="65"/>
  <c r="P418" i="65"/>
  <c r="P35" i="65"/>
  <c r="P90" i="65"/>
  <c r="P269" i="65"/>
  <c r="P409" i="65"/>
  <c r="P277" i="65"/>
  <c r="P81" i="65"/>
  <c r="P285" i="65"/>
  <c r="P547" i="65"/>
  <c r="P611" i="65"/>
  <c r="P283" i="65"/>
  <c r="P300" i="65"/>
  <c r="P86" i="65"/>
  <c r="P74" i="65"/>
  <c r="P238" i="65"/>
  <c r="P286" i="65"/>
  <c r="P561" i="65"/>
  <c r="P476" i="65"/>
  <c r="P573" i="65"/>
  <c r="P578" i="65"/>
  <c r="P544" i="65"/>
  <c r="P657" i="65"/>
  <c r="B10" i="68"/>
  <c r="C6" i="87" l="1"/>
  <c r="B42" i="68"/>
  <c r="B73" i="68" s="1"/>
  <c r="Q674" i="69"/>
  <c r="R674" i="69" s="1"/>
  <c r="Q673" i="69"/>
  <c r="Q671" i="69"/>
  <c r="R671" i="69" s="1"/>
  <c r="Q658" i="69"/>
  <c r="R658" i="69" s="1"/>
  <c r="S658" i="69" s="1"/>
  <c r="Q655" i="69"/>
  <c r="R655" i="69" s="1"/>
  <c r="Q654" i="69"/>
  <c r="R654" i="69" s="1"/>
  <c r="Q652" i="69"/>
  <c r="R652" i="69" s="1"/>
  <c r="Q615" i="69"/>
  <c r="R615" i="69" s="1"/>
  <c r="Q614" i="69"/>
  <c r="R614" i="69" s="1"/>
  <c r="Q613" i="69"/>
  <c r="R613" i="69" s="1"/>
  <c r="R612" i="69"/>
  <c r="Q611" i="69"/>
  <c r="R611" i="69" s="1"/>
  <c r="Q610" i="69"/>
  <c r="R610" i="69" s="1"/>
  <c r="Q609" i="69"/>
  <c r="R609" i="69" s="1"/>
  <c r="Q608" i="69"/>
  <c r="R608" i="69" s="1"/>
  <c r="Q607" i="69"/>
  <c r="R607" i="69" s="1"/>
  <c r="Q606" i="69"/>
  <c r="R606" i="69" s="1"/>
  <c r="Q603" i="69"/>
  <c r="R603" i="69" s="1"/>
  <c r="S603" i="69" s="1"/>
  <c r="Q602" i="69"/>
  <c r="R602" i="69" s="1"/>
  <c r="S602" i="69" s="1"/>
  <c r="Q601" i="69"/>
  <c r="R601" i="69" s="1"/>
  <c r="S601" i="69" s="1"/>
  <c r="AF601" i="69" s="1"/>
  <c r="AN601" i="69" s="1"/>
  <c r="AD600" i="69"/>
  <c r="AL600" i="69" s="1"/>
  <c r="AD526" i="69"/>
  <c r="AL526" i="69" s="1"/>
  <c r="Q487" i="69"/>
  <c r="R487" i="69" s="1"/>
  <c r="Q486" i="69"/>
  <c r="R486" i="69" s="1"/>
  <c r="Q482" i="69"/>
  <c r="R482" i="69" s="1"/>
  <c r="Q471" i="69"/>
  <c r="AD471" i="69" s="1"/>
  <c r="AL471" i="69" s="1"/>
  <c r="R469" i="69"/>
  <c r="Q468" i="69"/>
  <c r="R468" i="69" s="1"/>
  <c r="Q467" i="69"/>
  <c r="R467" i="69" s="1"/>
  <c r="AE467" i="69" s="1"/>
  <c r="AM467" i="69" s="1"/>
  <c r="Q464" i="69"/>
  <c r="Q463" i="69"/>
  <c r="R463" i="69" s="1"/>
  <c r="Q461" i="69"/>
  <c r="R461" i="69" s="1"/>
  <c r="Q460" i="69"/>
  <c r="R460" i="69" s="1"/>
  <c r="S460" i="69" s="1"/>
  <c r="T460" i="69" s="1"/>
  <c r="U460" i="69" s="1"/>
  <c r="V460" i="69" s="1"/>
  <c r="R455" i="69"/>
  <c r="Q452" i="69"/>
  <c r="Q451" i="69"/>
  <c r="R451" i="69" s="1"/>
  <c r="Q450" i="69"/>
  <c r="R450" i="69" s="1"/>
  <c r="AE450" i="69" s="1"/>
  <c r="AM450" i="69" s="1"/>
  <c r="Q449" i="69"/>
  <c r="R449" i="69" s="1"/>
  <c r="Q446" i="69"/>
  <c r="R446" i="69" s="1"/>
  <c r="Q445" i="69"/>
  <c r="Q442" i="69"/>
  <c r="R442" i="69" s="1"/>
  <c r="Q410" i="69"/>
  <c r="R410" i="69" s="1"/>
  <c r="Q408" i="69"/>
  <c r="R408" i="69" s="1"/>
  <c r="R401" i="69"/>
  <c r="R400" i="69"/>
  <c r="Q342" i="69"/>
  <c r="R342" i="69" s="1"/>
  <c r="S342" i="69" s="1"/>
  <c r="Q341" i="69"/>
  <c r="R341" i="69" s="1"/>
  <c r="Q339" i="69"/>
  <c r="R339" i="69" s="1"/>
  <c r="Q338" i="69"/>
  <c r="R338" i="69" s="1"/>
  <c r="S338" i="69" s="1"/>
  <c r="Q281" i="69"/>
  <c r="R281" i="69" s="1"/>
  <c r="Q255" i="69"/>
  <c r="R255" i="69" s="1"/>
  <c r="AD254" i="69"/>
  <c r="AL254" i="69" s="1"/>
  <c r="AD250" i="69"/>
  <c r="AL250" i="69" s="1"/>
  <c r="AD249" i="69"/>
  <c r="AL249" i="69" s="1"/>
  <c r="Q235" i="69"/>
  <c r="Q225" i="69"/>
  <c r="R225" i="69" s="1"/>
  <c r="Q223" i="69"/>
  <c r="AD223" i="69" s="1"/>
  <c r="AL223" i="69" s="1"/>
  <c r="Q222" i="69"/>
  <c r="R222" i="69" s="1"/>
  <c r="Q221" i="69"/>
  <c r="R221" i="69" s="1"/>
  <c r="S221" i="69" s="1"/>
  <c r="Q220" i="69"/>
  <c r="R220" i="69" s="1"/>
  <c r="AD219" i="69"/>
  <c r="AL219" i="69" s="1"/>
  <c r="Q218" i="69"/>
  <c r="R218" i="69" s="1"/>
  <c r="Q217" i="69"/>
  <c r="AD217" i="69" s="1"/>
  <c r="AL217" i="69" s="1"/>
  <c r="Q216" i="69"/>
  <c r="R216" i="69" s="1"/>
  <c r="Q215" i="69"/>
  <c r="Q214" i="69"/>
  <c r="R214" i="69" s="1"/>
  <c r="Q213" i="69"/>
  <c r="R213" i="69" s="1"/>
  <c r="Q212" i="69"/>
  <c r="R212" i="69" s="1"/>
  <c r="Q211" i="69"/>
  <c r="AD211" i="69" s="1"/>
  <c r="AL211" i="69" s="1"/>
  <c r="Q66" i="69"/>
  <c r="R66" i="69" s="1"/>
  <c r="S66" i="69" s="1"/>
  <c r="Q65" i="69"/>
  <c r="AD65" i="69" s="1"/>
  <c r="AL65" i="69" s="1"/>
  <c r="Q64" i="69"/>
  <c r="R64" i="69" s="1"/>
  <c r="Q63" i="69"/>
  <c r="AD63" i="69" s="1"/>
  <c r="AL63" i="69" s="1"/>
  <c r="Q62" i="69"/>
  <c r="AD62" i="69" s="1"/>
  <c r="AL62" i="69" s="1"/>
  <c r="Q61" i="69"/>
  <c r="R61" i="69" s="1"/>
  <c r="Q60" i="69"/>
  <c r="R60" i="69" s="1"/>
  <c r="Q59" i="69"/>
  <c r="AD59" i="69" s="1"/>
  <c r="AL59" i="69" s="1"/>
  <c r="Q58" i="69"/>
  <c r="R58" i="69" s="1"/>
  <c r="S58" i="69" s="1"/>
  <c r="Q57" i="69"/>
  <c r="Q56" i="69"/>
  <c r="R56" i="69" s="1"/>
  <c r="Q55" i="69"/>
  <c r="AD55" i="69" s="1"/>
  <c r="AL55" i="69" s="1"/>
  <c r="Q54" i="69"/>
  <c r="AD54" i="69" s="1"/>
  <c r="AL54" i="69" s="1"/>
  <c r="R53" i="69"/>
  <c r="R52" i="69"/>
  <c r="Q51" i="69"/>
  <c r="AD51" i="69" s="1"/>
  <c r="AL51" i="69" s="1"/>
  <c r="Q7" i="69"/>
  <c r="AD7" i="69" s="1"/>
  <c r="AB7" i="69"/>
  <c r="AW66" i="69"/>
  <c r="AJ66" i="69"/>
  <c r="AC66" i="69"/>
  <c r="AB66" i="69"/>
  <c r="AW65" i="69"/>
  <c r="AJ65" i="69"/>
  <c r="AC65" i="69"/>
  <c r="AB65" i="69"/>
  <c r="AW64" i="69"/>
  <c r="AJ64" i="69"/>
  <c r="AC64" i="69"/>
  <c r="AB64" i="69"/>
  <c r="AW63" i="69"/>
  <c r="AJ63" i="69"/>
  <c r="AC63" i="69"/>
  <c r="AB63" i="69"/>
  <c r="AW62" i="69"/>
  <c r="AJ62" i="69"/>
  <c r="AC62" i="69"/>
  <c r="AB62" i="69"/>
  <c r="AW61" i="69"/>
  <c r="AJ61" i="69"/>
  <c r="AC61" i="69"/>
  <c r="AB61" i="69"/>
  <c r="AW60" i="69"/>
  <c r="AJ60" i="69"/>
  <c r="AC60" i="69"/>
  <c r="AB60" i="69"/>
  <c r="AW59" i="69"/>
  <c r="AJ59" i="69"/>
  <c r="AC59" i="69"/>
  <c r="AB59" i="69"/>
  <c r="AW58" i="69"/>
  <c r="AJ58" i="69"/>
  <c r="AC58" i="69"/>
  <c r="AB58" i="69"/>
  <c r="AW57" i="69"/>
  <c r="AJ57" i="69"/>
  <c r="AC57" i="69"/>
  <c r="AB57" i="69"/>
  <c r="AW56" i="69"/>
  <c r="AJ56" i="69"/>
  <c r="AC56" i="69"/>
  <c r="AB56" i="69"/>
  <c r="AW55" i="69"/>
  <c r="AJ55" i="69"/>
  <c r="AC55" i="69"/>
  <c r="AB55" i="69"/>
  <c r="AW54" i="69"/>
  <c r="AJ54" i="69"/>
  <c r="AC54" i="69"/>
  <c r="AB54" i="69"/>
  <c r="AW53" i="69"/>
  <c r="AJ53" i="69"/>
  <c r="AC53" i="69"/>
  <c r="AB53" i="69"/>
  <c r="AW52" i="69"/>
  <c r="AJ52" i="69"/>
  <c r="AC52" i="69"/>
  <c r="AB52" i="69"/>
  <c r="AW51" i="69"/>
  <c r="AJ51" i="69"/>
  <c r="AC51" i="69"/>
  <c r="AB51" i="69"/>
  <c r="AW50" i="69"/>
  <c r="AC50" i="69"/>
  <c r="AB50" i="69"/>
  <c r="AB235" i="69"/>
  <c r="AW225" i="69"/>
  <c r="AJ225" i="69"/>
  <c r="AC225" i="69"/>
  <c r="AB225" i="69"/>
  <c r="AW224" i="69"/>
  <c r="AJ224" i="69"/>
  <c r="AC224" i="69"/>
  <c r="AB224" i="69"/>
  <c r="AW223" i="69"/>
  <c r="AJ223" i="69"/>
  <c r="AC223" i="69"/>
  <c r="AB223" i="69"/>
  <c r="AW222" i="69"/>
  <c r="AJ222" i="69"/>
  <c r="AC222" i="69"/>
  <c r="AB222" i="69"/>
  <c r="AW221" i="69"/>
  <c r="AJ221" i="69"/>
  <c r="AC221" i="69"/>
  <c r="AB221" i="69"/>
  <c r="AW220" i="69"/>
  <c r="AJ220" i="69"/>
  <c r="AC220" i="69"/>
  <c r="AB220" i="69"/>
  <c r="AW219" i="69"/>
  <c r="AJ219" i="69"/>
  <c r="AC219" i="69"/>
  <c r="AB219" i="69"/>
  <c r="AW218" i="69"/>
  <c r="AJ218" i="69"/>
  <c r="AC218" i="69"/>
  <c r="AB218" i="69"/>
  <c r="AW217" i="69"/>
  <c r="AJ217" i="69"/>
  <c r="AC217" i="69"/>
  <c r="AB217" i="69"/>
  <c r="AW216" i="69"/>
  <c r="AJ216" i="69"/>
  <c r="AC216" i="69"/>
  <c r="AB216" i="69"/>
  <c r="AW215" i="69"/>
  <c r="AJ215" i="69"/>
  <c r="AC215" i="69"/>
  <c r="AB215" i="69"/>
  <c r="AW214" i="69"/>
  <c r="AJ214" i="69"/>
  <c r="AC214" i="69"/>
  <c r="AB214" i="69"/>
  <c r="AW213" i="69"/>
  <c r="AJ213" i="69"/>
  <c r="AC213" i="69"/>
  <c r="AB213" i="69"/>
  <c r="AW212" i="69"/>
  <c r="AJ212" i="69"/>
  <c r="AC212" i="69"/>
  <c r="AB212" i="69"/>
  <c r="AW211" i="69"/>
  <c r="AJ211" i="69"/>
  <c r="AC211" i="69"/>
  <c r="AB211" i="69"/>
  <c r="AW210" i="69"/>
  <c r="AJ210" i="69"/>
  <c r="AC210" i="69"/>
  <c r="AB210" i="69"/>
  <c r="AW209" i="69"/>
  <c r="AJ209" i="69"/>
  <c r="AC209" i="69"/>
  <c r="AB209" i="69"/>
  <c r="AW293" i="69"/>
  <c r="AJ293" i="69"/>
  <c r="AC293" i="69"/>
  <c r="AB293" i="69"/>
  <c r="AW281" i="69"/>
  <c r="AJ281" i="69"/>
  <c r="AC281" i="69"/>
  <c r="AB281" i="69"/>
  <c r="AJ255" i="69"/>
  <c r="AC255" i="69"/>
  <c r="AB255" i="69"/>
  <c r="AW254" i="69"/>
  <c r="AJ254" i="69"/>
  <c r="AC254" i="69"/>
  <c r="AB254" i="69"/>
  <c r="AW253" i="69"/>
  <c r="AJ253" i="69"/>
  <c r="AC253" i="69"/>
  <c r="AB253" i="69"/>
  <c r="AW252" i="69"/>
  <c r="AJ252" i="69"/>
  <c r="AC252" i="69"/>
  <c r="AB252" i="69"/>
  <c r="AW251" i="69"/>
  <c r="AJ251" i="69"/>
  <c r="AC251" i="69"/>
  <c r="AB251" i="69"/>
  <c r="AW250" i="69"/>
  <c r="AJ250" i="69"/>
  <c r="AC250" i="69"/>
  <c r="AB250" i="69"/>
  <c r="AW249" i="69"/>
  <c r="AJ249" i="69"/>
  <c r="AC249" i="69"/>
  <c r="AB249" i="69"/>
  <c r="AW248" i="69"/>
  <c r="AJ248" i="69"/>
  <c r="AC248" i="69"/>
  <c r="AB248" i="69"/>
  <c r="AW247" i="69"/>
  <c r="AJ247" i="69"/>
  <c r="AC247" i="69"/>
  <c r="AB247" i="69"/>
  <c r="AW339" i="69"/>
  <c r="AJ339" i="69"/>
  <c r="AC339" i="69"/>
  <c r="AB339" i="69"/>
  <c r="AW338" i="69"/>
  <c r="AJ338" i="69"/>
  <c r="AC338" i="69"/>
  <c r="AB338" i="69"/>
  <c r="AW342" i="69"/>
  <c r="AJ342" i="69"/>
  <c r="AC342" i="69"/>
  <c r="AB342" i="69"/>
  <c r="AW341" i="69"/>
  <c r="AJ341" i="69"/>
  <c r="AC341" i="69"/>
  <c r="AB341" i="69"/>
  <c r="AW349" i="69"/>
  <c r="AJ349" i="69"/>
  <c r="AC349" i="69"/>
  <c r="AB349" i="69"/>
  <c r="AW401" i="69"/>
  <c r="AJ401" i="69"/>
  <c r="AC401" i="69"/>
  <c r="AB401" i="69"/>
  <c r="AW400" i="69"/>
  <c r="AJ400" i="69"/>
  <c r="AC400" i="69"/>
  <c r="AB400" i="69"/>
  <c r="AW408" i="69"/>
  <c r="AJ408" i="69"/>
  <c r="AC408" i="69"/>
  <c r="AB408" i="69"/>
  <c r="AW410" i="69"/>
  <c r="AJ410" i="69"/>
  <c r="AC410" i="69"/>
  <c r="AB410" i="69"/>
  <c r="AW442" i="69"/>
  <c r="AJ442" i="69"/>
  <c r="AC442" i="69"/>
  <c r="AB442" i="69"/>
  <c r="AW433" i="69"/>
  <c r="AJ433" i="69"/>
  <c r="AC433" i="69"/>
  <c r="AB433" i="69"/>
  <c r="AW446" i="69"/>
  <c r="AJ446" i="69"/>
  <c r="AC446" i="69"/>
  <c r="AB446" i="69"/>
  <c r="AW445" i="69"/>
  <c r="AJ445" i="69"/>
  <c r="AC445" i="69"/>
  <c r="AB445" i="69"/>
  <c r="AW453" i="69"/>
  <c r="AJ453" i="69"/>
  <c r="AC453" i="69"/>
  <c r="AB453" i="69"/>
  <c r="AW452" i="69"/>
  <c r="AJ452" i="69"/>
  <c r="AC452" i="69"/>
  <c r="AB452" i="69"/>
  <c r="AW451" i="69"/>
  <c r="AJ451" i="69"/>
  <c r="AC451" i="69"/>
  <c r="AB451" i="69"/>
  <c r="AW450" i="69"/>
  <c r="AJ450" i="69"/>
  <c r="AC450" i="69"/>
  <c r="AK450" i="69" s="1"/>
  <c r="AB450" i="69"/>
  <c r="AW449" i="69"/>
  <c r="AJ449" i="69"/>
  <c r="AC449" i="69"/>
  <c r="AB449" i="69"/>
  <c r="AW455" i="69"/>
  <c r="I566" i="65" s="1"/>
  <c r="AJ455" i="69"/>
  <c r="AC455" i="69"/>
  <c r="AB455" i="69"/>
  <c r="AW471" i="69"/>
  <c r="AJ471" i="69"/>
  <c r="AC471" i="69"/>
  <c r="AB471" i="69"/>
  <c r="AW469" i="69"/>
  <c r="AJ469" i="69"/>
  <c r="AC469" i="69"/>
  <c r="AB469" i="69"/>
  <c r="AW468" i="69"/>
  <c r="AJ468" i="69"/>
  <c r="AC468" i="69"/>
  <c r="AB468" i="69"/>
  <c r="AW467" i="69"/>
  <c r="AJ467" i="69"/>
  <c r="AC467" i="69"/>
  <c r="AB467" i="69"/>
  <c r="AW464" i="69"/>
  <c r="AJ464" i="69"/>
  <c r="AC464" i="69"/>
  <c r="AB464" i="69"/>
  <c r="AW463" i="69"/>
  <c r="AJ463" i="69"/>
  <c r="AC463" i="69"/>
  <c r="AB463" i="69"/>
  <c r="AW461" i="69"/>
  <c r="AJ461" i="69"/>
  <c r="AC461" i="69"/>
  <c r="AB461" i="69"/>
  <c r="AW460" i="69"/>
  <c r="AJ460" i="69"/>
  <c r="AC460" i="69"/>
  <c r="AB460" i="69"/>
  <c r="AW482" i="69"/>
  <c r="AJ482" i="69"/>
  <c r="AC482" i="69"/>
  <c r="AB482" i="69"/>
  <c r="AW491" i="69"/>
  <c r="AJ491" i="69"/>
  <c r="AC491" i="69"/>
  <c r="AB491" i="69"/>
  <c r="AW489" i="69"/>
  <c r="AJ489" i="69"/>
  <c r="AC489" i="69"/>
  <c r="AB489" i="69"/>
  <c r="AW488" i="69"/>
  <c r="AJ488" i="69"/>
  <c r="AC488" i="69"/>
  <c r="AB488" i="69"/>
  <c r="AW487" i="69"/>
  <c r="AJ487" i="69"/>
  <c r="AC487" i="69"/>
  <c r="AB487" i="69"/>
  <c r="AW486" i="69"/>
  <c r="AJ486" i="69"/>
  <c r="AC486" i="69"/>
  <c r="AB486" i="69"/>
  <c r="AW526" i="69"/>
  <c r="AJ526" i="69"/>
  <c r="AC526" i="69"/>
  <c r="AB526" i="69"/>
  <c r="AW537" i="69"/>
  <c r="AJ537" i="69"/>
  <c r="AC537" i="69"/>
  <c r="AB537" i="69"/>
  <c r="AW603" i="69"/>
  <c r="AJ603" i="69"/>
  <c r="AC603" i="69"/>
  <c r="AB603" i="69"/>
  <c r="AW602" i="69"/>
  <c r="AJ602" i="69"/>
  <c r="AC602" i="69"/>
  <c r="AB602" i="69"/>
  <c r="AW601" i="69"/>
  <c r="AJ601" i="69"/>
  <c r="AC601" i="69"/>
  <c r="AB601" i="69"/>
  <c r="AW600" i="69"/>
  <c r="AJ600" i="69"/>
  <c r="AC600" i="69"/>
  <c r="AB600" i="69"/>
  <c r="AW599" i="69"/>
  <c r="AJ599" i="69"/>
  <c r="AC599" i="69"/>
  <c r="AB599" i="69"/>
  <c r="AW598" i="69"/>
  <c r="AJ598" i="69"/>
  <c r="AC598" i="69"/>
  <c r="AB598" i="69"/>
  <c r="AW615" i="69"/>
  <c r="AJ615" i="69"/>
  <c r="AC615" i="69"/>
  <c r="AB615" i="69"/>
  <c r="AW614" i="69"/>
  <c r="AJ614" i="69"/>
  <c r="AC614" i="69"/>
  <c r="AB614" i="69"/>
  <c r="AW613" i="69"/>
  <c r="AJ613" i="69"/>
  <c r="AC613" i="69"/>
  <c r="AB613" i="69"/>
  <c r="AW612" i="69"/>
  <c r="AJ612" i="69"/>
  <c r="AC612" i="69"/>
  <c r="AB612" i="69"/>
  <c r="AW611" i="69"/>
  <c r="AJ611" i="69"/>
  <c r="AC611" i="69"/>
  <c r="AB611" i="69"/>
  <c r="AW610" i="69"/>
  <c r="AJ610" i="69"/>
  <c r="AC610" i="69"/>
  <c r="AB610" i="69"/>
  <c r="AW609" i="69"/>
  <c r="AJ609" i="69"/>
  <c r="AC609" i="69"/>
  <c r="AB609" i="69"/>
  <c r="AW608" i="69"/>
  <c r="AJ608" i="69"/>
  <c r="AC608" i="69"/>
  <c r="AB608" i="69"/>
  <c r="AW607" i="69"/>
  <c r="AJ607" i="69"/>
  <c r="AC607" i="69"/>
  <c r="AB607" i="69"/>
  <c r="AW606" i="69"/>
  <c r="AJ606" i="69"/>
  <c r="AC606" i="69"/>
  <c r="AB606" i="69"/>
  <c r="AW652" i="69"/>
  <c r="AJ652" i="69"/>
  <c r="AC652" i="69"/>
  <c r="AB652" i="69"/>
  <c r="AW655" i="69"/>
  <c r="AJ655" i="69"/>
  <c r="AC655" i="69"/>
  <c r="AB655" i="69"/>
  <c r="AW654" i="69"/>
  <c r="AJ654" i="69"/>
  <c r="AC654" i="69"/>
  <c r="AB654" i="69"/>
  <c r="AW658" i="69"/>
  <c r="AJ658" i="69"/>
  <c r="AC658" i="69"/>
  <c r="AB658" i="69"/>
  <c r="AW671" i="69"/>
  <c r="AJ671" i="69"/>
  <c r="AC671" i="69"/>
  <c r="AB671" i="69"/>
  <c r="AW673" i="69"/>
  <c r="AJ673" i="69"/>
  <c r="AC673" i="69"/>
  <c r="AB673" i="69"/>
  <c r="AW674" i="69"/>
  <c r="AJ674" i="69"/>
  <c r="AC674" i="69"/>
  <c r="AB674" i="69"/>
  <c r="I524" i="65" l="1"/>
  <c r="I219" i="65"/>
  <c r="I404" i="65"/>
  <c r="I543" i="65"/>
  <c r="R235" i="69"/>
  <c r="AE235" i="69" s="1"/>
  <c r="AM235" i="69" s="1"/>
  <c r="AD235" i="69"/>
  <c r="AL7" i="69"/>
  <c r="AD671" i="69"/>
  <c r="AL671" i="69" s="1"/>
  <c r="AD674" i="69"/>
  <c r="AL674" i="69" s="1"/>
  <c r="AD613" i="69"/>
  <c r="AL613" i="69" s="1"/>
  <c r="AD611" i="69"/>
  <c r="AL611" i="69" s="1"/>
  <c r="AD602" i="69"/>
  <c r="AL602" i="69" s="1"/>
  <c r="AD491" i="69"/>
  <c r="AL491" i="69" s="1"/>
  <c r="AE602" i="69"/>
  <c r="AM602" i="69" s="1"/>
  <c r="AD612" i="69"/>
  <c r="AL612" i="69" s="1"/>
  <c r="AD603" i="69"/>
  <c r="AL603" i="69" s="1"/>
  <c r="AD469" i="69"/>
  <c r="AL469" i="69" s="1"/>
  <c r="AD433" i="69"/>
  <c r="AL433" i="69" s="1"/>
  <c r="AD410" i="69"/>
  <c r="AL410" i="69" s="1"/>
  <c r="AD461" i="69"/>
  <c r="AL461" i="69" s="1"/>
  <c r="AD463" i="69"/>
  <c r="AL463" i="69" s="1"/>
  <c r="AD599" i="69"/>
  <c r="AL599" i="69" s="1"/>
  <c r="AD486" i="69"/>
  <c r="AL486" i="69" s="1"/>
  <c r="AD339" i="69"/>
  <c r="AL339" i="69" s="1"/>
  <c r="AD251" i="69"/>
  <c r="AL251" i="69" s="1"/>
  <c r="AD214" i="69"/>
  <c r="AL214" i="69" s="1"/>
  <c r="AD652" i="69"/>
  <c r="AL652" i="69" s="1"/>
  <c r="AD598" i="69"/>
  <c r="AL598" i="69" s="1"/>
  <c r="AD460" i="69"/>
  <c r="AL460" i="69" s="1"/>
  <c r="AD482" i="69"/>
  <c r="AL482" i="69" s="1"/>
  <c r="AD342" i="69"/>
  <c r="AL342" i="69" s="1"/>
  <c r="AD615" i="69"/>
  <c r="AL615" i="69" s="1"/>
  <c r="AD607" i="69"/>
  <c r="AL607" i="69" s="1"/>
  <c r="AD442" i="69"/>
  <c r="AL442" i="69" s="1"/>
  <c r="AD446" i="69"/>
  <c r="AL446" i="69" s="1"/>
  <c r="AD608" i="69"/>
  <c r="AL608" i="69" s="1"/>
  <c r="AD400" i="69"/>
  <c r="AL400" i="69" s="1"/>
  <c r="AD654" i="69"/>
  <c r="AL654" i="69" s="1"/>
  <c r="AD61" i="69"/>
  <c r="AL61" i="69" s="1"/>
  <c r="AD609" i="69"/>
  <c r="AL609" i="69" s="1"/>
  <c r="AD449" i="69"/>
  <c r="AL449" i="69" s="1"/>
  <c r="AD247" i="69"/>
  <c r="AL247" i="69" s="1"/>
  <c r="AD64" i="69"/>
  <c r="AL64" i="69" s="1"/>
  <c r="AD50" i="69"/>
  <c r="AL50" i="69" s="1"/>
  <c r="AD52" i="69"/>
  <c r="AL52" i="69" s="1"/>
  <c r="AD252" i="69"/>
  <c r="AL252" i="69" s="1"/>
  <c r="AD218" i="69"/>
  <c r="AL218" i="69" s="1"/>
  <c r="AD60" i="69"/>
  <c r="AL60" i="69" s="1"/>
  <c r="AD489" i="69"/>
  <c r="AL489" i="69" s="1"/>
  <c r="AD213" i="69"/>
  <c r="AL213" i="69" s="1"/>
  <c r="AD451" i="69"/>
  <c r="AL451" i="69" s="1"/>
  <c r="AD467" i="69"/>
  <c r="AL467" i="69" s="1"/>
  <c r="AD658" i="69"/>
  <c r="AL658" i="69" s="1"/>
  <c r="AD601" i="69"/>
  <c r="AL601" i="69" s="1"/>
  <c r="AD255" i="69"/>
  <c r="AL255" i="69" s="1"/>
  <c r="AD225" i="69"/>
  <c r="AL225" i="69" s="1"/>
  <c r="AD450" i="69"/>
  <c r="AL450" i="69" s="1"/>
  <c r="AD53" i="69"/>
  <c r="AL53" i="69" s="1"/>
  <c r="AD401" i="69"/>
  <c r="AL401" i="69" s="1"/>
  <c r="AD488" i="69"/>
  <c r="AL488" i="69" s="1"/>
  <c r="AD281" i="69"/>
  <c r="AL281" i="69" s="1"/>
  <c r="S446" i="69"/>
  <c r="T446" i="69" s="1"/>
  <c r="U446" i="69" s="1"/>
  <c r="AE446" i="69"/>
  <c r="AM446" i="69" s="1"/>
  <c r="R223" i="69"/>
  <c r="S223" i="69" s="1"/>
  <c r="AF223" i="69" s="1"/>
  <c r="AN223" i="69" s="1"/>
  <c r="R62" i="69"/>
  <c r="S62" i="69" s="1"/>
  <c r="AF62" i="69" s="1"/>
  <c r="AN62" i="69" s="1"/>
  <c r="AD58" i="69"/>
  <c r="AL58" i="69" s="1"/>
  <c r="AD338" i="69"/>
  <c r="AL338" i="69" s="1"/>
  <c r="AD212" i="69"/>
  <c r="AL212" i="69" s="1"/>
  <c r="AD216" i="69"/>
  <c r="AL216" i="69" s="1"/>
  <c r="AD66" i="69"/>
  <c r="AL66" i="69" s="1"/>
  <c r="AE52" i="69"/>
  <c r="AM52" i="69" s="1"/>
  <c r="S52" i="69"/>
  <c r="AF52" i="69" s="1"/>
  <c r="AN52" i="69" s="1"/>
  <c r="AE253" i="69"/>
  <c r="AM253" i="69" s="1"/>
  <c r="S213" i="69"/>
  <c r="AF213" i="69" s="1"/>
  <c r="AN213" i="69" s="1"/>
  <c r="AE213" i="69"/>
  <c r="AM213" i="69" s="1"/>
  <c r="S225" i="69"/>
  <c r="T225" i="69" s="1"/>
  <c r="AE225" i="69"/>
  <c r="AM225" i="69" s="1"/>
  <c r="AD655" i="69"/>
  <c r="AL655" i="69" s="1"/>
  <c r="AD468" i="69"/>
  <c r="AL468" i="69" s="1"/>
  <c r="AD455" i="69"/>
  <c r="AL455" i="69" s="1"/>
  <c r="AD453" i="69"/>
  <c r="AL453" i="69" s="1"/>
  <c r="AD341" i="69"/>
  <c r="AL341" i="69" s="1"/>
  <c r="AD221" i="69"/>
  <c r="AL221" i="69" s="1"/>
  <c r="R211" i="69"/>
  <c r="R217" i="69"/>
  <c r="R471" i="69"/>
  <c r="AE601" i="69"/>
  <c r="AM601" i="69" s="1"/>
  <c r="AD248" i="69"/>
  <c r="AL248" i="69" s="1"/>
  <c r="AD253" i="69"/>
  <c r="AL253" i="69" s="1"/>
  <c r="AD209" i="69"/>
  <c r="AL209" i="69" s="1"/>
  <c r="AD220" i="69"/>
  <c r="AL220" i="69" s="1"/>
  <c r="R219" i="69"/>
  <c r="AE219" i="69" s="1"/>
  <c r="AM219" i="69" s="1"/>
  <c r="AD610" i="69"/>
  <c r="AL610" i="69" s="1"/>
  <c r="AD222" i="69"/>
  <c r="AL222" i="69" s="1"/>
  <c r="AE342" i="69"/>
  <c r="AM342" i="69" s="1"/>
  <c r="AE338" i="69"/>
  <c r="AM338" i="69" s="1"/>
  <c r="R224" i="69"/>
  <c r="S224" i="69" s="1"/>
  <c r="AD224" i="69"/>
  <c r="AL224" i="69" s="1"/>
  <c r="AD293" i="69"/>
  <c r="AL293" i="69" s="1"/>
  <c r="R293" i="69"/>
  <c r="AE598" i="69"/>
  <c r="AM598" i="69" s="1"/>
  <c r="R673" i="69"/>
  <c r="S673" i="69" s="1"/>
  <c r="AD673" i="69"/>
  <c r="AL673" i="69" s="1"/>
  <c r="AD464" i="69"/>
  <c r="AL464" i="69" s="1"/>
  <c r="R464" i="69"/>
  <c r="R7" i="69"/>
  <c r="AE7" i="69" s="1"/>
  <c r="AM7" i="69" s="1"/>
  <c r="AE209" i="69"/>
  <c r="AM209" i="69" s="1"/>
  <c r="S209" i="69"/>
  <c r="AD215" i="69"/>
  <c r="AL215" i="69" s="1"/>
  <c r="R215" i="69"/>
  <c r="AD452" i="69"/>
  <c r="AL452" i="69" s="1"/>
  <c r="R452" i="69"/>
  <c r="AD606" i="69"/>
  <c r="AL606" i="69" s="1"/>
  <c r="AD614" i="69"/>
  <c r="AL614" i="69" s="1"/>
  <c r="R210" i="69"/>
  <c r="AE210" i="69" s="1"/>
  <c r="AM210" i="69" s="1"/>
  <c r="AD210" i="69"/>
  <c r="AL210" i="69" s="1"/>
  <c r="T221" i="69"/>
  <c r="AG221" i="69" s="1"/>
  <c r="AO221" i="69" s="1"/>
  <c r="AF221" i="69"/>
  <c r="AN221" i="69" s="1"/>
  <c r="S56" i="69"/>
  <c r="AF56" i="69" s="1"/>
  <c r="AN56" i="69" s="1"/>
  <c r="AE56" i="69"/>
  <c r="AM56" i="69" s="1"/>
  <c r="R445" i="69"/>
  <c r="S445" i="69" s="1"/>
  <c r="AD445" i="69"/>
  <c r="AL445" i="69" s="1"/>
  <c r="S655" i="69"/>
  <c r="AF655" i="69" s="1"/>
  <c r="AN655" i="69" s="1"/>
  <c r="AE655" i="69"/>
  <c r="AM655" i="69" s="1"/>
  <c r="AE221" i="69"/>
  <c r="AM221" i="69" s="1"/>
  <c r="R57" i="69"/>
  <c r="AE57" i="69" s="1"/>
  <c r="AM57" i="69" s="1"/>
  <c r="AD57" i="69"/>
  <c r="AL57" i="69" s="1"/>
  <c r="AE349" i="69"/>
  <c r="AM349" i="69" s="1"/>
  <c r="AD349" i="69"/>
  <c r="AL349" i="69" s="1"/>
  <c r="AD537" i="69"/>
  <c r="AL537" i="69" s="1"/>
  <c r="R54" i="69"/>
  <c r="S54" i="69" s="1"/>
  <c r="T54" i="69" s="1"/>
  <c r="AD56" i="69"/>
  <c r="AL56" i="69" s="1"/>
  <c r="S674" i="69"/>
  <c r="AE674" i="69"/>
  <c r="AM674" i="69" s="1"/>
  <c r="AE671" i="69"/>
  <c r="AM671" i="69" s="1"/>
  <c r="S671" i="69"/>
  <c r="AE658" i="69"/>
  <c r="AM658" i="69" s="1"/>
  <c r="S654" i="69"/>
  <c r="AE654" i="69"/>
  <c r="AM654" i="69" s="1"/>
  <c r="AE652" i="69"/>
  <c r="AM652" i="69" s="1"/>
  <c r="S652" i="69"/>
  <c r="S614" i="69"/>
  <c r="AE614" i="69"/>
  <c r="AE608" i="69"/>
  <c r="AM608" i="69" s="1"/>
  <c r="S608" i="69"/>
  <c r="S606" i="69"/>
  <c r="AE606" i="69"/>
  <c r="AM606" i="69" s="1"/>
  <c r="AE609" i="69"/>
  <c r="AM609" i="69" s="1"/>
  <c r="S609" i="69"/>
  <c r="S610" i="69"/>
  <c r="AE610" i="69"/>
  <c r="AM610" i="69" s="1"/>
  <c r="AE611" i="69"/>
  <c r="AM611" i="69" s="1"/>
  <c r="S611" i="69"/>
  <c r="AE612" i="69"/>
  <c r="AM612" i="69" s="1"/>
  <c r="S612" i="69"/>
  <c r="AE613" i="69"/>
  <c r="AM613" i="69" s="1"/>
  <c r="S613" i="69"/>
  <c r="AE607" i="69"/>
  <c r="AM607" i="69" s="1"/>
  <c r="S607" i="69"/>
  <c r="AE615" i="69"/>
  <c r="AM615" i="69" s="1"/>
  <c r="S615" i="69"/>
  <c r="AF599" i="69"/>
  <c r="AN599" i="69" s="1"/>
  <c r="T602" i="69"/>
  <c r="AF602" i="69"/>
  <c r="AN602" i="69" s="1"/>
  <c r="T603" i="69"/>
  <c r="AF603" i="69"/>
  <c r="AN603" i="69" s="1"/>
  <c r="AE599" i="69"/>
  <c r="AM599" i="69" s="1"/>
  <c r="AE603" i="69"/>
  <c r="AM603" i="69" s="1"/>
  <c r="T601" i="69"/>
  <c r="S486" i="69"/>
  <c r="AE486" i="69"/>
  <c r="AM486" i="69" s="1"/>
  <c r="S487" i="69"/>
  <c r="AE487" i="69"/>
  <c r="AM487" i="69" s="1"/>
  <c r="AE488" i="69"/>
  <c r="AM488" i="69" s="1"/>
  <c r="AE489" i="69"/>
  <c r="AM489" i="69" s="1"/>
  <c r="AE491" i="69"/>
  <c r="AM491" i="69" s="1"/>
  <c r="AD487" i="69"/>
  <c r="AL487" i="69" s="1"/>
  <c r="AE482" i="69"/>
  <c r="AM482" i="69" s="1"/>
  <c r="S482" i="69"/>
  <c r="AE468" i="69"/>
  <c r="AM468" i="69" s="1"/>
  <c r="S468" i="69"/>
  <c r="S469" i="69"/>
  <c r="AE469" i="69"/>
  <c r="AM469" i="69" s="1"/>
  <c r="AE461" i="69"/>
  <c r="AM461" i="69" s="1"/>
  <c r="S461" i="69"/>
  <c r="S463" i="69"/>
  <c r="AE463" i="69"/>
  <c r="AM463" i="69" s="1"/>
  <c r="S467" i="69"/>
  <c r="AE460" i="69"/>
  <c r="AM460" i="69" s="1"/>
  <c r="S455" i="69"/>
  <c r="AE455" i="69"/>
  <c r="AM455" i="69" s="1"/>
  <c r="S449" i="69"/>
  <c r="AE449" i="69"/>
  <c r="AM449" i="69" s="1"/>
  <c r="AE451" i="69"/>
  <c r="AM451" i="69" s="1"/>
  <c r="S451" i="69"/>
  <c r="AE453" i="69"/>
  <c r="AM453" i="69" s="1"/>
  <c r="S450" i="69"/>
  <c r="AE433" i="69"/>
  <c r="AM433" i="69" s="1"/>
  <c r="S442" i="69"/>
  <c r="AE442" i="69"/>
  <c r="AM442" i="69" s="1"/>
  <c r="AE410" i="69"/>
  <c r="AM410" i="69" s="1"/>
  <c r="S410" i="69"/>
  <c r="S408" i="69"/>
  <c r="AE408" i="69"/>
  <c r="AM408" i="69" s="1"/>
  <c r="AD408" i="69"/>
  <c r="AL408" i="69" s="1"/>
  <c r="S400" i="69"/>
  <c r="AE400" i="69"/>
  <c r="AM400" i="69" s="1"/>
  <c r="S401" i="69"/>
  <c r="AE401" i="69"/>
  <c r="AM401" i="69" s="1"/>
  <c r="S341" i="69"/>
  <c r="AE341" i="69"/>
  <c r="AF342" i="69"/>
  <c r="AN342" i="69" s="1"/>
  <c r="T342" i="69"/>
  <c r="T338" i="69"/>
  <c r="AF338" i="69"/>
  <c r="AN338" i="69" s="1"/>
  <c r="S339" i="69"/>
  <c r="AE339" i="69"/>
  <c r="AM339" i="69" s="1"/>
  <c r="AE251" i="69"/>
  <c r="AM251" i="69" s="1"/>
  <c r="AE252" i="69"/>
  <c r="AM252" i="69" s="1"/>
  <c r="S281" i="69"/>
  <c r="AE281" i="69"/>
  <c r="AM281" i="69" s="1"/>
  <c r="AE247" i="69"/>
  <c r="AM247" i="69" s="1"/>
  <c r="AE248" i="69"/>
  <c r="AM248" i="69" s="1"/>
  <c r="AE255" i="69"/>
  <c r="AM255" i="69" s="1"/>
  <c r="S255" i="69"/>
  <c r="AE222" i="69"/>
  <c r="AM222" i="69" s="1"/>
  <c r="S222" i="69"/>
  <c r="AE218" i="69"/>
  <c r="AM218" i="69" s="1"/>
  <c r="S218" i="69"/>
  <c r="AE214" i="69"/>
  <c r="AM214" i="69" s="1"/>
  <c r="S214" i="69"/>
  <c r="AE220" i="69"/>
  <c r="AM220" i="69" s="1"/>
  <c r="S220" i="69"/>
  <c r="AE216" i="69"/>
  <c r="S216" i="69"/>
  <c r="AE212" i="69"/>
  <c r="S212" i="69"/>
  <c r="AE61" i="69"/>
  <c r="AM61" i="69" s="1"/>
  <c r="S61" i="69"/>
  <c r="AE53" i="69"/>
  <c r="S53" i="69"/>
  <c r="AE64" i="69"/>
  <c r="S64" i="69"/>
  <c r="T58" i="69"/>
  <c r="AF58" i="69"/>
  <c r="AN58" i="69" s="1"/>
  <c r="AF50" i="69"/>
  <c r="AN50" i="69" s="1"/>
  <c r="AE60" i="69"/>
  <c r="AM60" i="69" s="1"/>
  <c r="S60" i="69"/>
  <c r="T66" i="69"/>
  <c r="AF66" i="69"/>
  <c r="AN66" i="69" s="1"/>
  <c r="AE50" i="69"/>
  <c r="AM50" i="69" s="1"/>
  <c r="AE58" i="69"/>
  <c r="AM58" i="69" s="1"/>
  <c r="AE66" i="69"/>
  <c r="AM66" i="69" s="1"/>
  <c r="R51" i="69"/>
  <c r="R55" i="69"/>
  <c r="R59" i="69"/>
  <c r="R63" i="69"/>
  <c r="R65" i="69"/>
  <c r="AK51" i="69"/>
  <c r="AK55" i="69"/>
  <c r="AK59" i="69"/>
  <c r="AK63" i="69"/>
  <c r="AK50" i="69"/>
  <c r="AK54" i="69"/>
  <c r="AK58" i="69"/>
  <c r="AK62" i="69"/>
  <c r="AK66" i="69"/>
  <c r="AK53" i="69"/>
  <c r="AK57" i="69"/>
  <c r="AK61" i="69"/>
  <c r="AK65" i="69"/>
  <c r="AK52" i="69"/>
  <c r="AK56" i="69"/>
  <c r="AK60" i="69"/>
  <c r="AK64" i="69"/>
  <c r="AK211" i="69"/>
  <c r="AK215" i="69"/>
  <c r="AK219" i="69"/>
  <c r="AK223" i="69"/>
  <c r="AK210" i="69"/>
  <c r="AK214" i="69"/>
  <c r="AK218" i="69"/>
  <c r="AK222" i="69"/>
  <c r="AK209" i="69"/>
  <c r="AK213" i="69"/>
  <c r="AK217" i="69"/>
  <c r="AK221" i="69"/>
  <c r="AK225" i="69"/>
  <c r="AK212" i="69"/>
  <c r="AK216" i="69"/>
  <c r="AK220" i="69"/>
  <c r="AK224" i="69"/>
  <c r="AK250" i="69"/>
  <c r="AK254" i="69"/>
  <c r="AK249" i="69"/>
  <c r="AK253" i="69"/>
  <c r="AK293" i="69"/>
  <c r="AK248" i="69"/>
  <c r="AK252" i="69"/>
  <c r="AK281" i="69"/>
  <c r="AK247" i="69"/>
  <c r="AK251" i="69"/>
  <c r="AK255" i="69"/>
  <c r="AK339" i="69"/>
  <c r="AK338" i="69"/>
  <c r="AK342" i="69"/>
  <c r="AK341" i="69"/>
  <c r="AK349" i="69"/>
  <c r="AK401" i="69"/>
  <c r="AK400" i="69"/>
  <c r="AK408" i="69"/>
  <c r="AK410" i="69"/>
  <c r="AK442" i="69"/>
  <c r="AK433" i="69"/>
  <c r="AK446" i="69"/>
  <c r="AK445" i="69"/>
  <c r="AK449" i="69"/>
  <c r="AK453" i="69"/>
  <c r="AK452" i="69"/>
  <c r="AK451" i="69"/>
  <c r="AK455" i="69"/>
  <c r="AK460" i="69"/>
  <c r="AK467" i="69"/>
  <c r="AK464" i="69"/>
  <c r="AK471" i="69"/>
  <c r="AK463" i="69"/>
  <c r="AK469" i="69"/>
  <c r="AK461" i="69"/>
  <c r="AK468" i="69"/>
  <c r="AK482" i="69"/>
  <c r="AK487" i="69"/>
  <c r="AK486" i="69"/>
  <c r="AK491" i="69"/>
  <c r="AK489" i="69"/>
  <c r="AK488" i="69"/>
  <c r="AK526" i="69"/>
  <c r="AK537" i="69"/>
  <c r="AK600" i="69"/>
  <c r="AK599" i="69"/>
  <c r="AK603" i="69"/>
  <c r="AK598" i="69"/>
  <c r="AK602" i="69"/>
  <c r="AK601" i="69"/>
  <c r="AK608" i="69"/>
  <c r="AK612" i="69"/>
  <c r="AK607" i="69"/>
  <c r="AK611" i="69"/>
  <c r="AK615" i="69"/>
  <c r="AK606" i="69"/>
  <c r="AK610" i="69"/>
  <c r="AK614" i="69"/>
  <c r="AK609" i="69"/>
  <c r="AK613" i="69"/>
  <c r="AK652" i="69"/>
  <c r="AK655" i="69"/>
  <c r="AK654" i="69"/>
  <c r="AK658" i="69"/>
  <c r="AK671" i="69"/>
  <c r="AK673" i="69"/>
  <c r="AK674" i="69"/>
  <c r="Q92" i="69"/>
  <c r="R92" i="69" s="1"/>
  <c r="Q91" i="69"/>
  <c r="R91" i="69" s="1"/>
  <c r="Q90" i="69"/>
  <c r="AD90" i="69" s="1"/>
  <c r="AL90" i="69" s="1"/>
  <c r="Q89" i="69"/>
  <c r="R89" i="69" s="1"/>
  <c r="Q88" i="69"/>
  <c r="R88" i="69" s="1"/>
  <c r="Q87" i="69"/>
  <c r="AD87" i="69" s="1"/>
  <c r="AL87" i="69" s="1"/>
  <c r="Q86" i="69"/>
  <c r="R86" i="69" s="1"/>
  <c r="Q85" i="69"/>
  <c r="AD85" i="69" s="1"/>
  <c r="AL85" i="69" s="1"/>
  <c r="Q81" i="69"/>
  <c r="R81" i="69" s="1"/>
  <c r="Q79" i="69"/>
  <c r="AD79" i="69" s="1"/>
  <c r="AL79" i="69" s="1"/>
  <c r="Q78" i="69"/>
  <c r="R78" i="69" s="1"/>
  <c r="S78" i="69" s="1"/>
  <c r="Q350" i="69"/>
  <c r="AD350" i="69" s="1"/>
  <c r="AL350" i="69" s="1"/>
  <c r="Q351" i="69"/>
  <c r="AD351" i="69" s="1"/>
  <c r="AL351" i="69" s="1"/>
  <c r="Q352" i="69"/>
  <c r="R352" i="69" s="1"/>
  <c r="Q353" i="69"/>
  <c r="AD353" i="69" s="1"/>
  <c r="AL353" i="69" s="1"/>
  <c r="Q354" i="69"/>
  <c r="R354" i="69" s="1"/>
  <c r="Q358" i="69"/>
  <c r="R358" i="69" s="1"/>
  <c r="Q458" i="69"/>
  <c r="R458" i="69" s="1"/>
  <c r="Q447" i="69"/>
  <c r="AD447" i="69" s="1"/>
  <c r="AL447" i="69" s="1"/>
  <c r="Q423" i="69"/>
  <c r="R423" i="69" s="1"/>
  <c r="P216" i="65"/>
  <c r="P619" i="65"/>
  <c r="AW78" i="69"/>
  <c r="AJ78" i="69"/>
  <c r="AC78" i="69"/>
  <c r="AB78" i="69"/>
  <c r="AW79" i="69"/>
  <c r="AJ79" i="69"/>
  <c r="AC79" i="69"/>
  <c r="AK79" i="69" s="1"/>
  <c r="AB79" i="69"/>
  <c r="AW81" i="69"/>
  <c r="AJ81" i="69"/>
  <c r="AC81" i="69"/>
  <c r="AK81" i="69" s="1"/>
  <c r="AB81" i="69"/>
  <c r="AW85" i="69"/>
  <c r="AJ85" i="69"/>
  <c r="AC85" i="69"/>
  <c r="AB85" i="69"/>
  <c r="AW86" i="69"/>
  <c r="AJ86" i="69"/>
  <c r="AC86" i="69"/>
  <c r="AB86" i="69"/>
  <c r="AW87" i="69"/>
  <c r="AJ87" i="69"/>
  <c r="AC87" i="69"/>
  <c r="AK87" i="69" s="1"/>
  <c r="AB87" i="69"/>
  <c r="AW88" i="69"/>
  <c r="AJ88" i="69"/>
  <c r="AC88" i="69"/>
  <c r="AB88" i="69"/>
  <c r="AW89" i="69"/>
  <c r="AJ89" i="69"/>
  <c r="AC89" i="69"/>
  <c r="AB89" i="69"/>
  <c r="AW90" i="69"/>
  <c r="AJ90" i="69"/>
  <c r="AC90" i="69"/>
  <c r="AB90" i="69"/>
  <c r="AW91" i="69"/>
  <c r="AJ91" i="69"/>
  <c r="AC91" i="69"/>
  <c r="AK91" i="69" s="1"/>
  <c r="AB91" i="69"/>
  <c r="AW92" i="69"/>
  <c r="AJ92" i="69"/>
  <c r="AC92" i="69"/>
  <c r="AB92" i="69"/>
  <c r="AW350" i="69"/>
  <c r="AJ350" i="69"/>
  <c r="AC350" i="69"/>
  <c r="AB350" i="69"/>
  <c r="AW351" i="69"/>
  <c r="I256" i="65" s="1"/>
  <c r="AJ351" i="69"/>
  <c r="AC351" i="69"/>
  <c r="AK351" i="69" s="1"/>
  <c r="AB351" i="69"/>
  <c r="AW352" i="69"/>
  <c r="I257" i="65" s="1"/>
  <c r="AJ352" i="69"/>
  <c r="AC352" i="69"/>
  <c r="AB352" i="69"/>
  <c r="AW353" i="69"/>
  <c r="I258" i="65" s="1"/>
  <c r="AJ353" i="69"/>
  <c r="AC353" i="69"/>
  <c r="AB353" i="69"/>
  <c r="AW354" i="69"/>
  <c r="I259" i="65" s="1"/>
  <c r="AJ354" i="69"/>
  <c r="AC354" i="69"/>
  <c r="AK354" i="69" s="1"/>
  <c r="AB354" i="69"/>
  <c r="AW358" i="69"/>
  <c r="I262" i="65" s="1"/>
  <c r="AJ358" i="69"/>
  <c r="AC358" i="69"/>
  <c r="AB358" i="69"/>
  <c r="AW423" i="69"/>
  <c r="AJ423" i="69"/>
  <c r="AC423" i="69"/>
  <c r="AB423" i="69"/>
  <c r="AW447" i="69"/>
  <c r="AJ447" i="69"/>
  <c r="AC447" i="69"/>
  <c r="AB447" i="69"/>
  <c r="AW458" i="69"/>
  <c r="AJ458" i="69"/>
  <c r="AC458" i="69"/>
  <c r="AB458" i="69"/>
  <c r="I452" i="65" l="1"/>
  <c r="I450" i="65"/>
  <c r="I448" i="65"/>
  <c r="I451" i="65"/>
  <c r="S235" i="69"/>
  <c r="AF235" i="69" s="1"/>
  <c r="AN235" i="69" s="1"/>
  <c r="AL235" i="69"/>
  <c r="AD458" i="69"/>
  <c r="AL458" i="69" s="1"/>
  <c r="AF225" i="69"/>
  <c r="AN225" i="69" s="1"/>
  <c r="AD78" i="69"/>
  <c r="AL78" i="69" s="1"/>
  <c r="AE62" i="69"/>
  <c r="AM62" i="69" s="1"/>
  <c r="AF249" i="69"/>
  <c r="AN249" i="69" s="1"/>
  <c r="S219" i="69"/>
  <c r="AF219" i="69" s="1"/>
  <c r="AN219" i="69" s="1"/>
  <c r="AE445" i="69"/>
  <c r="AM445" i="69" s="1"/>
  <c r="AE249" i="69"/>
  <c r="AM249" i="69" s="1"/>
  <c r="T62" i="69"/>
  <c r="U62" i="69" s="1"/>
  <c r="T213" i="69"/>
  <c r="T56" i="69"/>
  <c r="AG56" i="69" s="1"/>
  <c r="T223" i="69"/>
  <c r="AG223" i="69" s="1"/>
  <c r="AF446" i="69"/>
  <c r="AN446" i="69" s="1"/>
  <c r="AF253" i="69"/>
  <c r="AN253" i="69" s="1"/>
  <c r="U221" i="69"/>
  <c r="V221" i="69" s="1"/>
  <c r="AI221" i="69" s="1"/>
  <c r="AQ221" i="69" s="1"/>
  <c r="AE673" i="69"/>
  <c r="AM673" i="69" s="1"/>
  <c r="T655" i="69"/>
  <c r="U655" i="69" s="1"/>
  <c r="S57" i="69"/>
  <c r="AF57" i="69" s="1"/>
  <c r="AE223" i="69"/>
  <c r="AM223" i="69" s="1"/>
  <c r="AF598" i="69"/>
  <c r="AN598" i="69" s="1"/>
  <c r="AE54" i="69"/>
  <c r="AM54" i="69" s="1"/>
  <c r="AF54" i="69"/>
  <c r="AN54" i="69" s="1"/>
  <c r="AE224" i="69"/>
  <c r="AM224" i="69" s="1"/>
  <c r="AG446" i="69"/>
  <c r="AO446" i="69" s="1"/>
  <c r="S211" i="69"/>
  <c r="AE211" i="69"/>
  <c r="AM211" i="69" s="1"/>
  <c r="AD358" i="69"/>
  <c r="AL358" i="69" s="1"/>
  <c r="AD92" i="69"/>
  <c r="AL92" i="69" s="1"/>
  <c r="T52" i="69"/>
  <c r="AG52" i="69" s="1"/>
  <c r="S210" i="69"/>
  <c r="T210" i="69" s="1"/>
  <c r="AE526" i="69"/>
  <c r="AM526" i="69" s="1"/>
  <c r="S471" i="69"/>
  <c r="AE471" i="69"/>
  <c r="AM471" i="69" s="1"/>
  <c r="AE217" i="69"/>
  <c r="AM217" i="69" s="1"/>
  <c r="S217" i="69"/>
  <c r="S215" i="69"/>
  <c r="AE215" i="69"/>
  <c r="AM215" i="69" s="1"/>
  <c r="S464" i="69"/>
  <c r="AE464" i="69"/>
  <c r="AM464" i="69" s="1"/>
  <c r="S293" i="69"/>
  <c r="AE293" i="69"/>
  <c r="AM293" i="69" s="1"/>
  <c r="S452" i="69"/>
  <c r="AE452" i="69"/>
  <c r="AM452" i="69" s="1"/>
  <c r="AE537" i="69"/>
  <c r="AM537" i="69" s="1"/>
  <c r="T209" i="69"/>
  <c r="AF209" i="69"/>
  <c r="AN209" i="69" s="1"/>
  <c r="AD354" i="69"/>
  <c r="AL354" i="69" s="1"/>
  <c r="AF349" i="69"/>
  <c r="S7" i="69"/>
  <c r="AF7" i="69" s="1"/>
  <c r="T674" i="69"/>
  <c r="AF674" i="69"/>
  <c r="T673" i="69"/>
  <c r="AF673" i="69"/>
  <c r="AN673" i="69" s="1"/>
  <c r="AF671" i="69"/>
  <c r="T671" i="69"/>
  <c r="T658" i="69"/>
  <c r="AF658" i="69"/>
  <c r="AN658" i="69" s="1"/>
  <c r="T654" i="69"/>
  <c r="AF654" i="69"/>
  <c r="T652" i="69"/>
  <c r="AF652" i="69"/>
  <c r="T610" i="69"/>
  <c r="AF610" i="69"/>
  <c r="AF613" i="69"/>
  <c r="T613" i="69"/>
  <c r="AF609" i="69"/>
  <c r="T609" i="69"/>
  <c r="AF607" i="69"/>
  <c r="AN607" i="69" s="1"/>
  <c r="T607" i="69"/>
  <c r="AM614" i="69"/>
  <c r="T614" i="69"/>
  <c r="AF614" i="69"/>
  <c r="AN614" i="69" s="1"/>
  <c r="T612" i="69"/>
  <c r="AF612" i="69"/>
  <c r="AN612" i="69" s="1"/>
  <c r="T606" i="69"/>
  <c r="AF606" i="69"/>
  <c r="AN606" i="69" s="1"/>
  <c r="AF615" i="69"/>
  <c r="T615" i="69"/>
  <c r="AF611" i="69"/>
  <c r="T611" i="69"/>
  <c r="T608" i="69"/>
  <c r="AF608" i="69"/>
  <c r="AG599" i="69"/>
  <c r="AO599" i="69" s="1"/>
  <c r="U603" i="69"/>
  <c r="AG603" i="69"/>
  <c r="AO603" i="69" s="1"/>
  <c r="U602" i="69"/>
  <c r="AG602" i="69"/>
  <c r="AO602" i="69" s="1"/>
  <c r="AG601" i="69"/>
  <c r="U601" i="69"/>
  <c r="AE600" i="69"/>
  <c r="AG598" i="69"/>
  <c r="AF489" i="69"/>
  <c r="AF488" i="69"/>
  <c r="T487" i="69"/>
  <c r="AF487" i="69"/>
  <c r="AF491" i="69"/>
  <c r="AN491" i="69" s="1"/>
  <c r="T486" i="69"/>
  <c r="AF486" i="69"/>
  <c r="AN486" i="69" s="1"/>
  <c r="AF482" i="69"/>
  <c r="T482" i="69"/>
  <c r="AF467" i="69"/>
  <c r="T467" i="69"/>
  <c r="AF461" i="69"/>
  <c r="AN461" i="69" s="1"/>
  <c r="T461" i="69"/>
  <c r="T469" i="69"/>
  <c r="AF469" i="69"/>
  <c r="AF468" i="69"/>
  <c r="AN468" i="69" s="1"/>
  <c r="T468" i="69"/>
  <c r="T463" i="69"/>
  <c r="AF463" i="69"/>
  <c r="AF460" i="69"/>
  <c r="AN460" i="69" s="1"/>
  <c r="T455" i="69"/>
  <c r="AF455" i="69"/>
  <c r="AF453" i="69"/>
  <c r="AN453" i="69" s="1"/>
  <c r="T451" i="69"/>
  <c r="AF451" i="69"/>
  <c r="T449" i="69"/>
  <c r="AF449" i="69"/>
  <c r="AN449" i="69" s="1"/>
  <c r="AF450" i="69"/>
  <c r="T450" i="69"/>
  <c r="V446" i="69"/>
  <c r="AI446" i="69" s="1"/>
  <c r="AQ446" i="69" s="1"/>
  <c r="AH446" i="69"/>
  <c r="T445" i="69"/>
  <c r="AF445" i="69"/>
  <c r="T442" i="69"/>
  <c r="AF442" i="69"/>
  <c r="AN442" i="69" s="1"/>
  <c r="AF433" i="69"/>
  <c r="AF410" i="69"/>
  <c r="T410" i="69"/>
  <c r="T408" i="69"/>
  <c r="AF408" i="69"/>
  <c r="AN408" i="69" s="1"/>
  <c r="T401" i="69"/>
  <c r="AF401" i="69"/>
  <c r="T400" i="69"/>
  <c r="AF400" i="69"/>
  <c r="AM341" i="69"/>
  <c r="AG342" i="69"/>
  <c r="AO342" i="69" s="1"/>
  <c r="U342" i="69"/>
  <c r="T341" i="69"/>
  <c r="AF341" i="69"/>
  <c r="T339" i="69"/>
  <c r="AF339" i="69"/>
  <c r="AG338" i="69"/>
  <c r="U338" i="69"/>
  <c r="AE254" i="69"/>
  <c r="AF247" i="69"/>
  <c r="AE250" i="69"/>
  <c r="AF252" i="69"/>
  <c r="AN252" i="69" s="1"/>
  <c r="T281" i="69"/>
  <c r="AF281" i="69"/>
  <c r="AF248" i="69"/>
  <c r="AG249" i="69"/>
  <c r="AF255" i="69"/>
  <c r="T255" i="69"/>
  <c r="AF251" i="69"/>
  <c r="AN251" i="69" s="1"/>
  <c r="AG253" i="69"/>
  <c r="AM216" i="69"/>
  <c r="AG225" i="69"/>
  <c r="U225" i="69"/>
  <c r="AM212" i="69"/>
  <c r="AF216" i="69"/>
  <c r="AN216" i="69" s="1"/>
  <c r="T216" i="69"/>
  <c r="AF224" i="69"/>
  <c r="AN224" i="69" s="1"/>
  <c r="T224" i="69"/>
  <c r="T214" i="69"/>
  <c r="AF214" i="69"/>
  <c r="AN214" i="69" s="1"/>
  <c r="T222" i="69"/>
  <c r="AF222" i="69"/>
  <c r="AF212" i="69"/>
  <c r="AN212" i="69" s="1"/>
  <c r="T212" i="69"/>
  <c r="AF220" i="69"/>
  <c r="AN220" i="69" s="1"/>
  <c r="T220" i="69"/>
  <c r="T218" i="69"/>
  <c r="AF218" i="69"/>
  <c r="AN218" i="69" s="1"/>
  <c r="AM53" i="69"/>
  <c r="AE65" i="69"/>
  <c r="S65" i="69"/>
  <c r="T53" i="69"/>
  <c r="AF53" i="69"/>
  <c r="AN53" i="69" s="1"/>
  <c r="AE63" i="69"/>
  <c r="S63" i="69"/>
  <c r="AG50" i="69"/>
  <c r="AE59" i="69"/>
  <c r="S59" i="69"/>
  <c r="AM64" i="69"/>
  <c r="U54" i="69"/>
  <c r="AG54" i="69"/>
  <c r="AE55" i="69"/>
  <c r="S55" i="69"/>
  <c r="U66" i="69"/>
  <c r="AG66" i="69"/>
  <c r="AO66" i="69" s="1"/>
  <c r="U58" i="69"/>
  <c r="AG58" i="69"/>
  <c r="AO58" i="69" s="1"/>
  <c r="AE51" i="69"/>
  <c r="S51" i="69"/>
  <c r="AF60" i="69"/>
  <c r="AN60" i="69" s="1"/>
  <c r="T60" i="69"/>
  <c r="AF64" i="69"/>
  <c r="AN64" i="69" s="1"/>
  <c r="T64" i="69"/>
  <c r="T61" i="69"/>
  <c r="AF61" i="69"/>
  <c r="AN61" i="69" s="1"/>
  <c r="AD89" i="69"/>
  <c r="AL89" i="69" s="1"/>
  <c r="R87" i="69"/>
  <c r="S92" i="69"/>
  <c r="AE92" i="69"/>
  <c r="AM92" i="69" s="1"/>
  <c r="S91" i="69"/>
  <c r="AE91" i="69"/>
  <c r="AM91" i="69" s="1"/>
  <c r="AD91" i="69"/>
  <c r="AL91" i="69" s="1"/>
  <c r="R90" i="69"/>
  <c r="S89" i="69"/>
  <c r="AE89" i="69"/>
  <c r="AM89" i="69" s="1"/>
  <c r="S88" i="69"/>
  <c r="AE88" i="69"/>
  <c r="AM88" i="69" s="1"/>
  <c r="AD88" i="69"/>
  <c r="AL88" i="69" s="1"/>
  <c r="AE86" i="69"/>
  <c r="AM86" i="69" s="1"/>
  <c r="S86" i="69"/>
  <c r="AD86" i="69"/>
  <c r="AL86" i="69" s="1"/>
  <c r="R85" i="69"/>
  <c r="S81" i="69"/>
  <c r="AE81" i="69"/>
  <c r="AM81" i="69" s="1"/>
  <c r="AD81" i="69"/>
  <c r="AL81" i="69" s="1"/>
  <c r="R79" i="69"/>
  <c r="T78" i="69"/>
  <c r="AF78" i="69"/>
  <c r="AN78" i="69" s="1"/>
  <c r="AE78" i="69"/>
  <c r="AM78" i="69" s="1"/>
  <c r="R350" i="69"/>
  <c r="R351" i="69"/>
  <c r="AE352" i="69"/>
  <c r="AM352" i="69" s="1"/>
  <c r="S352" i="69"/>
  <c r="AD352" i="69"/>
  <c r="AL352" i="69" s="1"/>
  <c r="R353" i="69"/>
  <c r="S354" i="69"/>
  <c r="AE354" i="69"/>
  <c r="AM354" i="69" s="1"/>
  <c r="S358" i="69"/>
  <c r="AE358" i="69"/>
  <c r="AM358" i="69" s="1"/>
  <c r="S458" i="69"/>
  <c r="AE458" i="69"/>
  <c r="AM458" i="69" s="1"/>
  <c r="R447" i="69"/>
  <c r="AK78" i="69"/>
  <c r="AK85" i="69"/>
  <c r="AK86" i="69"/>
  <c r="AK88" i="69"/>
  <c r="AK89" i="69"/>
  <c r="AK90" i="69"/>
  <c r="AK92" i="69"/>
  <c r="AK350" i="69"/>
  <c r="AK352" i="69"/>
  <c r="AK353" i="69"/>
  <c r="AK358" i="69"/>
  <c r="AK423" i="69"/>
  <c r="AK447" i="69"/>
  <c r="AK458" i="69"/>
  <c r="Q644" i="69"/>
  <c r="AD644" i="69" s="1"/>
  <c r="AL644" i="69" s="1"/>
  <c r="Q643" i="69"/>
  <c r="R643" i="69" s="1"/>
  <c r="S643" i="69" s="1"/>
  <c r="T643" i="69" s="1"/>
  <c r="U643" i="69" s="1"/>
  <c r="V643" i="69" s="1"/>
  <c r="Q642" i="69"/>
  <c r="AD642" i="69" s="1"/>
  <c r="AL642" i="69" s="1"/>
  <c r="Q604" i="69"/>
  <c r="AD604" i="69" s="1"/>
  <c r="AL604" i="69" s="1"/>
  <c r="Q591" i="69"/>
  <c r="R591" i="69" s="1"/>
  <c r="Q581" i="69"/>
  <c r="R581" i="69" s="1"/>
  <c r="S581" i="69" s="1"/>
  <c r="T581" i="69" s="1"/>
  <c r="U581" i="69" s="1"/>
  <c r="V581" i="69" s="1"/>
  <c r="Q574" i="69"/>
  <c r="R574" i="69" s="1"/>
  <c r="S574" i="69" s="1"/>
  <c r="T574" i="69" s="1"/>
  <c r="U574" i="69" s="1"/>
  <c r="V574" i="69" s="1"/>
  <c r="Q391" i="69"/>
  <c r="R391" i="69" s="1"/>
  <c r="Q390" i="69"/>
  <c r="R390" i="69" s="1"/>
  <c r="Q389" i="69"/>
  <c r="R389" i="69" s="1"/>
  <c r="Q388" i="69"/>
  <c r="R388" i="69" s="1"/>
  <c r="S388" i="69" s="1"/>
  <c r="T388" i="69" s="1"/>
  <c r="U388" i="69" s="1"/>
  <c r="V388" i="69" s="1"/>
  <c r="Q386" i="69"/>
  <c r="R386" i="69" s="1"/>
  <c r="S386" i="69" s="1"/>
  <c r="T386" i="69" s="1"/>
  <c r="U386" i="69" s="1"/>
  <c r="V386" i="69" s="1"/>
  <c r="Q385" i="69"/>
  <c r="R385" i="69" s="1"/>
  <c r="S385" i="69" s="1"/>
  <c r="T385" i="69" s="1"/>
  <c r="U385" i="69" s="1"/>
  <c r="V385" i="69" s="1"/>
  <c r="Q384" i="69"/>
  <c r="R384" i="69" s="1"/>
  <c r="S384" i="69" s="1"/>
  <c r="T384" i="69" s="1"/>
  <c r="U384" i="69" s="1"/>
  <c r="V384" i="69" s="1"/>
  <c r="Q383" i="69"/>
  <c r="R383" i="69" s="1"/>
  <c r="S383" i="69" s="1"/>
  <c r="T383" i="69" s="1"/>
  <c r="U383" i="69" s="1"/>
  <c r="V383" i="69" s="1"/>
  <c r="Q382" i="69"/>
  <c r="R382" i="69" s="1"/>
  <c r="S382" i="69" s="1"/>
  <c r="T382" i="69" s="1"/>
  <c r="U382" i="69" s="1"/>
  <c r="V382" i="69" s="1"/>
  <c r="Q380" i="69"/>
  <c r="R380" i="69" s="1"/>
  <c r="S380" i="69" s="1"/>
  <c r="T380" i="69" s="1"/>
  <c r="U380" i="69" s="1"/>
  <c r="V380" i="69" s="1"/>
  <c r="Q378" i="69"/>
  <c r="R378" i="69" s="1"/>
  <c r="S378" i="69" s="1"/>
  <c r="T378" i="69" s="1"/>
  <c r="U378" i="69" s="1"/>
  <c r="V378" i="69" s="1"/>
  <c r="Q377" i="69"/>
  <c r="R377" i="69" s="1"/>
  <c r="S377" i="69" s="1"/>
  <c r="T377" i="69" s="1"/>
  <c r="U377" i="69" s="1"/>
  <c r="V377" i="69" s="1"/>
  <c r="Q373" i="69"/>
  <c r="R373" i="69" s="1"/>
  <c r="S373" i="69" s="1"/>
  <c r="T373" i="69" s="1"/>
  <c r="U373" i="69" s="1"/>
  <c r="V373" i="69" s="1"/>
  <c r="Q371" i="69"/>
  <c r="R371" i="69" s="1"/>
  <c r="S371" i="69" s="1"/>
  <c r="T371" i="69" s="1"/>
  <c r="U371" i="69" s="1"/>
  <c r="V371" i="69" s="1"/>
  <c r="Q370" i="69"/>
  <c r="R370" i="69" s="1"/>
  <c r="S370" i="69" s="1"/>
  <c r="T370" i="69" s="1"/>
  <c r="U370" i="69" s="1"/>
  <c r="V370" i="69" s="1"/>
  <c r="Q366" i="69"/>
  <c r="R366" i="69" s="1"/>
  <c r="S366" i="69" s="1"/>
  <c r="T366" i="69" s="1"/>
  <c r="U366" i="69" s="1"/>
  <c r="V366" i="69" s="1"/>
  <c r="AW644" i="69"/>
  <c r="AJ644" i="69"/>
  <c r="AC644" i="69"/>
  <c r="AB644" i="69"/>
  <c r="AW642" i="69"/>
  <c r="AJ642" i="69"/>
  <c r="AC642" i="69"/>
  <c r="AK642" i="69" s="1"/>
  <c r="AB642" i="69"/>
  <c r="AW604" i="69"/>
  <c r="AJ604" i="69"/>
  <c r="AC604" i="69"/>
  <c r="AB604" i="69"/>
  <c r="AW591" i="69"/>
  <c r="AJ591" i="69"/>
  <c r="AC591" i="69"/>
  <c r="AK591" i="69" s="1"/>
  <c r="AB591" i="69"/>
  <c r="AW391" i="69"/>
  <c r="I295" i="65" s="1"/>
  <c r="AJ391" i="69"/>
  <c r="AC391" i="69"/>
  <c r="AB391" i="69"/>
  <c r="AW390" i="69"/>
  <c r="I294" i="65" s="1"/>
  <c r="AJ390" i="69"/>
  <c r="AC390" i="69"/>
  <c r="AK390" i="69" s="1"/>
  <c r="AB390" i="69"/>
  <c r="AW389" i="69"/>
  <c r="I6" i="65" s="1"/>
  <c r="AJ389" i="69"/>
  <c r="AC389" i="69"/>
  <c r="AK389" i="69" s="1"/>
  <c r="AB389" i="69"/>
  <c r="T235" i="69" l="1"/>
  <c r="AG235" i="69" s="1"/>
  <c r="AO235" i="69" s="1"/>
  <c r="AN7" i="69"/>
  <c r="AD389" i="69"/>
  <c r="AL389" i="69" s="1"/>
  <c r="T57" i="69"/>
  <c r="AG57" i="69" s="1"/>
  <c r="AO57" i="69" s="1"/>
  <c r="U223" i="69"/>
  <c r="AH223" i="69" s="1"/>
  <c r="AP223" i="69" s="1"/>
  <c r="AG62" i="69"/>
  <c r="AO62" i="69" s="1"/>
  <c r="AN255" i="69"/>
  <c r="T219" i="69"/>
  <c r="U219" i="69" s="1"/>
  <c r="V219" i="69" s="1"/>
  <c r="AI219" i="69" s="1"/>
  <c r="AQ219" i="69" s="1"/>
  <c r="AH221" i="69"/>
  <c r="AP221" i="69" s="1"/>
  <c r="AR221" i="69" s="1"/>
  <c r="U56" i="69"/>
  <c r="V56" i="69" s="1"/>
  <c r="AI56" i="69" s="1"/>
  <c r="AQ56" i="69" s="1"/>
  <c r="AG213" i="69"/>
  <c r="AO213" i="69" s="1"/>
  <c r="U213" i="69"/>
  <c r="AG655" i="69"/>
  <c r="AO655" i="69" s="1"/>
  <c r="U52" i="69"/>
  <c r="V52" i="69" s="1"/>
  <c r="AI52" i="69" s="1"/>
  <c r="AQ52" i="69" s="1"/>
  <c r="AF210" i="69"/>
  <c r="AN210" i="69" s="1"/>
  <c r="T217" i="69"/>
  <c r="AF217" i="69"/>
  <c r="AN217" i="69" s="1"/>
  <c r="AF471" i="69"/>
  <c r="AN471" i="69" s="1"/>
  <c r="T471" i="69"/>
  <c r="T211" i="69"/>
  <c r="AF211" i="69"/>
  <c r="AN211" i="69" s="1"/>
  <c r="AF526" i="69"/>
  <c r="AN526" i="69" s="1"/>
  <c r="T215" i="69"/>
  <c r="AF215" i="69"/>
  <c r="AN215" i="69" s="1"/>
  <c r="T7" i="69"/>
  <c r="AG7" i="69" s="1"/>
  <c r="T452" i="69"/>
  <c r="AF452" i="69"/>
  <c r="AN452" i="69" s="1"/>
  <c r="T293" i="69"/>
  <c r="AF293" i="69"/>
  <c r="AN293" i="69" s="1"/>
  <c r="U209" i="69"/>
  <c r="AG209" i="69"/>
  <c r="AO209" i="69" s="1"/>
  <c r="T464" i="69"/>
  <c r="AF464" i="69"/>
  <c r="AN464" i="69" s="1"/>
  <c r="AF537" i="69"/>
  <c r="U674" i="69"/>
  <c r="AG674" i="69"/>
  <c r="AN674" i="69"/>
  <c r="U673" i="69"/>
  <c r="AG673" i="69"/>
  <c r="AN671" i="69"/>
  <c r="AG671" i="69"/>
  <c r="AO671" i="69" s="1"/>
  <c r="U671" i="69"/>
  <c r="U658" i="69"/>
  <c r="AG658" i="69"/>
  <c r="V655" i="69"/>
  <c r="AI655" i="69" s="1"/>
  <c r="AQ655" i="69" s="1"/>
  <c r="AH655" i="69"/>
  <c r="AP655" i="69" s="1"/>
  <c r="AN654" i="69"/>
  <c r="AG654" i="69"/>
  <c r="AO654" i="69" s="1"/>
  <c r="U654" i="69"/>
  <c r="AN652" i="69"/>
  <c r="U652" i="69"/>
  <c r="AG652" i="69"/>
  <c r="AO652" i="69" s="1"/>
  <c r="U608" i="69"/>
  <c r="AG608" i="69"/>
  <c r="AO608" i="69" s="1"/>
  <c r="AG606" i="69"/>
  <c r="U606" i="69"/>
  <c r="AG611" i="69"/>
  <c r="AO611" i="69" s="1"/>
  <c r="U611" i="69"/>
  <c r="AN611" i="69"/>
  <c r="U612" i="69"/>
  <c r="AG612" i="69"/>
  <c r="AG609" i="69"/>
  <c r="AO609" i="69" s="1"/>
  <c r="U609" i="69"/>
  <c r="AG615" i="69"/>
  <c r="U615" i="69"/>
  <c r="AN609" i="69"/>
  <c r="AG610" i="69"/>
  <c r="U610" i="69"/>
  <c r="AN615" i="69"/>
  <c r="AG614" i="69"/>
  <c r="U614" i="69"/>
  <c r="AG613" i="69"/>
  <c r="AO613" i="69" s="1"/>
  <c r="U613" i="69"/>
  <c r="AN613" i="69"/>
  <c r="AG607" i="69"/>
  <c r="U607" i="69"/>
  <c r="AN608" i="69"/>
  <c r="AN610" i="69"/>
  <c r="AO598" i="69"/>
  <c r="AF600" i="69"/>
  <c r="V603" i="69"/>
  <c r="AI603" i="69" s="1"/>
  <c r="AQ603" i="69" s="1"/>
  <c r="AH603" i="69"/>
  <c r="AM600" i="69"/>
  <c r="V601" i="69"/>
  <c r="AI601" i="69" s="1"/>
  <c r="AQ601" i="69" s="1"/>
  <c r="AH601" i="69"/>
  <c r="AO601" i="69"/>
  <c r="AH602" i="69"/>
  <c r="AP602" i="69" s="1"/>
  <c r="V602" i="69"/>
  <c r="AI602" i="69" s="1"/>
  <c r="AQ602" i="69" s="1"/>
  <c r="AI599" i="69"/>
  <c r="AQ599" i="69" s="1"/>
  <c r="AH599" i="69"/>
  <c r="AH598" i="69"/>
  <c r="AI598" i="69"/>
  <c r="AQ598" i="69" s="1"/>
  <c r="U486" i="69"/>
  <c r="AG486" i="69"/>
  <c r="AG488" i="69"/>
  <c r="AN488" i="69"/>
  <c r="AG491" i="69"/>
  <c r="AO491" i="69" s="1"/>
  <c r="AN489" i="69"/>
  <c r="AN487" i="69"/>
  <c r="AG489" i="69"/>
  <c r="AO489" i="69" s="1"/>
  <c r="U487" i="69"/>
  <c r="AG487" i="69"/>
  <c r="U482" i="69"/>
  <c r="AG482" i="69"/>
  <c r="AN482" i="69"/>
  <c r="AN463" i="69"/>
  <c r="AN469" i="69"/>
  <c r="AG463" i="69"/>
  <c r="U463" i="69"/>
  <c r="AG469" i="69"/>
  <c r="U469" i="69"/>
  <c r="U461" i="69"/>
  <c r="AG461" i="69"/>
  <c r="AO461" i="69" s="1"/>
  <c r="U468" i="69"/>
  <c r="AG468" i="69"/>
  <c r="AG467" i="69"/>
  <c r="AO467" i="69" s="1"/>
  <c r="U467" i="69"/>
  <c r="V467" i="69" s="1"/>
  <c r="AN467" i="69"/>
  <c r="AG460" i="69"/>
  <c r="AN455" i="69"/>
  <c r="U455" i="69"/>
  <c r="AG455" i="69"/>
  <c r="AO455" i="69" s="1"/>
  <c r="U449" i="69"/>
  <c r="AG449" i="69"/>
  <c r="AG450" i="69"/>
  <c r="AO450" i="69" s="1"/>
  <c r="U450" i="69"/>
  <c r="AN450" i="69"/>
  <c r="AN451" i="69"/>
  <c r="U451" i="69"/>
  <c r="AG451" i="69"/>
  <c r="AG453" i="69"/>
  <c r="AN445" i="69"/>
  <c r="AG445" i="69"/>
  <c r="AO445" i="69" s="1"/>
  <c r="U445" i="69"/>
  <c r="AP446" i="69"/>
  <c r="AU446" i="69" s="1"/>
  <c r="AV446" i="69" s="1"/>
  <c r="AS446" i="69"/>
  <c r="AN433" i="69"/>
  <c r="AG433" i="69"/>
  <c r="AO433" i="69" s="1"/>
  <c r="U442" i="69"/>
  <c r="AG442" i="69"/>
  <c r="AO442" i="69" s="1"/>
  <c r="AG410" i="69"/>
  <c r="AO410" i="69" s="1"/>
  <c r="U410" i="69"/>
  <c r="AN410" i="69"/>
  <c r="U408" i="69"/>
  <c r="AG408" i="69"/>
  <c r="AN400" i="69"/>
  <c r="U400" i="69"/>
  <c r="AG400" i="69"/>
  <c r="AN401" i="69"/>
  <c r="U401" i="69"/>
  <c r="AG401" i="69"/>
  <c r="AO401" i="69" s="1"/>
  <c r="AN349" i="69"/>
  <c r="AN341" i="69"/>
  <c r="AG341" i="69"/>
  <c r="U341" i="69"/>
  <c r="V342" i="69"/>
  <c r="AI342" i="69" s="1"/>
  <c r="AQ342" i="69" s="1"/>
  <c r="AH342" i="69"/>
  <c r="AH338" i="69"/>
  <c r="AP338" i="69" s="1"/>
  <c r="V338" i="69"/>
  <c r="AI338" i="69" s="1"/>
  <c r="AQ338" i="69" s="1"/>
  <c r="AO338" i="69"/>
  <c r="AN339" i="69"/>
  <c r="U339" i="69"/>
  <c r="AG339" i="69"/>
  <c r="AI253" i="69"/>
  <c r="AQ253" i="69" s="1"/>
  <c r="AH253" i="69"/>
  <c r="AP253" i="69" s="1"/>
  <c r="AN281" i="69"/>
  <c r="AO253" i="69"/>
  <c r="AO249" i="69"/>
  <c r="U281" i="69"/>
  <c r="V281" i="69" s="1"/>
  <c r="AG281" i="69"/>
  <c r="AG247" i="69"/>
  <c r="AO247" i="69" s="1"/>
  <c r="AG251" i="69"/>
  <c r="AI249" i="69"/>
  <c r="AQ249" i="69" s="1"/>
  <c r="AH249" i="69"/>
  <c r="AP249" i="69" s="1"/>
  <c r="AN247" i="69"/>
  <c r="AN248" i="69"/>
  <c r="AF254" i="69"/>
  <c r="U255" i="69"/>
  <c r="V255" i="69" s="1"/>
  <c r="AG255" i="69"/>
  <c r="AG248" i="69"/>
  <c r="AG252" i="69"/>
  <c r="AM254" i="69"/>
  <c r="AF250" i="69"/>
  <c r="AN250" i="69" s="1"/>
  <c r="AM250" i="69"/>
  <c r="AG224" i="69"/>
  <c r="AO224" i="69" s="1"/>
  <c r="U224" i="69"/>
  <c r="U218" i="69"/>
  <c r="AG218" i="69"/>
  <c r="AG216" i="69"/>
  <c r="AO216" i="69" s="1"/>
  <c r="U216" i="69"/>
  <c r="V225" i="69"/>
  <c r="AI225" i="69" s="1"/>
  <c r="AQ225" i="69" s="1"/>
  <c r="AH225" i="69"/>
  <c r="AP225" i="69" s="1"/>
  <c r="U210" i="69"/>
  <c r="AG210" i="69"/>
  <c r="AO225" i="69"/>
  <c r="AG220" i="69"/>
  <c r="U220" i="69"/>
  <c r="AN222" i="69"/>
  <c r="U222" i="69"/>
  <c r="AG222" i="69"/>
  <c r="AO222" i="69" s="1"/>
  <c r="AG212" i="69"/>
  <c r="U212" i="69"/>
  <c r="AO223" i="69"/>
  <c r="U214" i="69"/>
  <c r="AG214" i="69"/>
  <c r="AO214" i="69" s="1"/>
  <c r="AG64" i="69"/>
  <c r="U64" i="69"/>
  <c r="AF55" i="69"/>
  <c r="T55" i="69"/>
  <c r="AM65" i="69"/>
  <c r="V58" i="69"/>
  <c r="AI58" i="69" s="1"/>
  <c r="AQ58" i="69" s="1"/>
  <c r="AH58" i="69"/>
  <c r="AM55" i="69"/>
  <c r="AO50" i="69"/>
  <c r="AG60" i="69"/>
  <c r="AO60" i="69" s="1"/>
  <c r="U60" i="69"/>
  <c r="AI50" i="69"/>
  <c r="AQ50" i="69" s="1"/>
  <c r="AH50" i="69"/>
  <c r="V66" i="69"/>
  <c r="AI66" i="69" s="1"/>
  <c r="AQ66" i="69" s="1"/>
  <c r="AH66" i="69"/>
  <c r="AN57" i="69"/>
  <c r="AF63" i="69"/>
  <c r="AN63" i="69" s="1"/>
  <c r="T63" i="69"/>
  <c r="AF51" i="69"/>
  <c r="AN51" i="69" s="1"/>
  <c r="T51" i="69"/>
  <c r="AO54" i="69"/>
  <c r="AM63" i="69"/>
  <c r="AM51" i="69"/>
  <c r="AO52" i="69"/>
  <c r="V54" i="69"/>
  <c r="AI54" i="69" s="1"/>
  <c r="AQ54" i="69" s="1"/>
  <c r="AH54" i="69"/>
  <c r="AF59" i="69"/>
  <c r="T59" i="69"/>
  <c r="AM59" i="69"/>
  <c r="U53" i="69"/>
  <c r="AG53" i="69"/>
  <c r="AO53" i="69" s="1"/>
  <c r="AG61" i="69"/>
  <c r="U61" i="69"/>
  <c r="V62" i="69"/>
  <c r="AI62" i="69" s="1"/>
  <c r="AQ62" i="69" s="1"/>
  <c r="AH62" i="69"/>
  <c r="AO56" i="69"/>
  <c r="T65" i="69"/>
  <c r="AF65" i="69"/>
  <c r="AN65" i="69" s="1"/>
  <c r="AE87" i="69"/>
  <c r="AM87" i="69" s="1"/>
  <c r="S87" i="69"/>
  <c r="T92" i="69"/>
  <c r="AF92" i="69"/>
  <c r="AN92" i="69" s="1"/>
  <c r="T91" i="69"/>
  <c r="AF91" i="69"/>
  <c r="S90" i="69"/>
  <c r="AE90" i="69"/>
  <c r="T89" i="69"/>
  <c r="AF89" i="69"/>
  <c r="T88" i="69"/>
  <c r="AF88" i="69"/>
  <c r="AF86" i="69"/>
  <c r="AN86" i="69" s="1"/>
  <c r="T86" i="69"/>
  <c r="AE85" i="69"/>
  <c r="S85" i="69"/>
  <c r="T81" i="69"/>
  <c r="AF81" i="69"/>
  <c r="AN81" i="69" s="1"/>
  <c r="AE79" i="69"/>
  <c r="S79" i="69"/>
  <c r="U78" i="69"/>
  <c r="AG78" i="69"/>
  <c r="AE350" i="69"/>
  <c r="S350" i="69"/>
  <c r="S351" i="69"/>
  <c r="AE351" i="69"/>
  <c r="AF352" i="69"/>
  <c r="AN352" i="69" s="1"/>
  <c r="T352" i="69"/>
  <c r="AE353" i="69"/>
  <c r="S353" i="69"/>
  <c r="T354" i="69"/>
  <c r="AF354" i="69"/>
  <c r="AF358" i="69"/>
  <c r="T358" i="69"/>
  <c r="T458" i="69"/>
  <c r="AF458" i="69"/>
  <c r="AN458" i="69" s="1"/>
  <c r="AE447" i="69"/>
  <c r="S447" i="69"/>
  <c r="R644" i="69"/>
  <c r="R642" i="69"/>
  <c r="R604" i="69"/>
  <c r="S591" i="69"/>
  <c r="AE591" i="69"/>
  <c r="AM591" i="69" s="1"/>
  <c r="AD591" i="69"/>
  <c r="AL591" i="69" s="1"/>
  <c r="AE391" i="69"/>
  <c r="AM391" i="69" s="1"/>
  <c r="S391" i="69"/>
  <c r="AD391" i="69"/>
  <c r="AL391" i="69" s="1"/>
  <c r="AE390" i="69"/>
  <c r="AM390" i="69" s="1"/>
  <c r="S390" i="69"/>
  <c r="AD390" i="69"/>
  <c r="AL390" i="69" s="1"/>
  <c r="S389" i="69"/>
  <c r="T389" i="69" s="1"/>
  <c r="U389" i="69" s="1"/>
  <c r="V389" i="69" s="1"/>
  <c r="AE389" i="69"/>
  <c r="AM389" i="69" s="1"/>
  <c r="AK644" i="69"/>
  <c r="AK604" i="69"/>
  <c r="AK391" i="69"/>
  <c r="Q683" i="69"/>
  <c r="R683" i="69" s="1"/>
  <c r="S683" i="69" s="1"/>
  <c r="T683" i="69" s="1"/>
  <c r="U683" i="69" s="1"/>
  <c r="V683" i="69" s="1"/>
  <c r="Q672" i="69"/>
  <c r="R672" i="69" s="1"/>
  <c r="S672" i="69" s="1"/>
  <c r="T672" i="69" s="1"/>
  <c r="U672" i="69" s="1"/>
  <c r="V672" i="69" s="1"/>
  <c r="Q670" i="69"/>
  <c r="R670" i="69" s="1"/>
  <c r="S670" i="69" s="1"/>
  <c r="T670" i="69" s="1"/>
  <c r="U670" i="69" s="1"/>
  <c r="V670" i="69" s="1"/>
  <c r="Q669" i="69"/>
  <c r="R669" i="69" s="1"/>
  <c r="S669" i="69" s="1"/>
  <c r="T669" i="69" s="1"/>
  <c r="U669" i="69" s="1"/>
  <c r="V669" i="69" s="1"/>
  <c r="Q665" i="69"/>
  <c r="R665" i="69" s="1"/>
  <c r="S665" i="69" s="1"/>
  <c r="T665" i="69" s="1"/>
  <c r="U665" i="69" s="1"/>
  <c r="V665" i="69" s="1"/>
  <c r="Q662" i="69"/>
  <c r="R662" i="69" s="1"/>
  <c r="S662" i="69" s="1"/>
  <c r="T662" i="69" s="1"/>
  <c r="U662" i="69" s="1"/>
  <c r="V662" i="69" s="1"/>
  <c r="Q659" i="69"/>
  <c r="R659" i="69" s="1"/>
  <c r="S659" i="69" s="1"/>
  <c r="T659" i="69" s="1"/>
  <c r="U659" i="69" s="1"/>
  <c r="V659" i="69" s="1"/>
  <c r="Q592" i="69"/>
  <c r="R592" i="69" s="1"/>
  <c r="S592" i="69" s="1"/>
  <c r="T592" i="69" s="1"/>
  <c r="U592" i="69" s="1"/>
  <c r="V592" i="69" s="1"/>
  <c r="Q579" i="69"/>
  <c r="R579" i="69" s="1"/>
  <c r="S579" i="69" s="1"/>
  <c r="T579" i="69" s="1"/>
  <c r="U579" i="69" s="1"/>
  <c r="V579" i="69" s="1"/>
  <c r="Q562" i="69"/>
  <c r="R562" i="69" s="1"/>
  <c r="S562" i="69" s="1"/>
  <c r="T562" i="69" s="1"/>
  <c r="U562" i="69" s="1"/>
  <c r="V562" i="69" s="1"/>
  <c r="Q536" i="69"/>
  <c r="R536" i="69" s="1"/>
  <c r="S536" i="69" s="1"/>
  <c r="T536" i="69" s="1"/>
  <c r="U536" i="69" s="1"/>
  <c r="V536" i="69" s="1"/>
  <c r="Q535" i="69"/>
  <c r="R535" i="69" s="1"/>
  <c r="S535" i="69" s="1"/>
  <c r="T535" i="69" s="1"/>
  <c r="U535" i="69" s="1"/>
  <c r="V535" i="69" s="1"/>
  <c r="Q534" i="69"/>
  <c r="R534" i="69" s="1"/>
  <c r="S534" i="69" s="1"/>
  <c r="T534" i="69" s="1"/>
  <c r="U534" i="69" s="1"/>
  <c r="V534" i="69" s="1"/>
  <c r="Q532" i="69"/>
  <c r="R532" i="69" s="1"/>
  <c r="S532" i="69" s="1"/>
  <c r="T532" i="69" s="1"/>
  <c r="U532" i="69" s="1"/>
  <c r="V532" i="69" s="1"/>
  <c r="Q531" i="69"/>
  <c r="R531" i="69" s="1"/>
  <c r="S531" i="69" s="1"/>
  <c r="T531" i="69" s="1"/>
  <c r="U531" i="69" s="1"/>
  <c r="V531" i="69" s="1"/>
  <c r="Q530" i="69"/>
  <c r="R530" i="69" s="1"/>
  <c r="S530" i="69" s="1"/>
  <c r="T530" i="69" s="1"/>
  <c r="U530" i="69" s="1"/>
  <c r="V530" i="69" s="1"/>
  <c r="Q529" i="69"/>
  <c r="R529" i="69" s="1"/>
  <c r="S529" i="69" s="1"/>
  <c r="T529" i="69" s="1"/>
  <c r="U529" i="69" s="1"/>
  <c r="V529" i="69" s="1"/>
  <c r="Q519" i="69"/>
  <c r="R519" i="69" s="1"/>
  <c r="S519" i="69" s="1"/>
  <c r="T519" i="69" s="1"/>
  <c r="U519" i="69" s="1"/>
  <c r="V519" i="69" s="1"/>
  <c r="Q518" i="69"/>
  <c r="R518" i="69" s="1"/>
  <c r="S518" i="69" s="1"/>
  <c r="T518" i="69" s="1"/>
  <c r="U518" i="69" s="1"/>
  <c r="V518" i="69" s="1"/>
  <c r="Q517" i="69"/>
  <c r="R517" i="69" s="1"/>
  <c r="S517" i="69" s="1"/>
  <c r="T517" i="69" s="1"/>
  <c r="U517" i="69" s="1"/>
  <c r="V517" i="69" s="1"/>
  <c r="Q516" i="69"/>
  <c r="R516" i="69" s="1"/>
  <c r="S516" i="69" s="1"/>
  <c r="T516" i="69" s="1"/>
  <c r="U516" i="69" s="1"/>
  <c r="V516" i="69" s="1"/>
  <c r="Q513" i="69"/>
  <c r="R513" i="69" s="1"/>
  <c r="S513" i="69" s="1"/>
  <c r="T513" i="69" s="1"/>
  <c r="U513" i="69" s="1"/>
  <c r="V513" i="69" s="1"/>
  <c r="Q504" i="69"/>
  <c r="R504" i="69" s="1"/>
  <c r="S504" i="69" s="1"/>
  <c r="T504" i="69" s="1"/>
  <c r="U504" i="69" s="1"/>
  <c r="V504" i="69" s="1"/>
  <c r="Q498" i="69"/>
  <c r="R498" i="69" s="1"/>
  <c r="S498" i="69" s="1"/>
  <c r="T498" i="69" s="1"/>
  <c r="U498" i="69" s="1"/>
  <c r="V498" i="69" s="1"/>
  <c r="Q495" i="69"/>
  <c r="R495" i="69" s="1"/>
  <c r="S495" i="69" s="1"/>
  <c r="T495" i="69" s="1"/>
  <c r="U495" i="69" s="1"/>
  <c r="V495" i="69" s="1"/>
  <c r="Q494" i="69"/>
  <c r="R494" i="69" s="1"/>
  <c r="S494" i="69" s="1"/>
  <c r="T494" i="69" s="1"/>
  <c r="U494" i="69" s="1"/>
  <c r="V494" i="69" s="1"/>
  <c r="Q457" i="69"/>
  <c r="R457" i="69" s="1"/>
  <c r="S457" i="69" s="1"/>
  <c r="T457" i="69" s="1"/>
  <c r="U457" i="69" s="1"/>
  <c r="V457" i="69" s="1"/>
  <c r="Q432" i="69"/>
  <c r="R432" i="69" s="1"/>
  <c r="S432" i="69" s="1"/>
  <c r="T432" i="69" s="1"/>
  <c r="U432" i="69" s="1"/>
  <c r="V432" i="69" s="1"/>
  <c r="Q431" i="69"/>
  <c r="R431" i="69" s="1"/>
  <c r="S431" i="69" s="1"/>
  <c r="T431" i="69" s="1"/>
  <c r="U431" i="69" s="1"/>
  <c r="V431" i="69" s="1"/>
  <c r="Q428" i="69"/>
  <c r="R428" i="69" s="1"/>
  <c r="S428" i="69" s="1"/>
  <c r="T428" i="69" s="1"/>
  <c r="U428" i="69" s="1"/>
  <c r="V428" i="69" s="1"/>
  <c r="Q405" i="69"/>
  <c r="R405" i="69" s="1"/>
  <c r="S405" i="69" s="1"/>
  <c r="T405" i="69" s="1"/>
  <c r="U405" i="69" s="1"/>
  <c r="V405" i="69" s="1"/>
  <c r="Q356" i="69"/>
  <c r="R356" i="69" s="1"/>
  <c r="S356" i="69" s="1"/>
  <c r="T356" i="69" s="1"/>
  <c r="U356" i="69" s="1"/>
  <c r="V356" i="69" s="1"/>
  <c r="Q355" i="69"/>
  <c r="R355" i="69" s="1"/>
  <c r="S355" i="69" s="1"/>
  <c r="T355" i="69" s="1"/>
  <c r="U355" i="69" s="1"/>
  <c r="V355" i="69" s="1"/>
  <c r="Q340" i="69"/>
  <c r="R340" i="69" s="1"/>
  <c r="S340" i="69" s="1"/>
  <c r="T340" i="69" s="1"/>
  <c r="U340" i="69" s="1"/>
  <c r="V340" i="69" s="1"/>
  <c r="Q336" i="69"/>
  <c r="R336" i="69" s="1"/>
  <c r="S336" i="69" s="1"/>
  <c r="T336" i="69" s="1"/>
  <c r="U336" i="69" s="1"/>
  <c r="V336" i="69" s="1"/>
  <c r="Q334" i="69"/>
  <c r="R334" i="69" s="1"/>
  <c r="S334" i="69" s="1"/>
  <c r="T334" i="69" s="1"/>
  <c r="U334" i="69" s="1"/>
  <c r="V334" i="69" s="1"/>
  <c r="Q330" i="69"/>
  <c r="R330" i="69" s="1"/>
  <c r="S330" i="69" s="1"/>
  <c r="T330" i="69" s="1"/>
  <c r="U330" i="69" s="1"/>
  <c r="V330" i="69" s="1"/>
  <c r="Q312" i="69"/>
  <c r="R312" i="69" s="1"/>
  <c r="S312" i="69" s="1"/>
  <c r="T312" i="69" s="1"/>
  <c r="U312" i="69" s="1"/>
  <c r="V312" i="69" s="1"/>
  <c r="Q9" i="69"/>
  <c r="R9" i="69" s="1"/>
  <c r="S9" i="69" s="1"/>
  <c r="T9" i="69" s="1"/>
  <c r="U9" i="69" s="1"/>
  <c r="V9" i="69" s="1"/>
  <c r="Q10" i="69"/>
  <c r="R10" i="69" s="1"/>
  <c r="S10" i="69" s="1"/>
  <c r="T10" i="69" s="1"/>
  <c r="U10" i="69" s="1"/>
  <c r="V10" i="69" s="1"/>
  <c r="Q11" i="69"/>
  <c r="R11" i="69" s="1"/>
  <c r="S11" i="69" s="1"/>
  <c r="T11" i="69" s="1"/>
  <c r="U11" i="69" s="1"/>
  <c r="V11" i="69" s="1"/>
  <c r="Q35" i="69"/>
  <c r="R35" i="69" s="1"/>
  <c r="S35" i="69" s="1"/>
  <c r="T35" i="69" s="1"/>
  <c r="U35" i="69" s="1"/>
  <c r="V35" i="69" s="1"/>
  <c r="Q105" i="69"/>
  <c r="R105" i="69" s="1"/>
  <c r="S105" i="69" s="1"/>
  <c r="T105" i="69" s="1"/>
  <c r="U105" i="69" s="1"/>
  <c r="V105" i="69" s="1"/>
  <c r="Q167" i="69"/>
  <c r="R167" i="69" s="1"/>
  <c r="S167" i="69" s="1"/>
  <c r="T167" i="69" s="1"/>
  <c r="U167" i="69" s="1"/>
  <c r="V167" i="69" s="1"/>
  <c r="Q168" i="69"/>
  <c r="R168" i="69" s="1"/>
  <c r="S168" i="69" s="1"/>
  <c r="T168" i="69" s="1"/>
  <c r="U168" i="69" s="1"/>
  <c r="V168" i="69" s="1"/>
  <c r="Q193" i="69"/>
  <c r="R193" i="69" s="1"/>
  <c r="S193" i="69" s="1"/>
  <c r="T193" i="69" s="1"/>
  <c r="U193" i="69" s="1"/>
  <c r="V193" i="69" s="1"/>
  <c r="Q197" i="69"/>
  <c r="R197" i="69" s="1"/>
  <c r="S197" i="69" s="1"/>
  <c r="T197" i="69" s="1"/>
  <c r="U197" i="69" s="1"/>
  <c r="V197" i="69" s="1"/>
  <c r="U235" i="69" l="1"/>
  <c r="AH235" i="69" s="1"/>
  <c r="AP235" i="69" s="1"/>
  <c r="AO7" i="69"/>
  <c r="U57" i="69"/>
  <c r="AH57" i="69" s="1"/>
  <c r="AS221" i="69"/>
  <c r="AH219" i="69"/>
  <c r="AP219" i="69" s="1"/>
  <c r="V223" i="69"/>
  <c r="AI223" i="69" s="1"/>
  <c r="AQ223" i="69" s="1"/>
  <c r="AT223" i="69" s="1"/>
  <c r="AG219" i="69"/>
  <c r="AO219" i="69" s="1"/>
  <c r="AU221" i="69"/>
  <c r="AV221" i="69" s="1"/>
  <c r="AT221" i="69"/>
  <c r="AH56" i="69"/>
  <c r="AP56" i="69" s="1"/>
  <c r="AT56" i="69" s="1"/>
  <c r="AH52" i="69"/>
  <c r="AS52" i="69" s="1"/>
  <c r="V213" i="69"/>
  <c r="AI213" i="69" s="1"/>
  <c r="AQ213" i="69" s="1"/>
  <c r="AH213" i="69"/>
  <c r="AP213" i="69" s="1"/>
  <c r="AU338" i="69"/>
  <c r="AV338" i="69" s="1"/>
  <c r="I569" i="65" s="1"/>
  <c r="AG349" i="69"/>
  <c r="AO349" i="69" s="1"/>
  <c r="AS50" i="69"/>
  <c r="AS342" i="69"/>
  <c r="AG526" i="69"/>
  <c r="AO526" i="69" s="1"/>
  <c r="U211" i="69"/>
  <c r="AG211" i="69"/>
  <c r="AO211" i="69" s="1"/>
  <c r="AS54" i="69"/>
  <c r="U471" i="69"/>
  <c r="AG471" i="69"/>
  <c r="AO471" i="69" s="1"/>
  <c r="AG217" i="69"/>
  <c r="U217" i="69"/>
  <c r="U464" i="69"/>
  <c r="AG464" i="69"/>
  <c r="AG452" i="69"/>
  <c r="U452" i="69"/>
  <c r="AS602" i="69"/>
  <c r="V209" i="69"/>
  <c r="AI209" i="69" s="1"/>
  <c r="AQ209" i="69" s="1"/>
  <c r="AH209" i="69"/>
  <c r="U7" i="69"/>
  <c r="AH7" i="69" s="1"/>
  <c r="AP7" i="69" s="1"/>
  <c r="AS225" i="69"/>
  <c r="AS338" i="69"/>
  <c r="AG537" i="69"/>
  <c r="AO537" i="69" s="1"/>
  <c r="U293" i="69"/>
  <c r="V293" i="69" s="1"/>
  <c r="AG293" i="69"/>
  <c r="AO293" i="69" s="1"/>
  <c r="U215" i="69"/>
  <c r="AG215" i="69"/>
  <c r="AO215" i="69" s="1"/>
  <c r="AN537" i="69"/>
  <c r="AS601" i="69"/>
  <c r="AO674" i="69"/>
  <c r="V674" i="69"/>
  <c r="AI674" i="69" s="1"/>
  <c r="AQ674" i="69" s="1"/>
  <c r="AH674" i="69"/>
  <c r="AP674" i="69" s="1"/>
  <c r="AO673" i="69"/>
  <c r="V673" i="69"/>
  <c r="AI673" i="69" s="1"/>
  <c r="AQ673" i="69" s="1"/>
  <c r="AH673" i="69"/>
  <c r="AP673" i="69" s="1"/>
  <c r="V671" i="69"/>
  <c r="AI671" i="69" s="1"/>
  <c r="AQ671" i="69" s="1"/>
  <c r="AH671" i="69"/>
  <c r="V658" i="69"/>
  <c r="AI658" i="69" s="1"/>
  <c r="AQ658" i="69" s="1"/>
  <c r="AH658" i="69"/>
  <c r="AO658" i="69"/>
  <c r="AU655" i="69"/>
  <c r="AV655" i="69" s="1"/>
  <c r="I639" i="65" s="1"/>
  <c r="AT655" i="69"/>
  <c r="AR655" i="69"/>
  <c r="AS655" i="69"/>
  <c r="AH654" i="69"/>
  <c r="V654" i="69"/>
  <c r="AI654" i="69" s="1"/>
  <c r="AQ654" i="69" s="1"/>
  <c r="V652" i="69"/>
  <c r="AI652" i="69" s="1"/>
  <c r="AQ652" i="69" s="1"/>
  <c r="AH652" i="69"/>
  <c r="AO607" i="69"/>
  <c r="AH609" i="69"/>
  <c r="V609" i="69"/>
  <c r="AI609" i="69" s="1"/>
  <c r="AQ609" i="69" s="1"/>
  <c r="V611" i="69"/>
  <c r="AI611" i="69" s="1"/>
  <c r="AQ611" i="69" s="1"/>
  <c r="AH611" i="69"/>
  <c r="AH610" i="69"/>
  <c r="V610" i="69"/>
  <c r="AI610" i="69" s="1"/>
  <c r="AQ610" i="69" s="1"/>
  <c r="AO615" i="69"/>
  <c r="AO610" i="69"/>
  <c r="AO612" i="69"/>
  <c r="AH606" i="69"/>
  <c r="AP606" i="69" s="1"/>
  <c r="V606" i="69"/>
  <c r="AI606" i="69" s="1"/>
  <c r="AQ606" i="69" s="1"/>
  <c r="AH613" i="69"/>
  <c r="V613" i="69"/>
  <c r="AI613" i="69" s="1"/>
  <c r="AQ613" i="69" s="1"/>
  <c r="V612" i="69"/>
  <c r="AI612" i="69" s="1"/>
  <c r="AQ612" i="69" s="1"/>
  <c r="AH612" i="69"/>
  <c r="AO606" i="69"/>
  <c r="AH614" i="69"/>
  <c r="AP614" i="69" s="1"/>
  <c r="V614" i="69"/>
  <c r="AI614" i="69" s="1"/>
  <c r="AQ614" i="69" s="1"/>
  <c r="V608" i="69"/>
  <c r="AI608" i="69" s="1"/>
  <c r="AQ608" i="69" s="1"/>
  <c r="AH608" i="69"/>
  <c r="AO614" i="69"/>
  <c r="V615" i="69"/>
  <c r="AI615" i="69" s="1"/>
  <c r="AQ615" i="69" s="1"/>
  <c r="AH615" i="69"/>
  <c r="V607" i="69"/>
  <c r="AI607" i="69" s="1"/>
  <c r="AQ607" i="69" s="1"/>
  <c r="AH607" i="69"/>
  <c r="AP607" i="69" s="1"/>
  <c r="AP599" i="69"/>
  <c r="AU599" i="69" s="1"/>
  <c r="AV599" i="69" s="1"/>
  <c r="I115" i="65" s="1"/>
  <c r="AS599" i="69"/>
  <c r="AS598" i="69"/>
  <c r="AU602" i="69"/>
  <c r="AV602" i="69" s="1"/>
  <c r="I152" i="65" s="1"/>
  <c r="AP603" i="69"/>
  <c r="AU603" i="69" s="1"/>
  <c r="AV603" i="69" s="1"/>
  <c r="I154" i="65" s="1"/>
  <c r="AS603" i="69"/>
  <c r="AT602" i="69"/>
  <c r="AR602" i="69"/>
  <c r="AG600" i="69"/>
  <c r="AP598" i="69"/>
  <c r="AR598" i="69" s="1"/>
  <c r="AP601" i="69"/>
  <c r="AR601" i="69" s="1"/>
  <c r="AN600" i="69"/>
  <c r="AI489" i="69"/>
  <c r="AQ489" i="69" s="1"/>
  <c r="AH489" i="69"/>
  <c r="AH488" i="69"/>
  <c r="AP488" i="69" s="1"/>
  <c r="AI488" i="69"/>
  <c r="AQ488" i="69" s="1"/>
  <c r="AO488" i="69"/>
  <c r="AO486" i="69"/>
  <c r="V486" i="69"/>
  <c r="AI486" i="69" s="1"/>
  <c r="AQ486" i="69" s="1"/>
  <c r="AH486" i="69"/>
  <c r="AP486" i="69" s="1"/>
  <c r="AO487" i="69"/>
  <c r="V487" i="69"/>
  <c r="AI487" i="69" s="1"/>
  <c r="AQ487" i="69" s="1"/>
  <c r="AH487" i="69"/>
  <c r="AP487" i="69" s="1"/>
  <c r="AI491" i="69"/>
  <c r="AQ491" i="69" s="1"/>
  <c r="AH491" i="69"/>
  <c r="AP491" i="69" s="1"/>
  <c r="AO482" i="69"/>
  <c r="V482" i="69"/>
  <c r="AI482" i="69" s="1"/>
  <c r="AQ482" i="69" s="1"/>
  <c r="AH482" i="69"/>
  <c r="AO469" i="69"/>
  <c r="AO463" i="69"/>
  <c r="AH469" i="69"/>
  <c r="AP469" i="69" s="1"/>
  <c r="V469" i="69"/>
  <c r="AI469" i="69" s="1"/>
  <c r="AQ469" i="69" s="1"/>
  <c r="AO468" i="69"/>
  <c r="V461" i="69"/>
  <c r="AI461" i="69" s="1"/>
  <c r="AQ461" i="69" s="1"/>
  <c r="AH461" i="69"/>
  <c r="V468" i="69"/>
  <c r="AI468" i="69" s="1"/>
  <c r="AQ468" i="69" s="1"/>
  <c r="AH468" i="69"/>
  <c r="AH467" i="69"/>
  <c r="AI467" i="69"/>
  <c r="AQ467" i="69" s="1"/>
  <c r="V463" i="69"/>
  <c r="AI463" i="69" s="1"/>
  <c r="AQ463" i="69" s="1"/>
  <c r="AH463" i="69"/>
  <c r="AO460" i="69"/>
  <c r="AI460" i="69"/>
  <c r="AQ460" i="69" s="1"/>
  <c r="AH460" i="69"/>
  <c r="AP460" i="69" s="1"/>
  <c r="V455" i="69"/>
  <c r="AI455" i="69" s="1"/>
  <c r="AQ455" i="69" s="1"/>
  <c r="AH455" i="69"/>
  <c r="AO451" i="69"/>
  <c r="V450" i="69"/>
  <c r="AI450" i="69" s="1"/>
  <c r="AQ450" i="69" s="1"/>
  <c r="AH450" i="69"/>
  <c r="AP450" i="69" s="1"/>
  <c r="AO449" i="69"/>
  <c r="V449" i="69"/>
  <c r="AI449" i="69" s="1"/>
  <c r="AQ449" i="69" s="1"/>
  <c r="AH449" i="69"/>
  <c r="V451" i="69"/>
  <c r="AI451" i="69" s="1"/>
  <c r="AQ451" i="69" s="1"/>
  <c r="AH451" i="69"/>
  <c r="AO453" i="69"/>
  <c r="AI453" i="69"/>
  <c r="AQ453" i="69" s="1"/>
  <c r="AH453" i="69"/>
  <c r="AT446" i="69"/>
  <c r="AR446" i="69"/>
  <c r="AH445" i="69"/>
  <c r="AP445" i="69" s="1"/>
  <c r="V445" i="69"/>
  <c r="AI445" i="69" s="1"/>
  <c r="AQ445" i="69" s="1"/>
  <c r="V442" i="69"/>
  <c r="AI442" i="69" s="1"/>
  <c r="AQ442" i="69" s="1"/>
  <c r="AH442" i="69"/>
  <c r="AP442" i="69" s="1"/>
  <c r="AH433" i="69"/>
  <c r="AP433" i="69" s="1"/>
  <c r="AI433" i="69"/>
  <c r="AQ433" i="69" s="1"/>
  <c r="V410" i="69"/>
  <c r="AI410" i="69" s="1"/>
  <c r="AQ410" i="69" s="1"/>
  <c r="AH410" i="69"/>
  <c r="V408" i="69"/>
  <c r="AI408" i="69" s="1"/>
  <c r="AQ408" i="69" s="1"/>
  <c r="AH408" i="69"/>
  <c r="AP408" i="69" s="1"/>
  <c r="AO408" i="69"/>
  <c r="V401" i="69"/>
  <c r="AI401" i="69" s="1"/>
  <c r="AQ401" i="69" s="1"/>
  <c r="AH401" i="69"/>
  <c r="AP401" i="69" s="1"/>
  <c r="AO400" i="69"/>
  <c r="V400" i="69"/>
  <c r="AI400" i="69" s="1"/>
  <c r="AQ400" i="69" s="1"/>
  <c r="AH400" i="69"/>
  <c r="AP400" i="69" s="1"/>
  <c r="AI349" i="69"/>
  <c r="AQ349" i="69" s="1"/>
  <c r="AH349" i="69"/>
  <c r="AP342" i="69"/>
  <c r="AU342" i="69" s="1"/>
  <c r="AV342" i="69" s="1"/>
  <c r="I628" i="65" s="1"/>
  <c r="AH341" i="69"/>
  <c r="AP341" i="69" s="1"/>
  <c r="V341" i="69"/>
  <c r="AI341" i="69" s="1"/>
  <c r="AQ341" i="69" s="1"/>
  <c r="AO341" i="69"/>
  <c r="AO339" i="69"/>
  <c r="V339" i="69"/>
  <c r="AI339" i="69" s="1"/>
  <c r="AQ339" i="69" s="1"/>
  <c r="AH339" i="69"/>
  <c r="AP339" i="69" s="1"/>
  <c r="AR338" i="69"/>
  <c r="AT338" i="69"/>
  <c r="AN254" i="69"/>
  <c r="AI251" i="69"/>
  <c r="AQ251" i="69" s="1"/>
  <c r="AH251" i="69"/>
  <c r="AP251" i="69" s="1"/>
  <c r="AO252" i="69"/>
  <c r="AI247" i="69"/>
  <c r="AQ247" i="69" s="1"/>
  <c r="AH247" i="69"/>
  <c r="AP247" i="69" s="1"/>
  <c r="AS253" i="69"/>
  <c r="AO248" i="69"/>
  <c r="AO281" i="69"/>
  <c r="AT253" i="69"/>
  <c r="AR253" i="69"/>
  <c r="AS249" i="69"/>
  <c r="AO255" i="69"/>
  <c r="AU249" i="69"/>
  <c r="AV249" i="69" s="1"/>
  <c r="AI255" i="69"/>
  <c r="AQ255" i="69" s="1"/>
  <c r="AH255" i="69"/>
  <c r="AP255" i="69" s="1"/>
  <c r="AT249" i="69"/>
  <c r="AR249" i="69"/>
  <c r="AG250" i="69"/>
  <c r="AH248" i="69"/>
  <c r="AI248" i="69"/>
  <c r="AQ248" i="69" s="1"/>
  <c r="AH281" i="69"/>
  <c r="AI281" i="69"/>
  <c r="AQ281" i="69" s="1"/>
  <c r="AG254" i="69"/>
  <c r="AO254" i="69" s="1"/>
  <c r="AO251" i="69"/>
  <c r="AU253" i="69"/>
  <c r="AV253" i="69" s="1"/>
  <c r="AH252" i="69"/>
  <c r="AP252" i="69" s="1"/>
  <c r="AI252" i="69"/>
  <c r="AQ252" i="69" s="1"/>
  <c r="AH216" i="69"/>
  <c r="V216" i="69"/>
  <c r="AI216" i="69" s="1"/>
  <c r="AQ216" i="69" s="1"/>
  <c r="AH212" i="69"/>
  <c r="V212" i="69"/>
  <c r="AI212" i="69" s="1"/>
  <c r="AQ212" i="69" s="1"/>
  <c r="V214" i="69"/>
  <c r="AI214" i="69" s="1"/>
  <c r="AQ214" i="69" s="1"/>
  <c r="AH214" i="69"/>
  <c r="V222" i="69"/>
  <c r="AI222" i="69" s="1"/>
  <c r="AQ222" i="69" s="1"/>
  <c r="AH222" i="69"/>
  <c r="AP222" i="69" s="1"/>
  <c r="AU225" i="69"/>
  <c r="AV225" i="69" s="1"/>
  <c r="AO210" i="69"/>
  <c r="AO220" i="69"/>
  <c r="V210" i="69"/>
  <c r="AI210" i="69" s="1"/>
  <c r="AQ210" i="69" s="1"/>
  <c r="AH210" i="69"/>
  <c r="AP210" i="69" s="1"/>
  <c r="V218" i="69"/>
  <c r="AI218" i="69" s="1"/>
  <c r="AQ218" i="69" s="1"/>
  <c r="AH218" i="69"/>
  <c r="AP218" i="69" s="1"/>
  <c r="AH220" i="69"/>
  <c r="AP220" i="69" s="1"/>
  <c r="V220" i="69"/>
  <c r="AI220" i="69" s="1"/>
  <c r="AQ220" i="69" s="1"/>
  <c r="AO218" i="69"/>
  <c r="AH224" i="69"/>
  <c r="V224" i="69"/>
  <c r="AI224" i="69" s="1"/>
  <c r="AQ224" i="69" s="1"/>
  <c r="AO212" i="69"/>
  <c r="AT225" i="69"/>
  <c r="AR225" i="69"/>
  <c r="AH53" i="69"/>
  <c r="V53" i="69"/>
  <c r="AI53" i="69" s="1"/>
  <c r="AQ53" i="69" s="1"/>
  <c r="AN59" i="69"/>
  <c r="AG55" i="69"/>
  <c r="U55" i="69"/>
  <c r="AG59" i="69"/>
  <c r="U59" i="69"/>
  <c r="AP54" i="69"/>
  <c r="AT54" i="69" s="1"/>
  <c r="L54" i="65" s="1"/>
  <c r="AP66" i="69"/>
  <c r="AS66" i="69"/>
  <c r="AN55" i="69"/>
  <c r="AP62" i="69"/>
  <c r="AU62" i="69" s="1"/>
  <c r="AV62" i="69" s="1"/>
  <c r="AS62" i="69"/>
  <c r="AG51" i="69"/>
  <c r="U51" i="69"/>
  <c r="V64" i="69"/>
  <c r="AI64" i="69" s="1"/>
  <c r="AQ64" i="69" s="1"/>
  <c r="AH64" i="69"/>
  <c r="AP64" i="69" s="1"/>
  <c r="AP50" i="69"/>
  <c r="AR50" i="69" s="1"/>
  <c r="M50" i="65" s="1"/>
  <c r="AP58" i="69"/>
  <c r="AU58" i="69" s="1"/>
  <c r="AV58" i="69" s="1"/>
  <c r="AO64" i="69"/>
  <c r="AG63" i="69"/>
  <c r="U63" i="69"/>
  <c r="AH61" i="69"/>
  <c r="AP61" i="69" s="1"/>
  <c r="V61" i="69"/>
  <c r="AI61" i="69" s="1"/>
  <c r="AQ61" i="69" s="1"/>
  <c r="AO61" i="69"/>
  <c r="AS58" i="69"/>
  <c r="V60" i="69"/>
  <c r="AI60" i="69" s="1"/>
  <c r="AQ60" i="69" s="1"/>
  <c r="AH60" i="69"/>
  <c r="U65" i="69"/>
  <c r="AG65" i="69"/>
  <c r="T87" i="69"/>
  <c r="AF87" i="69"/>
  <c r="AN87" i="69" s="1"/>
  <c r="AG92" i="69"/>
  <c r="AO92" i="69" s="1"/>
  <c r="U92" i="69"/>
  <c r="AN91" i="69"/>
  <c r="AG91" i="69"/>
  <c r="AO91" i="69" s="1"/>
  <c r="U91" i="69"/>
  <c r="AM90" i="69"/>
  <c r="AF90" i="69"/>
  <c r="AN90" i="69" s="1"/>
  <c r="T90" i="69"/>
  <c r="AN89" i="69"/>
  <c r="U89" i="69"/>
  <c r="AG89" i="69"/>
  <c r="AO89" i="69" s="1"/>
  <c r="AN88" i="69"/>
  <c r="AG88" i="69"/>
  <c r="AO88" i="69" s="1"/>
  <c r="U88" i="69"/>
  <c r="U86" i="69"/>
  <c r="AG86" i="69"/>
  <c r="T85" i="69"/>
  <c r="AF85" i="69"/>
  <c r="AN85" i="69" s="1"/>
  <c r="AM85" i="69"/>
  <c r="AG81" i="69"/>
  <c r="U81" i="69"/>
  <c r="AM79" i="69"/>
  <c r="AF79" i="69"/>
  <c r="AN79" i="69" s="1"/>
  <c r="T79" i="69"/>
  <c r="V78" i="69"/>
  <c r="AI78" i="69" s="1"/>
  <c r="AQ78" i="69" s="1"/>
  <c r="AH78" i="69"/>
  <c r="AP78" i="69" s="1"/>
  <c r="AO78" i="69"/>
  <c r="AM350" i="69"/>
  <c r="AF350" i="69"/>
  <c r="AN350" i="69" s="1"/>
  <c r="T350" i="69"/>
  <c r="AM351" i="69"/>
  <c r="T351" i="69"/>
  <c r="AF351" i="69"/>
  <c r="AN351" i="69" s="1"/>
  <c r="AG352" i="69"/>
  <c r="AO352" i="69" s="1"/>
  <c r="U352" i="69"/>
  <c r="AM353" i="69"/>
  <c r="T353" i="69"/>
  <c r="AF353" i="69"/>
  <c r="AN353" i="69" s="1"/>
  <c r="U354" i="69"/>
  <c r="AG354" i="69"/>
  <c r="AO354" i="69" s="1"/>
  <c r="AN354" i="69"/>
  <c r="AG358" i="69"/>
  <c r="U358" i="69"/>
  <c r="AN358" i="69"/>
  <c r="AG458" i="69"/>
  <c r="U458" i="69"/>
  <c r="AF447" i="69"/>
  <c r="AN447" i="69" s="1"/>
  <c r="T447" i="69"/>
  <c r="AM447" i="69"/>
  <c r="AF389" i="69"/>
  <c r="AN389" i="69" s="1"/>
  <c r="S644" i="69"/>
  <c r="AE644" i="69"/>
  <c r="AE642" i="69"/>
  <c r="S642" i="69"/>
  <c r="S604" i="69"/>
  <c r="AE604" i="69"/>
  <c r="T591" i="69"/>
  <c r="AF591" i="69"/>
  <c r="AN591" i="69" s="1"/>
  <c r="T391" i="69"/>
  <c r="AF391" i="69"/>
  <c r="AN391" i="69" s="1"/>
  <c r="T390" i="69"/>
  <c r="AF390" i="69"/>
  <c r="AN390" i="69" s="1"/>
  <c r="AG389" i="69"/>
  <c r="AW672" i="69"/>
  <c r="AW670" i="69"/>
  <c r="AW669" i="69"/>
  <c r="AJ672" i="69"/>
  <c r="AJ670" i="69"/>
  <c r="AJ669" i="69"/>
  <c r="AI672" i="69"/>
  <c r="AQ672" i="69" s="1"/>
  <c r="AH672" i="69"/>
  <c r="AP672" i="69" s="1"/>
  <c r="AG672" i="69"/>
  <c r="AO672" i="69" s="1"/>
  <c r="AF672" i="69"/>
  <c r="AN672" i="69" s="1"/>
  <c r="AE672" i="69"/>
  <c r="AM672" i="69" s="1"/>
  <c r="AD672" i="69"/>
  <c r="AL672" i="69" s="1"/>
  <c r="AC672" i="69"/>
  <c r="AK672" i="69" s="1"/>
  <c r="AI670" i="69"/>
  <c r="AQ670" i="69" s="1"/>
  <c r="AH670" i="69"/>
  <c r="AP670" i="69" s="1"/>
  <c r="AG670" i="69"/>
  <c r="AO670" i="69" s="1"/>
  <c r="AF670" i="69"/>
  <c r="AN670" i="69" s="1"/>
  <c r="AE670" i="69"/>
  <c r="AM670" i="69" s="1"/>
  <c r="AD670" i="69"/>
  <c r="AL670" i="69" s="1"/>
  <c r="AC670" i="69"/>
  <c r="AB672" i="69"/>
  <c r="AB670" i="69"/>
  <c r="AB669" i="69"/>
  <c r="AB665" i="69"/>
  <c r="AC669" i="69"/>
  <c r="AK669" i="69" s="1"/>
  <c r="N60" i="65" l="1"/>
  <c r="I60" i="65"/>
  <c r="K50" i="65"/>
  <c r="N57" i="65"/>
  <c r="I57" i="65"/>
  <c r="V235" i="69"/>
  <c r="AI235" i="69" s="1"/>
  <c r="AQ235" i="69" s="1"/>
  <c r="AU235" i="69" s="1"/>
  <c r="AV235" i="69" s="1"/>
  <c r="L152" i="65"/>
  <c r="N639" i="65"/>
  <c r="O639" i="65" s="1"/>
  <c r="K152" i="65"/>
  <c r="N154" i="65"/>
  <c r="O154" i="65" s="1"/>
  <c r="N152" i="65"/>
  <c r="O152" i="65" s="1"/>
  <c r="M150" i="65"/>
  <c r="K113" i="65"/>
  <c r="K150" i="65"/>
  <c r="M113" i="65"/>
  <c r="K639" i="65"/>
  <c r="N115" i="65"/>
  <c r="O115" i="65" s="1"/>
  <c r="M639" i="65"/>
  <c r="M152" i="65"/>
  <c r="L639" i="65"/>
  <c r="V57" i="69"/>
  <c r="AI57" i="69" s="1"/>
  <c r="AQ57" i="69" s="1"/>
  <c r="AR223" i="69"/>
  <c r="AS223" i="69"/>
  <c r="AS219" i="69"/>
  <c r="AR219" i="69"/>
  <c r="AR56" i="69"/>
  <c r="M13" i="65" s="1"/>
  <c r="AU56" i="69"/>
  <c r="AV56" i="69" s="1"/>
  <c r="AS56" i="69"/>
  <c r="AP52" i="69"/>
  <c r="AR52" i="69" s="1"/>
  <c r="M53" i="65" s="1"/>
  <c r="AU223" i="69"/>
  <c r="AV223" i="69" s="1"/>
  <c r="AT255" i="69"/>
  <c r="AR255" i="69"/>
  <c r="AU255" i="69"/>
  <c r="AV255" i="69" s="1"/>
  <c r="I255" i="65" s="1"/>
  <c r="AS255" i="69"/>
  <c r="AT213" i="69"/>
  <c r="AR213" i="69"/>
  <c r="AS213" i="69"/>
  <c r="AU213" i="69"/>
  <c r="AS214" i="69"/>
  <c r="AR247" i="69"/>
  <c r="M228" i="65" s="1"/>
  <c r="AU598" i="69"/>
  <c r="AV598" i="69" s="1"/>
  <c r="I113" i="65" s="1"/>
  <c r="AT50" i="69"/>
  <c r="L50" i="65" s="1"/>
  <c r="AR341" i="69"/>
  <c r="AR400" i="69"/>
  <c r="AT488" i="69"/>
  <c r="AS613" i="69"/>
  <c r="AS611" i="69"/>
  <c r="AU61" i="69"/>
  <c r="AV61" i="69" s="1"/>
  <c r="AU50" i="69"/>
  <c r="AV50" i="69" s="1"/>
  <c r="AT674" i="69"/>
  <c r="AR445" i="69"/>
  <c r="AS449" i="69"/>
  <c r="K569" i="65" s="1"/>
  <c r="AS488" i="69"/>
  <c r="AT400" i="69"/>
  <c r="AR339" i="69"/>
  <c r="AT339" i="69"/>
  <c r="AT442" i="69"/>
  <c r="AT491" i="69"/>
  <c r="AU488" i="69"/>
  <c r="AV488" i="69" s="1"/>
  <c r="I541" i="65" s="1"/>
  <c r="V471" i="69"/>
  <c r="AI471" i="69" s="1"/>
  <c r="AQ471" i="69" s="1"/>
  <c r="AH471" i="69"/>
  <c r="AT219" i="69"/>
  <c r="AU219" i="69"/>
  <c r="AV219" i="69" s="1"/>
  <c r="AT445" i="69"/>
  <c r="AH211" i="69"/>
  <c r="V211" i="69"/>
  <c r="AI211" i="69" s="1"/>
  <c r="AQ211" i="69" s="1"/>
  <c r="AT487" i="69"/>
  <c r="AU601" i="69"/>
  <c r="AV601" i="69" s="1"/>
  <c r="I150" i="65" s="1"/>
  <c r="AS608" i="69"/>
  <c r="AS442" i="69"/>
  <c r="V217" i="69"/>
  <c r="AI217" i="69" s="1"/>
  <c r="AQ217" i="69" s="1"/>
  <c r="AH217" i="69"/>
  <c r="AP217" i="69" s="1"/>
  <c r="AT210" i="69"/>
  <c r="AT401" i="69"/>
  <c r="AT450" i="69"/>
  <c r="AO217" i="69"/>
  <c r="AS658" i="69"/>
  <c r="AH526" i="69"/>
  <c r="AI526" i="69"/>
  <c r="AQ526" i="69" s="1"/>
  <c r="AR222" i="69"/>
  <c r="AU247" i="69"/>
  <c r="AV247" i="69" s="1"/>
  <c r="I228" i="65" s="1"/>
  <c r="AP209" i="69"/>
  <c r="AU209" i="69" s="1"/>
  <c r="AV209" i="69" s="1"/>
  <c r="I157" i="65" s="1"/>
  <c r="AS209" i="69"/>
  <c r="AI293" i="69"/>
  <c r="AQ293" i="69" s="1"/>
  <c r="AH293" i="69"/>
  <c r="AS614" i="69"/>
  <c r="AS61" i="69"/>
  <c r="AS445" i="69"/>
  <c r="AS450" i="69"/>
  <c r="AS469" i="69"/>
  <c r="AU614" i="69"/>
  <c r="AV614" i="69" s="1"/>
  <c r="I392" i="65" s="1"/>
  <c r="AS607" i="69"/>
  <c r="AH537" i="69"/>
  <c r="AP537" i="69" s="1"/>
  <c r="AI537" i="69"/>
  <c r="AQ537" i="69" s="1"/>
  <c r="V452" i="69"/>
  <c r="AI452" i="69" s="1"/>
  <c r="AQ452" i="69" s="1"/>
  <c r="AH452" i="69"/>
  <c r="AU339" i="69"/>
  <c r="AV339" i="69" s="1"/>
  <c r="I625" i="65" s="1"/>
  <c r="AS64" i="69"/>
  <c r="AU54" i="69"/>
  <c r="AV54" i="69" s="1"/>
  <c r="AS339" i="69"/>
  <c r="AR401" i="69"/>
  <c r="AR433" i="69"/>
  <c r="AT469" i="69"/>
  <c r="AU607" i="69"/>
  <c r="AV607" i="69" s="1"/>
  <c r="I519" i="65" s="1"/>
  <c r="AO452" i="69"/>
  <c r="AT341" i="69"/>
  <c r="AS400" i="69"/>
  <c r="AO464" i="69"/>
  <c r="AU251" i="69"/>
  <c r="AV251" i="69" s="1"/>
  <c r="AR450" i="69"/>
  <c r="AR487" i="69"/>
  <c r="AR488" i="69"/>
  <c r="AR674" i="69"/>
  <c r="V464" i="69"/>
  <c r="AI464" i="69" s="1"/>
  <c r="AQ464" i="69" s="1"/>
  <c r="AH464" i="69"/>
  <c r="AS251" i="69"/>
  <c r="K494" i="65" s="1"/>
  <c r="AH215" i="69"/>
  <c r="V215" i="69"/>
  <c r="AI215" i="69" s="1"/>
  <c r="AQ215" i="69" s="1"/>
  <c r="V7" i="69"/>
  <c r="AI7" i="69" s="1"/>
  <c r="AS7" i="69" s="1"/>
  <c r="AU674" i="69"/>
  <c r="AV674" i="69" s="1"/>
  <c r="I687" i="65" s="1"/>
  <c r="AS674" i="69"/>
  <c r="AU673" i="69"/>
  <c r="AV673" i="69" s="1"/>
  <c r="I686" i="65" s="1"/>
  <c r="AS673" i="69"/>
  <c r="AT673" i="69"/>
  <c r="AR673" i="69"/>
  <c r="AP671" i="69"/>
  <c r="AS671" i="69"/>
  <c r="AP658" i="69"/>
  <c r="AR658" i="69" s="1"/>
  <c r="AP654" i="69"/>
  <c r="AU654" i="69" s="1"/>
  <c r="AV654" i="69" s="1"/>
  <c r="I638" i="65" s="1"/>
  <c r="AS654" i="69"/>
  <c r="AP652" i="69"/>
  <c r="AS652" i="69"/>
  <c r="AR614" i="69"/>
  <c r="AT614" i="69"/>
  <c r="AP613" i="69"/>
  <c r="AU613" i="69" s="1"/>
  <c r="AV613" i="69" s="1"/>
  <c r="I391" i="65" s="1"/>
  <c r="AP611" i="69"/>
  <c r="AU611" i="69" s="1"/>
  <c r="AV611" i="69" s="1"/>
  <c r="I396" i="65" s="1"/>
  <c r="AP608" i="69"/>
  <c r="AU608" i="69" s="1"/>
  <c r="AV608" i="69" s="1"/>
  <c r="I522" i="65" s="1"/>
  <c r="AS606" i="69"/>
  <c r="AP615" i="69"/>
  <c r="AU615" i="69" s="1"/>
  <c r="AV615" i="69" s="1"/>
  <c r="I365" i="65" s="1"/>
  <c r="AS615" i="69"/>
  <c r="AU606" i="69"/>
  <c r="AV606" i="69" s="1"/>
  <c r="I47" i="65" s="1"/>
  <c r="AP609" i="69"/>
  <c r="AS609" i="69"/>
  <c r="AT606" i="69"/>
  <c r="AR606" i="69"/>
  <c r="AP612" i="69"/>
  <c r="AR612" i="69" s="1"/>
  <c r="AS612" i="69"/>
  <c r="AP610" i="69"/>
  <c r="AS610" i="69"/>
  <c r="AT607" i="69"/>
  <c r="AR607" i="69"/>
  <c r="AT598" i="69"/>
  <c r="AH600" i="69"/>
  <c r="AI600" i="69"/>
  <c r="AQ600" i="69" s="1"/>
  <c r="AO600" i="69"/>
  <c r="AT601" i="69"/>
  <c r="AT603" i="69"/>
  <c r="AR603" i="69"/>
  <c r="K154" i="65" s="1"/>
  <c r="AT599" i="69"/>
  <c r="AR599" i="69"/>
  <c r="K115" i="65" s="1"/>
  <c r="AR491" i="69"/>
  <c r="AS491" i="69"/>
  <c r="AS486" i="69"/>
  <c r="AS487" i="69"/>
  <c r="AU486" i="69"/>
  <c r="AV486" i="69" s="1"/>
  <c r="I539" i="65" s="1"/>
  <c r="AT486" i="69"/>
  <c r="AR486" i="69"/>
  <c r="AP489" i="69"/>
  <c r="AU489" i="69" s="1"/>
  <c r="AV489" i="69" s="1"/>
  <c r="I542" i="65" s="1"/>
  <c r="AS489" i="69"/>
  <c r="AU487" i="69"/>
  <c r="AV487" i="69" s="1"/>
  <c r="I540" i="65" s="1"/>
  <c r="AU491" i="69"/>
  <c r="AV491" i="69" s="1"/>
  <c r="I499" i="65" s="1"/>
  <c r="AP482" i="69"/>
  <c r="AT482" i="69" s="1"/>
  <c r="AS482" i="69"/>
  <c r="AR469" i="69"/>
  <c r="AP468" i="69"/>
  <c r="AU468" i="69" s="1"/>
  <c r="AV468" i="69" s="1"/>
  <c r="I198" i="65" s="1"/>
  <c r="AS468" i="69"/>
  <c r="AP463" i="69"/>
  <c r="AR463" i="69" s="1"/>
  <c r="AS463" i="69"/>
  <c r="AU469" i="69"/>
  <c r="AV469" i="69" s="1"/>
  <c r="AP461" i="69"/>
  <c r="AU461" i="69" s="1"/>
  <c r="AV461" i="69" s="1"/>
  <c r="AS461" i="69"/>
  <c r="AP467" i="69"/>
  <c r="AU467" i="69" s="1"/>
  <c r="AV467" i="69" s="1"/>
  <c r="AS467" i="69"/>
  <c r="AR460" i="69"/>
  <c r="AT460" i="69"/>
  <c r="AU460" i="69"/>
  <c r="AV460" i="69" s="1"/>
  <c r="AS460" i="69"/>
  <c r="AP455" i="69"/>
  <c r="AU455" i="69" s="1"/>
  <c r="AV455" i="69" s="1"/>
  <c r="N566" i="65" s="1"/>
  <c r="AS455" i="69"/>
  <c r="K566" i="65" s="1"/>
  <c r="AP451" i="69"/>
  <c r="AR451" i="69" s="1"/>
  <c r="AP453" i="69"/>
  <c r="AT453" i="69" s="1"/>
  <c r="AP449" i="69"/>
  <c r="AT449" i="69" s="1"/>
  <c r="L569" i="65" s="1"/>
  <c r="AS451" i="69"/>
  <c r="AU450" i="69"/>
  <c r="AV450" i="69" s="1"/>
  <c r="AS453" i="69"/>
  <c r="K628" i="65" s="1"/>
  <c r="AU445" i="69"/>
  <c r="AV445" i="69" s="1"/>
  <c r="AR442" i="69"/>
  <c r="AT433" i="69"/>
  <c r="AU433" i="69"/>
  <c r="AV433" i="69" s="1"/>
  <c r="AU442" i="69"/>
  <c r="AV442" i="69" s="1"/>
  <c r="AS433" i="69"/>
  <c r="AP410" i="69"/>
  <c r="AU410" i="69" s="1"/>
  <c r="AV410" i="69" s="1"/>
  <c r="AS410" i="69"/>
  <c r="AU408" i="69"/>
  <c r="AV408" i="69" s="1"/>
  <c r="AS408" i="69"/>
  <c r="AT408" i="69"/>
  <c r="AR408" i="69"/>
  <c r="AU401" i="69"/>
  <c r="AV401" i="69" s="1"/>
  <c r="AU400" i="69"/>
  <c r="AV400" i="69" s="1"/>
  <c r="AS401" i="69"/>
  <c r="AP349" i="69"/>
  <c r="AU349" i="69" s="1"/>
  <c r="AV349" i="69" s="1"/>
  <c r="I498" i="65" s="1"/>
  <c r="AS349" i="69"/>
  <c r="AS341" i="69"/>
  <c r="AR342" i="69"/>
  <c r="AT342" i="69"/>
  <c r="AU341" i="69"/>
  <c r="AV341" i="69" s="1"/>
  <c r="I627" i="65" s="1"/>
  <c r="AR251" i="69"/>
  <c r="AT251" i="69"/>
  <c r="AP248" i="69"/>
  <c r="AU248" i="69" s="1"/>
  <c r="AV248" i="69" s="1"/>
  <c r="I491" i="65" s="1"/>
  <c r="AS248" i="69"/>
  <c r="AS252" i="69"/>
  <c r="AI254" i="69"/>
  <c r="AQ254" i="69" s="1"/>
  <c r="AH254" i="69"/>
  <c r="AH250" i="69"/>
  <c r="AP250" i="69" s="1"/>
  <c r="AI250" i="69"/>
  <c r="AQ250" i="69" s="1"/>
  <c r="AU252" i="69"/>
  <c r="AV252" i="69" s="1"/>
  <c r="N157" i="65" s="1"/>
  <c r="AO250" i="69"/>
  <c r="AT247" i="69"/>
  <c r="L228" i="65" s="1"/>
  <c r="AT252" i="69"/>
  <c r="AR252" i="69"/>
  <c r="AP281" i="69"/>
  <c r="AU281" i="69" s="1"/>
  <c r="AV281" i="69" s="1"/>
  <c r="AS281" i="69"/>
  <c r="AS247" i="69"/>
  <c r="K228" i="65" s="1"/>
  <c r="AT222" i="69"/>
  <c r="AP212" i="69"/>
  <c r="AR212" i="69" s="1"/>
  <c r="AS212" i="69"/>
  <c r="AU220" i="69"/>
  <c r="AV220" i="69" s="1"/>
  <c r="AP214" i="69"/>
  <c r="AU214" i="69" s="1"/>
  <c r="AV214" i="69" s="1"/>
  <c r="I162" i="65" s="1"/>
  <c r="AT218" i="69"/>
  <c r="AR218" i="69"/>
  <c r="AS220" i="69"/>
  <c r="AU218" i="69"/>
  <c r="AV218" i="69" s="1"/>
  <c r="AR220" i="69"/>
  <c r="AT220" i="69"/>
  <c r="AR210" i="69"/>
  <c r="AP216" i="69"/>
  <c r="AU216" i="69" s="1"/>
  <c r="AV216" i="69" s="1"/>
  <c r="AS216" i="69"/>
  <c r="AU222" i="69"/>
  <c r="AV222" i="69" s="1"/>
  <c r="AP224" i="69"/>
  <c r="AU224" i="69" s="1"/>
  <c r="AV224" i="69" s="1"/>
  <c r="AS224" i="69"/>
  <c r="AU210" i="69"/>
  <c r="AV210" i="69" s="1"/>
  <c r="AS210" i="69"/>
  <c r="K158" i="65" s="1"/>
  <c r="AS222" i="69"/>
  <c r="AS218" i="69"/>
  <c r="AP53" i="69"/>
  <c r="AU53" i="69" s="1"/>
  <c r="AV53" i="69" s="1"/>
  <c r="AS53" i="69"/>
  <c r="AP60" i="69"/>
  <c r="AU60" i="69" s="1"/>
  <c r="AV60" i="69" s="1"/>
  <c r="AS60" i="69"/>
  <c r="AT61" i="69"/>
  <c r="L51" i="65" s="1"/>
  <c r="AR61" i="69"/>
  <c r="M51" i="65" s="1"/>
  <c r="AR58" i="69"/>
  <c r="M57" i="65" s="1"/>
  <c r="AT58" i="69"/>
  <c r="L57" i="65" s="1"/>
  <c r="AT62" i="69"/>
  <c r="L60" i="65" s="1"/>
  <c r="AR62" i="69"/>
  <c r="M60" i="65" s="1"/>
  <c r="AH65" i="69"/>
  <c r="V65" i="69"/>
  <c r="AI65" i="69" s="1"/>
  <c r="AQ65" i="69" s="1"/>
  <c r="AT66" i="69"/>
  <c r="L11" i="65" s="1"/>
  <c r="AR66" i="69"/>
  <c r="M11" i="65" s="1"/>
  <c r="AH51" i="69"/>
  <c r="V51" i="69"/>
  <c r="AI51" i="69" s="1"/>
  <c r="AQ51" i="69" s="1"/>
  <c r="AO59" i="69"/>
  <c r="AR54" i="69"/>
  <c r="M54" i="65" s="1"/>
  <c r="AH59" i="69"/>
  <c r="AP59" i="69" s="1"/>
  <c r="V59" i="69"/>
  <c r="AI59" i="69" s="1"/>
  <c r="AQ59" i="69" s="1"/>
  <c r="AP57" i="69"/>
  <c r="AO51" i="69"/>
  <c r="AH55" i="69"/>
  <c r="V55" i="69"/>
  <c r="AI55" i="69" s="1"/>
  <c r="AQ55" i="69" s="1"/>
  <c r="AH63" i="69"/>
  <c r="AP63" i="69" s="1"/>
  <c r="V63" i="69"/>
  <c r="AI63" i="69" s="1"/>
  <c r="AQ63" i="69" s="1"/>
  <c r="AR64" i="69"/>
  <c r="M61" i="65" s="1"/>
  <c r="AT64" i="69"/>
  <c r="L61" i="65" s="1"/>
  <c r="AO63" i="69"/>
  <c r="AO65" i="69"/>
  <c r="AU64" i="69"/>
  <c r="AV64" i="69" s="1"/>
  <c r="AU66" i="69"/>
  <c r="AV66" i="69" s="1"/>
  <c r="AO55" i="69"/>
  <c r="AU78" i="69"/>
  <c r="AV78" i="69" s="1"/>
  <c r="I435" i="65" s="1"/>
  <c r="U87" i="69"/>
  <c r="AG87" i="69"/>
  <c r="V92" i="69"/>
  <c r="AI92" i="69" s="1"/>
  <c r="AQ92" i="69" s="1"/>
  <c r="AH92" i="69"/>
  <c r="AH91" i="69"/>
  <c r="V91" i="69"/>
  <c r="AI91" i="69" s="1"/>
  <c r="AQ91" i="69" s="1"/>
  <c r="AG90" i="69"/>
  <c r="U90" i="69"/>
  <c r="V89" i="69"/>
  <c r="AI89" i="69" s="1"/>
  <c r="AQ89" i="69" s="1"/>
  <c r="AH89" i="69"/>
  <c r="AP89" i="69" s="1"/>
  <c r="AH88" i="69"/>
  <c r="V88" i="69"/>
  <c r="AI88" i="69" s="1"/>
  <c r="AQ88" i="69" s="1"/>
  <c r="AO86" i="69"/>
  <c r="AH86" i="69"/>
  <c r="AP86" i="69" s="1"/>
  <c r="V86" i="69"/>
  <c r="AI86" i="69" s="1"/>
  <c r="AQ86" i="69" s="1"/>
  <c r="AG85" i="69"/>
  <c r="U85" i="69"/>
  <c r="AO81" i="69"/>
  <c r="AH81" i="69"/>
  <c r="AP81" i="69" s="1"/>
  <c r="V81" i="69"/>
  <c r="AI81" i="69" s="1"/>
  <c r="AQ81" i="69" s="1"/>
  <c r="U79" i="69"/>
  <c r="AG79" i="69"/>
  <c r="AO79" i="69" s="1"/>
  <c r="AS78" i="69"/>
  <c r="AT78" i="69"/>
  <c r="AR78" i="69"/>
  <c r="U350" i="69"/>
  <c r="AG350" i="69"/>
  <c r="AG351" i="69"/>
  <c r="AO351" i="69" s="1"/>
  <c r="U351" i="69"/>
  <c r="V352" i="69"/>
  <c r="AI352" i="69" s="1"/>
  <c r="AQ352" i="69" s="1"/>
  <c r="AH352" i="69"/>
  <c r="U353" i="69"/>
  <c r="AG353" i="69"/>
  <c r="V354" i="69"/>
  <c r="AI354" i="69" s="1"/>
  <c r="AQ354" i="69" s="1"/>
  <c r="AH354" i="69"/>
  <c r="AP354" i="69" s="1"/>
  <c r="AO358" i="69"/>
  <c r="V358" i="69"/>
  <c r="AI358" i="69" s="1"/>
  <c r="AQ358" i="69" s="1"/>
  <c r="AH358" i="69"/>
  <c r="AP358" i="69" s="1"/>
  <c r="V458" i="69"/>
  <c r="AI458" i="69" s="1"/>
  <c r="AQ458" i="69" s="1"/>
  <c r="AH458" i="69"/>
  <c r="AP458" i="69" s="1"/>
  <c r="AO458" i="69"/>
  <c r="U447" i="69"/>
  <c r="AG447" i="69"/>
  <c r="AO447" i="69" s="1"/>
  <c r="AF644" i="69"/>
  <c r="AN644" i="69" s="1"/>
  <c r="T644" i="69"/>
  <c r="AM644" i="69"/>
  <c r="T642" i="69"/>
  <c r="AF642" i="69"/>
  <c r="AN642" i="69" s="1"/>
  <c r="AM642" i="69"/>
  <c r="AM604" i="69"/>
  <c r="T604" i="69"/>
  <c r="AF604" i="69"/>
  <c r="AN604" i="69" s="1"/>
  <c r="U591" i="69"/>
  <c r="AG591" i="69"/>
  <c r="AO591" i="69" s="1"/>
  <c r="U391" i="69"/>
  <c r="AG391" i="69"/>
  <c r="AO391" i="69" s="1"/>
  <c r="AG390" i="69"/>
  <c r="AO390" i="69" s="1"/>
  <c r="U390" i="69"/>
  <c r="AO389" i="69"/>
  <c r="AH389" i="69"/>
  <c r="AP389" i="69" s="1"/>
  <c r="AI389" i="69"/>
  <c r="AQ389" i="69" s="1"/>
  <c r="AT672" i="69"/>
  <c r="AD669" i="69"/>
  <c r="AL669" i="69" s="1"/>
  <c r="AS670" i="69"/>
  <c r="AR672" i="69"/>
  <c r="AE669" i="69"/>
  <c r="AM669" i="69" s="1"/>
  <c r="AU672" i="69"/>
  <c r="AV672" i="69" s="1"/>
  <c r="I669" i="65" s="1"/>
  <c r="AS672" i="69"/>
  <c r="AK670" i="69"/>
  <c r="AU670" i="69" s="1"/>
  <c r="AV670" i="69" s="1"/>
  <c r="I673" i="65" s="1"/>
  <c r="N51" i="65" l="1"/>
  <c r="I51" i="65"/>
  <c r="N11" i="65"/>
  <c r="I11" i="65"/>
  <c r="N61" i="65"/>
  <c r="I61" i="65"/>
  <c r="K11" i="65"/>
  <c r="K54" i="65"/>
  <c r="K13" i="65"/>
  <c r="K60" i="65"/>
  <c r="N59" i="65"/>
  <c r="O59" i="65" s="1"/>
  <c r="I59" i="65"/>
  <c r="N16" i="65"/>
  <c r="I16" i="65"/>
  <c r="N54" i="65"/>
  <c r="I54" i="65"/>
  <c r="K51" i="65"/>
  <c r="N13" i="65"/>
  <c r="O13" i="65" s="1"/>
  <c r="I13" i="65"/>
  <c r="L13" i="65"/>
  <c r="K61" i="65"/>
  <c r="K57" i="65"/>
  <c r="N158" i="65"/>
  <c r="I158" i="65"/>
  <c r="N494" i="65"/>
  <c r="I494" i="65"/>
  <c r="N50" i="65"/>
  <c r="I50" i="65"/>
  <c r="K53" i="65"/>
  <c r="AS235" i="69"/>
  <c r="N625" i="65"/>
  <c r="AS57" i="69"/>
  <c r="K56" i="65" s="1"/>
  <c r="AU57" i="69"/>
  <c r="AV57" i="69" s="1"/>
  <c r="K161" i="65"/>
  <c r="K625" i="65"/>
  <c r="M625" i="65"/>
  <c r="M494" i="65"/>
  <c r="M390" i="65"/>
  <c r="K524" i="65"/>
  <c r="K47" i="65"/>
  <c r="N686" i="65"/>
  <c r="O686" i="65" s="1"/>
  <c r="L687" i="65"/>
  <c r="K160" i="65"/>
  <c r="M524" i="65"/>
  <c r="M47" i="65"/>
  <c r="N219" i="65"/>
  <c r="N522" i="65"/>
  <c r="O522" i="65" s="1"/>
  <c r="N638" i="65"/>
  <c r="O638" i="65" s="1"/>
  <c r="K687" i="65"/>
  <c r="M687" i="65"/>
  <c r="N113" i="65"/>
  <c r="O113" i="65" s="1"/>
  <c r="M115" i="65"/>
  <c r="L113" i="65"/>
  <c r="L524" i="65"/>
  <c r="L47" i="65"/>
  <c r="N541" i="65"/>
  <c r="N396" i="65"/>
  <c r="O396" i="65" s="1"/>
  <c r="M236" i="65"/>
  <c r="N687" i="65"/>
  <c r="O687" i="65" s="1"/>
  <c r="N519" i="65"/>
  <c r="O519" i="65" s="1"/>
  <c r="M160" i="65"/>
  <c r="L669" i="65"/>
  <c r="N673" i="65"/>
  <c r="O673" i="65" s="1"/>
  <c r="L494" i="65"/>
  <c r="L628" i="65"/>
  <c r="L115" i="65"/>
  <c r="M519" i="65"/>
  <c r="K539" i="65"/>
  <c r="N543" i="65"/>
  <c r="O543" i="65" s="1"/>
  <c r="N391" i="65"/>
  <c r="O391" i="65" s="1"/>
  <c r="K541" i="65"/>
  <c r="K669" i="65"/>
  <c r="M154" i="65"/>
  <c r="L519" i="65"/>
  <c r="L499" i="65"/>
  <c r="L392" i="65"/>
  <c r="K499" i="65"/>
  <c r="K392" i="65"/>
  <c r="K543" i="65"/>
  <c r="N669" i="65"/>
  <c r="O669" i="65" s="1"/>
  <c r="L154" i="65"/>
  <c r="K540" i="65"/>
  <c r="N524" i="65"/>
  <c r="O524" i="65" s="1"/>
  <c r="N47" i="65"/>
  <c r="O47" i="65" s="1"/>
  <c r="M499" i="65"/>
  <c r="M392" i="65"/>
  <c r="M686" i="65"/>
  <c r="K236" i="65"/>
  <c r="K219" i="65"/>
  <c r="N498" i="65"/>
  <c r="L150" i="65"/>
  <c r="L686" i="65"/>
  <c r="K491" i="65"/>
  <c r="K519" i="65"/>
  <c r="N150" i="65"/>
  <c r="O150" i="65" s="1"/>
  <c r="L158" i="65"/>
  <c r="M158" i="65"/>
  <c r="M669" i="65"/>
  <c r="K390" i="65"/>
  <c r="N365" i="65"/>
  <c r="O365" i="65" s="1"/>
  <c r="K686" i="65"/>
  <c r="N499" i="65"/>
  <c r="O499" i="65" s="1"/>
  <c r="N392" i="65"/>
  <c r="O392" i="65" s="1"/>
  <c r="L625" i="65"/>
  <c r="N228" i="65"/>
  <c r="O228" i="65" s="1"/>
  <c r="AT235" i="69"/>
  <c r="AR235" i="69"/>
  <c r="AQ7" i="69"/>
  <c r="AU7" i="69" s="1"/>
  <c r="AV7" i="69" s="1"/>
  <c r="N491" i="65"/>
  <c r="AT52" i="69"/>
  <c r="L53" i="65" s="1"/>
  <c r="O157" i="65"/>
  <c r="O51" i="65"/>
  <c r="O16" i="65"/>
  <c r="AU52" i="69"/>
  <c r="AV52" i="69" s="1"/>
  <c r="AU212" i="69"/>
  <c r="AV212" i="69" s="1"/>
  <c r="AR537" i="69"/>
  <c r="AV213" i="69"/>
  <c r="I161" i="65" s="1"/>
  <c r="AU449" i="69"/>
  <c r="AV449" i="69" s="1"/>
  <c r="N569" i="65" s="1"/>
  <c r="AT612" i="69"/>
  <c r="AU451" i="69"/>
  <c r="AV451" i="69" s="1"/>
  <c r="AU612" i="69"/>
  <c r="AV612" i="69" s="1"/>
  <c r="I390" i="65" s="1"/>
  <c r="AT451" i="69"/>
  <c r="AT537" i="69"/>
  <c r="AU453" i="69"/>
  <c r="AV453" i="69" s="1"/>
  <c r="N628" i="65" s="1"/>
  <c r="AS537" i="69"/>
  <c r="AT212" i="69"/>
  <c r="AU537" i="69"/>
  <c r="AV537" i="69" s="1"/>
  <c r="I235" i="65" s="1"/>
  <c r="AS55" i="69"/>
  <c r="AU217" i="69"/>
  <c r="AV217" i="69" s="1"/>
  <c r="AT217" i="69"/>
  <c r="AR217" i="69"/>
  <c r="AP471" i="69"/>
  <c r="AS471" i="69"/>
  <c r="AR453" i="69"/>
  <c r="M628" i="65" s="1"/>
  <c r="AP211" i="69"/>
  <c r="AU211" i="69" s="1"/>
  <c r="AV211" i="69" s="1"/>
  <c r="I159" i="65" s="1"/>
  <c r="AS211" i="69"/>
  <c r="AS526" i="69"/>
  <c r="AP526" i="69"/>
  <c r="AU526" i="69" s="1"/>
  <c r="AV526" i="69" s="1"/>
  <c r="I501" i="65" s="1"/>
  <c r="AS217" i="69"/>
  <c r="AP215" i="69"/>
  <c r="AS215" i="69"/>
  <c r="AT468" i="69"/>
  <c r="AS293" i="69"/>
  <c r="AP293" i="69"/>
  <c r="AU293" i="69" s="1"/>
  <c r="AV293" i="69" s="1"/>
  <c r="AP464" i="69"/>
  <c r="AU464" i="69" s="1"/>
  <c r="AV464" i="69" s="1"/>
  <c r="AS63" i="69"/>
  <c r="AU482" i="69"/>
  <c r="AV482" i="69" s="1"/>
  <c r="AS600" i="69"/>
  <c r="AR482" i="69"/>
  <c r="AS464" i="69"/>
  <c r="AS254" i="69"/>
  <c r="O679" i="65"/>
  <c r="AT209" i="69"/>
  <c r="AR209" i="69"/>
  <c r="K157" i="65" s="1"/>
  <c r="AP452" i="69"/>
  <c r="AU452" i="69" s="1"/>
  <c r="AV452" i="69" s="1"/>
  <c r="N627" i="65" s="1"/>
  <c r="AS452" i="69"/>
  <c r="K627" i="65" s="1"/>
  <c r="AT671" i="69"/>
  <c r="AR671" i="69"/>
  <c r="K502" i="65" s="1"/>
  <c r="AU671" i="69"/>
  <c r="AV671" i="69" s="1"/>
  <c r="I502" i="65" s="1"/>
  <c r="AU658" i="69"/>
  <c r="AV658" i="69" s="1"/>
  <c r="I236" i="65" s="1"/>
  <c r="AT658" i="69"/>
  <c r="AT654" i="69"/>
  <c r="AR654" i="69"/>
  <c r="K638" i="65" s="1"/>
  <c r="AR652" i="69"/>
  <c r="K592" i="65" s="1"/>
  <c r="AT652" i="69"/>
  <c r="AU652" i="69"/>
  <c r="AV652" i="69" s="1"/>
  <c r="I592" i="65" s="1"/>
  <c r="AT608" i="69"/>
  <c r="AR608" i="69"/>
  <c r="K522" i="65" s="1"/>
  <c r="AT611" i="69"/>
  <c r="AR611" i="69"/>
  <c r="K396" i="65" s="1"/>
  <c r="AR613" i="69"/>
  <c r="K391" i="65" s="1"/>
  <c r="AT613" i="69"/>
  <c r="AR609" i="69"/>
  <c r="K394" i="65" s="1"/>
  <c r="AT609" i="69"/>
  <c r="AT615" i="69"/>
  <c r="AR615" i="69"/>
  <c r="K365" i="65" s="1"/>
  <c r="AT610" i="69"/>
  <c r="AR610" i="69"/>
  <c r="K395" i="65" s="1"/>
  <c r="AU609" i="69"/>
  <c r="AV609" i="69" s="1"/>
  <c r="I394" i="65" s="1"/>
  <c r="AU610" i="69"/>
  <c r="AV610" i="69" s="1"/>
  <c r="I395" i="65" s="1"/>
  <c r="AP600" i="69"/>
  <c r="AT600" i="69" s="1"/>
  <c r="AT489" i="69"/>
  <c r="AR489" i="69"/>
  <c r="M542" i="65" s="1"/>
  <c r="AR467" i="69"/>
  <c r="AT467" i="69"/>
  <c r="AR468" i="69"/>
  <c r="AT461" i="69"/>
  <c r="AR461" i="69"/>
  <c r="AT463" i="69"/>
  <c r="AU463" i="69"/>
  <c r="AV463" i="69" s="1"/>
  <c r="AT455" i="69"/>
  <c r="L566" i="65" s="1"/>
  <c r="AR455" i="69"/>
  <c r="M566" i="65" s="1"/>
  <c r="AR449" i="69"/>
  <c r="M569" i="65" s="1"/>
  <c r="AT410" i="69"/>
  <c r="AR410" i="69"/>
  <c r="AT349" i="69"/>
  <c r="AR349" i="69"/>
  <c r="K498" i="65" s="1"/>
  <c r="AR281" i="69"/>
  <c r="M161" i="65" s="1"/>
  <c r="AR248" i="69"/>
  <c r="M491" i="65" s="1"/>
  <c r="AT248" i="69"/>
  <c r="AR250" i="69"/>
  <c r="AT250" i="69"/>
  <c r="AS250" i="69"/>
  <c r="K493" i="65" s="1"/>
  <c r="AP254" i="69"/>
  <c r="AU254" i="69" s="1"/>
  <c r="AV254" i="69" s="1"/>
  <c r="I495" i="65" s="1"/>
  <c r="AT281" i="69"/>
  <c r="L161" i="65" s="1"/>
  <c r="AU250" i="69"/>
  <c r="AV250" i="69" s="1"/>
  <c r="AR214" i="69"/>
  <c r="AT214" i="69"/>
  <c r="AR216" i="69"/>
  <c r="AT216" i="69"/>
  <c r="AT224" i="69"/>
  <c r="AR224" i="69"/>
  <c r="AU59" i="69"/>
  <c r="AV59" i="69" s="1"/>
  <c r="AU63" i="69"/>
  <c r="AV63" i="69" s="1"/>
  <c r="AP55" i="69"/>
  <c r="AU55" i="69" s="1"/>
  <c r="AV55" i="69" s="1"/>
  <c r="AP65" i="69"/>
  <c r="AR65" i="69" s="1"/>
  <c r="M63" i="65" s="1"/>
  <c r="AS65" i="69"/>
  <c r="AR60" i="69"/>
  <c r="M59" i="65" s="1"/>
  <c r="AT60" i="69"/>
  <c r="L59" i="65" s="1"/>
  <c r="AR59" i="69"/>
  <c r="M58" i="65" s="1"/>
  <c r="AR53" i="69"/>
  <c r="M16" i="65" s="1"/>
  <c r="AT53" i="69"/>
  <c r="L16" i="65" s="1"/>
  <c r="AP51" i="69"/>
  <c r="AU51" i="69" s="1"/>
  <c r="AV51" i="69" s="1"/>
  <c r="AS51" i="69"/>
  <c r="AT63" i="69"/>
  <c r="L62" i="65" s="1"/>
  <c r="AR63" i="69"/>
  <c r="M62" i="65" s="1"/>
  <c r="AS59" i="69"/>
  <c r="K58" i="65" s="1"/>
  <c r="AT57" i="69"/>
  <c r="AR57" i="69"/>
  <c r="M56" i="65" s="1"/>
  <c r="AT59" i="69"/>
  <c r="AT89" i="69"/>
  <c r="AR354" i="69"/>
  <c r="M259" i="65" s="1"/>
  <c r="AU358" i="69"/>
  <c r="AV358" i="69" s="1"/>
  <c r="N262" i="65" s="1"/>
  <c r="AT358" i="69"/>
  <c r="L262" i="65" s="1"/>
  <c r="AO87" i="69"/>
  <c r="AU89" i="69"/>
  <c r="AV89" i="69" s="1"/>
  <c r="I443" i="65" s="1"/>
  <c r="AH87" i="69"/>
  <c r="AP87" i="69" s="1"/>
  <c r="V87" i="69"/>
  <c r="AI87" i="69" s="1"/>
  <c r="AQ87" i="69" s="1"/>
  <c r="AP92" i="69"/>
  <c r="AS92" i="69"/>
  <c r="AP91" i="69"/>
  <c r="AS91" i="69"/>
  <c r="AH90" i="69"/>
  <c r="V90" i="69"/>
  <c r="AI90" i="69" s="1"/>
  <c r="AQ90" i="69" s="1"/>
  <c r="AO90" i="69"/>
  <c r="AR89" i="69"/>
  <c r="AS89" i="69"/>
  <c r="AP88" i="69"/>
  <c r="AU88" i="69" s="1"/>
  <c r="AV88" i="69" s="1"/>
  <c r="I442" i="65" s="1"/>
  <c r="AS88" i="69"/>
  <c r="AS86" i="69"/>
  <c r="AU86" i="69"/>
  <c r="AV86" i="69" s="1"/>
  <c r="I454" i="65" s="1"/>
  <c r="AT86" i="69"/>
  <c r="AR86" i="69"/>
  <c r="V85" i="69"/>
  <c r="AI85" i="69" s="1"/>
  <c r="AQ85" i="69" s="1"/>
  <c r="AH85" i="69"/>
  <c r="AP85" i="69" s="1"/>
  <c r="AO85" i="69"/>
  <c r="AU81" i="69"/>
  <c r="AV81" i="69" s="1"/>
  <c r="I449" i="65" s="1"/>
  <c r="AR81" i="69"/>
  <c r="AT81" i="69"/>
  <c r="AS81" i="69"/>
  <c r="AH79" i="69"/>
  <c r="V79" i="69"/>
  <c r="AI79" i="69" s="1"/>
  <c r="AQ79" i="69" s="1"/>
  <c r="AO350" i="69"/>
  <c r="V350" i="69"/>
  <c r="AI350" i="69" s="1"/>
  <c r="AQ350" i="69" s="1"/>
  <c r="AH350" i="69"/>
  <c r="AP350" i="69" s="1"/>
  <c r="AH351" i="69"/>
  <c r="V351" i="69"/>
  <c r="AI351" i="69" s="1"/>
  <c r="AQ351" i="69" s="1"/>
  <c r="AP352" i="69"/>
  <c r="AU352" i="69" s="1"/>
  <c r="AV352" i="69" s="1"/>
  <c r="AS352" i="69"/>
  <c r="K257" i="65" s="1"/>
  <c r="AO353" i="69"/>
  <c r="V353" i="69"/>
  <c r="AI353" i="69" s="1"/>
  <c r="AQ353" i="69" s="1"/>
  <c r="AH353" i="69"/>
  <c r="AP353" i="69" s="1"/>
  <c r="AT354" i="69"/>
  <c r="L259" i="65" s="1"/>
  <c r="AU354" i="69"/>
  <c r="AV354" i="69" s="1"/>
  <c r="AS354" i="69"/>
  <c r="K259" i="65" s="1"/>
  <c r="AR358" i="69"/>
  <c r="M262" i="65" s="1"/>
  <c r="AS358" i="69"/>
  <c r="K262" i="65" s="1"/>
  <c r="AU458" i="69"/>
  <c r="AV458" i="69" s="1"/>
  <c r="AS458" i="69"/>
  <c r="AT458" i="69"/>
  <c r="AR458" i="69"/>
  <c r="V447" i="69"/>
  <c r="AI447" i="69" s="1"/>
  <c r="AQ447" i="69" s="1"/>
  <c r="AH447" i="69"/>
  <c r="AP447" i="69" s="1"/>
  <c r="AG644" i="69"/>
  <c r="U644" i="69"/>
  <c r="AG642" i="69"/>
  <c r="AO642" i="69" s="1"/>
  <c r="U642" i="69"/>
  <c r="U604" i="69"/>
  <c r="AG604" i="69"/>
  <c r="V591" i="69"/>
  <c r="AI591" i="69" s="1"/>
  <c r="AQ591" i="69" s="1"/>
  <c r="AH591" i="69"/>
  <c r="V391" i="69"/>
  <c r="AI391" i="69" s="1"/>
  <c r="AQ391" i="69" s="1"/>
  <c r="AH391" i="69"/>
  <c r="V390" i="69"/>
  <c r="AI390" i="69" s="1"/>
  <c r="AQ390" i="69" s="1"/>
  <c r="AH390" i="69"/>
  <c r="AS389" i="69"/>
  <c r="K6" i="65" s="1"/>
  <c r="AU389" i="69"/>
  <c r="AV389" i="69" s="1"/>
  <c r="N6" i="65" s="1"/>
  <c r="AT389" i="69"/>
  <c r="L6" i="65" s="1"/>
  <c r="AR389" i="69"/>
  <c r="M6" i="65" s="1"/>
  <c r="AF669" i="69"/>
  <c r="AT670" i="69"/>
  <c r="AR670" i="69"/>
  <c r="K673" i="65" s="1"/>
  <c r="N53" i="65" l="1"/>
  <c r="I53" i="65"/>
  <c r="K16" i="65"/>
  <c r="N257" i="65"/>
  <c r="I459" i="65"/>
  <c r="K59" i="65"/>
  <c r="L58" i="65"/>
  <c r="N493" i="65"/>
  <c r="O493" i="65" s="1"/>
  <c r="I493" i="65"/>
  <c r="K62" i="65"/>
  <c r="K63" i="65"/>
  <c r="L56" i="65"/>
  <c r="K542" i="65"/>
  <c r="K162" i="65"/>
  <c r="N259" i="65"/>
  <c r="I446" i="65"/>
  <c r="N62" i="65"/>
  <c r="I62" i="65"/>
  <c r="N680" i="65"/>
  <c r="I680" i="65"/>
  <c r="N58" i="65"/>
  <c r="O58" i="65" s="1"/>
  <c r="I58" i="65"/>
  <c r="N55" i="65"/>
  <c r="O55" i="65" s="1"/>
  <c r="I55" i="65"/>
  <c r="N28" i="65"/>
  <c r="I28" i="65"/>
  <c r="N160" i="65"/>
  <c r="O160" i="65" s="1"/>
  <c r="I160" i="65"/>
  <c r="N56" i="65"/>
  <c r="O56" i="65" s="1"/>
  <c r="I56" i="65"/>
  <c r="L498" i="65"/>
  <c r="N159" i="65"/>
  <c r="O159" i="65" s="1"/>
  <c r="K454" i="65"/>
  <c r="K452" i="65"/>
  <c r="M540" i="65"/>
  <c r="M395" i="65"/>
  <c r="M541" i="65"/>
  <c r="M396" i="65"/>
  <c r="L638" i="65"/>
  <c r="L493" i="65"/>
  <c r="K449" i="65"/>
  <c r="L540" i="65"/>
  <c r="L395" i="65"/>
  <c r="L541" i="65"/>
  <c r="L396" i="65"/>
  <c r="L236" i="65"/>
  <c r="N542" i="65"/>
  <c r="O542" i="65" s="1"/>
  <c r="N390" i="65"/>
  <c r="O390" i="65" s="1"/>
  <c r="M493" i="65"/>
  <c r="N449" i="65"/>
  <c r="O449" i="65" s="1"/>
  <c r="N442" i="65"/>
  <c r="O442" i="65" s="1"/>
  <c r="M365" i="65"/>
  <c r="M219" i="65"/>
  <c r="M522" i="65"/>
  <c r="N236" i="65"/>
  <c r="O236" i="65" s="1"/>
  <c r="N446" i="65"/>
  <c r="M446" i="65"/>
  <c r="L491" i="65"/>
  <c r="L365" i="65"/>
  <c r="L219" i="65"/>
  <c r="L522" i="65"/>
  <c r="N502" i="65"/>
  <c r="O502" i="65" s="1"/>
  <c r="N404" i="65"/>
  <c r="N235" i="65"/>
  <c r="O235" i="65" s="1"/>
  <c r="L542" i="65"/>
  <c r="L390" i="65"/>
  <c r="L157" i="65"/>
  <c r="N459" i="65"/>
  <c r="O459" i="65" s="1"/>
  <c r="M450" i="65"/>
  <c r="M443" i="65"/>
  <c r="L539" i="65"/>
  <c r="L394" i="65"/>
  <c r="N592" i="65"/>
  <c r="O592" i="65" s="1"/>
  <c r="M502" i="65"/>
  <c r="L446" i="65"/>
  <c r="N501" i="65"/>
  <c r="O501" i="65" s="1"/>
  <c r="M673" i="65"/>
  <c r="M454" i="65"/>
  <c r="L148" i="65"/>
  <c r="M539" i="65"/>
  <c r="M394" i="65"/>
  <c r="L592" i="65"/>
  <c r="L502" i="65"/>
  <c r="K404" i="65"/>
  <c r="K235" i="65"/>
  <c r="N495" i="65"/>
  <c r="K450" i="65"/>
  <c r="K443" i="65"/>
  <c r="L450" i="65"/>
  <c r="L443" i="65"/>
  <c r="L673" i="65"/>
  <c r="L454" i="65"/>
  <c r="N450" i="65"/>
  <c r="N443" i="65"/>
  <c r="O443" i="65" s="1"/>
  <c r="M498" i="65"/>
  <c r="N540" i="65"/>
  <c r="O540" i="65" s="1"/>
  <c r="N395" i="65"/>
  <c r="O395" i="65" s="1"/>
  <c r="L543" i="65"/>
  <c r="L391" i="65"/>
  <c r="M592" i="65"/>
  <c r="K148" i="65"/>
  <c r="M404" i="65"/>
  <c r="M235" i="65"/>
  <c r="L160" i="65"/>
  <c r="N454" i="65"/>
  <c r="O454" i="65" s="1"/>
  <c r="N539" i="65"/>
  <c r="O539" i="65" s="1"/>
  <c r="N394" i="65"/>
  <c r="O394" i="65" s="1"/>
  <c r="M543" i="65"/>
  <c r="M391" i="65"/>
  <c r="M638" i="65"/>
  <c r="L404" i="65"/>
  <c r="L235" i="65"/>
  <c r="M157" i="65"/>
  <c r="N161" i="65"/>
  <c r="O161" i="65" s="1"/>
  <c r="K446" i="65"/>
  <c r="AT7" i="69"/>
  <c r="L680" i="65" s="1"/>
  <c r="AR7" i="69"/>
  <c r="N162" i="65"/>
  <c r="O219" i="65"/>
  <c r="O53" i="65"/>
  <c r="O50" i="65"/>
  <c r="O54" i="65"/>
  <c r="O60" i="65"/>
  <c r="O498" i="65"/>
  <c r="O541" i="65"/>
  <c r="O158" i="65"/>
  <c r="O57" i="65"/>
  <c r="O625" i="65"/>
  <c r="O627" i="65"/>
  <c r="O62" i="65"/>
  <c r="O28" i="65"/>
  <c r="O569" i="65"/>
  <c r="AR464" i="69"/>
  <c r="AT65" i="69"/>
  <c r="L63" i="65" s="1"/>
  <c r="AT464" i="69"/>
  <c r="AR55" i="69"/>
  <c r="M55" i="65" s="1"/>
  <c r="AU600" i="69"/>
  <c r="AV600" i="69" s="1"/>
  <c r="I148" i="65" s="1"/>
  <c r="AT55" i="69"/>
  <c r="L55" i="65" s="1"/>
  <c r="AR211" i="69"/>
  <c r="K159" i="65" s="1"/>
  <c r="AT211" i="69"/>
  <c r="AU471" i="69"/>
  <c r="AV471" i="69" s="1"/>
  <c r="AR471" i="69"/>
  <c r="AT471" i="69"/>
  <c r="AT526" i="69"/>
  <c r="AR526" i="69"/>
  <c r="K501" i="65" s="1"/>
  <c r="AU65" i="69"/>
  <c r="AV65" i="69" s="1"/>
  <c r="AR293" i="69"/>
  <c r="M162" i="65" s="1"/>
  <c r="AT293" i="69"/>
  <c r="L162" i="65" s="1"/>
  <c r="AR452" i="69"/>
  <c r="M627" i="65" s="1"/>
  <c r="AT452" i="69"/>
  <c r="L627" i="65" s="1"/>
  <c r="AU215" i="69"/>
  <c r="AV215" i="69" s="1"/>
  <c r="AT215" i="69"/>
  <c r="AR215" i="69"/>
  <c r="AR600" i="69"/>
  <c r="AR254" i="69"/>
  <c r="K495" i="65" s="1"/>
  <c r="AT254" i="69"/>
  <c r="AR51" i="69"/>
  <c r="M28" i="65" s="1"/>
  <c r="AT51" i="69"/>
  <c r="L28" i="65" s="1"/>
  <c r="AS85" i="69"/>
  <c r="K435" i="65" s="1"/>
  <c r="AT87" i="69"/>
  <c r="AS87" i="69"/>
  <c r="AS350" i="69"/>
  <c r="AU87" i="69"/>
  <c r="AV87" i="69" s="1"/>
  <c r="I441" i="65" s="1"/>
  <c r="AU353" i="69"/>
  <c r="AV353" i="69" s="1"/>
  <c r="I445" i="65" s="1"/>
  <c r="AR447" i="69"/>
  <c r="AR87" i="69"/>
  <c r="AT92" i="69"/>
  <c r="AR92" i="69"/>
  <c r="AU92" i="69"/>
  <c r="AV92" i="69" s="1"/>
  <c r="AT91" i="69"/>
  <c r="AR91" i="69"/>
  <c r="K437" i="65" s="1"/>
  <c r="AU91" i="69"/>
  <c r="AV91" i="69" s="1"/>
  <c r="I437" i="65" s="1"/>
  <c r="AP90" i="69"/>
  <c r="AU90" i="69" s="1"/>
  <c r="AV90" i="69" s="1"/>
  <c r="I444" i="65" s="1"/>
  <c r="AS90" i="69"/>
  <c r="AR88" i="69"/>
  <c r="K442" i="65" s="1"/>
  <c r="AT88" i="69"/>
  <c r="AU85" i="69"/>
  <c r="AV85" i="69" s="1"/>
  <c r="AT85" i="69"/>
  <c r="L435" i="65" s="1"/>
  <c r="AR85" i="69"/>
  <c r="M435" i="65" s="1"/>
  <c r="AP79" i="69"/>
  <c r="AU79" i="69" s="1"/>
  <c r="AV79" i="69" s="1"/>
  <c r="I436" i="65" s="1"/>
  <c r="AS79" i="69"/>
  <c r="AT350" i="69"/>
  <c r="L255" i="65" s="1"/>
  <c r="AR350" i="69"/>
  <c r="AU350" i="69"/>
  <c r="AV350" i="69" s="1"/>
  <c r="AP351" i="69"/>
  <c r="AU351" i="69" s="1"/>
  <c r="AV351" i="69" s="1"/>
  <c r="AS351" i="69"/>
  <c r="K256" i="65" s="1"/>
  <c r="AR352" i="69"/>
  <c r="M257" i="65" s="1"/>
  <c r="AT352" i="69"/>
  <c r="L257" i="65" s="1"/>
  <c r="AR353" i="69"/>
  <c r="M258" i="65" s="1"/>
  <c r="AT353" i="69"/>
  <c r="L258" i="65" s="1"/>
  <c r="AS353" i="69"/>
  <c r="AS447" i="69"/>
  <c r="AU447" i="69"/>
  <c r="AV447" i="69" s="1"/>
  <c r="AT447" i="69"/>
  <c r="AS591" i="69"/>
  <c r="AS390" i="69"/>
  <c r="K294" i="65" s="1"/>
  <c r="AH644" i="69"/>
  <c r="AP644" i="69" s="1"/>
  <c r="V644" i="69"/>
  <c r="AI644" i="69" s="1"/>
  <c r="AQ644" i="69" s="1"/>
  <c r="AO644" i="69"/>
  <c r="V642" i="69"/>
  <c r="AI642" i="69" s="1"/>
  <c r="AQ642" i="69" s="1"/>
  <c r="AH642" i="69"/>
  <c r="AP642" i="69" s="1"/>
  <c r="AO604" i="69"/>
  <c r="V604" i="69"/>
  <c r="AI604" i="69" s="1"/>
  <c r="AQ604" i="69" s="1"/>
  <c r="AH604" i="69"/>
  <c r="AP591" i="69"/>
  <c r="AU591" i="69" s="1"/>
  <c r="AV591" i="69" s="1"/>
  <c r="I347" i="65" s="1"/>
  <c r="AP391" i="69"/>
  <c r="AU391" i="69" s="1"/>
  <c r="AV391" i="69" s="1"/>
  <c r="N295" i="65" s="1"/>
  <c r="AS391" i="69"/>
  <c r="K295" i="65" s="1"/>
  <c r="AP390" i="69"/>
  <c r="AU390" i="69" s="1"/>
  <c r="AV390" i="69" s="1"/>
  <c r="N294" i="65" s="1"/>
  <c r="AG669" i="69"/>
  <c r="AO669" i="69" s="1"/>
  <c r="AN669" i="69"/>
  <c r="N435" i="65" l="1"/>
  <c r="O435" i="65" s="1"/>
  <c r="I453" i="65"/>
  <c r="N63" i="65"/>
  <c r="O63" i="65" s="1"/>
  <c r="I63" i="65"/>
  <c r="M680" i="65"/>
  <c r="K680" i="65"/>
  <c r="N256" i="65"/>
  <c r="O256" i="65" s="1"/>
  <c r="I464" i="65"/>
  <c r="K459" i="65"/>
  <c r="N255" i="65"/>
  <c r="O255" i="65" s="1"/>
  <c r="I458" i="65"/>
  <c r="K55" i="65"/>
  <c r="K28" i="65"/>
  <c r="L159" i="65"/>
  <c r="M159" i="65"/>
  <c r="M453" i="65"/>
  <c r="N453" i="65"/>
  <c r="O453" i="65" s="1"/>
  <c r="K448" i="65"/>
  <c r="K441" i="65"/>
  <c r="N148" i="65"/>
  <c r="O148" i="65" s="1"/>
  <c r="M501" i="65"/>
  <c r="L448" i="65"/>
  <c r="L441" i="65"/>
  <c r="M459" i="65"/>
  <c r="L449" i="65"/>
  <c r="L442" i="65"/>
  <c r="K258" i="65"/>
  <c r="K445" i="65"/>
  <c r="M255" i="65"/>
  <c r="M458" i="65"/>
  <c r="M449" i="65"/>
  <c r="M442" i="65"/>
  <c r="L453" i="65"/>
  <c r="K451" i="65"/>
  <c r="K444" i="65"/>
  <c r="M448" i="65"/>
  <c r="M441" i="65"/>
  <c r="L458" i="65"/>
  <c r="N451" i="65"/>
  <c r="O451" i="65" s="1"/>
  <c r="N444" i="65"/>
  <c r="O444" i="65" s="1"/>
  <c r="M495" i="65"/>
  <c r="K453" i="65"/>
  <c r="N452" i="65"/>
  <c r="O452" i="65" s="1"/>
  <c r="N437" i="65"/>
  <c r="N258" i="65"/>
  <c r="O258" i="65" s="1"/>
  <c r="N445" i="65"/>
  <c r="O445" i="65" s="1"/>
  <c r="N464" i="65"/>
  <c r="O464" i="65" s="1"/>
  <c r="L459" i="65"/>
  <c r="N198" i="65"/>
  <c r="N347" i="65"/>
  <c r="O347" i="65" s="1"/>
  <c r="K198" i="65"/>
  <c r="M452" i="65"/>
  <c r="M437" i="65"/>
  <c r="N448" i="65"/>
  <c r="O448" i="65" s="1"/>
  <c r="N441" i="65"/>
  <c r="O441" i="65" s="1"/>
  <c r="L495" i="65"/>
  <c r="L501" i="65"/>
  <c r="L445" i="65"/>
  <c r="K436" i="65"/>
  <c r="L452" i="65"/>
  <c r="L437" i="65"/>
  <c r="K255" i="65"/>
  <c r="K458" i="65"/>
  <c r="M148" i="65"/>
  <c r="N436" i="65"/>
  <c r="O436" i="65" s="1"/>
  <c r="N458" i="65"/>
  <c r="O458" i="65" s="1"/>
  <c r="M445" i="65"/>
  <c r="O446" i="65"/>
  <c r="O257" i="65"/>
  <c r="O450" i="65"/>
  <c r="O6" i="65"/>
  <c r="O495" i="65"/>
  <c r="O61" i="65"/>
  <c r="O294" i="65"/>
  <c r="AR642" i="69"/>
  <c r="AR90" i="69"/>
  <c r="AT90" i="69"/>
  <c r="AR79" i="69"/>
  <c r="AT79" i="69"/>
  <c r="AR351" i="69"/>
  <c r="M256" i="65" s="1"/>
  <c r="AT351" i="69"/>
  <c r="L256" i="65" s="1"/>
  <c r="AS644" i="69"/>
  <c r="AU644" i="69"/>
  <c r="AV644" i="69" s="1"/>
  <c r="I583" i="65" s="1"/>
  <c r="AR644" i="69"/>
  <c r="AT644" i="69"/>
  <c r="AU642" i="69"/>
  <c r="AV642" i="69" s="1"/>
  <c r="I581" i="65" s="1"/>
  <c r="AS642" i="69"/>
  <c r="AT642" i="69"/>
  <c r="AP604" i="69"/>
  <c r="AU604" i="69" s="1"/>
  <c r="AV604" i="69" s="1"/>
  <c r="AS604" i="69"/>
  <c r="AR591" i="69"/>
  <c r="K347" i="65" s="1"/>
  <c r="AT591" i="69"/>
  <c r="AT391" i="69"/>
  <c r="L295" i="65" s="1"/>
  <c r="AR391" i="69"/>
  <c r="M295" i="65" s="1"/>
  <c r="AT390" i="69"/>
  <c r="L294" i="65" s="1"/>
  <c r="AR390" i="69"/>
  <c r="M294" i="65" s="1"/>
  <c r="AH669" i="69"/>
  <c r="AP669" i="69" s="1"/>
  <c r="AI669" i="69"/>
  <c r="AQ669" i="69" s="1"/>
  <c r="AB532" i="69"/>
  <c r="AC532" i="69"/>
  <c r="AJ532" i="69"/>
  <c r="AW532" i="69"/>
  <c r="N352" i="65" l="1"/>
  <c r="O352" i="65" s="1"/>
  <c r="I352" i="65"/>
  <c r="K464" i="65"/>
  <c r="K581" i="65"/>
  <c r="N581" i="65"/>
  <c r="O581" i="65" s="1"/>
  <c r="M436" i="65"/>
  <c r="L436" i="65"/>
  <c r="L583" i="65"/>
  <c r="L451" i="65"/>
  <c r="L444" i="65"/>
  <c r="M464" i="65"/>
  <c r="L198" i="65"/>
  <c r="L347" i="65"/>
  <c r="M583" i="65"/>
  <c r="M451" i="65"/>
  <c r="M444" i="65"/>
  <c r="M198" i="65"/>
  <c r="M347" i="65"/>
  <c r="N583" i="65"/>
  <c r="O583" i="65" s="1"/>
  <c r="M581" i="65"/>
  <c r="K352" i="65"/>
  <c r="K583" i="65"/>
  <c r="L464" i="65"/>
  <c r="L581" i="65"/>
  <c r="AR604" i="69"/>
  <c r="AT604" i="69"/>
  <c r="AR669" i="69"/>
  <c r="AU669" i="69"/>
  <c r="AV669" i="69" s="1"/>
  <c r="I668" i="65" s="1"/>
  <c r="AS669" i="69"/>
  <c r="AT669" i="69"/>
  <c r="AD532" i="69"/>
  <c r="AL532" i="69" s="1"/>
  <c r="AE532" i="69"/>
  <c r="AM532" i="69" s="1"/>
  <c r="AK532" i="69"/>
  <c r="L668" i="65" l="1"/>
  <c r="K668" i="65"/>
  <c r="N668" i="65"/>
  <c r="O668" i="65" s="1"/>
  <c r="M668" i="65"/>
  <c r="L352" i="65"/>
  <c r="M352" i="65"/>
  <c r="AF532" i="69"/>
  <c r="AG532" i="69" l="1"/>
  <c r="AN532" i="69"/>
  <c r="AO532" i="69" l="1"/>
  <c r="AI532" i="69"/>
  <c r="AQ532" i="69" s="1"/>
  <c r="AH532" i="69"/>
  <c r="AP532" i="69" l="1"/>
  <c r="AT532" i="69" s="1"/>
  <c r="AS532" i="69"/>
  <c r="AR532" i="69" l="1"/>
  <c r="AU532" i="69"/>
  <c r="AV532" i="69" s="1"/>
  <c r="AW105" i="69" l="1"/>
  <c r="I465" i="65" s="1"/>
  <c r="AJ105" i="69"/>
  <c r="AI105" i="69"/>
  <c r="AQ105" i="69" s="1"/>
  <c r="AH105" i="69"/>
  <c r="AP105" i="69" s="1"/>
  <c r="AG105" i="69"/>
  <c r="AO105" i="69" s="1"/>
  <c r="AF105" i="69"/>
  <c r="AN105" i="69" s="1"/>
  <c r="AE105" i="69"/>
  <c r="AM105" i="69" s="1"/>
  <c r="AD105" i="69"/>
  <c r="AL105" i="69" s="1"/>
  <c r="AC105" i="69"/>
  <c r="AB105" i="69"/>
  <c r="AW312" i="69"/>
  <c r="AJ312" i="69"/>
  <c r="AI312" i="69"/>
  <c r="AQ312" i="69" s="1"/>
  <c r="AH312" i="69"/>
  <c r="AP312" i="69" s="1"/>
  <c r="AG312" i="69"/>
  <c r="AO312" i="69" s="1"/>
  <c r="AF312" i="69"/>
  <c r="AN312" i="69" s="1"/>
  <c r="AE312" i="69"/>
  <c r="AM312" i="69" s="1"/>
  <c r="AD312" i="69"/>
  <c r="AL312" i="69" s="1"/>
  <c r="AC312" i="69"/>
  <c r="AB312" i="69"/>
  <c r="AW340" i="69"/>
  <c r="AJ340" i="69"/>
  <c r="AI340" i="69"/>
  <c r="AQ340" i="69" s="1"/>
  <c r="AH340" i="69"/>
  <c r="AP340" i="69" s="1"/>
  <c r="AG340" i="69"/>
  <c r="AO340" i="69" s="1"/>
  <c r="AF340" i="69"/>
  <c r="AN340" i="69" s="1"/>
  <c r="AE340" i="69"/>
  <c r="AM340" i="69" s="1"/>
  <c r="AD340" i="69"/>
  <c r="AL340" i="69" s="1"/>
  <c r="AC340" i="69"/>
  <c r="AK340" i="69" s="1"/>
  <c r="AB340" i="69"/>
  <c r="AW355" i="69"/>
  <c r="AJ355" i="69"/>
  <c r="AI355" i="69"/>
  <c r="AQ355" i="69" s="1"/>
  <c r="AH355" i="69"/>
  <c r="AP355" i="69" s="1"/>
  <c r="AG355" i="69"/>
  <c r="AO355" i="69" s="1"/>
  <c r="AF355" i="69"/>
  <c r="AN355" i="69" s="1"/>
  <c r="AE355" i="69"/>
  <c r="AM355" i="69" s="1"/>
  <c r="AD355" i="69"/>
  <c r="AL355" i="69" s="1"/>
  <c r="AC355" i="69"/>
  <c r="AK355" i="69" s="1"/>
  <c r="AB355" i="69"/>
  <c r="AW356" i="69"/>
  <c r="I261" i="65" s="1"/>
  <c r="AJ356" i="69"/>
  <c r="AI356" i="69"/>
  <c r="AQ356" i="69" s="1"/>
  <c r="AH356" i="69"/>
  <c r="AP356" i="69" s="1"/>
  <c r="AG356" i="69"/>
  <c r="AO356" i="69" s="1"/>
  <c r="AF356" i="69"/>
  <c r="AN356" i="69" s="1"/>
  <c r="AE356" i="69"/>
  <c r="AM356" i="69" s="1"/>
  <c r="AD356" i="69"/>
  <c r="AL356" i="69" s="1"/>
  <c r="AC356" i="69"/>
  <c r="AB356" i="69"/>
  <c r="AW428" i="69"/>
  <c r="AJ428" i="69"/>
  <c r="AI428" i="69"/>
  <c r="AQ428" i="69" s="1"/>
  <c r="AH428" i="69"/>
  <c r="AP428" i="69" s="1"/>
  <c r="AG428" i="69"/>
  <c r="AO428" i="69" s="1"/>
  <c r="AF428" i="69"/>
  <c r="AN428" i="69" s="1"/>
  <c r="AE428" i="69"/>
  <c r="AM428" i="69" s="1"/>
  <c r="AD428" i="69"/>
  <c r="AL428" i="69" s="1"/>
  <c r="AC428" i="69"/>
  <c r="AK428" i="69" s="1"/>
  <c r="AB428" i="69"/>
  <c r="AW431" i="69"/>
  <c r="AJ431" i="69"/>
  <c r="AI431" i="69"/>
  <c r="AQ431" i="69" s="1"/>
  <c r="AH431" i="69"/>
  <c r="AP431" i="69" s="1"/>
  <c r="AG431" i="69"/>
  <c r="AO431" i="69" s="1"/>
  <c r="AF431" i="69"/>
  <c r="AN431" i="69" s="1"/>
  <c r="AE431" i="69"/>
  <c r="AM431" i="69" s="1"/>
  <c r="AD431" i="69"/>
  <c r="AL431" i="69" s="1"/>
  <c r="AC431" i="69"/>
  <c r="AK431" i="69" s="1"/>
  <c r="AB431" i="69"/>
  <c r="AW432" i="69"/>
  <c r="AJ432" i="69"/>
  <c r="AI432" i="69"/>
  <c r="AQ432" i="69" s="1"/>
  <c r="AH432" i="69"/>
  <c r="AP432" i="69" s="1"/>
  <c r="AG432" i="69"/>
  <c r="AO432" i="69" s="1"/>
  <c r="AF432" i="69"/>
  <c r="AN432" i="69" s="1"/>
  <c r="AE432" i="69"/>
  <c r="AM432" i="69" s="1"/>
  <c r="AD432" i="69"/>
  <c r="AL432" i="69" s="1"/>
  <c r="AC432" i="69"/>
  <c r="AB432" i="69"/>
  <c r="AW513" i="69"/>
  <c r="AJ513" i="69"/>
  <c r="AI513" i="69"/>
  <c r="AQ513" i="69" s="1"/>
  <c r="AH513" i="69"/>
  <c r="AP513" i="69" s="1"/>
  <c r="AG513" i="69"/>
  <c r="AO513" i="69" s="1"/>
  <c r="AF513" i="69"/>
  <c r="AN513" i="69" s="1"/>
  <c r="AE513" i="69"/>
  <c r="AM513" i="69" s="1"/>
  <c r="AD513" i="69"/>
  <c r="AL513" i="69" s="1"/>
  <c r="AC513" i="69"/>
  <c r="AB513" i="69"/>
  <c r="AW504" i="69"/>
  <c r="AJ504" i="69"/>
  <c r="AI504" i="69"/>
  <c r="AQ504" i="69" s="1"/>
  <c r="AH504" i="69"/>
  <c r="AP504" i="69" s="1"/>
  <c r="AG504" i="69"/>
  <c r="AO504" i="69" s="1"/>
  <c r="AF504" i="69"/>
  <c r="AN504" i="69" s="1"/>
  <c r="AE504" i="69"/>
  <c r="AM504" i="69" s="1"/>
  <c r="AD504" i="69"/>
  <c r="AL504" i="69" s="1"/>
  <c r="AC504" i="69"/>
  <c r="AB504" i="69"/>
  <c r="I492" i="65" l="1"/>
  <c r="I649" i="65"/>
  <c r="I171" i="65"/>
  <c r="I260" i="65"/>
  <c r="I630" i="65"/>
  <c r="AU431" i="69"/>
  <c r="AV431" i="69" s="1"/>
  <c r="AS340" i="69"/>
  <c r="AS504" i="69"/>
  <c r="AS312" i="69"/>
  <c r="AS513" i="69"/>
  <c r="AS356" i="69"/>
  <c r="K261" i="65" s="1"/>
  <c r="AS105" i="69"/>
  <c r="K465" i="65" s="1"/>
  <c r="AK105" i="69"/>
  <c r="AK312" i="69"/>
  <c r="AU340" i="69"/>
  <c r="AV340" i="69" s="1"/>
  <c r="I626" i="65" s="1"/>
  <c r="AT340" i="69"/>
  <c r="AR340" i="69"/>
  <c r="AU355" i="69"/>
  <c r="AV355" i="69" s="1"/>
  <c r="N630" i="65" s="1"/>
  <c r="AR355" i="69"/>
  <c r="AT355" i="69"/>
  <c r="AS355" i="69"/>
  <c r="AK356" i="69"/>
  <c r="AU428" i="69"/>
  <c r="AV428" i="69" s="1"/>
  <c r="AT428" i="69"/>
  <c r="AR428" i="69"/>
  <c r="AS428" i="69"/>
  <c r="AT431" i="69"/>
  <c r="AR431" i="69"/>
  <c r="AS431" i="69"/>
  <c r="AK432" i="69"/>
  <c r="AU432" i="69" s="1"/>
  <c r="AV432" i="69" s="1"/>
  <c r="AS432" i="69"/>
  <c r="AK513" i="69"/>
  <c r="AU513" i="69" s="1"/>
  <c r="AV513" i="69" s="1"/>
  <c r="AK504" i="69"/>
  <c r="AU504" i="69" s="1"/>
  <c r="AV504" i="69" s="1"/>
  <c r="M492" i="65" l="1"/>
  <c r="M626" i="65"/>
  <c r="K171" i="65"/>
  <c r="K612" i="65"/>
  <c r="L492" i="65"/>
  <c r="L626" i="65"/>
  <c r="N649" i="65"/>
  <c r="N492" i="65"/>
  <c r="O492" i="65" s="1"/>
  <c r="N626" i="65"/>
  <c r="O626" i="65" s="1"/>
  <c r="K492" i="65"/>
  <c r="K626" i="65"/>
  <c r="K260" i="65"/>
  <c r="K630" i="65"/>
  <c r="L260" i="65"/>
  <c r="L630" i="65"/>
  <c r="M260" i="65"/>
  <c r="M630" i="65"/>
  <c r="O259" i="65"/>
  <c r="N260" i="65"/>
  <c r="O491" i="65"/>
  <c r="AT105" i="69"/>
  <c r="L465" i="65" s="1"/>
  <c r="AR105" i="69"/>
  <c r="M465" i="65" s="1"/>
  <c r="AU105" i="69"/>
  <c r="AV105" i="69" s="1"/>
  <c r="AT312" i="69"/>
  <c r="AR312" i="69"/>
  <c r="AU312" i="69"/>
  <c r="AV312" i="69" s="1"/>
  <c r="I612" i="65" s="1"/>
  <c r="AT356" i="69"/>
  <c r="L261" i="65" s="1"/>
  <c r="AR356" i="69"/>
  <c r="M261" i="65" s="1"/>
  <c r="AU356" i="69"/>
  <c r="AV356" i="69" s="1"/>
  <c r="N261" i="65" s="1"/>
  <c r="AT432" i="69"/>
  <c r="AR432" i="69"/>
  <c r="AT513" i="69"/>
  <c r="AR513" i="69"/>
  <c r="K649" i="65" s="1"/>
  <c r="AT504" i="69"/>
  <c r="AR504" i="69"/>
  <c r="N171" i="65" l="1"/>
  <c r="N612" i="65"/>
  <c r="M649" i="65"/>
  <c r="M171" i="65"/>
  <c r="M612" i="65"/>
  <c r="L649" i="65"/>
  <c r="L171" i="65"/>
  <c r="L612" i="65"/>
  <c r="O437" i="65"/>
  <c r="N465" i="65"/>
  <c r="O260" i="65"/>
  <c r="O261" i="65"/>
  <c r="Q684" i="69" l="1"/>
  <c r="R684" i="69" s="1"/>
  <c r="S684" i="69" s="1"/>
  <c r="T684" i="69" s="1"/>
  <c r="U684" i="69" s="1"/>
  <c r="V684" i="69" s="1"/>
  <c r="Q8" i="69"/>
  <c r="R8" i="69" s="1"/>
  <c r="S8" i="69" s="1"/>
  <c r="T8" i="69" s="1"/>
  <c r="U8" i="69" s="1"/>
  <c r="V8" i="69" s="1"/>
  <c r="Q161" i="69"/>
  <c r="R161" i="69" s="1"/>
  <c r="S161" i="69" s="1"/>
  <c r="T161" i="69" s="1"/>
  <c r="U161" i="69" s="1"/>
  <c r="V161" i="69" s="1"/>
  <c r="Q245" i="69"/>
  <c r="R245" i="69" s="1"/>
  <c r="S245" i="69" s="1"/>
  <c r="T245" i="69" s="1"/>
  <c r="U245" i="69" s="1"/>
  <c r="V245" i="69" s="1"/>
  <c r="Q679" i="69"/>
  <c r="R679" i="69" s="1"/>
  <c r="S679" i="69" s="1"/>
  <c r="T679" i="69" s="1"/>
  <c r="U679" i="69" s="1"/>
  <c r="V679" i="69" s="1"/>
  <c r="Q657" i="69"/>
  <c r="R657" i="69" s="1"/>
  <c r="S657" i="69" s="1"/>
  <c r="T657" i="69" s="1"/>
  <c r="U657" i="69" s="1"/>
  <c r="V657" i="69" s="1"/>
  <c r="Q653" i="69"/>
  <c r="R653" i="69" s="1"/>
  <c r="S653" i="69" s="1"/>
  <c r="T653" i="69" s="1"/>
  <c r="U653" i="69" s="1"/>
  <c r="V653" i="69" s="1"/>
  <c r="Q641" i="69"/>
  <c r="R641" i="69" s="1"/>
  <c r="S641" i="69" s="1"/>
  <c r="T641" i="69" s="1"/>
  <c r="U641" i="69" s="1"/>
  <c r="V641" i="69" s="1"/>
  <c r="Q640" i="69"/>
  <c r="R640" i="69" s="1"/>
  <c r="S640" i="69" s="1"/>
  <c r="T640" i="69" s="1"/>
  <c r="U640" i="69" s="1"/>
  <c r="V640" i="69" s="1"/>
  <c r="Q587" i="69"/>
  <c r="R587" i="69" s="1"/>
  <c r="S587" i="69" s="1"/>
  <c r="T587" i="69" s="1"/>
  <c r="U587" i="69" s="1"/>
  <c r="V587" i="69" s="1"/>
  <c r="Q571" i="69"/>
  <c r="R571" i="69" s="1"/>
  <c r="S571" i="69" s="1"/>
  <c r="T571" i="69" s="1"/>
  <c r="U571" i="69" s="1"/>
  <c r="V571" i="69" s="1"/>
  <c r="Q682" i="69"/>
  <c r="R682" i="69" s="1"/>
  <c r="S682" i="69" s="1"/>
  <c r="T682" i="69" s="1"/>
  <c r="U682" i="69" s="1"/>
  <c r="V682" i="69" s="1"/>
  <c r="Q71" i="69"/>
  <c r="R71" i="69" s="1"/>
  <c r="S71" i="69" s="1"/>
  <c r="T71" i="69" s="1"/>
  <c r="U71" i="69" s="1"/>
  <c r="V71" i="69" s="1"/>
  <c r="Q533" i="69"/>
  <c r="R533" i="69" s="1"/>
  <c r="S533" i="69" s="1"/>
  <c r="T533" i="69" s="1"/>
  <c r="U533" i="69" s="1"/>
  <c r="V533" i="69" s="1"/>
  <c r="Q527" i="69"/>
  <c r="R527" i="69" s="1"/>
  <c r="S527" i="69" s="1"/>
  <c r="T527" i="69" s="1"/>
  <c r="U527" i="69" s="1"/>
  <c r="V527" i="69" s="1"/>
  <c r="Q525" i="69"/>
  <c r="R525" i="69" s="1"/>
  <c r="S525" i="69" s="1"/>
  <c r="T525" i="69" s="1"/>
  <c r="U525" i="69" s="1"/>
  <c r="V525" i="69" s="1"/>
  <c r="Q524" i="69"/>
  <c r="R524" i="69" s="1"/>
  <c r="S524" i="69" s="1"/>
  <c r="T524" i="69" s="1"/>
  <c r="U524" i="69" s="1"/>
  <c r="V524" i="69" s="1"/>
  <c r="Q523" i="69"/>
  <c r="R523" i="69" s="1"/>
  <c r="S523" i="69" s="1"/>
  <c r="T523" i="69" s="1"/>
  <c r="U523" i="69" s="1"/>
  <c r="V523" i="69" s="1"/>
  <c r="Q522" i="69"/>
  <c r="R522" i="69" s="1"/>
  <c r="S522" i="69" s="1"/>
  <c r="T522" i="69" s="1"/>
  <c r="U522" i="69" s="1"/>
  <c r="V522" i="69" s="1"/>
  <c r="Q521" i="69"/>
  <c r="R521" i="69" s="1"/>
  <c r="S521" i="69" s="1"/>
  <c r="T521" i="69" s="1"/>
  <c r="U521" i="69" s="1"/>
  <c r="V521" i="69" s="1"/>
  <c r="Q520" i="69"/>
  <c r="R520" i="69" s="1"/>
  <c r="S520" i="69" s="1"/>
  <c r="T520" i="69" s="1"/>
  <c r="U520" i="69" s="1"/>
  <c r="V520" i="69" s="1"/>
  <c r="Q506" i="69"/>
  <c r="R506" i="69" s="1"/>
  <c r="S506" i="69" s="1"/>
  <c r="T506" i="69" s="1"/>
  <c r="U506" i="69" s="1"/>
  <c r="V506" i="69" s="1"/>
  <c r="Q505" i="69"/>
  <c r="R505" i="69" s="1"/>
  <c r="S505" i="69" s="1"/>
  <c r="T505" i="69" s="1"/>
  <c r="U505" i="69" s="1"/>
  <c r="V505" i="69" s="1"/>
  <c r="Q493" i="69"/>
  <c r="R493" i="69" s="1"/>
  <c r="S493" i="69" s="1"/>
  <c r="T493" i="69" s="1"/>
  <c r="U493" i="69" s="1"/>
  <c r="V493" i="69" s="1"/>
  <c r="Q484" i="69"/>
  <c r="R484" i="69" s="1"/>
  <c r="S484" i="69" s="1"/>
  <c r="T484" i="69" s="1"/>
  <c r="U484" i="69" s="1"/>
  <c r="V484" i="69" s="1"/>
  <c r="Q444" i="69"/>
  <c r="R444" i="69" s="1"/>
  <c r="S444" i="69" s="1"/>
  <c r="T444" i="69" s="1"/>
  <c r="U444" i="69" s="1"/>
  <c r="V444" i="69" s="1"/>
  <c r="Q443" i="69"/>
  <c r="R443" i="69" s="1"/>
  <c r="S443" i="69" s="1"/>
  <c r="T443" i="69" s="1"/>
  <c r="U443" i="69" s="1"/>
  <c r="V443" i="69" s="1"/>
  <c r="Q430" i="69"/>
  <c r="R430" i="69" s="1"/>
  <c r="S430" i="69" s="1"/>
  <c r="T430" i="69" s="1"/>
  <c r="U430" i="69" s="1"/>
  <c r="V430" i="69" s="1"/>
  <c r="Q429" i="69"/>
  <c r="R429" i="69" s="1"/>
  <c r="S429" i="69" s="1"/>
  <c r="T429" i="69" s="1"/>
  <c r="U429" i="69" s="1"/>
  <c r="V429" i="69" s="1"/>
  <c r="Q424" i="69"/>
  <c r="R424" i="69" s="1"/>
  <c r="S424" i="69" s="1"/>
  <c r="T424" i="69" s="1"/>
  <c r="U424" i="69" s="1"/>
  <c r="V424" i="69" s="1"/>
  <c r="Q422" i="69"/>
  <c r="R422" i="69" s="1"/>
  <c r="S422" i="69" s="1"/>
  <c r="T422" i="69" s="1"/>
  <c r="U422" i="69" s="1"/>
  <c r="V422" i="69" s="1"/>
  <c r="Q421" i="69"/>
  <c r="R421" i="69" s="1"/>
  <c r="S421" i="69" s="1"/>
  <c r="T421" i="69" s="1"/>
  <c r="U421" i="69" s="1"/>
  <c r="V421" i="69" s="1"/>
  <c r="Q420" i="69"/>
  <c r="R420" i="69" s="1"/>
  <c r="S420" i="69" s="1"/>
  <c r="T420" i="69" s="1"/>
  <c r="U420" i="69" s="1"/>
  <c r="V420" i="69" s="1"/>
  <c r="Q419" i="69"/>
  <c r="R419" i="69" s="1"/>
  <c r="S419" i="69" s="1"/>
  <c r="T419" i="69" s="1"/>
  <c r="U419" i="69" s="1"/>
  <c r="V419" i="69" s="1"/>
  <c r="Q418" i="69"/>
  <c r="R418" i="69" s="1"/>
  <c r="S418" i="69" s="1"/>
  <c r="T418" i="69" s="1"/>
  <c r="Q415" i="69"/>
  <c r="R415" i="69" s="1"/>
  <c r="S415" i="69" s="1"/>
  <c r="T415" i="69" s="1"/>
  <c r="U415" i="69" s="1"/>
  <c r="V415" i="69" s="1"/>
  <c r="Q381" i="69"/>
  <c r="R381" i="69" s="1"/>
  <c r="S381" i="69" s="1"/>
  <c r="T381" i="69" s="1"/>
  <c r="U381" i="69" s="1"/>
  <c r="V381" i="69" s="1"/>
  <c r="Q132" i="69"/>
  <c r="R132" i="69" s="1"/>
  <c r="S132" i="69" s="1"/>
  <c r="T132" i="69" s="1"/>
  <c r="U132" i="69" s="1"/>
  <c r="V132" i="69" s="1"/>
  <c r="Q201" i="69"/>
  <c r="R201" i="69" s="1"/>
  <c r="S201" i="69" s="1"/>
  <c r="T201" i="69" s="1"/>
  <c r="U201" i="69" s="1"/>
  <c r="V201" i="69" s="1"/>
  <c r="Q204" i="69"/>
  <c r="R204" i="69" s="1"/>
  <c r="S204" i="69" s="1"/>
  <c r="T204" i="69" s="1"/>
  <c r="U204" i="69" s="1"/>
  <c r="V204" i="69" s="1"/>
  <c r="Q348" i="69"/>
  <c r="R348" i="69" s="1"/>
  <c r="S348" i="69" s="1"/>
  <c r="T348" i="69" s="1"/>
  <c r="U348" i="69" s="1"/>
  <c r="V348" i="69" s="1"/>
  <c r="Q324" i="69"/>
  <c r="R324" i="69" s="1"/>
  <c r="S324" i="69" s="1"/>
  <c r="T324" i="69" s="1"/>
  <c r="U324" i="69" s="1"/>
  <c r="V324" i="69" s="1"/>
  <c r="Q321" i="69"/>
  <c r="R321" i="69" s="1"/>
  <c r="S321" i="69" s="1"/>
  <c r="T321" i="69" s="1"/>
  <c r="U321" i="69" s="1"/>
  <c r="V321" i="69" s="1"/>
  <c r="Q320" i="69"/>
  <c r="R320" i="69" s="1"/>
  <c r="S320" i="69" s="1"/>
  <c r="T320" i="69" s="1"/>
  <c r="U320" i="69" s="1"/>
  <c r="V320" i="69" s="1"/>
  <c r="Q317" i="69"/>
  <c r="R317" i="69" s="1"/>
  <c r="S317" i="69" s="1"/>
  <c r="T317" i="69" s="1"/>
  <c r="U317" i="69" s="1"/>
  <c r="V317" i="69" s="1"/>
  <c r="Q316" i="69"/>
  <c r="R316" i="69" s="1"/>
  <c r="S316" i="69" s="1"/>
  <c r="T316" i="69" s="1"/>
  <c r="U316" i="69" s="1"/>
  <c r="V316" i="69" s="1"/>
  <c r="Q315" i="69"/>
  <c r="R315" i="69" s="1"/>
  <c r="S315" i="69" s="1"/>
  <c r="T315" i="69" s="1"/>
  <c r="U315" i="69" s="1"/>
  <c r="V315" i="69" s="1"/>
  <c r="Q314" i="69"/>
  <c r="R314" i="69" s="1"/>
  <c r="S314" i="69" s="1"/>
  <c r="T314" i="69" s="1"/>
  <c r="U314" i="69" s="1"/>
  <c r="V314" i="69" s="1"/>
  <c r="Q313" i="69"/>
  <c r="R313" i="69" s="1"/>
  <c r="S313" i="69" s="1"/>
  <c r="T313" i="69" s="1"/>
  <c r="U313" i="69" s="1"/>
  <c r="V313" i="69" s="1"/>
  <c r="Q305" i="69"/>
  <c r="R305" i="69" s="1"/>
  <c r="S305" i="69" s="1"/>
  <c r="T305" i="69" s="1"/>
  <c r="U305" i="69" s="1"/>
  <c r="V305" i="69" s="1"/>
  <c r="Q165" i="69"/>
  <c r="R165" i="69" s="1"/>
  <c r="S165" i="69" s="1"/>
  <c r="T165" i="69" s="1"/>
  <c r="U165" i="69" s="1"/>
  <c r="V165" i="69" s="1"/>
  <c r="Q246" i="69"/>
  <c r="R246" i="69" s="1"/>
  <c r="S246" i="69" s="1"/>
  <c r="T246" i="69" s="1"/>
  <c r="U246" i="69" s="1"/>
  <c r="V246" i="69" s="1"/>
  <c r="Q236" i="69"/>
  <c r="R236" i="69" s="1"/>
  <c r="S236" i="69" s="1"/>
  <c r="T236" i="69" s="1"/>
  <c r="U236" i="69" s="1"/>
  <c r="V236" i="69" s="1"/>
  <c r="Q681" i="69"/>
  <c r="R681" i="69" s="1"/>
  <c r="S681" i="69" s="1"/>
  <c r="T681" i="69" s="1"/>
  <c r="U681" i="69" s="1"/>
  <c r="V681" i="69" s="1"/>
  <c r="Q680" i="69"/>
  <c r="R680" i="69" s="1"/>
  <c r="S680" i="69" s="1"/>
  <c r="T680" i="69" s="1"/>
  <c r="U680" i="69" s="1"/>
  <c r="V680" i="69" s="1"/>
  <c r="Q170" i="69"/>
  <c r="R170" i="69" s="1"/>
  <c r="S170" i="69" s="1"/>
  <c r="T170" i="69" s="1"/>
  <c r="U170" i="69" s="1"/>
  <c r="V170" i="69" s="1"/>
  <c r="Q164" i="69"/>
  <c r="R164" i="69" s="1"/>
  <c r="S164" i="69" s="1"/>
  <c r="T164" i="69" s="1"/>
  <c r="U164" i="69" s="1"/>
  <c r="V164" i="69" s="1"/>
  <c r="Q172" i="69"/>
  <c r="R172" i="69" s="1"/>
  <c r="S172" i="69" s="1"/>
  <c r="T172" i="69" s="1"/>
  <c r="U172" i="69" s="1"/>
  <c r="V172" i="69" s="1"/>
  <c r="Q196" i="69"/>
  <c r="R196" i="69" s="1"/>
  <c r="S196" i="69" s="1"/>
  <c r="T196" i="69" s="1"/>
  <c r="U196" i="69" s="1"/>
  <c r="V196" i="69" s="1"/>
  <c r="Q175" i="69"/>
  <c r="R175" i="69" s="1"/>
  <c r="S175" i="69" s="1"/>
  <c r="T175" i="69" s="1"/>
  <c r="U175" i="69" s="1"/>
  <c r="V175" i="69" s="1"/>
  <c r="Q173" i="69"/>
  <c r="R173" i="69" s="1"/>
  <c r="S173" i="69" s="1"/>
  <c r="T173" i="69" s="1"/>
  <c r="U173" i="69" s="1"/>
  <c r="V173" i="69" s="1"/>
  <c r="Q166" i="69"/>
  <c r="R166" i="69" s="1"/>
  <c r="S166" i="69" s="1"/>
  <c r="T166" i="69" s="1"/>
  <c r="U166" i="69" s="1"/>
  <c r="V166" i="69" s="1"/>
  <c r="Q128" i="69"/>
  <c r="R128" i="69" s="1"/>
  <c r="S128" i="69" s="1"/>
  <c r="T128" i="69" s="1"/>
  <c r="U128" i="69" s="1"/>
  <c r="V128" i="69" s="1"/>
  <c r="Q206" i="69"/>
  <c r="R206" i="69" s="1"/>
  <c r="S206" i="69" s="1"/>
  <c r="T206" i="69" s="1"/>
  <c r="U206" i="69" s="1"/>
  <c r="V206" i="69" s="1"/>
  <c r="Q163" i="69"/>
  <c r="R163" i="69" s="1"/>
  <c r="S163" i="69" s="1"/>
  <c r="T163" i="69" s="1"/>
  <c r="U163" i="69" s="1"/>
  <c r="V163" i="69" s="1"/>
  <c r="Q205" i="69"/>
  <c r="R205" i="69" s="1"/>
  <c r="S205" i="69" s="1"/>
  <c r="T205" i="69" s="1"/>
  <c r="U205" i="69" s="1"/>
  <c r="V205" i="69" s="1"/>
  <c r="Q162" i="69"/>
  <c r="R162" i="69" s="1"/>
  <c r="S162" i="69" s="1"/>
  <c r="T162" i="69" s="1"/>
  <c r="U162" i="69" s="1"/>
  <c r="V162" i="69" s="1"/>
  <c r="R663" i="69"/>
  <c r="S663" i="69" s="1"/>
  <c r="T663" i="69" s="1"/>
  <c r="U663" i="69" s="1"/>
  <c r="V663" i="69" s="1"/>
  <c r="Q203" i="69"/>
  <c r="R203" i="69" s="1"/>
  <c r="S203" i="69" s="1"/>
  <c r="T203" i="69" s="1"/>
  <c r="U203" i="69" s="1"/>
  <c r="V203" i="69" s="1"/>
  <c r="Q77" i="69"/>
  <c r="R77" i="69" s="1"/>
  <c r="S77" i="69" s="1"/>
  <c r="T77" i="69" s="1"/>
  <c r="U77" i="69" s="1"/>
  <c r="V77" i="69" s="1"/>
  <c r="Q76" i="69"/>
  <c r="R76" i="69" s="1"/>
  <c r="S76" i="69" s="1"/>
  <c r="T76" i="69" s="1"/>
  <c r="U76" i="69" s="1"/>
  <c r="V76" i="69" s="1"/>
  <c r="Q75" i="69"/>
  <c r="R75" i="69" s="1"/>
  <c r="S75" i="69" s="1"/>
  <c r="T75" i="69" s="1"/>
  <c r="U75" i="69" s="1"/>
  <c r="V75" i="69" s="1"/>
  <c r="Q74" i="69"/>
  <c r="R74" i="69" s="1"/>
  <c r="S74" i="69" s="1"/>
  <c r="T74" i="69" s="1"/>
  <c r="U74" i="69" s="1"/>
  <c r="V74" i="69" s="1"/>
  <c r="Q73" i="69"/>
  <c r="R73" i="69" s="1"/>
  <c r="S73" i="69" s="1"/>
  <c r="T73" i="69" s="1"/>
  <c r="U73" i="69" s="1"/>
  <c r="V73" i="69" s="1"/>
  <c r="Q72" i="69"/>
  <c r="R72" i="69" s="1"/>
  <c r="S72" i="69" s="1"/>
  <c r="T72" i="69" s="1"/>
  <c r="U72" i="69" s="1"/>
  <c r="V72" i="69" s="1"/>
  <c r="Q2" i="69"/>
  <c r="Q304" i="69"/>
  <c r="R304" i="69" s="1"/>
  <c r="S304" i="69" s="1"/>
  <c r="T304" i="69" s="1"/>
  <c r="U304" i="69" s="1"/>
  <c r="V304" i="69" s="1"/>
  <c r="AC203" i="69"/>
  <c r="U418" i="69" l="1"/>
  <c r="V418" i="69" s="1"/>
  <c r="V2" i="68" s="1"/>
  <c r="R2" i="69"/>
  <c r="AE2" i="69" s="1"/>
  <c r="AM2" i="69" s="1"/>
  <c r="P2" i="68"/>
  <c r="AW684" i="69"/>
  <c r="AJ684" i="69"/>
  <c r="AI684" i="69"/>
  <c r="AQ684" i="69" s="1"/>
  <c r="AH684" i="69"/>
  <c r="AP684" i="69" s="1"/>
  <c r="AG684" i="69"/>
  <c r="AO684" i="69" s="1"/>
  <c r="AF684" i="69"/>
  <c r="AN684" i="69" s="1"/>
  <c r="AE684" i="69"/>
  <c r="AM684" i="69" s="1"/>
  <c r="AD684" i="69"/>
  <c r="AL684" i="69" s="1"/>
  <c r="AC684" i="69"/>
  <c r="AB684" i="69"/>
  <c r="AW641" i="69"/>
  <c r="AJ641" i="69"/>
  <c r="AI641" i="69"/>
  <c r="AQ641" i="69" s="1"/>
  <c r="AH641" i="69"/>
  <c r="AP641" i="69" s="1"/>
  <c r="AG641" i="69"/>
  <c r="AO641" i="69" s="1"/>
  <c r="AF641" i="69"/>
  <c r="AN641" i="69" s="1"/>
  <c r="AE641" i="69"/>
  <c r="AM641" i="69" s="1"/>
  <c r="AD641" i="69"/>
  <c r="AL641" i="69" s="1"/>
  <c r="AC641" i="69"/>
  <c r="AB641" i="69"/>
  <c r="AW640" i="69"/>
  <c r="AJ640" i="69"/>
  <c r="AI640" i="69"/>
  <c r="AQ640" i="69" s="1"/>
  <c r="AH640" i="69"/>
  <c r="AP640" i="69" s="1"/>
  <c r="AG640" i="69"/>
  <c r="AO640" i="69" s="1"/>
  <c r="AF640" i="69"/>
  <c r="AN640" i="69" s="1"/>
  <c r="AE640" i="69"/>
  <c r="AM640" i="69" s="1"/>
  <c r="AD640" i="69"/>
  <c r="AL640" i="69" s="1"/>
  <c r="AC640" i="69"/>
  <c r="AB640" i="69"/>
  <c r="AW506" i="69"/>
  <c r="AJ506" i="69"/>
  <c r="AI506" i="69"/>
  <c r="AQ506" i="69" s="1"/>
  <c r="AH506" i="69"/>
  <c r="AP506" i="69" s="1"/>
  <c r="AG506" i="69"/>
  <c r="AO506" i="69" s="1"/>
  <c r="AF506" i="69"/>
  <c r="AN506" i="69" s="1"/>
  <c r="AE506" i="69"/>
  <c r="AM506" i="69" s="1"/>
  <c r="AD506" i="69"/>
  <c r="AL506" i="69" s="1"/>
  <c r="AC506" i="69"/>
  <c r="AK506" i="69" s="1"/>
  <c r="AB506" i="69"/>
  <c r="AW505" i="69"/>
  <c r="AJ505" i="69"/>
  <c r="AI505" i="69"/>
  <c r="AQ505" i="69" s="1"/>
  <c r="AH505" i="69"/>
  <c r="AP505" i="69" s="1"/>
  <c r="AG505" i="69"/>
  <c r="AO505" i="69" s="1"/>
  <c r="AF505" i="69"/>
  <c r="AN505" i="69" s="1"/>
  <c r="AE505" i="69"/>
  <c r="AM505" i="69" s="1"/>
  <c r="AD505" i="69"/>
  <c r="AL505" i="69" s="1"/>
  <c r="AC505" i="69"/>
  <c r="AB505" i="69"/>
  <c r="AW444" i="69"/>
  <c r="AJ444" i="69"/>
  <c r="AI444" i="69"/>
  <c r="AQ444" i="69" s="1"/>
  <c r="AH444" i="69"/>
  <c r="AP444" i="69" s="1"/>
  <c r="AG444" i="69"/>
  <c r="AO444" i="69" s="1"/>
  <c r="AF444" i="69"/>
  <c r="AN444" i="69" s="1"/>
  <c r="AE444" i="69"/>
  <c r="AM444" i="69" s="1"/>
  <c r="AD444" i="69"/>
  <c r="AL444" i="69" s="1"/>
  <c r="AC444" i="69"/>
  <c r="AK444" i="69" s="1"/>
  <c r="AB444" i="69"/>
  <c r="AW443" i="69"/>
  <c r="AJ443" i="69"/>
  <c r="AI443" i="69"/>
  <c r="AQ443" i="69" s="1"/>
  <c r="AH443" i="69"/>
  <c r="AP443" i="69" s="1"/>
  <c r="AG443" i="69"/>
  <c r="AO443" i="69" s="1"/>
  <c r="AF443" i="69"/>
  <c r="AN443" i="69" s="1"/>
  <c r="AE443" i="69"/>
  <c r="AM443" i="69" s="1"/>
  <c r="AD443" i="69"/>
  <c r="AL443" i="69" s="1"/>
  <c r="AC443" i="69"/>
  <c r="AB443" i="69"/>
  <c r="AW430" i="69"/>
  <c r="I473" i="65" s="1"/>
  <c r="AJ430" i="69"/>
  <c r="AI430" i="69"/>
  <c r="AQ430" i="69" s="1"/>
  <c r="AH430" i="69"/>
  <c r="AP430" i="69" s="1"/>
  <c r="AG430" i="69"/>
  <c r="AO430" i="69" s="1"/>
  <c r="AF430" i="69"/>
  <c r="AN430" i="69" s="1"/>
  <c r="AE430" i="69"/>
  <c r="AM430" i="69" s="1"/>
  <c r="AD430" i="69"/>
  <c r="AL430" i="69" s="1"/>
  <c r="AC430" i="69"/>
  <c r="AB430" i="69"/>
  <c r="AW429" i="69"/>
  <c r="AJ429" i="69"/>
  <c r="AI429" i="69"/>
  <c r="AQ429" i="69" s="1"/>
  <c r="AH429" i="69"/>
  <c r="AP429" i="69" s="1"/>
  <c r="AG429" i="69"/>
  <c r="AO429" i="69" s="1"/>
  <c r="AF429" i="69"/>
  <c r="AN429" i="69" s="1"/>
  <c r="AE429" i="69"/>
  <c r="AM429" i="69" s="1"/>
  <c r="AD429" i="69"/>
  <c r="AL429" i="69" s="1"/>
  <c r="AC429" i="69"/>
  <c r="AB429" i="69"/>
  <c r="AW246" i="69"/>
  <c r="AJ246" i="69"/>
  <c r="AI246" i="69"/>
  <c r="AQ246" i="69" s="1"/>
  <c r="AH246" i="69"/>
  <c r="AP246" i="69" s="1"/>
  <c r="AG246" i="69"/>
  <c r="AO246" i="69" s="1"/>
  <c r="AF246" i="69"/>
  <c r="AN246" i="69" s="1"/>
  <c r="AE246" i="69"/>
  <c r="AM246" i="69" s="1"/>
  <c r="AD246" i="69"/>
  <c r="AL246" i="69" s="1"/>
  <c r="AC246" i="69"/>
  <c r="AB246" i="69"/>
  <c r="AW236" i="69"/>
  <c r="AJ236" i="69"/>
  <c r="AI236" i="69"/>
  <c r="AQ236" i="69" s="1"/>
  <c r="AH236" i="69"/>
  <c r="AP236" i="69" s="1"/>
  <c r="AG236" i="69"/>
  <c r="AO236" i="69" s="1"/>
  <c r="AF236" i="69"/>
  <c r="AN236" i="69" s="1"/>
  <c r="AE236" i="69"/>
  <c r="AM236" i="69" s="1"/>
  <c r="AD236" i="69"/>
  <c r="AL236" i="69" s="1"/>
  <c r="AC236" i="69"/>
  <c r="AK236" i="69" s="1"/>
  <c r="AB236" i="69"/>
  <c r="AW2" i="69"/>
  <c r="AD2" i="69"/>
  <c r="AL2" i="69" s="1"/>
  <c r="AC2" i="69"/>
  <c r="AW72" i="69"/>
  <c r="I420" i="65" s="1"/>
  <c r="AJ72" i="69"/>
  <c r="AI72" i="69"/>
  <c r="AQ72" i="69" s="1"/>
  <c r="AH72" i="69"/>
  <c r="AP72" i="69" s="1"/>
  <c r="AG72" i="69"/>
  <c r="AO72" i="69" s="1"/>
  <c r="AF72" i="69"/>
  <c r="AN72" i="69" s="1"/>
  <c r="AE72" i="69"/>
  <c r="AM72" i="69" s="1"/>
  <c r="AD72" i="69"/>
  <c r="AL72" i="69" s="1"/>
  <c r="AC72" i="69"/>
  <c r="AK72" i="69" s="1"/>
  <c r="AB72" i="69"/>
  <c r="N398" i="65" l="1"/>
  <c r="L398" i="65"/>
  <c r="M398" i="65"/>
  <c r="K398" i="65"/>
  <c r="I528" i="65"/>
  <c r="S2" i="69"/>
  <c r="Q2" i="68"/>
  <c r="AU506" i="69"/>
  <c r="AV506" i="69" s="1"/>
  <c r="AS430" i="69"/>
  <c r="K473" i="65" s="1"/>
  <c r="AS640" i="69"/>
  <c r="AS443" i="69"/>
  <c r="AS246" i="69"/>
  <c r="AS641" i="69"/>
  <c r="AS429" i="69"/>
  <c r="AS505" i="69"/>
  <c r="AS684" i="69"/>
  <c r="AK684" i="69"/>
  <c r="AK641" i="69"/>
  <c r="AU641" i="69" s="1"/>
  <c r="AV641" i="69" s="1"/>
  <c r="AK640" i="69"/>
  <c r="AU640" i="69" s="1"/>
  <c r="AV640" i="69" s="1"/>
  <c r="N605" i="65" s="1"/>
  <c r="O605" i="65" s="1"/>
  <c r="AT506" i="69"/>
  <c r="AR506" i="69"/>
  <c r="AS506" i="69"/>
  <c r="AK505" i="69"/>
  <c r="AU505" i="69" s="1"/>
  <c r="AV505" i="69" s="1"/>
  <c r="AT444" i="69"/>
  <c r="AR444" i="69"/>
  <c r="AU444" i="69"/>
  <c r="AV444" i="69" s="1"/>
  <c r="AS444" i="69"/>
  <c r="AK443" i="69"/>
  <c r="AU443" i="69" s="1"/>
  <c r="AV443" i="69" s="1"/>
  <c r="AK430" i="69"/>
  <c r="AK429" i="69"/>
  <c r="AU429" i="69" s="1"/>
  <c r="AV429" i="69" s="1"/>
  <c r="AK246" i="69"/>
  <c r="AU246" i="69" s="1"/>
  <c r="AV246" i="69" s="1"/>
  <c r="AR236" i="69"/>
  <c r="AT236" i="69"/>
  <c r="AU236" i="69"/>
  <c r="AV236" i="69" s="1"/>
  <c r="AS236" i="69"/>
  <c r="AK2" i="69"/>
  <c r="AT72" i="69"/>
  <c r="L420" i="65" s="1"/>
  <c r="AR72" i="69"/>
  <c r="M420" i="65" s="1"/>
  <c r="AU72" i="69"/>
  <c r="AV72" i="69" s="1"/>
  <c r="N420" i="65" s="1"/>
  <c r="AS72" i="69"/>
  <c r="K420" i="65" s="1"/>
  <c r="AJ245" i="69"/>
  <c r="AB245" i="69"/>
  <c r="AW682" i="69"/>
  <c r="AJ682" i="69"/>
  <c r="AC682" i="69"/>
  <c r="AB682" i="69"/>
  <c r="AW681" i="69"/>
  <c r="AJ681" i="69"/>
  <c r="AC681" i="69"/>
  <c r="AB681" i="69"/>
  <c r="AW680" i="69"/>
  <c r="AJ680" i="69"/>
  <c r="AC680" i="69"/>
  <c r="AK680" i="69" s="1"/>
  <c r="AB680" i="69"/>
  <c r="AW679" i="69"/>
  <c r="AJ679" i="69"/>
  <c r="AC679" i="69"/>
  <c r="AB679" i="69"/>
  <c r="AW304" i="69"/>
  <c r="I163" i="65" s="1"/>
  <c r="AJ304" i="69"/>
  <c r="AC304" i="69"/>
  <c r="AB304" i="69"/>
  <c r="AW8" i="69"/>
  <c r="AJ8" i="69"/>
  <c r="AB8" i="69"/>
  <c r="AC245" i="69"/>
  <c r="AK245" i="69" s="1"/>
  <c r="AC8" i="69"/>
  <c r="AW245" i="69"/>
  <c r="AI682" i="69"/>
  <c r="AQ682" i="69" s="1"/>
  <c r="AI681" i="69"/>
  <c r="AQ681" i="69" s="1"/>
  <c r="AI680" i="69"/>
  <c r="AQ680" i="69" s="1"/>
  <c r="AI679" i="69"/>
  <c r="AQ679" i="69" s="1"/>
  <c r="AI304" i="69"/>
  <c r="AQ304" i="69" s="1"/>
  <c r="AI245" i="69"/>
  <c r="AQ245" i="69" s="1"/>
  <c r="I605" i="65" l="1"/>
  <c r="T2" i="69"/>
  <c r="R2" i="68"/>
  <c r="AF2" i="69"/>
  <c r="N528" i="65"/>
  <c r="O528" i="65" s="1"/>
  <c r="I656" i="65"/>
  <c r="AI8" i="69"/>
  <c r="AQ8" i="69" s="1"/>
  <c r="AE679" i="69"/>
  <c r="AM679" i="69" s="1"/>
  <c r="AT684" i="69"/>
  <c r="AR684" i="69"/>
  <c r="K254" i="65" s="1"/>
  <c r="AU684" i="69"/>
  <c r="AV684" i="69" s="1"/>
  <c r="I254" i="65" s="1"/>
  <c r="AT641" i="69"/>
  <c r="AR641" i="69"/>
  <c r="K528" i="65" s="1"/>
  <c r="AT640" i="69"/>
  <c r="AR640" i="69"/>
  <c r="K605" i="65" s="1"/>
  <c r="AT505" i="69"/>
  <c r="AR505" i="69"/>
  <c r="AT443" i="69"/>
  <c r="AR443" i="69"/>
  <c r="AT430" i="69"/>
  <c r="L473" i="65" s="1"/>
  <c r="AR430" i="69"/>
  <c r="M473" i="65" s="1"/>
  <c r="AU430" i="69"/>
  <c r="AV430" i="69" s="1"/>
  <c r="N473" i="65" s="1"/>
  <c r="AT429" i="69"/>
  <c r="AR429" i="69"/>
  <c r="AT246" i="69"/>
  <c r="AR246" i="69"/>
  <c r="AG679" i="69"/>
  <c r="AO679" i="69" s="1"/>
  <c r="AE304" i="69"/>
  <c r="AM304" i="69" s="1"/>
  <c r="AF304" i="69"/>
  <c r="AN304" i="69" s="1"/>
  <c r="AE681" i="69"/>
  <c r="AM681" i="69" s="1"/>
  <c r="AF681" i="69"/>
  <c r="AN681" i="69" s="1"/>
  <c r="AG681" i="69"/>
  <c r="AO681" i="69" s="1"/>
  <c r="AG682" i="69"/>
  <c r="AO682" i="69" s="1"/>
  <c r="AE245" i="69"/>
  <c r="AM245" i="69" s="1"/>
  <c r="AD8" i="69"/>
  <c r="AL8" i="69" s="1"/>
  <c r="AF679" i="69"/>
  <c r="AN679" i="69" s="1"/>
  <c r="AD680" i="69"/>
  <c r="AL680" i="69" s="1"/>
  <c r="AH682" i="69"/>
  <c r="AP682" i="69" s="1"/>
  <c r="AE680" i="69"/>
  <c r="AM680" i="69" s="1"/>
  <c r="AE8" i="69"/>
  <c r="AM8" i="69" s="1"/>
  <c r="AH245" i="69"/>
  <c r="AP245" i="69" s="1"/>
  <c r="AD245" i="69"/>
  <c r="AL245" i="69" s="1"/>
  <c r="AF8" i="69"/>
  <c r="AN8" i="69" s="1"/>
  <c r="AD304" i="69"/>
  <c r="AL304" i="69" s="1"/>
  <c r="AH679" i="69"/>
  <c r="AP679" i="69" s="1"/>
  <c r="AF680" i="69"/>
  <c r="AN680" i="69" s="1"/>
  <c r="AD681" i="69"/>
  <c r="AL681" i="69" s="1"/>
  <c r="AG680" i="69"/>
  <c r="AO680" i="69" s="1"/>
  <c r="AH8" i="69"/>
  <c r="AP8" i="69" s="1"/>
  <c r="AH680" i="69"/>
  <c r="AP680" i="69" s="1"/>
  <c r="AD682" i="69"/>
  <c r="AL682" i="69" s="1"/>
  <c r="AG8" i="69"/>
  <c r="AO8" i="69" s="1"/>
  <c r="AG245" i="69"/>
  <c r="AO245" i="69" s="1"/>
  <c r="AG304" i="69"/>
  <c r="AO304" i="69" s="1"/>
  <c r="AE682" i="69"/>
  <c r="AM682" i="69" s="1"/>
  <c r="AF245" i="69"/>
  <c r="AN245" i="69" s="1"/>
  <c r="AH304" i="69"/>
  <c r="AP304" i="69" s="1"/>
  <c r="AD679" i="69"/>
  <c r="AL679" i="69" s="1"/>
  <c r="AH681" i="69"/>
  <c r="AP681" i="69" s="1"/>
  <c r="AF682" i="69"/>
  <c r="AN682" i="69" s="1"/>
  <c r="AK682" i="69"/>
  <c r="AK681" i="69"/>
  <c r="AK679" i="69"/>
  <c r="AK304" i="69"/>
  <c r="AK8" i="69"/>
  <c r="L528" i="65" l="1"/>
  <c r="N254" i="65"/>
  <c r="O254" i="65" s="1"/>
  <c r="AN2" i="69"/>
  <c r="L254" i="65"/>
  <c r="M254" i="65"/>
  <c r="U2" i="69"/>
  <c r="S2" i="68"/>
  <c r="AG2" i="69"/>
  <c r="AO2" i="69" s="1"/>
  <c r="M605" i="65"/>
  <c r="L605" i="65"/>
  <c r="M528" i="65"/>
  <c r="O473" i="65"/>
  <c r="AR680" i="69"/>
  <c r="AU8" i="69"/>
  <c r="AV8" i="69" s="1"/>
  <c r="I511" i="65" s="1"/>
  <c r="AT680" i="69"/>
  <c r="AT245" i="69"/>
  <c r="AU680" i="69"/>
  <c r="AV680" i="69" s="1"/>
  <c r="I600" i="65" s="1"/>
  <c r="AS682" i="69"/>
  <c r="AS680" i="69"/>
  <c r="AR245" i="69"/>
  <c r="AS681" i="69"/>
  <c r="AS304" i="69"/>
  <c r="K163" i="65" s="1"/>
  <c r="AS8" i="69"/>
  <c r="K511" i="65" s="1"/>
  <c r="AU681" i="69"/>
  <c r="AV681" i="69" s="1"/>
  <c r="I601" i="65" s="1"/>
  <c r="AU245" i="69"/>
  <c r="AV245" i="69" s="1"/>
  <c r="AS679" i="69"/>
  <c r="AS245" i="69"/>
  <c r="AR682" i="69"/>
  <c r="AT682" i="69"/>
  <c r="AU682" i="69"/>
  <c r="AV682" i="69" s="1"/>
  <c r="I602" i="65" s="1"/>
  <c r="AT681" i="69"/>
  <c r="AR681" i="69"/>
  <c r="AU679" i="69"/>
  <c r="AV679" i="69" s="1"/>
  <c r="I599" i="65" s="1"/>
  <c r="AT679" i="69"/>
  <c r="AR679" i="69"/>
  <c r="AT304" i="69"/>
  <c r="L163" i="65" s="1"/>
  <c r="AR304" i="69"/>
  <c r="M163" i="65" s="1"/>
  <c r="AU304" i="69"/>
  <c r="AV304" i="69" s="1"/>
  <c r="AT8" i="69"/>
  <c r="AR8" i="69"/>
  <c r="M511" i="65" s="1"/>
  <c r="L511" i="65" l="1"/>
  <c r="L602" i="65"/>
  <c r="K601" i="65"/>
  <c r="I307" i="65"/>
  <c r="N599" i="65"/>
  <c r="O599" i="65" s="1"/>
  <c r="N656" i="65"/>
  <c r="O656" i="65" s="1"/>
  <c r="N600" i="65"/>
  <c r="O600" i="65" s="1"/>
  <c r="N602" i="65"/>
  <c r="O602" i="65" s="1"/>
  <c r="V2" i="69"/>
  <c r="T2" i="68"/>
  <c r="AH2" i="69"/>
  <c r="M656" i="65"/>
  <c r="M600" i="65"/>
  <c r="M602" i="65"/>
  <c r="M599" i="65"/>
  <c r="K656" i="65"/>
  <c r="K600" i="65"/>
  <c r="L599" i="65"/>
  <c r="K599" i="65"/>
  <c r="K602" i="65"/>
  <c r="N601" i="65"/>
  <c r="O601" i="65" s="1"/>
  <c r="M601" i="65"/>
  <c r="L601" i="65"/>
  <c r="L656" i="65"/>
  <c r="L600" i="65"/>
  <c r="O162" i="65"/>
  <c r="N163" i="65"/>
  <c r="O680" i="65"/>
  <c r="N511" i="65"/>
  <c r="I268" i="65"/>
  <c r="K307" i="65" l="1"/>
  <c r="L307" i="65"/>
  <c r="AP2" i="69"/>
  <c r="M307" i="65"/>
  <c r="N307" i="65"/>
  <c r="O307" i="65" s="1"/>
  <c r="U2" i="68"/>
  <c r="AI2" i="69"/>
  <c r="AQ2" i="69" l="1"/>
  <c r="AU2" i="69" s="1"/>
  <c r="AV2" i="69" s="1"/>
  <c r="AS2" i="69"/>
  <c r="I266" i="65"/>
  <c r="N607" i="65" l="1"/>
  <c r="O607" i="65" s="1"/>
  <c r="I607" i="65"/>
  <c r="AT2" i="69"/>
  <c r="L607" i="65" s="1"/>
  <c r="AR2" i="69"/>
  <c r="M607" i="65" s="1"/>
  <c r="K607" i="65" l="1"/>
  <c r="K266" i="65" l="1"/>
  <c r="N266" i="65"/>
  <c r="L266" i="65" l="1"/>
  <c r="M266" i="65"/>
  <c r="AW3" i="69" l="1"/>
  <c r="AW4" i="69"/>
  <c r="AW5" i="69"/>
  <c r="AW71" i="69"/>
  <c r="I24" i="65" s="1"/>
  <c r="AW73" i="69"/>
  <c r="I421" i="65" s="1"/>
  <c r="AW74" i="69"/>
  <c r="AW75" i="69"/>
  <c r="AW203" i="69"/>
  <c r="AW204" i="69"/>
  <c r="AW205" i="69"/>
  <c r="AW206" i="69"/>
  <c r="AW207" i="69"/>
  <c r="AW208" i="69"/>
  <c r="AW237" i="69"/>
  <c r="AW238" i="69"/>
  <c r="AW239" i="69"/>
  <c r="AW240" i="69"/>
  <c r="AW241" i="69"/>
  <c r="AW242" i="69"/>
  <c r="AW243" i="69"/>
  <c r="AW244" i="69"/>
  <c r="AW306" i="69"/>
  <c r="AW308" i="69"/>
  <c r="I167" i="65" s="1"/>
  <c r="AW309" i="69"/>
  <c r="I168" i="65" s="1"/>
  <c r="AW310" i="69"/>
  <c r="AW335" i="69"/>
  <c r="AW337" i="69"/>
  <c r="AW347" i="69"/>
  <c r="AW348" i="69"/>
  <c r="AW399" i="69"/>
  <c r="I217" i="65" s="1"/>
  <c r="AW416" i="69"/>
  <c r="I618" i="65" s="1"/>
  <c r="AW424" i="69"/>
  <c r="AW472" i="69"/>
  <c r="I631" i="65" s="1"/>
  <c r="AW473" i="69"/>
  <c r="I362" i="65" s="1"/>
  <c r="AW475" i="69"/>
  <c r="AW476" i="69"/>
  <c r="AW477" i="69"/>
  <c r="AW479" i="69"/>
  <c r="AW481" i="69"/>
  <c r="AW496" i="69"/>
  <c r="AW510" i="69"/>
  <c r="AW511" i="69"/>
  <c r="AW512" i="69"/>
  <c r="AW514" i="69"/>
  <c r="AW517" i="69"/>
  <c r="AW582" i="69"/>
  <c r="AW589" i="69"/>
  <c r="AW590" i="69"/>
  <c r="AW592" i="69"/>
  <c r="AW593" i="69"/>
  <c r="AW594" i="69"/>
  <c r="AW595" i="69"/>
  <c r="AW596" i="69"/>
  <c r="AW597" i="69"/>
  <c r="AW605" i="69"/>
  <c r="AW646" i="69"/>
  <c r="AW647" i="69"/>
  <c r="AW648" i="69"/>
  <c r="AW649" i="69"/>
  <c r="AW650" i="69"/>
  <c r="AW651" i="69"/>
  <c r="AW653" i="69"/>
  <c r="AJ3" i="69"/>
  <c r="AJ4" i="69"/>
  <c r="AJ5" i="69"/>
  <c r="AJ71" i="69"/>
  <c r="AJ73" i="69"/>
  <c r="AJ74" i="69"/>
  <c r="AJ75" i="69"/>
  <c r="AJ203" i="69"/>
  <c r="AJ204" i="69"/>
  <c r="AJ205" i="69"/>
  <c r="AJ206" i="69"/>
  <c r="AJ207" i="69"/>
  <c r="AJ208" i="69"/>
  <c r="AJ237" i="69"/>
  <c r="AJ238" i="69"/>
  <c r="AJ239" i="69"/>
  <c r="AJ240" i="69"/>
  <c r="AJ241" i="69"/>
  <c r="AJ242" i="69"/>
  <c r="AJ243" i="69"/>
  <c r="AJ244" i="69"/>
  <c r="AJ306" i="69"/>
  <c r="AJ308" i="69"/>
  <c r="AJ309" i="69"/>
  <c r="AJ310" i="69"/>
  <c r="AJ335" i="69"/>
  <c r="AJ337" i="69"/>
  <c r="AJ347" i="69"/>
  <c r="AJ348" i="69"/>
  <c r="AJ399" i="69"/>
  <c r="AJ416" i="69"/>
  <c r="AJ424" i="69"/>
  <c r="AJ472" i="69"/>
  <c r="AJ473" i="69"/>
  <c r="AJ475" i="69"/>
  <c r="AJ476" i="69"/>
  <c r="AJ477" i="69"/>
  <c r="AJ479" i="69"/>
  <c r="AJ481" i="69"/>
  <c r="AJ496" i="69"/>
  <c r="AJ510" i="69"/>
  <c r="AJ511" i="69"/>
  <c r="AJ512" i="69"/>
  <c r="AJ514" i="69"/>
  <c r="AJ517" i="69"/>
  <c r="AJ582" i="69"/>
  <c r="AJ589" i="69"/>
  <c r="AJ590" i="69"/>
  <c r="AJ592" i="69"/>
  <c r="AJ593" i="69"/>
  <c r="AJ594" i="69"/>
  <c r="AJ595" i="69"/>
  <c r="AJ596" i="69"/>
  <c r="AJ597" i="69"/>
  <c r="AJ605" i="69"/>
  <c r="AJ646" i="69"/>
  <c r="AJ647" i="69"/>
  <c r="AJ648" i="69"/>
  <c r="AJ649" i="69"/>
  <c r="AJ650" i="69"/>
  <c r="AJ651" i="69"/>
  <c r="AJ653" i="69"/>
  <c r="AC3" i="69"/>
  <c r="AC4" i="69"/>
  <c r="AC5" i="69"/>
  <c r="AC71" i="69"/>
  <c r="AC73" i="69"/>
  <c r="AC74" i="69"/>
  <c r="AC75" i="69"/>
  <c r="AC204" i="69"/>
  <c r="AC205" i="69"/>
  <c r="AC206" i="69"/>
  <c r="AC207" i="69"/>
  <c r="AC208" i="69"/>
  <c r="AC237" i="69"/>
  <c r="AC238" i="69"/>
  <c r="AC239" i="69"/>
  <c r="AC240" i="69"/>
  <c r="AC241" i="69"/>
  <c r="AC242" i="69"/>
  <c r="AC243" i="69"/>
  <c r="AC244" i="69"/>
  <c r="AC306" i="69"/>
  <c r="AC308" i="69"/>
  <c r="AC309" i="69"/>
  <c r="AC310" i="69"/>
  <c r="AC335" i="69"/>
  <c r="AC337" i="69"/>
  <c r="AC347" i="69"/>
  <c r="AC348" i="69"/>
  <c r="AC399" i="69"/>
  <c r="AC416" i="69"/>
  <c r="AC424" i="69"/>
  <c r="AC472" i="69"/>
  <c r="AC473" i="69"/>
  <c r="AC475" i="69"/>
  <c r="AC476" i="69"/>
  <c r="AC477" i="69"/>
  <c r="AC479" i="69"/>
  <c r="AC481" i="69"/>
  <c r="AC496" i="69"/>
  <c r="AC510" i="69"/>
  <c r="AC511" i="69"/>
  <c r="AC512" i="69"/>
  <c r="AC514" i="69"/>
  <c r="AC517" i="69"/>
  <c r="AC582" i="69"/>
  <c r="AC589" i="69"/>
  <c r="AC590" i="69"/>
  <c r="AC592" i="69"/>
  <c r="AC593" i="69"/>
  <c r="AC594" i="69"/>
  <c r="AC595" i="69"/>
  <c r="AC596" i="69"/>
  <c r="AC597" i="69"/>
  <c r="AC605" i="69"/>
  <c r="AC646" i="69"/>
  <c r="AC647" i="69"/>
  <c r="AC648" i="69"/>
  <c r="AC649" i="69"/>
  <c r="AC650" i="69"/>
  <c r="AC651" i="69"/>
  <c r="AC653" i="69"/>
  <c r="AB3" i="69"/>
  <c r="AB4" i="69"/>
  <c r="AB5" i="69"/>
  <c r="AB71" i="69"/>
  <c r="AB73" i="69"/>
  <c r="AB74" i="69"/>
  <c r="AB75" i="69"/>
  <c r="AB203" i="69"/>
  <c r="AB204" i="69"/>
  <c r="AB205" i="69"/>
  <c r="AB206" i="69"/>
  <c r="AB207" i="69"/>
  <c r="AB208" i="69"/>
  <c r="AB237" i="69"/>
  <c r="AB238" i="69"/>
  <c r="AB239" i="69"/>
  <c r="AB240" i="69"/>
  <c r="AB241" i="69"/>
  <c r="AB242" i="69"/>
  <c r="AB243" i="69"/>
  <c r="AB244" i="69"/>
  <c r="AB306" i="69"/>
  <c r="AB308" i="69"/>
  <c r="AB309" i="69"/>
  <c r="AB310" i="69"/>
  <c r="AB335" i="69"/>
  <c r="AB337" i="69"/>
  <c r="AB347" i="69"/>
  <c r="AB348" i="69"/>
  <c r="AB399" i="69"/>
  <c r="AB416" i="69"/>
  <c r="AB424" i="69"/>
  <c r="AB472" i="69"/>
  <c r="AB473" i="69"/>
  <c r="AB475" i="69"/>
  <c r="AB476" i="69"/>
  <c r="AB477" i="69"/>
  <c r="AB479" i="69"/>
  <c r="AB481" i="69"/>
  <c r="AB496" i="69"/>
  <c r="AB510" i="69"/>
  <c r="AB511" i="69"/>
  <c r="AB512" i="69"/>
  <c r="AB514" i="69"/>
  <c r="AB517" i="69"/>
  <c r="AB582" i="69"/>
  <c r="AB589" i="69"/>
  <c r="AB590" i="69"/>
  <c r="AB592" i="69"/>
  <c r="AB593" i="69"/>
  <c r="AB594" i="69"/>
  <c r="AB595" i="69"/>
  <c r="AB596" i="69"/>
  <c r="AB597" i="69"/>
  <c r="AB605" i="69"/>
  <c r="AB646" i="69"/>
  <c r="AB647" i="69"/>
  <c r="AB648" i="69"/>
  <c r="AB649" i="69"/>
  <c r="AB650" i="69"/>
  <c r="AB651" i="69"/>
  <c r="AB653" i="69"/>
  <c r="Q3" i="69"/>
  <c r="AD3" i="69" s="1"/>
  <c r="AL3" i="69" s="1"/>
  <c r="AD4" i="69"/>
  <c r="AL4" i="69" s="1"/>
  <c r="Q5" i="69"/>
  <c r="AD5" i="69" s="1"/>
  <c r="AL5" i="69" s="1"/>
  <c r="AD71" i="69"/>
  <c r="AL71" i="69" s="1"/>
  <c r="AD73" i="69"/>
  <c r="AL73" i="69" s="1"/>
  <c r="AD74" i="69"/>
  <c r="AL74" i="69" s="1"/>
  <c r="AD75" i="69"/>
  <c r="AL75" i="69" s="1"/>
  <c r="AD203" i="69"/>
  <c r="AL203" i="69" s="1"/>
  <c r="AD204" i="69"/>
  <c r="AL204" i="69" s="1"/>
  <c r="AD205" i="69"/>
  <c r="AL205" i="69" s="1"/>
  <c r="AD206" i="69"/>
  <c r="AL206" i="69" s="1"/>
  <c r="AD207" i="69"/>
  <c r="AL207" i="69" s="1"/>
  <c r="AD208" i="69"/>
  <c r="AL208" i="69" s="1"/>
  <c r="Q237" i="69"/>
  <c r="AD237" i="69" s="1"/>
  <c r="AL237" i="69" s="1"/>
  <c r="Q238" i="69"/>
  <c r="AD238" i="69" s="1"/>
  <c r="AL238" i="69" s="1"/>
  <c r="Q239" i="69"/>
  <c r="AD239" i="69" s="1"/>
  <c r="AL239" i="69" s="1"/>
  <c r="Q240" i="69"/>
  <c r="AD240" i="69" s="1"/>
  <c r="AL240" i="69" s="1"/>
  <c r="Q241" i="69"/>
  <c r="AD241" i="69" s="1"/>
  <c r="AL241" i="69" s="1"/>
  <c r="Q242" i="69"/>
  <c r="AD242" i="69" s="1"/>
  <c r="AL242" i="69" s="1"/>
  <c r="Q243" i="69"/>
  <c r="AD243" i="69" s="1"/>
  <c r="AL243" i="69" s="1"/>
  <c r="Q244" i="69"/>
  <c r="AD244" i="69" s="1"/>
  <c r="AL244" i="69" s="1"/>
  <c r="Q306" i="69"/>
  <c r="AD306" i="69" s="1"/>
  <c r="AL306" i="69" s="1"/>
  <c r="AD308" i="69"/>
  <c r="AL308" i="69" s="1"/>
  <c r="AD309" i="69"/>
  <c r="AL309" i="69" s="1"/>
  <c r="Q310" i="69"/>
  <c r="AD310" i="69" s="1"/>
  <c r="AL310" i="69" s="1"/>
  <c r="AD335" i="69"/>
  <c r="AL335" i="69" s="1"/>
  <c r="AD337" i="69"/>
  <c r="AL337" i="69" s="1"/>
  <c r="AD347" i="69"/>
  <c r="AL347" i="69" s="1"/>
  <c r="AD348" i="69"/>
  <c r="AL348" i="69" s="1"/>
  <c r="AD399" i="69"/>
  <c r="AL399" i="69" s="1"/>
  <c r="AD416" i="69"/>
  <c r="AL416" i="69" s="1"/>
  <c r="AD424" i="69"/>
  <c r="AL424" i="69" s="1"/>
  <c r="Q472" i="69"/>
  <c r="AD472" i="69" s="1"/>
  <c r="AL472" i="69" s="1"/>
  <c r="Q473" i="69"/>
  <c r="AD473" i="69" s="1"/>
  <c r="AL473" i="69" s="1"/>
  <c r="Q475" i="69"/>
  <c r="AD475" i="69" s="1"/>
  <c r="AL475" i="69" s="1"/>
  <c r="Q476" i="69"/>
  <c r="AD476" i="69" s="1"/>
  <c r="AL476" i="69" s="1"/>
  <c r="AD477" i="69"/>
  <c r="AL477" i="69" s="1"/>
  <c r="AD479" i="69"/>
  <c r="AL479" i="69" s="1"/>
  <c r="Q481" i="69"/>
  <c r="AD481" i="69" s="1"/>
  <c r="AL481" i="69" s="1"/>
  <c r="Q496" i="69"/>
  <c r="AD496" i="69" s="1"/>
  <c r="AL496" i="69" s="1"/>
  <c r="Q510" i="69"/>
  <c r="R510" i="69" s="1"/>
  <c r="AD511" i="69"/>
  <c r="AL511" i="69" s="1"/>
  <c r="Q512" i="69"/>
  <c r="AD512" i="69" s="1"/>
  <c r="AL512" i="69" s="1"/>
  <c r="Q514" i="69"/>
  <c r="AD514" i="69" s="1"/>
  <c r="AL514" i="69" s="1"/>
  <c r="Q582" i="69"/>
  <c r="AD582" i="69" s="1"/>
  <c r="AL582" i="69" s="1"/>
  <c r="AD589" i="69"/>
  <c r="AL589" i="69" s="1"/>
  <c r="Q590" i="69"/>
  <c r="R590" i="69" s="1"/>
  <c r="AD592" i="69"/>
  <c r="AL592" i="69" s="1"/>
  <c r="Q593" i="69"/>
  <c r="AD593" i="69" s="1"/>
  <c r="AL593" i="69" s="1"/>
  <c r="AD594" i="69"/>
  <c r="AL594" i="69" s="1"/>
  <c r="AD597" i="69"/>
  <c r="AL597" i="69" s="1"/>
  <c r="Q605" i="69"/>
  <c r="AD605" i="69" s="1"/>
  <c r="AL605" i="69" s="1"/>
  <c r="Q646" i="69"/>
  <c r="R646" i="69" s="1"/>
  <c r="Q647" i="69"/>
  <c r="AD647" i="69" s="1"/>
  <c r="AL647" i="69" s="1"/>
  <c r="Q648" i="69"/>
  <c r="AD648" i="69" s="1"/>
  <c r="AL648" i="69" s="1"/>
  <c r="Q649" i="69"/>
  <c r="AD649" i="69" s="1"/>
  <c r="AL649" i="69" s="1"/>
  <c r="Q650" i="69"/>
  <c r="R650" i="69" s="1"/>
  <c r="Q651" i="69"/>
  <c r="AD651" i="69" s="1"/>
  <c r="AL651" i="69" s="1"/>
  <c r="AD653" i="69"/>
  <c r="AL653" i="69" s="1"/>
  <c r="I483" i="65" l="1"/>
  <c r="I218" i="65"/>
  <c r="I237" i="65"/>
  <c r="I503" i="65"/>
  <c r="I165" i="65"/>
  <c r="I230" i="65"/>
  <c r="I251" i="65"/>
  <c r="I229" i="65"/>
  <c r="I527" i="65"/>
  <c r="I515" i="65"/>
  <c r="I610" i="65"/>
  <c r="I648" i="65"/>
  <c r="I216" i="65"/>
  <c r="I199" i="65"/>
  <c r="I357" i="65"/>
  <c r="I169" i="65"/>
  <c r="I215" i="65"/>
  <c r="R511" i="69"/>
  <c r="S511" i="69" s="1"/>
  <c r="T511" i="69" s="1"/>
  <c r="U511" i="69" s="1"/>
  <c r="V511" i="69" s="1"/>
  <c r="AI511" i="69" s="1"/>
  <c r="AQ511" i="69" s="1"/>
  <c r="R481" i="69"/>
  <c r="AE481" i="69" s="1"/>
  <c r="AM481" i="69" s="1"/>
  <c r="AE204" i="69"/>
  <c r="AM204" i="69" s="1"/>
  <c r="R647" i="69"/>
  <c r="S647" i="69" s="1"/>
  <c r="T647" i="69" s="1"/>
  <c r="U647" i="69" s="1"/>
  <c r="V647" i="69" s="1"/>
  <c r="AI647" i="69" s="1"/>
  <c r="AQ647" i="69" s="1"/>
  <c r="R472" i="69"/>
  <c r="S472" i="69" s="1"/>
  <c r="R240" i="69"/>
  <c r="AE240" i="69" s="1"/>
  <c r="AM240" i="69" s="1"/>
  <c r="R310" i="69"/>
  <c r="S310" i="69" s="1"/>
  <c r="AI592" i="69"/>
  <c r="AQ592" i="69" s="1"/>
  <c r="AE416" i="69"/>
  <c r="AM416" i="69" s="1"/>
  <c r="R238" i="69"/>
  <c r="S238" i="69" s="1"/>
  <c r="R5" i="69"/>
  <c r="S5" i="69" s="1"/>
  <c r="AE596" i="69"/>
  <c r="AM596" i="69" s="1"/>
  <c r="AE646" i="69"/>
  <c r="AM646" i="69" s="1"/>
  <c r="S646" i="69"/>
  <c r="AE595" i="69"/>
  <c r="AM595" i="69" s="1"/>
  <c r="AE590" i="69"/>
  <c r="AM590" i="69" s="1"/>
  <c r="S590" i="69"/>
  <c r="AE517" i="69"/>
  <c r="AM517" i="69" s="1"/>
  <c r="AE510" i="69"/>
  <c r="AM510" i="69" s="1"/>
  <c r="S510" i="69"/>
  <c r="S650" i="69"/>
  <c r="AE650" i="69"/>
  <c r="AM650" i="69" s="1"/>
  <c r="R648" i="69"/>
  <c r="R605" i="69"/>
  <c r="R593" i="69"/>
  <c r="R512" i="69"/>
  <c r="R475" i="69"/>
  <c r="R335" i="69"/>
  <c r="R242" i="69"/>
  <c r="AK653" i="69"/>
  <c r="AK649" i="69"/>
  <c r="AD646" i="69"/>
  <c r="AL646" i="69" s="1"/>
  <c r="AK605" i="69"/>
  <c r="AD595" i="69"/>
  <c r="AL595" i="69" s="1"/>
  <c r="AK594" i="69"/>
  <c r="AD590" i="69"/>
  <c r="AL590" i="69" s="1"/>
  <c r="AK589" i="69"/>
  <c r="AD517" i="69"/>
  <c r="AL517" i="69" s="1"/>
  <c r="AK514" i="69"/>
  <c r="AD510" i="69"/>
  <c r="AL510" i="69" s="1"/>
  <c r="R306" i="69"/>
  <c r="R237" i="69"/>
  <c r="AD650" i="69"/>
  <c r="AL650" i="69" s="1"/>
  <c r="AK646" i="69"/>
  <c r="AD596" i="69"/>
  <c r="AL596" i="69" s="1"/>
  <c r="AK595" i="69"/>
  <c r="AK590" i="69"/>
  <c r="AK517" i="69"/>
  <c r="AK510" i="69"/>
  <c r="R651" i="69"/>
  <c r="R649" i="69"/>
  <c r="R582" i="69"/>
  <c r="R514" i="69"/>
  <c r="R496" i="69"/>
  <c r="R473" i="69"/>
  <c r="R244" i="69"/>
  <c r="R241" i="69"/>
  <c r="R239" i="69"/>
  <c r="AK650" i="69"/>
  <c r="AK647" i="69"/>
  <c r="AK596" i="69"/>
  <c r="AK592" i="69"/>
  <c r="AK511" i="69"/>
  <c r="R476" i="69"/>
  <c r="R243" i="69"/>
  <c r="R3" i="69"/>
  <c r="AK651" i="69"/>
  <c r="AK648" i="69"/>
  <c r="AK597" i="69"/>
  <c r="AK593" i="69"/>
  <c r="AK582" i="69"/>
  <c r="AK512" i="69"/>
  <c r="AK496" i="69"/>
  <c r="AK476" i="69"/>
  <c r="AK424" i="69"/>
  <c r="AK347" i="69"/>
  <c r="AK309" i="69"/>
  <c r="AK243" i="69"/>
  <c r="AK239" i="69"/>
  <c r="AK207" i="69"/>
  <c r="AK203" i="69"/>
  <c r="AK73" i="69"/>
  <c r="AK3" i="69"/>
  <c r="AK477" i="69"/>
  <c r="AK472" i="69"/>
  <c r="AK348" i="69"/>
  <c r="AK310" i="69"/>
  <c r="AK244" i="69"/>
  <c r="AK240" i="69"/>
  <c r="AK208" i="69"/>
  <c r="AK204" i="69"/>
  <c r="AK74" i="69"/>
  <c r="AK4" i="69"/>
  <c r="AK479" i="69"/>
  <c r="AK473" i="69"/>
  <c r="AK399" i="69"/>
  <c r="AK335" i="69"/>
  <c r="AK306" i="69"/>
  <c r="AK241" i="69"/>
  <c r="AK237" i="69"/>
  <c r="AK205" i="69"/>
  <c r="AK75" i="69"/>
  <c r="AK481" i="69"/>
  <c r="AK475" i="69"/>
  <c r="AK416" i="69"/>
  <c r="AK337" i="69"/>
  <c r="AK308" i="69"/>
  <c r="AK242" i="69"/>
  <c r="AK238" i="69"/>
  <c r="AK206" i="69"/>
  <c r="AK71" i="69"/>
  <c r="AK5" i="69"/>
  <c r="AW10" i="69"/>
  <c r="AW11" i="69"/>
  <c r="AW12" i="69"/>
  <c r="AW13" i="69"/>
  <c r="AW14" i="69"/>
  <c r="AW15" i="69"/>
  <c r="AW16" i="69"/>
  <c r="AW17" i="69"/>
  <c r="AW18" i="69"/>
  <c r="AW19" i="69"/>
  <c r="AW20" i="69"/>
  <c r="AW21" i="69"/>
  <c r="AW22" i="69"/>
  <c r="AW23" i="69"/>
  <c r="AW24" i="69"/>
  <c r="AW25" i="69"/>
  <c r="AW26" i="69"/>
  <c r="AW27" i="69"/>
  <c r="AW28" i="69"/>
  <c r="AW29" i="69"/>
  <c r="AW30" i="69"/>
  <c r="AW31" i="69"/>
  <c r="AW32" i="69"/>
  <c r="AW33" i="69"/>
  <c r="AW34" i="69"/>
  <c r="AW35" i="69"/>
  <c r="AW36" i="69"/>
  <c r="AW37" i="69"/>
  <c r="AW38" i="69"/>
  <c r="AW39" i="69"/>
  <c r="AW40" i="69"/>
  <c r="AW41" i="69"/>
  <c r="AW42" i="69"/>
  <c r="AW43" i="69"/>
  <c r="AW44" i="69"/>
  <c r="AW45" i="69"/>
  <c r="AW46" i="69"/>
  <c r="AW47" i="69"/>
  <c r="AW48" i="69"/>
  <c r="AW49" i="69"/>
  <c r="AW76" i="69"/>
  <c r="AW77" i="69"/>
  <c r="AW127" i="69"/>
  <c r="I533" i="65" s="1"/>
  <c r="AW128" i="69"/>
  <c r="I462" i="65" s="1"/>
  <c r="AW129" i="69"/>
  <c r="I463" i="65" s="1"/>
  <c r="AW130" i="69"/>
  <c r="I455" i="65" s="1"/>
  <c r="AW131" i="69"/>
  <c r="I456" i="65" s="1"/>
  <c r="AW132" i="69"/>
  <c r="I457" i="65" s="1"/>
  <c r="AW133" i="69"/>
  <c r="I504" i="65" s="1"/>
  <c r="AW134" i="69"/>
  <c r="I505" i="65" s="1"/>
  <c r="AW135" i="69"/>
  <c r="I506" i="65" s="1"/>
  <c r="AW136" i="69"/>
  <c r="I507" i="65" s="1"/>
  <c r="AW137" i="69"/>
  <c r="I508" i="65" s="1"/>
  <c r="AW138" i="69"/>
  <c r="I509" i="65" s="1"/>
  <c r="AW139" i="69"/>
  <c r="I608" i="65" s="1"/>
  <c r="AW140" i="69"/>
  <c r="I609" i="65" s="1"/>
  <c r="AW141" i="69"/>
  <c r="I193" i="65" s="1"/>
  <c r="AW142" i="69"/>
  <c r="I194" i="65" s="1"/>
  <c r="AW143" i="69"/>
  <c r="I195" i="65" s="1"/>
  <c r="AW144" i="69"/>
  <c r="I196" i="65" s="1"/>
  <c r="AW145" i="69"/>
  <c r="I197" i="65" s="1"/>
  <c r="AW146" i="69"/>
  <c r="I200" i="65" s="1"/>
  <c r="AW147" i="69"/>
  <c r="I201" i="65" s="1"/>
  <c r="AW148" i="69"/>
  <c r="I202" i="65" s="1"/>
  <c r="AW149" i="69"/>
  <c r="I203" i="65" s="1"/>
  <c r="AW150" i="69"/>
  <c r="I204" i="65" s="1"/>
  <c r="AW151" i="69"/>
  <c r="I205" i="65" s="1"/>
  <c r="AW152" i="69"/>
  <c r="I206" i="65" s="1"/>
  <c r="AW153" i="69"/>
  <c r="I207" i="65" s="1"/>
  <c r="AW154" i="69"/>
  <c r="I208" i="65" s="1"/>
  <c r="AW155" i="69"/>
  <c r="I209" i="65" s="1"/>
  <c r="AW156" i="69"/>
  <c r="I210" i="65" s="1"/>
  <c r="AW157" i="69"/>
  <c r="I211" i="65" s="1"/>
  <c r="AW158" i="69"/>
  <c r="I212" i="65" s="1"/>
  <c r="AW159" i="69"/>
  <c r="I213" i="65" s="1"/>
  <c r="AW160" i="69"/>
  <c r="I214" i="65" s="1"/>
  <c r="AW161" i="69"/>
  <c r="AW162" i="69"/>
  <c r="AW163" i="69"/>
  <c r="AW164" i="69"/>
  <c r="AW165" i="69"/>
  <c r="AW166" i="69"/>
  <c r="AW167" i="69"/>
  <c r="AW168" i="69"/>
  <c r="AW169" i="69"/>
  <c r="AW170" i="69"/>
  <c r="AW171" i="69"/>
  <c r="AW172" i="69"/>
  <c r="AW173" i="69"/>
  <c r="AW174" i="69"/>
  <c r="AW175" i="69"/>
  <c r="AW176" i="69"/>
  <c r="AW177" i="69"/>
  <c r="AW178" i="69"/>
  <c r="AW179" i="69"/>
  <c r="AW180" i="69"/>
  <c r="AW181" i="69"/>
  <c r="AW182" i="69"/>
  <c r="AW183" i="69"/>
  <c r="AW184" i="69"/>
  <c r="AW185" i="69"/>
  <c r="AW186" i="69"/>
  <c r="AW187" i="69"/>
  <c r="AW188" i="69"/>
  <c r="AW189" i="69"/>
  <c r="AW190" i="69"/>
  <c r="AW191" i="69"/>
  <c r="AW192" i="69"/>
  <c r="AW193" i="69"/>
  <c r="AW194" i="69"/>
  <c r="AW195" i="69"/>
  <c r="AW196" i="69"/>
  <c r="AW197" i="69"/>
  <c r="AW198" i="69"/>
  <c r="AW199" i="69"/>
  <c r="AW200" i="69"/>
  <c r="AW201" i="69"/>
  <c r="AW202" i="69"/>
  <c r="AW305" i="69"/>
  <c r="AW307" i="69"/>
  <c r="I166" i="65" s="1"/>
  <c r="AW311" i="69"/>
  <c r="I170" i="65" s="1"/>
  <c r="AW313" i="69"/>
  <c r="I172" i="65" s="1"/>
  <c r="AW314" i="69"/>
  <c r="I173" i="65" s="1"/>
  <c r="AW315" i="69"/>
  <c r="I174" i="65" s="1"/>
  <c r="AW316" i="69"/>
  <c r="I175" i="65" s="1"/>
  <c r="AW317" i="69"/>
  <c r="I79" i="65" s="1"/>
  <c r="AW319" i="69"/>
  <c r="I80" i="65" s="1"/>
  <c r="AW320" i="69"/>
  <c r="I81" i="65" s="1"/>
  <c r="AW321" i="69"/>
  <c r="I82" i="65" s="1"/>
  <c r="AW322" i="69"/>
  <c r="I83" i="65" s="1"/>
  <c r="AW323" i="69"/>
  <c r="I84" i="65" s="1"/>
  <c r="AW324" i="69"/>
  <c r="AW325" i="69"/>
  <c r="I227" i="65" s="1"/>
  <c r="AW326" i="69"/>
  <c r="AW327" i="69"/>
  <c r="AW329" i="69"/>
  <c r="AW330" i="69"/>
  <c r="AW331" i="69"/>
  <c r="AW332" i="69"/>
  <c r="AW333" i="69"/>
  <c r="AW334" i="69"/>
  <c r="AW336" i="69"/>
  <c r="I263" i="65"/>
  <c r="I264" i="65"/>
  <c r="I265" i="65"/>
  <c r="I267" i="65"/>
  <c r="I269" i="65"/>
  <c r="AW366" i="69"/>
  <c r="AW367" i="69"/>
  <c r="I271" i="65" s="1"/>
  <c r="AW368" i="69"/>
  <c r="AW369" i="69"/>
  <c r="AW370" i="69"/>
  <c r="AW371" i="69"/>
  <c r="AW372" i="69"/>
  <c r="AW373" i="69"/>
  <c r="I277" i="65" s="1"/>
  <c r="AW374" i="69"/>
  <c r="I278" i="65" s="1"/>
  <c r="AW375" i="69"/>
  <c r="I280" i="65" s="1"/>
  <c r="AW376" i="69"/>
  <c r="I281" i="65" s="1"/>
  <c r="AW377" i="69"/>
  <c r="I282" i="65" s="1"/>
  <c r="AW378" i="69"/>
  <c r="I283" i="65" s="1"/>
  <c r="AW379" i="69"/>
  <c r="I284" i="65" s="1"/>
  <c r="AW380" i="69"/>
  <c r="I285" i="65" s="1"/>
  <c r="AW381" i="69"/>
  <c r="I286" i="65" s="1"/>
  <c r="AW382" i="69"/>
  <c r="I287" i="65" s="1"/>
  <c r="AW383" i="69"/>
  <c r="I288" i="65" s="1"/>
  <c r="AW384" i="69"/>
  <c r="I289" i="65" s="1"/>
  <c r="AW385" i="69"/>
  <c r="AW386" i="69"/>
  <c r="AW387" i="69"/>
  <c r="AW388" i="69"/>
  <c r="I293" i="65" s="1"/>
  <c r="AW392" i="69"/>
  <c r="I296" i="65" s="1"/>
  <c r="AW393" i="69"/>
  <c r="I297" i="65" s="1"/>
  <c r="AW394" i="69"/>
  <c r="AW395" i="69"/>
  <c r="I299" i="65" s="1"/>
  <c r="AW396" i="69"/>
  <c r="I300" i="65" s="1"/>
  <c r="AW397" i="69"/>
  <c r="I301" i="65" s="1"/>
  <c r="AW398" i="69"/>
  <c r="I302" i="65" s="1"/>
  <c r="AW405" i="69"/>
  <c r="AW406" i="69"/>
  <c r="AW407" i="69"/>
  <c r="AW409" i="69"/>
  <c r="AW411" i="69"/>
  <c r="AW412" i="69"/>
  <c r="AW413" i="69"/>
  <c r="AW414" i="69"/>
  <c r="AW415" i="69"/>
  <c r="AW418" i="69"/>
  <c r="AW419" i="69"/>
  <c r="AW420" i="69"/>
  <c r="AW421" i="69"/>
  <c r="AW422" i="69"/>
  <c r="AW454" i="69"/>
  <c r="I485" i="65" s="1"/>
  <c r="AW456" i="69"/>
  <c r="I629" i="65" s="1"/>
  <c r="AW457" i="69"/>
  <c r="AW474" i="69"/>
  <c r="I305" i="65" s="1"/>
  <c r="AW478" i="69"/>
  <c r="AW480" i="69"/>
  <c r="AW484" i="69"/>
  <c r="AW492" i="69"/>
  <c r="AW493" i="69"/>
  <c r="AW494" i="69"/>
  <c r="AW495" i="69"/>
  <c r="AW497" i="69"/>
  <c r="AW498" i="69"/>
  <c r="AW499" i="69"/>
  <c r="AW500" i="69"/>
  <c r="AW501" i="69"/>
  <c r="AW502" i="69"/>
  <c r="AW503" i="69"/>
  <c r="AW507" i="69"/>
  <c r="AW508" i="69"/>
  <c r="AW509" i="69"/>
  <c r="I355" i="65" s="1"/>
  <c r="AW516" i="69"/>
  <c r="AW518" i="69"/>
  <c r="AW519" i="69"/>
  <c r="AW520" i="69"/>
  <c r="I389" i="65" s="1"/>
  <c r="AW521" i="69"/>
  <c r="I393" i="65" s="1"/>
  <c r="AW522" i="69"/>
  <c r="I397" i="65" s="1"/>
  <c r="AW523" i="69"/>
  <c r="I399" i="65" s="1"/>
  <c r="AW524" i="69"/>
  <c r="I400" i="65" s="1"/>
  <c r="AW525" i="69"/>
  <c r="AW527" i="69"/>
  <c r="AW528" i="69"/>
  <c r="AW529" i="69"/>
  <c r="AW530" i="69"/>
  <c r="AW531" i="69"/>
  <c r="AW533" i="69"/>
  <c r="AW534" i="69"/>
  <c r="AW535" i="69"/>
  <c r="AW536" i="69"/>
  <c r="AW541" i="69"/>
  <c r="AW542" i="69"/>
  <c r="AW543" i="69"/>
  <c r="AW544" i="69"/>
  <c r="AW545" i="69"/>
  <c r="AW546" i="69"/>
  <c r="AW547" i="69"/>
  <c r="AW548" i="69"/>
  <c r="AW549" i="69"/>
  <c r="AW550" i="69"/>
  <c r="AW551" i="69"/>
  <c r="AW553" i="69"/>
  <c r="AW554" i="69"/>
  <c r="AW555" i="69"/>
  <c r="AW556" i="69"/>
  <c r="AW557" i="69"/>
  <c r="AW558" i="69"/>
  <c r="AW559" i="69"/>
  <c r="AW560" i="69"/>
  <c r="AW561" i="69"/>
  <c r="AW562" i="69"/>
  <c r="AW563" i="69"/>
  <c r="AW565" i="69"/>
  <c r="AW566" i="69"/>
  <c r="AW567" i="69"/>
  <c r="AW568" i="69"/>
  <c r="AW569" i="69"/>
  <c r="AW570" i="69"/>
  <c r="AW571" i="69"/>
  <c r="AW572" i="69"/>
  <c r="AW573" i="69"/>
  <c r="AW574" i="69"/>
  <c r="AW575" i="69"/>
  <c r="AW576" i="69"/>
  <c r="AW577" i="69"/>
  <c r="AW578" i="69"/>
  <c r="AW579" i="69"/>
  <c r="AW581" i="69"/>
  <c r="AW583" i="69"/>
  <c r="AW584" i="69"/>
  <c r="AW585" i="69"/>
  <c r="AW586" i="69"/>
  <c r="AW587" i="69"/>
  <c r="AW588" i="69"/>
  <c r="AW643" i="69"/>
  <c r="AW657" i="69"/>
  <c r="AW659" i="69"/>
  <c r="AW660" i="69"/>
  <c r="AW661" i="69"/>
  <c r="AW662" i="69"/>
  <c r="AW663" i="69"/>
  <c r="AW664" i="69"/>
  <c r="AW665" i="69"/>
  <c r="AW666" i="69"/>
  <c r="AW667" i="69"/>
  <c r="AW668" i="69"/>
  <c r="AW683" i="69"/>
  <c r="AW9" i="69"/>
  <c r="I556" i="65" l="1"/>
  <c r="I315" i="65"/>
  <c r="I555" i="65"/>
  <c r="I191" i="65"/>
  <c r="I474" i="65"/>
  <c r="I553" i="65"/>
  <c r="I249" i="65"/>
  <c r="I353" i="65"/>
  <c r="I311" i="65"/>
  <c r="I475" i="65"/>
  <c r="I231" i="65"/>
  <c r="I190" i="65"/>
  <c r="I681" i="65"/>
  <c r="I469" i="65"/>
  <c r="I552" i="65"/>
  <c r="I434" i="65"/>
  <c r="I313" i="65"/>
  <c r="I468" i="65"/>
  <c r="I276" i="65"/>
  <c r="I308" i="65"/>
  <c r="I292" i="65"/>
  <c r="I275" i="65"/>
  <c r="I644" i="65"/>
  <c r="I250" i="65"/>
  <c r="I424" i="65"/>
  <c r="I536" i="65"/>
  <c r="I478" i="65"/>
  <c r="I633" i="65"/>
  <c r="I291" i="65"/>
  <c r="I274" i="65"/>
  <c r="I314" i="65"/>
  <c r="I466" i="65"/>
  <c r="I482" i="65"/>
  <c r="I634" i="65"/>
  <c r="I189" i="65"/>
  <c r="I415" i="65"/>
  <c r="I439" i="65"/>
  <c r="I564" i="65"/>
  <c r="I188" i="65"/>
  <c r="I470" i="65"/>
  <c r="I221" i="65"/>
  <c r="I551" i="65"/>
  <c r="I414" i="65"/>
  <c r="I405" i="65"/>
  <c r="I290" i="65"/>
  <c r="I273" i="65"/>
  <c r="I164" i="65"/>
  <c r="I272" i="65"/>
  <c r="I535" i="65"/>
  <c r="I245" i="65"/>
  <c r="I306" i="65"/>
  <c r="I312" i="65"/>
  <c r="I298" i="65"/>
  <c r="I309" i="65"/>
  <c r="I220" i="65"/>
  <c r="I460" i="65"/>
  <c r="I643" i="65"/>
  <c r="I192" i="65"/>
  <c r="I683" i="65"/>
  <c r="I447" i="65"/>
  <c r="I554" i="65"/>
  <c r="I642" i="65"/>
  <c r="I310" i="65"/>
  <c r="I270" i="65"/>
  <c r="I85" i="65"/>
  <c r="AE310" i="69"/>
  <c r="AM310" i="69" s="1"/>
  <c r="S481" i="69"/>
  <c r="AF481" i="69" s="1"/>
  <c r="AF647" i="69"/>
  <c r="AN647" i="69" s="1"/>
  <c r="AE647" i="69"/>
  <c r="AM647" i="69" s="1"/>
  <c r="AH647" i="69"/>
  <c r="AP647" i="69" s="1"/>
  <c r="AG647" i="69"/>
  <c r="AO647" i="69" s="1"/>
  <c r="AE238" i="69"/>
  <c r="AM238" i="69" s="1"/>
  <c r="AH511" i="69"/>
  <c r="AP511" i="69" s="1"/>
  <c r="AF511" i="69"/>
  <c r="AN511" i="69" s="1"/>
  <c r="AE511" i="69"/>
  <c r="AM511" i="69" s="1"/>
  <c r="AG511" i="69"/>
  <c r="AO511" i="69" s="1"/>
  <c r="AE472" i="69"/>
  <c r="AM472" i="69" s="1"/>
  <c r="AE308" i="69"/>
  <c r="AM308" i="69" s="1"/>
  <c r="AG592" i="69"/>
  <c r="AO592" i="69" s="1"/>
  <c r="AE592" i="69"/>
  <c r="AM592" i="69" s="1"/>
  <c r="AE5" i="69"/>
  <c r="AM5" i="69" s="1"/>
  <c r="AF592" i="69"/>
  <c r="AH592" i="69"/>
  <c r="AP592" i="69" s="1"/>
  <c r="S240" i="69"/>
  <c r="AF240" i="69" s="1"/>
  <c r="S3" i="69"/>
  <c r="AE3" i="69"/>
  <c r="AE207" i="69"/>
  <c r="T472" i="69"/>
  <c r="AF472" i="69"/>
  <c r="AE208" i="69"/>
  <c r="AE309" i="69"/>
  <c r="S496" i="69"/>
  <c r="AE496" i="69"/>
  <c r="AE597" i="69"/>
  <c r="AE75" i="69"/>
  <c r="T310" i="69"/>
  <c r="AF310" i="69"/>
  <c r="AE479" i="69"/>
  <c r="AE206" i="69"/>
  <c r="AE348" i="69"/>
  <c r="S512" i="69"/>
  <c r="AE512" i="69"/>
  <c r="S648" i="69"/>
  <c r="AE648" i="69"/>
  <c r="T510" i="69"/>
  <c r="AF510" i="69"/>
  <c r="T590" i="69"/>
  <c r="AF590" i="69"/>
  <c r="T646" i="69"/>
  <c r="AF646" i="69"/>
  <c r="AF308" i="69"/>
  <c r="S476" i="69"/>
  <c r="AE476" i="69"/>
  <c r="AE71" i="69"/>
  <c r="S239" i="69"/>
  <c r="AE239" i="69"/>
  <c r="AE337" i="69"/>
  <c r="S514" i="69"/>
  <c r="AE514" i="69"/>
  <c r="S649" i="69"/>
  <c r="AE649" i="69"/>
  <c r="AE237" i="69"/>
  <c r="S237" i="69"/>
  <c r="AE347" i="69"/>
  <c r="AE424" i="69"/>
  <c r="AE589" i="69"/>
  <c r="AE653" i="69"/>
  <c r="T238" i="69"/>
  <c r="AF238" i="69"/>
  <c r="AE399" i="69"/>
  <c r="AE203" i="69"/>
  <c r="AE241" i="69"/>
  <c r="S241" i="69"/>
  <c r="AE473" i="69"/>
  <c r="S473" i="69"/>
  <c r="S582" i="69"/>
  <c r="AE582" i="69"/>
  <c r="S651" i="69"/>
  <c r="AE651" i="69"/>
  <c r="T5" i="69"/>
  <c r="AF5" i="69"/>
  <c r="AE306" i="69"/>
  <c r="S306" i="69"/>
  <c r="AE74" i="69"/>
  <c r="S242" i="69"/>
  <c r="AE242" i="69"/>
  <c r="S475" i="69"/>
  <c r="AE475" i="69"/>
  <c r="S593" i="69"/>
  <c r="AE593" i="69"/>
  <c r="AF517" i="69"/>
  <c r="AF595" i="69"/>
  <c r="S243" i="69"/>
  <c r="AE243" i="69"/>
  <c r="AE4" i="69"/>
  <c r="AE205" i="69"/>
  <c r="S244" i="69"/>
  <c r="AE244" i="69"/>
  <c r="AE477" i="69"/>
  <c r="AE594" i="69"/>
  <c r="AE73" i="69"/>
  <c r="AE335" i="69"/>
  <c r="S335" i="69"/>
  <c r="S605" i="69"/>
  <c r="AE605" i="69"/>
  <c r="T650" i="69"/>
  <c r="AF650" i="69"/>
  <c r="AF596" i="69"/>
  <c r="T481" i="69" l="1"/>
  <c r="U481" i="69" s="1"/>
  <c r="AT647" i="69"/>
  <c r="AS647" i="69"/>
  <c r="AR647" i="69"/>
  <c r="AU647" i="69"/>
  <c r="AV647" i="69" s="1"/>
  <c r="I587" i="65" s="1"/>
  <c r="AS511" i="69"/>
  <c r="AR511" i="69"/>
  <c r="AT511" i="69"/>
  <c r="AF204" i="69"/>
  <c r="AN204" i="69" s="1"/>
  <c r="AU511" i="69"/>
  <c r="AV511" i="69" s="1"/>
  <c r="I559" i="65" s="1"/>
  <c r="AF416" i="69"/>
  <c r="AN416" i="69" s="1"/>
  <c r="AS592" i="69"/>
  <c r="T240" i="69"/>
  <c r="U240" i="69" s="1"/>
  <c r="AN592" i="69"/>
  <c r="AU592" i="69" s="1"/>
  <c r="AV592" i="69" s="1"/>
  <c r="I663" i="65" s="1"/>
  <c r="U650" i="69"/>
  <c r="AG650" i="69"/>
  <c r="AO650" i="69" s="1"/>
  <c r="AF73" i="69"/>
  <c r="AN73" i="69" s="1"/>
  <c r="AF477" i="69"/>
  <c r="AN477" i="69" s="1"/>
  <c r="AM205" i="69"/>
  <c r="AM243" i="69"/>
  <c r="AN595" i="69"/>
  <c r="AM593" i="69"/>
  <c r="AM242" i="69"/>
  <c r="AN5" i="69"/>
  <c r="AM582" i="69"/>
  <c r="T241" i="69"/>
  <c r="AF241" i="69"/>
  <c r="AN241" i="69" s="1"/>
  <c r="AM399" i="69"/>
  <c r="AF589" i="69"/>
  <c r="AN589" i="69" s="1"/>
  <c r="AN240" i="69"/>
  <c r="AF347" i="69"/>
  <c r="AN347" i="69" s="1"/>
  <c r="T514" i="69"/>
  <c r="AF514" i="69"/>
  <c r="AN514" i="69" s="1"/>
  <c r="T239" i="69"/>
  <c r="AF239" i="69"/>
  <c r="AN239" i="69" s="1"/>
  <c r="AM476" i="69"/>
  <c r="AN590" i="69"/>
  <c r="AM648" i="69"/>
  <c r="AM348" i="69"/>
  <c r="AN310" i="69"/>
  <c r="AM597" i="69"/>
  <c r="AM309" i="69"/>
  <c r="AM207" i="69"/>
  <c r="AN596" i="69"/>
  <c r="AM605" i="69"/>
  <c r="T335" i="69"/>
  <c r="AF335" i="69"/>
  <c r="AN335" i="69" s="1"/>
  <c r="AM594" i="69"/>
  <c r="AM244" i="69"/>
  <c r="AF4" i="69"/>
  <c r="AN4" i="69" s="1"/>
  <c r="T243" i="69"/>
  <c r="AF243" i="69"/>
  <c r="AN243" i="69" s="1"/>
  <c r="AG595" i="69"/>
  <c r="AO595" i="69" s="1"/>
  <c r="T593" i="69"/>
  <c r="AF593" i="69"/>
  <c r="AN593" i="69" s="1"/>
  <c r="T242" i="69"/>
  <c r="AF242" i="69"/>
  <c r="AN242" i="69" s="1"/>
  <c r="U5" i="69"/>
  <c r="AG5" i="69"/>
  <c r="AO5" i="69" s="1"/>
  <c r="T582" i="69"/>
  <c r="AF582" i="69"/>
  <c r="AN582" i="69" s="1"/>
  <c r="AM241" i="69"/>
  <c r="AN238" i="69"/>
  <c r="AM653" i="69"/>
  <c r="AM424" i="69"/>
  <c r="T237" i="69"/>
  <c r="AF237" i="69"/>
  <c r="AN237" i="69" s="1"/>
  <c r="AM649" i="69"/>
  <c r="AM337" i="69"/>
  <c r="AM71" i="69"/>
  <c r="T476" i="69"/>
  <c r="AF476" i="69"/>
  <c r="AN476" i="69" s="1"/>
  <c r="U590" i="69"/>
  <c r="AG590" i="69"/>
  <c r="AO590" i="69" s="1"/>
  <c r="T648" i="69"/>
  <c r="AF648" i="69"/>
  <c r="AN648" i="69" s="1"/>
  <c r="AF348" i="69"/>
  <c r="AN348" i="69" s="1"/>
  <c r="U310" i="69"/>
  <c r="AG310" i="69"/>
  <c r="AO310" i="69" s="1"/>
  <c r="AF597" i="69"/>
  <c r="AN597" i="69" s="1"/>
  <c r="AF309" i="69"/>
  <c r="AN309" i="69" s="1"/>
  <c r="AF207" i="69"/>
  <c r="AN207" i="69" s="1"/>
  <c r="AG596" i="69"/>
  <c r="AO596" i="69" s="1"/>
  <c r="T605" i="69"/>
  <c r="AF605" i="69"/>
  <c r="AN605" i="69" s="1"/>
  <c r="AM335" i="69"/>
  <c r="AG416" i="69"/>
  <c r="AO416" i="69" s="1"/>
  <c r="AF594" i="69"/>
  <c r="AN594" i="69" s="1"/>
  <c r="T244" i="69"/>
  <c r="AF244" i="69"/>
  <c r="AN244" i="69" s="1"/>
  <c r="AM4" i="69"/>
  <c r="AN481" i="69"/>
  <c r="AN517" i="69"/>
  <c r="AM475" i="69"/>
  <c r="AF74" i="69"/>
  <c r="AN74" i="69" s="1"/>
  <c r="T306" i="69"/>
  <c r="AF306" i="69"/>
  <c r="AN306" i="69" s="1"/>
  <c r="AM651" i="69"/>
  <c r="T473" i="69"/>
  <c r="AF473" i="69"/>
  <c r="AN473" i="69" s="1"/>
  <c r="AM203" i="69"/>
  <c r="U238" i="69"/>
  <c r="AG238" i="69"/>
  <c r="AO238" i="69" s="1"/>
  <c r="AF653" i="69"/>
  <c r="AN653" i="69" s="1"/>
  <c r="AF424" i="69"/>
  <c r="AN424" i="69" s="1"/>
  <c r="AM237" i="69"/>
  <c r="T649" i="69"/>
  <c r="AF649" i="69"/>
  <c r="AN649" i="69" s="1"/>
  <c r="AF337" i="69"/>
  <c r="AN337" i="69" s="1"/>
  <c r="AF71" i="69"/>
  <c r="AN71" i="69" s="1"/>
  <c r="AN308" i="69"/>
  <c r="AN646" i="69"/>
  <c r="AN510" i="69"/>
  <c r="AM512" i="69"/>
  <c r="AM206" i="69"/>
  <c r="AF479" i="69"/>
  <c r="AN479" i="69" s="1"/>
  <c r="AF75" i="69"/>
  <c r="AN75" i="69" s="1"/>
  <c r="AM496" i="69"/>
  <c r="AM208" i="69"/>
  <c r="AN472" i="69"/>
  <c r="AM3" i="69"/>
  <c r="AN650" i="69"/>
  <c r="AG204" i="69"/>
  <c r="AO204" i="69" s="1"/>
  <c r="AM73" i="69"/>
  <c r="AM477" i="69"/>
  <c r="AF205" i="69"/>
  <c r="AN205" i="69" s="1"/>
  <c r="AG517" i="69"/>
  <c r="AO517" i="69" s="1"/>
  <c r="T475" i="69"/>
  <c r="AF475" i="69"/>
  <c r="AN475" i="69" s="1"/>
  <c r="AM74" i="69"/>
  <c r="AM306" i="69"/>
  <c r="T651" i="69"/>
  <c r="AF651" i="69"/>
  <c r="AN651" i="69" s="1"/>
  <c r="AM473" i="69"/>
  <c r="AF203" i="69"/>
  <c r="AN203" i="69" s="1"/>
  <c r="AF399" i="69"/>
  <c r="AN399" i="69" s="1"/>
  <c r="AM589" i="69"/>
  <c r="AM347" i="69"/>
  <c r="AM514" i="69"/>
  <c r="AM239" i="69"/>
  <c r="AG308" i="69"/>
  <c r="AO308" i="69" s="1"/>
  <c r="U646" i="69"/>
  <c r="AG646" i="69"/>
  <c r="AO646" i="69" s="1"/>
  <c r="U510" i="69"/>
  <c r="AG510" i="69"/>
  <c r="AO510" i="69" s="1"/>
  <c r="T512" i="69"/>
  <c r="AF512" i="69"/>
  <c r="AN512" i="69" s="1"/>
  <c r="AF206" i="69"/>
  <c r="AN206" i="69" s="1"/>
  <c r="AM479" i="69"/>
  <c r="AM75" i="69"/>
  <c r="T496" i="69"/>
  <c r="AF496" i="69"/>
  <c r="AN496" i="69" s="1"/>
  <c r="AF208" i="69"/>
  <c r="AN208" i="69" s="1"/>
  <c r="U472" i="69"/>
  <c r="AG472" i="69"/>
  <c r="AO472" i="69" s="1"/>
  <c r="T3" i="69"/>
  <c r="AF3" i="69"/>
  <c r="AN3" i="69" s="1"/>
  <c r="Q311" i="69"/>
  <c r="R311" i="69" s="1"/>
  <c r="S311" i="69" s="1"/>
  <c r="T311" i="69" s="1"/>
  <c r="U311" i="69" s="1"/>
  <c r="V311" i="69" s="1"/>
  <c r="Q319" i="69"/>
  <c r="R319" i="69" s="1"/>
  <c r="S319" i="69" s="1"/>
  <c r="T319" i="69" s="1"/>
  <c r="U319" i="69" s="1"/>
  <c r="V319" i="69" s="1"/>
  <c r="Q322" i="69"/>
  <c r="R322" i="69" s="1"/>
  <c r="S322" i="69" s="1"/>
  <c r="T322" i="69" s="1"/>
  <c r="U322" i="69" s="1"/>
  <c r="V322" i="69" s="1"/>
  <c r="Q325" i="69"/>
  <c r="R325" i="69" s="1"/>
  <c r="S325" i="69" s="1"/>
  <c r="T325" i="69" s="1"/>
  <c r="U325" i="69" s="1"/>
  <c r="V325" i="69" s="1"/>
  <c r="Q327" i="69"/>
  <c r="R327" i="69" s="1"/>
  <c r="S327" i="69" s="1"/>
  <c r="T327" i="69" s="1"/>
  <c r="U327" i="69" s="1"/>
  <c r="V327" i="69" s="1"/>
  <c r="Q329" i="69"/>
  <c r="R329" i="69" s="1"/>
  <c r="S329" i="69" s="1"/>
  <c r="T329" i="69" s="1"/>
  <c r="U329" i="69" s="1"/>
  <c r="V329" i="69" s="1"/>
  <c r="Q332" i="69"/>
  <c r="R332" i="69" s="1"/>
  <c r="S332" i="69" s="1"/>
  <c r="T332" i="69" s="1"/>
  <c r="U332" i="69" s="1"/>
  <c r="V332" i="69" s="1"/>
  <c r="Q333" i="69"/>
  <c r="R333" i="69" s="1"/>
  <c r="S333" i="69" s="1"/>
  <c r="T333" i="69" s="1"/>
  <c r="U333" i="69" s="1"/>
  <c r="V333" i="69" s="1"/>
  <c r="Q387" i="69"/>
  <c r="R387" i="69" s="1"/>
  <c r="S387" i="69" s="1"/>
  <c r="T387" i="69" s="1"/>
  <c r="U387" i="69" s="1"/>
  <c r="V387" i="69" s="1"/>
  <c r="Q409" i="69"/>
  <c r="R409" i="69" s="1"/>
  <c r="S409" i="69" s="1"/>
  <c r="T409" i="69" s="1"/>
  <c r="U409" i="69" s="1"/>
  <c r="V409" i="69" s="1"/>
  <c r="Q411" i="69"/>
  <c r="R411" i="69" s="1"/>
  <c r="S411" i="69" s="1"/>
  <c r="T411" i="69" s="1"/>
  <c r="U411" i="69" s="1"/>
  <c r="V411" i="69" s="1"/>
  <c r="Q412" i="69"/>
  <c r="R412" i="69" s="1"/>
  <c r="S412" i="69" s="1"/>
  <c r="T412" i="69" s="1"/>
  <c r="U412" i="69" s="1"/>
  <c r="V412" i="69" s="1"/>
  <c r="Q413" i="69"/>
  <c r="R413" i="69" s="1"/>
  <c r="S413" i="69" s="1"/>
  <c r="T413" i="69" s="1"/>
  <c r="U413" i="69" s="1"/>
  <c r="V413" i="69" s="1"/>
  <c r="Q414" i="69"/>
  <c r="R414" i="69" s="1"/>
  <c r="S414" i="69" s="1"/>
  <c r="T414" i="69" s="1"/>
  <c r="U414" i="69" s="1"/>
  <c r="V414" i="69" s="1"/>
  <c r="Q474" i="69"/>
  <c r="R474" i="69" s="1"/>
  <c r="S474" i="69" s="1"/>
  <c r="T474" i="69" s="1"/>
  <c r="U474" i="69" s="1"/>
  <c r="V474" i="69" s="1"/>
  <c r="Q478" i="69"/>
  <c r="R478" i="69" s="1"/>
  <c r="S478" i="69" s="1"/>
  <c r="T478" i="69" s="1"/>
  <c r="U478" i="69" s="1"/>
  <c r="V478" i="69" s="1"/>
  <c r="Q480" i="69"/>
  <c r="R480" i="69" s="1"/>
  <c r="S480" i="69" s="1"/>
  <c r="T480" i="69" s="1"/>
  <c r="U480" i="69" s="1"/>
  <c r="V480" i="69" s="1"/>
  <c r="R497" i="69"/>
  <c r="S497" i="69" s="1"/>
  <c r="T497" i="69" s="1"/>
  <c r="U497" i="69" s="1"/>
  <c r="V497" i="69" s="1"/>
  <c r="Q507" i="69"/>
  <c r="R507" i="69" s="1"/>
  <c r="S507" i="69" s="1"/>
  <c r="T507" i="69" s="1"/>
  <c r="U507" i="69" s="1"/>
  <c r="V507" i="69" s="1"/>
  <c r="Q508" i="69"/>
  <c r="R508" i="69" s="1"/>
  <c r="S508" i="69" s="1"/>
  <c r="T508" i="69" s="1"/>
  <c r="U508" i="69" s="1"/>
  <c r="V508" i="69" s="1"/>
  <c r="Q509" i="69"/>
  <c r="R509" i="69" s="1"/>
  <c r="S509" i="69" s="1"/>
  <c r="T509" i="69" s="1"/>
  <c r="U509" i="69" s="1"/>
  <c r="V509" i="69" s="1"/>
  <c r="Q542" i="69"/>
  <c r="R542" i="69" s="1"/>
  <c r="S542" i="69" s="1"/>
  <c r="T542" i="69" s="1"/>
  <c r="U542" i="69" s="1"/>
  <c r="V542" i="69" s="1"/>
  <c r="Q543" i="69"/>
  <c r="R543" i="69" s="1"/>
  <c r="S543" i="69" s="1"/>
  <c r="T543" i="69" s="1"/>
  <c r="U543" i="69" s="1"/>
  <c r="V543" i="69" s="1"/>
  <c r="Q548" i="69"/>
  <c r="R548" i="69" s="1"/>
  <c r="S548" i="69" s="1"/>
  <c r="T548" i="69" s="1"/>
  <c r="U548" i="69" s="1"/>
  <c r="V548" i="69" s="1"/>
  <c r="Q557" i="69"/>
  <c r="R557" i="69" s="1"/>
  <c r="S557" i="69" s="1"/>
  <c r="T557" i="69" s="1"/>
  <c r="U557" i="69" s="1"/>
  <c r="V557" i="69" s="1"/>
  <c r="Q575" i="69"/>
  <c r="R575" i="69" s="1"/>
  <c r="S575" i="69" s="1"/>
  <c r="T575" i="69" s="1"/>
  <c r="U575" i="69" s="1"/>
  <c r="V575" i="69" s="1"/>
  <c r="L559" i="65" l="1"/>
  <c r="M559" i="65"/>
  <c r="N199" i="65"/>
  <c r="N663" i="65"/>
  <c r="O663" i="65" s="1"/>
  <c r="K559" i="65"/>
  <c r="N587" i="65"/>
  <c r="O587" i="65" s="1"/>
  <c r="K199" i="65"/>
  <c r="M587" i="65"/>
  <c r="K587" i="65"/>
  <c r="N559" i="65"/>
  <c r="L587" i="65"/>
  <c r="O198" i="65"/>
  <c r="AD423" i="69"/>
  <c r="AG481" i="69"/>
  <c r="AO481" i="69" s="1"/>
  <c r="AG240" i="69"/>
  <c r="AO240" i="69" s="1"/>
  <c r="AR592" i="69"/>
  <c r="K663" i="65" s="1"/>
  <c r="AT592" i="69"/>
  <c r="V472" i="69"/>
  <c r="AI472" i="69" s="1"/>
  <c r="AQ472" i="69" s="1"/>
  <c r="AH472" i="69"/>
  <c r="AP472" i="69" s="1"/>
  <c r="AG496" i="69"/>
  <c r="AO496" i="69" s="1"/>
  <c r="U496" i="69"/>
  <c r="V240" i="69"/>
  <c r="AI240" i="69" s="1"/>
  <c r="AQ240" i="69" s="1"/>
  <c r="AH240" i="69"/>
  <c r="AP240" i="69" s="1"/>
  <c r="AG399" i="69"/>
  <c r="AO399" i="69" s="1"/>
  <c r="AG337" i="69"/>
  <c r="AO337" i="69" s="1"/>
  <c r="AG653" i="69"/>
  <c r="AO653" i="69" s="1"/>
  <c r="U306" i="69"/>
  <c r="AG306" i="69"/>
  <c r="AG594" i="69"/>
  <c r="AO594" i="69" s="1"/>
  <c r="AG309" i="69"/>
  <c r="AO309" i="69" s="1"/>
  <c r="V310" i="69"/>
  <c r="AI310" i="69" s="1"/>
  <c r="AQ310" i="69" s="1"/>
  <c r="AH310" i="69"/>
  <c r="AP310" i="69" s="1"/>
  <c r="AG348" i="69"/>
  <c r="AO348" i="69" s="1"/>
  <c r="V590" i="69"/>
  <c r="AI590" i="69" s="1"/>
  <c r="AQ590" i="69" s="1"/>
  <c r="AH590" i="69"/>
  <c r="AP590" i="69" s="1"/>
  <c r="U237" i="69"/>
  <c r="AG237" i="69"/>
  <c r="AG582" i="69"/>
  <c r="AO582" i="69" s="1"/>
  <c r="U582" i="69"/>
  <c r="U242" i="69"/>
  <c r="AG242" i="69"/>
  <c r="AO242" i="69" s="1"/>
  <c r="AI595" i="69"/>
  <c r="AQ595" i="69" s="1"/>
  <c r="AH595" i="69"/>
  <c r="AP595" i="69" s="1"/>
  <c r="U514" i="69"/>
  <c r="AG514" i="69"/>
  <c r="AG206" i="69"/>
  <c r="AO206" i="69" s="1"/>
  <c r="V510" i="69"/>
  <c r="AI510" i="69" s="1"/>
  <c r="AQ510" i="69" s="1"/>
  <c r="AH510" i="69"/>
  <c r="AI308" i="69"/>
  <c r="AQ308" i="69" s="1"/>
  <c r="AH308" i="69"/>
  <c r="AP308" i="69" s="1"/>
  <c r="AI517" i="69"/>
  <c r="AQ517" i="69" s="1"/>
  <c r="AH517" i="69"/>
  <c r="AP517" i="69" s="1"/>
  <c r="AG205" i="69"/>
  <c r="AO205" i="69" s="1"/>
  <c r="AI204" i="69"/>
  <c r="AQ204" i="69" s="1"/>
  <c r="AH204" i="69"/>
  <c r="AP204" i="69" s="1"/>
  <c r="AG75" i="69"/>
  <c r="AG74" i="69"/>
  <c r="AI596" i="69"/>
  <c r="AQ596" i="69" s="1"/>
  <c r="AH596" i="69"/>
  <c r="AP596" i="69" s="1"/>
  <c r="U476" i="69"/>
  <c r="AG476" i="69"/>
  <c r="AO476" i="69" s="1"/>
  <c r="AG477" i="69"/>
  <c r="U3" i="69"/>
  <c r="AG3" i="69"/>
  <c r="AO3" i="69" s="1"/>
  <c r="AG208" i="69"/>
  <c r="AO208" i="69" s="1"/>
  <c r="AG203" i="69"/>
  <c r="AO203" i="69" s="1"/>
  <c r="AG71" i="69"/>
  <c r="AO71" i="69" s="1"/>
  <c r="U649" i="69"/>
  <c r="AG649" i="69"/>
  <c r="AO649" i="69" s="1"/>
  <c r="AG424" i="69"/>
  <c r="AO424" i="69" s="1"/>
  <c r="V238" i="69"/>
  <c r="AI238" i="69" s="1"/>
  <c r="AQ238" i="69" s="1"/>
  <c r="AH238" i="69"/>
  <c r="AP238" i="69" s="1"/>
  <c r="U244" i="69"/>
  <c r="AG244" i="69"/>
  <c r="AO244" i="69" s="1"/>
  <c r="AI416" i="69"/>
  <c r="AQ416" i="69" s="1"/>
  <c r="AH416" i="69"/>
  <c r="AP416" i="69" s="1"/>
  <c r="AG597" i="69"/>
  <c r="AO597" i="69" s="1"/>
  <c r="AG648" i="69"/>
  <c r="AO648" i="69" s="1"/>
  <c r="U648" i="69"/>
  <c r="V5" i="69"/>
  <c r="AI5" i="69" s="1"/>
  <c r="AQ5" i="69" s="1"/>
  <c r="AH5" i="69"/>
  <c r="AP5" i="69" s="1"/>
  <c r="AG593" i="69"/>
  <c r="AO593" i="69" s="1"/>
  <c r="U593" i="69"/>
  <c r="U243" i="69"/>
  <c r="AG243" i="69"/>
  <c r="AO243" i="69" s="1"/>
  <c r="U239" i="69"/>
  <c r="AG239" i="69"/>
  <c r="AG347" i="69"/>
  <c r="U241" i="69"/>
  <c r="AG241" i="69"/>
  <c r="V650" i="69"/>
  <c r="AI650" i="69" s="1"/>
  <c r="AQ650" i="69" s="1"/>
  <c r="AH650" i="69"/>
  <c r="AG512" i="69"/>
  <c r="AO512" i="69" s="1"/>
  <c r="U512" i="69"/>
  <c r="V646" i="69"/>
  <c r="AI646" i="69" s="1"/>
  <c r="AQ646" i="69" s="1"/>
  <c r="AH646" i="69"/>
  <c r="AP646" i="69" s="1"/>
  <c r="AG651" i="69"/>
  <c r="AO651" i="69" s="1"/>
  <c r="U651" i="69"/>
  <c r="U475" i="69"/>
  <c r="AG475" i="69"/>
  <c r="AO475" i="69" s="1"/>
  <c r="V481" i="69"/>
  <c r="AI481" i="69" s="1"/>
  <c r="AQ481" i="69" s="1"/>
  <c r="AH481" i="69"/>
  <c r="AP481" i="69" s="1"/>
  <c r="AG479" i="69"/>
  <c r="U473" i="69"/>
  <c r="AG473" i="69"/>
  <c r="U605" i="69"/>
  <c r="AG605" i="69"/>
  <c r="AO605" i="69" s="1"/>
  <c r="AG207" i="69"/>
  <c r="AO207" i="69" s="1"/>
  <c r="AG4" i="69"/>
  <c r="U335" i="69"/>
  <c r="AG335" i="69"/>
  <c r="AG589" i="69"/>
  <c r="AG73" i="69"/>
  <c r="E9" i="76"/>
  <c r="F9" i="76" s="1"/>
  <c r="G9" i="76" s="1"/>
  <c r="H9" i="76" s="1"/>
  <c r="I9" i="76" s="1"/>
  <c r="J9" i="76" s="1"/>
  <c r="K9" i="76" s="1"/>
  <c r="E10" i="76"/>
  <c r="F10" i="76"/>
  <c r="G10" i="76"/>
  <c r="H10" i="76"/>
  <c r="I10" i="76"/>
  <c r="J10" i="76"/>
  <c r="K10" i="76"/>
  <c r="D12" i="76"/>
  <c r="E12" i="76"/>
  <c r="F12" i="76"/>
  <c r="G12" i="76"/>
  <c r="H12" i="76"/>
  <c r="I12" i="76"/>
  <c r="J12" i="76"/>
  <c r="K12" i="76"/>
  <c r="D14" i="76"/>
  <c r="D15" i="76"/>
  <c r="N15" i="76"/>
  <c r="N16" i="76"/>
  <c r="N17" i="76"/>
  <c r="D18" i="76"/>
  <c r="E18" i="76" s="1"/>
  <c r="F18" i="76" s="1"/>
  <c r="G18" i="76" s="1"/>
  <c r="H18" i="76" s="1"/>
  <c r="I18" i="76" s="1"/>
  <c r="J18" i="76" s="1"/>
  <c r="K18" i="76" s="1"/>
  <c r="E19" i="76"/>
  <c r="F19" i="76"/>
  <c r="G19" i="76"/>
  <c r="H19" i="76"/>
  <c r="I19" i="76"/>
  <c r="J19" i="76"/>
  <c r="K19" i="76"/>
  <c r="D20" i="76"/>
  <c r="E21" i="76"/>
  <c r="F21" i="76"/>
  <c r="G21" i="76"/>
  <c r="H21" i="76"/>
  <c r="I21" i="76"/>
  <c r="J21" i="76"/>
  <c r="K21" i="76"/>
  <c r="D23" i="76"/>
  <c r="D24" i="76"/>
  <c r="L199" i="65" l="1"/>
  <c r="L663" i="65"/>
  <c r="M199" i="65"/>
  <c r="M663" i="65"/>
  <c r="AL423" i="69"/>
  <c r="S423" i="69"/>
  <c r="AE423" i="69"/>
  <c r="AM423" i="69" s="1"/>
  <c r="AT240" i="69"/>
  <c r="AR472" i="69"/>
  <c r="M631" i="65" s="1"/>
  <c r="AU310" i="69"/>
  <c r="AV310" i="69" s="1"/>
  <c r="I65" i="65" s="1"/>
  <c r="AT481" i="69"/>
  <c r="AR646" i="69"/>
  <c r="AS590" i="69"/>
  <c r="AT595" i="69"/>
  <c r="AT590" i="69"/>
  <c r="AT310" i="69"/>
  <c r="AS595" i="69"/>
  <c r="AR310" i="69"/>
  <c r="AU240" i="69"/>
  <c r="AV240" i="69" s="1"/>
  <c r="I180" i="65" s="1"/>
  <c r="AR595" i="69"/>
  <c r="AU595" i="69"/>
  <c r="AV595" i="69" s="1"/>
  <c r="I386" i="65" s="1"/>
  <c r="AR590" i="69"/>
  <c r="AR204" i="69"/>
  <c r="AS310" i="69"/>
  <c r="AU590" i="69"/>
  <c r="AV590" i="69" s="1"/>
  <c r="I472" i="65" s="1"/>
  <c r="AR238" i="69"/>
  <c r="AU308" i="69"/>
  <c r="AV308" i="69" s="1"/>
  <c r="AS308" i="69"/>
  <c r="K167" i="65" s="1"/>
  <c r="AR240" i="69"/>
  <c r="AU481" i="69"/>
  <c r="AV481" i="69" s="1"/>
  <c r="I545" i="65" s="1"/>
  <c r="AT204" i="69"/>
  <c r="AR5" i="69"/>
  <c r="M678" i="65" s="1"/>
  <c r="AT472" i="69"/>
  <c r="L631" i="65" s="1"/>
  <c r="AS416" i="69"/>
  <c r="K618" i="65" s="1"/>
  <c r="AR308" i="69"/>
  <c r="M167" i="65" s="1"/>
  <c r="AU238" i="69"/>
  <c r="AV238" i="69" s="1"/>
  <c r="I177" i="65" s="1"/>
  <c r="AS646" i="69"/>
  <c r="AT238" i="69"/>
  <c r="AS204" i="69"/>
  <c r="AU5" i="69"/>
  <c r="AV5" i="69" s="1"/>
  <c r="AU596" i="69"/>
  <c r="AV596" i="69" s="1"/>
  <c r="I387" i="65" s="1"/>
  <c r="AU517" i="69"/>
  <c r="AV517" i="69" s="1"/>
  <c r="I651" i="65" s="1"/>
  <c r="AT596" i="69"/>
  <c r="AS472" i="69"/>
  <c r="K631" i="65" s="1"/>
  <c r="AU472" i="69"/>
  <c r="AV472" i="69" s="1"/>
  <c r="AS240" i="69"/>
  <c r="AS517" i="69"/>
  <c r="AR416" i="69"/>
  <c r="M618" i="65" s="1"/>
  <c r="AT517" i="69"/>
  <c r="AI73" i="69"/>
  <c r="AQ73" i="69" s="1"/>
  <c r="AH73" i="69"/>
  <c r="AP73" i="69" s="1"/>
  <c r="AO335" i="69"/>
  <c r="V335" i="69"/>
  <c r="AI335" i="69" s="1"/>
  <c r="AQ335" i="69" s="1"/>
  <c r="AH335" i="69"/>
  <c r="AP335" i="69" s="1"/>
  <c r="AO4" i="69"/>
  <c r="AI207" i="69"/>
  <c r="AQ207" i="69" s="1"/>
  <c r="AH207" i="69"/>
  <c r="AO473" i="69"/>
  <c r="AI479" i="69"/>
  <c r="AQ479" i="69" s="1"/>
  <c r="AH479" i="69"/>
  <c r="AP479" i="69" s="1"/>
  <c r="AS5" i="69"/>
  <c r="AO347" i="69"/>
  <c r="V243" i="69"/>
  <c r="AI243" i="69" s="1"/>
  <c r="AQ243" i="69" s="1"/>
  <c r="AH243" i="69"/>
  <c r="AI424" i="69"/>
  <c r="AQ424" i="69" s="1"/>
  <c r="AH424" i="69"/>
  <c r="AI71" i="69"/>
  <c r="AQ71" i="69" s="1"/>
  <c r="AH71" i="69"/>
  <c r="AI203" i="69"/>
  <c r="AQ203" i="69" s="1"/>
  <c r="AH203" i="69"/>
  <c r="V3" i="69"/>
  <c r="AI3" i="69" s="1"/>
  <c r="AQ3" i="69" s="1"/>
  <c r="AH3" i="69"/>
  <c r="AP3" i="69" s="1"/>
  <c r="AR596" i="69"/>
  <c r="AT416" i="69"/>
  <c r="L618" i="65" s="1"/>
  <c r="AO74" i="69"/>
  <c r="AT646" i="69"/>
  <c r="AO75" i="69"/>
  <c r="AP510" i="69"/>
  <c r="AS510" i="69"/>
  <c r="AT5" i="69"/>
  <c r="L678" i="65" s="1"/>
  <c r="AU416" i="69"/>
  <c r="AV416" i="69" s="1"/>
  <c r="V237" i="69"/>
  <c r="AI237" i="69" s="1"/>
  <c r="AQ237" i="69" s="1"/>
  <c r="AH237" i="69"/>
  <c r="AP237" i="69" s="1"/>
  <c r="AS481" i="69"/>
  <c r="AT308" i="69"/>
  <c r="L167" i="65" s="1"/>
  <c r="V496" i="69"/>
  <c r="AI496" i="69" s="1"/>
  <c r="AQ496" i="69" s="1"/>
  <c r="AH496" i="69"/>
  <c r="AO589" i="69"/>
  <c r="AI4" i="69"/>
  <c r="AQ4" i="69" s="1"/>
  <c r="AH4" i="69"/>
  <c r="AP4" i="69" s="1"/>
  <c r="V473" i="69"/>
  <c r="AI473" i="69" s="1"/>
  <c r="AQ473" i="69" s="1"/>
  <c r="AH473" i="69"/>
  <c r="AP473" i="69" s="1"/>
  <c r="AO241" i="69"/>
  <c r="AI347" i="69"/>
  <c r="AQ347" i="69" s="1"/>
  <c r="AH347" i="69"/>
  <c r="AP347" i="69" s="1"/>
  <c r="V593" i="69"/>
  <c r="AI593" i="69" s="1"/>
  <c r="AQ593" i="69" s="1"/>
  <c r="AH593" i="69"/>
  <c r="AP593" i="69" s="1"/>
  <c r="V476" i="69"/>
  <c r="AI476" i="69" s="1"/>
  <c r="AQ476" i="69" s="1"/>
  <c r="AH476" i="69"/>
  <c r="AI74" i="69"/>
  <c r="AQ74" i="69" s="1"/>
  <c r="AH74" i="69"/>
  <c r="AP74" i="69" s="1"/>
  <c r="AI75" i="69"/>
  <c r="AQ75" i="69" s="1"/>
  <c r="AH75" i="69"/>
  <c r="AP75" i="69" s="1"/>
  <c r="AI205" i="69"/>
  <c r="AQ205" i="69" s="1"/>
  <c r="AH205" i="69"/>
  <c r="AO514" i="69"/>
  <c r="V242" i="69"/>
  <c r="AI242" i="69" s="1"/>
  <c r="AQ242" i="69" s="1"/>
  <c r="AH242" i="69"/>
  <c r="AI594" i="69"/>
  <c r="AQ594" i="69" s="1"/>
  <c r="AH594" i="69"/>
  <c r="AO306" i="69"/>
  <c r="AU646" i="69"/>
  <c r="AV646" i="69" s="1"/>
  <c r="I586" i="65" s="1"/>
  <c r="AI399" i="69"/>
  <c r="AQ399" i="69" s="1"/>
  <c r="AH399" i="69"/>
  <c r="AO73" i="69"/>
  <c r="AI589" i="69"/>
  <c r="AQ589" i="69" s="1"/>
  <c r="AH589" i="69"/>
  <c r="AP589" i="69" s="1"/>
  <c r="V605" i="69"/>
  <c r="AI605" i="69" s="1"/>
  <c r="AQ605" i="69" s="1"/>
  <c r="AH605" i="69"/>
  <c r="AP605" i="69" s="1"/>
  <c r="V475" i="69"/>
  <c r="AI475" i="69" s="1"/>
  <c r="AQ475" i="69" s="1"/>
  <c r="AH475" i="69"/>
  <c r="V241" i="69"/>
  <c r="AI241" i="69" s="1"/>
  <c r="AQ241" i="69" s="1"/>
  <c r="AH241" i="69"/>
  <c r="AP241" i="69" s="1"/>
  <c r="AO239" i="69"/>
  <c r="V244" i="69"/>
  <c r="AI244" i="69" s="1"/>
  <c r="AQ244" i="69" s="1"/>
  <c r="AH244" i="69"/>
  <c r="AP244" i="69" s="1"/>
  <c r="V649" i="69"/>
  <c r="AI649" i="69" s="1"/>
  <c r="AQ649" i="69" s="1"/>
  <c r="AH649" i="69"/>
  <c r="AP649" i="69" s="1"/>
  <c r="AI208" i="69"/>
  <c r="AQ208" i="69" s="1"/>
  <c r="AH208" i="69"/>
  <c r="AO477" i="69"/>
  <c r="AR481" i="69"/>
  <c r="AU204" i="69"/>
  <c r="AV204" i="69" s="1"/>
  <c r="I76" i="65" s="1"/>
  <c r="V514" i="69"/>
  <c r="AI514" i="69" s="1"/>
  <c r="AQ514" i="69" s="1"/>
  <c r="AH514" i="69"/>
  <c r="AP514" i="69" s="1"/>
  <c r="AS596" i="69"/>
  <c r="V582" i="69"/>
  <c r="AI582" i="69" s="1"/>
  <c r="AQ582" i="69" s="1"/>
  <c r="AH582" i="69"/>
  <c r="AR517" i="69"/>
  <c r="V306" i="69"/>
  <c r="AI306" i="69" s="1"/>
  <c r="AQ306" i="69" s="1"/>
  <c r="AH306" i="69"/>
  <c r="AP306" i="69" s="1"/>
  <c r="AI653" i="69"/>
  <c r="AQ653" i="69" s="1"/>
  <c r="AH653" i="69"/>
  <c r="AI337" i="69"/>
  <c r="AQ337" i="69" s="1"/>
  <c r="AH337" i="69"/>
  <c r="AO479" i="69"/>
  <c r="V651" i="69"/>
  <c r="AI651" i="69" s="1"/>
  <c r="AQ651" i="69" s="1"/>
  <c r="AH651" i="69"/>
  <c r="AP651" i="69" s="1"/>
  <c r="V512" i="69"/>
  <c r="AI512" i="69" s="1"/>
  <c r="AQ512" i="69" s="1"/>
  <c r="AH512" i="69"/>
  <c r="AP650" i="69"/>
  <c r="AU650" i="69" s="1"/>
  <c r="AV650" i="69" s="1"/>
  <c r="I590" i="65" s="1"/>
  <c r="AS650" i="69"/>
  <c r="V239" i="69"/>
  <c r="AI239" i="69" s="1"/>
  <c r="AQ239" i="69" s="1"/>
  <c r="AH239" i="69"/>
  <c r="AP239" i="69" s="1"/>
  <c r="V648" i="69"/>
  <c r="AI648" i="69" s="1"/>
  <c r="AQ648" i="69" s="1"/>
  <c r="AH648" i="69"/>
  <c r="AI597" i="69"/>
  <c r="AQ597" i="69" s="1"/>
  <c r="AH597" i="69"/>
  <c r="AI477" i="69"/>
  <c r="AQ477" i="69" s="1"/>
  <c r="AH477" i="69"/>
  <c r="AP477" i="69" s="1"/>
  <c r="AS238" i="69"/>
  <c r="AI206" i="69"/>
  <c r="AQ206" i="69" s="1"/>
  <c r="AH206" i="69"/>
  <c r="AO237" i="69"/>
  <c r="AI348" i="69"/>
  <c r="AQ348" i="69" s="1"/>
  <c r="AH348" i="69"/>
  <c r="AI309" i="69"/>
  <c r="AQ309" i="69" s="1"/>
  <c r="AH309" i="69"/>
  <c r="N618" i="65" l="1"/>
  <c r="I403" i="65"/>
  <c r="N631" i="65"/>
  <c r="I516" i="65"/>
  <c r="N678" i="65"/>
  <c r="O678" i="65" s="1"/>
  <c r="I678" i="65"/>
  <c r="N167" i="65"/>
  <c r="I674" i="65"/>
  <c r="K678" i="65"/>
  <c r="K169" i="65"/>
  <c r="K65" i="65"/>
  <c r="L169" i="65"/>
  <c r="L65" i="65"/>
  <c r="N251" i="65"/>
  <c r="N590" i="65"/>
  <c r="O590" i="65" s="1"/>
  <c r="K357" i="65"/>
  <c r="K76" i="65"/>
  <c r="L76" i="65"/>
  <c r="M76" i="65"/>
  <c r="L215" i="65"/>
  <c r="L472" i="65"/>
  <c r="K251" i="65"/>
  <c r="K590" i="65"/>
  <c r="K387" i="65"/>
  <c r="N586" i="65"/>
  <c r="O586" i="65" s="1"/>
  <c r="N545" i="65"/>
  <c r="M215" i="65"/>
  <c r="M472" i="65"/>
  <c r="L516" i="65"/>
  <c r="L386" i="65"/>
  <c r="N76" i="65"/>
  <c r="O76" i="65" s="1"/>
  <c r="K586" i="65"/>
  <c r="N516" i="65"/>
  <c r="O516" i="65" s="1"/>
  <c r="N386" i="65"/>
  <c r="O386" i="65" s="1"/>
  <c r="K215" i="65"/>
  <c r="K472" i="65"/>
  <c r="K545" i="65"/>
  <c r="L586" i="65"/>
  <c r="M516" i="65"/>
  <c r="M386" i="65"/>
  <c r="M586" i="65"/>
  <c r="L387" i="65"/>
  <c r="L545" i="65"/>
  <c r="M545" i="65"/>
  <c r="M169" i="65"/>
  <c r="M65" i="65"/>
  <c r="N169" i="65"/>
  <c r="N65" i="65"/>
  <c r="M387" i="65"/>
  <c r="N387" i="65"/>
  <c r="O387" i="65" s="1"/>
  <c r="N215" i="65"/>
  <c r="O215" i="65" s="1"/>
  <c r="N472" i="65"/>
  <c r="O472" i="65" s="1"/>
  <c r="K516" i="65"/>
  <c r="K386" i="65"/>
  <c r="O630" i="65"/>
  <c r="T423" i="69"/>
  <c r="AF423" i="69"/>
  <c r="AN423" i="69" s="1"/>
  <c r="AS73" i="69"/>
  <c r="K421" i="65" s="1"/>
  <c r="AU73" i="69"/>
  <c r="AV73" i="69" s="1"/>
  <c r="AR605" i="69"/>
  <c r="AU605" i="69"/>
  <c r="AV605" i="69" s="1"/>
  <c r="I477" i="65" s="1"/>
  <c r="AU241" i="69"/>
  <c r="AV241" i="69" s="1"/>
  <c r="I182" i="65" s="1"/>
  <c r="AS335" i="69"/>
  <c r="AU3" i="69"/>
  <c r="AV3" i="69" s="1"/>
  <c r="AS479" i="69"/>
  <c r="AT605" i="69"/>
  <c r="AU473" i="69"/>
  <c r="AV473" i="69" s="1"/>
  <c r="AU237" i="69"/>
  <c r="AV237" i="69" s="1"/>
  <c r="I176" i="65" s="1"/>
  <c r="AS244" i="69"/>
  <c r="AU593" i="69"/>
  <c r="AV593" i="69" s="1"/>
  <c r="I440" i="65" s="1"/>
  <c r="AR651" i="69"/>
  <c r="AS593" i="69"/>
  <c r="AT649" i="69"/>
  <c r="AS475" i="69"/>
  <c r="AU75" i="69"/>
  <c r="AV75" i="69" s="1"/>
  <c r="I240" i="65" s="1"/>
  <c r="AP208" i="69"/>
  <c r="AU208" i="69" s="1"/>
  <c r="AV208" i="69" s="1"/>
  <c r="I156" i="65" s="1"/>
  <c r="AP399" i="69"/>
  <c r="AU399" i="69" s="1"/>
  <c r="AV399" i="69" s="1"/>
  <c r="AS399" i="69"/>
  <c r="K217" i="65" s="1"/>
  <c r="AS306" i="69"/>
  <c r="AT74" i="69"/>
  <c r="AR74" i="69"/>
  <c r="AT4" i="69"/>
  <c r="L677" i="65" s="1"/>
  <c r="AR4" i="69"/>
  <c r="M677" i="65" s="1"/>
  <c r="AP348" i="69"/>
  <c r="AU348" i="69" s="1"/>
  <c r="AV348" i="69" s="1"/>
  <c r="I246" i="65" s="1"/>
  <c r="AS348" i="69"/>
  <c r="AT479" i="69"/>
  <c r="AR479" i="69"/>
  <c r="AU477" i="69"/>
  <c r="AV477" i="69" s="1"/>
  <c r="I518" i="65" s="1"/>
  <c r="AT244" i="69"/>
  <c r="AR244" i="69"/>
  <c r="AT306" i="69"/>
  <c r="AR306" i="69"/>
  <c r="AS649" i="69"/>
  <c r="AS3" i="69"/>
  <c r="AP203" i="69"/>
  <c r="AS203" i="69"/>
  <c r="AT335" i="69"/>
  <c r="AR335" i="69"/>
  <c r="AU651" i="69"/>
  <c r="AV651" i="69" s="1"/>
  <c r="I591" i="65" s="1"/>
  <c r="AS512" i="69"/>
  <c r="AU649" i="69"/>
  <c r="AV649" i="69" s="1"/>
  <c r="I589" i="65" s="1"/>
  <c r="AS477" i="69"/>
  <c r="AS208" i="69"/>
  <c r="AS239" i="69"/>
  <c r="AP242" i="69"/>
  <c r="AU242" i="69" s="1"/>
  <c r="AV242" i="69" s="1"/>
  <c r="I183" i="65" s="1"/>
  <c r="AS242" i="69"/>
  <c r="AU514" i="69"/>
  <c r="AV514" i="69" s="1"/>
  <c r="I563" i="65" s="1"/>
  <c r="AT593" i="69"/>
  <c r="AR593" i="69"/>
  <c r="AS589" i="69"/>
  <c r="AS75" i="69"/>
  <c r="AS74" i="69"/>
  <c r="AU347" i="69"/>
  <c r="AV347" i="69" s="1"/>
  <c r="I497" i="65" s="1"/>
  <c r="AS473" i="69"/>
  <c r="K362" i="65" s="1"/>
  <c r="AS4" i="69"/>
  <c r="AT651" i="69"/>
  <c r="AP582" i="69"/>
  <c r="AU582" i="69" s="1"/>
  <c r="AV582" i="69" s="1"/>
  <c r="I484" i="65" s="1"/>
  <c r="AS582" i="69"/>
  <c r="AT239" i="69"/>
  <c r="AR239" i="69"/>
  <c r="AT514" i="69"/>
  <c r="AR514" i="69"/>
  <c r="AP476" i="69"/>
  <c r="AU476" i="69" s="1"/>
  <c r="AV476" i="69" s="1"/>
  <c r="I517" i="65" s="1"/>
  <c r="AS476" i="69"/>
  <c r="AR589" i="69"/>
  <c r="AT589" i="69"/>
  <c r="AU510" i="69"/>
  <c r="AV510" i="69" s="1"/>
  <c r="I562" i="65" s="1"/>
  <c r="AR510" i="69"/>
  <c r="K562" i="65" s="1"/>
  <c r="AT510" i="69"/>
  <c r="AP243" i="69"/>
  <c r="AS243" i="69"/>
  <c r="AR347" i="69"/>
  <c r="AT347" i="69"/>
  <c r="AP207" i="69"/>
  <c r="AS207" i="69"/>
  <c r="AR237" i="69"/>
  <c r="AT237" i="69"/>
  <c r="AP648" i="69"/>
  <c r="AS648" i="69"/>
  <c r="AP653" i="69"/>
  <c r="AU653" i="69" s="1"/>
  <c r="AV653" i="69" s="1"/>
  <c r="I253" i="65" s="1"/>
  <c r="AS653" i="69"/>
  <c r="AT241" i="69"/>
  <c r="AR241" i="69"/>
  <c r="AP496" i="69"/>
  <c r="AU496" i="69" s="1"/>
  <c r="AV496" i="69" s="1"/>
  <c r="I544" i="65" s="1"/>
  <c r="AS496" i="69"/>
  <c r="AP424" i="69"/>
  <c r="AU424" i="69" s="1"/>
  <c r="AV424" i="69" s="1"/>
  <c r="I248" i="65" s="1"/>
  <c r="AS424" i="69"/>
  <c r="AS605" i="69"/>
  <c r="AR650" i="69"/>
  <c r="AT650" i="69"/>
  <c r="AP309" i="69"/>
  <c r="AS309" i="69"/>
  <c r="K168" i="65" s="1"/>
  <c r="AS237" i="69"/>
  <c r="AP206" i="69"/>
  <c r="AS206" i="69"/>
  <c r="AP597" i="69"/>
  <c r="AU597" i="69" s="1"/>
  <c r="AV597" i="69" s="1"/>
  <c r="I388" i="65" s="1"/>
  <c r="AS597" i="69"/>
  <c r="AP512" i="69"/>
  <c r="AU512" i="69" s="1"/>
  <c r="AV512" i="69" s="1"/>
  <c r="I560" i="65" s="1"/>
  <c r="AU479" i="69"/>
  <c r="AV479" i="69" s="1"/>
  <c r="I521" i="65" s="1"/>
  <c r="AP337" i="69"/>
  <c r="AS337" i="69"/>
  <c r="AS651" i="69"/>
  <c r="AU244" i="69"/>
  <c r="AV244" i="69" s="1"/>
  <c r="I186" i="65" s="1"/>
  <c r="AT477" i="69"/>
  <c r="AR477" i="69"/>
  <c r="AR649" i="69"/>
  <c r="AU239" i="69"/>
  <c r="AV239" i="69" s="1"/>
  <c r="I179" i="65" s="1"/>
  <c r="AP475" i="69"/>
  <c r="AU475" i="69" s="1"/>
  <c r="AV475" i="69" s="1"/>
  <c r="I479" i="65" s="1"/>
  <c r="AR73" i="69"/>
  <c r="M421" i="65" s="1"/>
  <c r="AT73" i="69"/>
  <c r="L421" i="65" s="1"/>
  <c r="AU306" i="69"/>
  <c r="AV306" i="69" s="1"/>
  <c r="I64" i="65" s="1"/>
  <c r="AP594" i="69"/>
  <c r="AS594" i="69"/>
  <c r="AS514" i="69"/>
  <c r="AP205" i="69"/>
  <c r="AS205" i="69"/>
  <c r="AS241" i="69"/>
  <c r="AU589" i="69"/>
  <c r="AV589" i="69" s="1"/>
  <c r="I146" i="65" s="1"/>
  <c r="AT75" i="69"/>
  <c r="AR75" i="69"/>
  <c r="AU74" i="69"/>
  <c r="AV74" i="69" s="1"/>
  <c r="I239" i="65" s="1"/>
  <c r="AR3" i="69"/>
  <c r="M676" i="65" s="1"/>
  <c r="AP71" i="69"/>
  <c r="AS71" i="69"/>
  <c r="K24" i="65" s="1"/>
  <c r="AS347" i="69"/>
  <c r="AT473" i="69"/>
  <c r="L362" i="65" s="1"/>
  <c r="AR473" i="69"/>
  <c r="M362" i="65" s="1"/>
  <c r="AU4" i="69"/>
  <c r="AV4" i="69" s="1"/>
  <c r="AU335" i="69"/>
  <c r="AV335" i="69" s="1"/>
  <c r="I572" i="65" s="1"/>
  <c r="AT3" i="69"/>
  <c r="L676" i="65" s="1"/>
  <c r="N677" i="65" l="1"/>
  <c r="O677" i="65" s="1"/>
  <c r="I677" i="65"/>
  <c r="K677" i="65"/>
  <c r="N362" i="65"/>
  <c r="I471" i="65"/>
  <c r="N217" i="65"/>
  <c r="O217" i="65" s="1"/>
  <c r="I385" i="65"/>
  <c r="K676" i="65"/>
  <c r="N676" i="65"/>
  <c r="I676" i="65"/>
  <c r="N421" i="65"/>
  <c r="O421" i="65" s="1"/>
  <c r="I238" i="65"/>
  <c r="K563" i="65"/>
  <c r="M527" i="65"/>
  <c r="M589" i="65"/>
  <c r="K503" i="65"/>
  <c r="N216" i="65"/>
  <c r="N440" i="65"/>
  <c r="O440" i="65" s="1"/>
  <c r="L237" i="65"/>
  <c r="L240" i="65"/>
  <c r="N218" i="65"/>
  <c r="O218" i="65" s="1"/>
  <c r="N146" i="65"/>
  <c r="O146" i="65" s="1"/>
  <c r="L251" i="65"/>
  <c r="L590" i="65"/>
  <c r="L218" i="65"/>
  <c r="L146" i="65"/>
  <c r="K218" i="65"/>
  <c r="K146" i="65"/>
  <c r="K518" i="65"/>
  <c r="L521" i="65"/>
  <c r="N186" i="65"/>
  <c r="N572" i="65"/>
  <c r="O572" i="65" s="1"/>
  <c r="K515" i="65"/>
  <c r="K361" i="65"/>
  <c r="M518" i="65"/>
  <c r="M251" i="65"/>
  <c r="M590" i="65"/>
  <c r="L229" i="65"/>
  <c r="L497" i="65"/>
  <c r="M218" i="65"/>
  <c r="M146" i="65"/>
  <c r="N503" i="65"/>
  <c r="N484" i="65"/>
  <c r="O484" i="65" s="1"/>
  <c r="M216" i="65"/>
  <c r="M440" i="65"/>
  <c r="N527" i="65"/>
  <c r="O527" i="65" s="1"/>
  <c r="N589" i="65"/>
  <c r="O589" i="65" s="1"/>
  <c r="K527" i="65"/>
  <c r="K589" i="65"/>
  <c r="K230" i="65"/>
  <c r="N483" i="65"/>
  <c r="O483" i="65" s="1"/>
  <c r="N477" i="65"/>
  <c r="O477" i="65" s="1"/>
  <c r="K229" i="65"/>
  <c r="K497" i="65"/>
  <c r="M237" i="65"/>
  <c r="M240" i="65"/>
  <c r="L518" i="65"/>
  <c r="N388" i="65"/>
  <c r="O388" i="65" s="1"/>
  <c r="K483" i="65"/>
  <c r="K477" i="65"/>
  <c r="N253" i="65"/>
  <c r="O253" i="65" s="1"/>
  <c r="M229" i="65"/>
  <c r="M497" i="65"/>
  <c r="L591" i="65"/>
  <c r="L216" i="65"/>
  <c r="L440" i="65"/>
  <c r="M165" i="65"/>
  <c r="M64" i="65"/>
  <c r="N230" i="65"/>
  <c r="O230" i="65" s="1"/>
  <c r="N246" i="65"/>
  <c r="O246" i="65" s="1"/>
  <c r="N156" i="65"/>
  <c r="O156" i="65" s="1"/>
  <c r="M483" i="65"/>
  <c r="M477" i="65"/>
  <c r="K471" i="65"/>
  <c r="N517" i="65"/>
  <c r="O517" i="65" s="1"/>
  <c r="N563" i="65"/>
  <c r="N591" i="65"/>
  <c r="O591" i="65" s="1"/>
  <c r="L165" i="65"/>
  <c r="L64" i="65"/>
  <c r="N237" i="65"/>
  <c r="N240" i="65"/>
  <c r="O240" i="65" s="1"/>
  <c r="N471" i="65"/>
  <c r="O471" i="65" s="1"/>
  <c r="L471" i="65"/>
  <c r="K591" i="65"/>
  <c r="M563" i="65"/>
  <c r="M186" i="65"/>
  <c r="M572" i="65"/>
  <c r="L483" i="65"/>
  <c r="L477" i="65"/>
  <c r="K610" i="65"/>
  <c r="L357" i="65"/>
  <c r="L562" i="65"/>
  <c r="L563" i="65"/>
  <c r="N229" i="65"/>
  <c r="O229" i="65" s="1"/>
  <c r="N497" i="65"/>
  <c r="O497" i="65" s="1"/>
  <c r="L186" i="65"/>
  <c r="L572" i="65"/>
  <c r="L527" i="65"/>
  <c r="L589" i="65"/>
  <c r="K521" i="65"/>
  <c r="M471" i="65"/>
  <c r="N165" i="65"/>
  <c r="N64" i="65"/>
  <c r="K648" i="65"/>
  <c r="K588" i="65"/>
  <c r="N479" i="65"/>
  <c r="O479" i="65" s="1"/>
  <c r="N544" i="65"/>
  <c r="O544" i="65" s="1"/>
  <c r="M357" i="65"/>
  <c r="M562" i="65"/>
  <c r="K534" i="65"/>
  <c r="N518" i="65"/>
  <c r="O518" i="65" s="1"/>
  <c r="K216" i="65"/>
  <c r="K440" i="65"/>
  <c r="N521" i="65"/>
  <c r="O521" i="65" s="1"/>
  <c r="N357" i="65"/>
  <c r="O357" i="65" s="1"/>
  <c r="N562" i="65"/>
  <c r="O562" i="65" s="1"/>
  <c r="K237" i="65"/>
  <c r="K240" i="65"/>
  <c r="K156" i="65"/>
  <c r="M521" i="65"/>
  <c r="K165" i="65"/>
  <c r="K64" i="65"/>
  <c r="M591" i="65"/>
  <c r="K186" i="65"/>
  <c r="K572" i="65"/>
  <c r="O199" i="65"/>
  <c r="O631" i="65"/>
  <c r="O420" i="65"/>
  <c r="O494" i="65"/>
  <c r="O676" i="65"/>
  <c r="O251" i="65"/>
  <c r="O545" i="65"/>
  <c r="U423" i="69"/>
  <c r="AG423" i="69"/>
  <c r="AR205" i="69"/>
  <c r="K77" i="65" s="1"/>
  <c r="AT205" i="69"/>
  <c r="AT594" i="69"/>
  <c r="AR594" i="69"/>
  <c r="AR337" i="69"/>
  <c r="K568" i="65" s="1"/>
  <c r="AT337" i="69"/>
  <c r="AT648" i="69"/>
  <c r="AR648" i="69"/>
  <c r="AT203" i="69"/>
  <c r="AR203" i="69"/>
  <c r="K75" i="65" s="1"/>
  <c r="AU203" i="69"/>
  <c r="AV203" i="69" s="1"/>
  <c r="I75" i="65" s="1"/>
  <c r="AT207" i="69"/>
  <c r="AR207" i="69"/>
  <c r="K155" i="65" s="1"/>
  <c r="AU207" i="69"/>
  <c r="AV207" i="69" s="1"/>
  <c r="I155" i="65" s="1"/>
  <c r="AT243" i="69"/>
  <c r="AR243" i="69"/>
  <c r="AR71" i="69"/>
  <c r="M24" i="65" s="1"/>
  <c r="AT71" i="69"/>
  <c r="L24" i="65" s="1"/>
  <c r="AT424" i="69"/>
  <c r="AR424" i="69"/>
  <c r="AT496" i="69"/>
  <c r="AR496" i="69"/>
  <c r="K544" i="65" s="1"/>
  <c r="AT582" i="69"/>
  <c r="AR582" i="69"/>
  <c r="K484" i="65" s="1"/>
  <c r="AU243" i="69"/>
  <c r="AV243" i="69" s="1"/>
  <c r="I185" i="65" s="1"/>
  <c r="AT242" i="69"/>
  <c r="AR242" i="69"/>
  <c r="AT206" i="69"/>
  <c r="AR206" i="69"/>
  <c r="K78" i="65" s="1"/>
  <c r="AT309" i="69"/>
  <c r="L168" i="65" s="1"/>
  <c r="AR309" i="69"/>
  <c r="M168" i="65" s="1"/>
  <c r="AT475" i="69"/>
  <c r="AR475" i="69"/>
  <c r="K479" i="65" s="1"/>
  <c r="AR208" i="69"/>
  <c r="AT208" i="69"/>
  <c r="AU205" i="69"/>
  <c r="AV205" i="69" s="1"/>
  <c r="I77" i="65" s="1"/>
  <c r="AU594" i="69"/>
  <c r="AV594" i="69" s="1"/>
  <c r="I361" i="65" s="1"/>
  <c r="AU337" i="69"/>
  <c r="AV337" i="69" s="1"/>
  <c r="I568" i="65" s="1"/>
  <c r="AR512" i="69"/>
  <c r="AT512" i="69"/>
  <c r="AR597" i="69"/>
  <c r="K388" i="65" s="1"/>
  <c r="AT597" i="69"/>
  <c r="AU309" i="69"/>
  <c r="AV309" i="69" s="1"/>
  <c r="AR653" i="69"/>
  <c r="K253" i="65" s="1"/>
  <c r="AT653" i="69"/>
  <c r="AU648" i="69"/>
  <c r="AV648" i="69" s="1"/>
  <c r="I588" i="65" s="1"/>
  <c r="AU206" i="69"/>
  <c r="AV206" i="69" s="1"/>
  <c r="I78" i="65" s="1"/>
  <c r="AR476" i="69"/>
  <c r="K517" i="65" s="1"/>
  <c r="AT476" i="69"/>
  <c r="AU71" i="69"/>
  <c r="AV71" i="69" s="1"/>
  <c r="AT348" i="69"/>
  <c r="AR348" i="69"/>
  <c r="K246" i="65" s="1"/>
  <c r="AR399" i="69"/>
  <c r="M217" i="65" s="1"/>
  <c r="AT399" i="69"/>
  <c r="L217" i="65" s="1"/>
  <c r="AC10" i="69"/>
  <c r="AC11" i="69"/>
  <c r="AC12" i="69"/>
  <c r="AC13" i="69"/>
  <c r="AC14" i="69"/>
  <c r="AC15" i="69"/>
  <c r="AC16" i="69"/>
  <c r="AC17" i="69"/>
  <c r="AC18" i="69"/>
  <c r="AC19" i="69"/>
  <c r="AC20" i="69"/>
  <c r="AC21" i="69"/>
  <c r="AC22" i="69"/>
  <c r="AC23" i="69"/>
  <c r="AC24" i="69"/>
  <c r="AC25" i="69"/>
  <c r="AC26" i="69"/>
  <c r="AC27" i="69"/>
  <c r="AC28" i="69"/>
  <c r="AC29" i="69"/>
  <c r="AC30" i="69"/>
  <c r="AC31" i="69"/>
  <c r="AC32" i="69"/>
  <c r="AC33" i="69"/>
  <c r="AC34" i="69"/>
  <c r="AC35" i="69"/>
  <c r="AC36" i="69"/>
  <c r="AC37" i="69"/>
  <c r="AC38" i="69"/>
  <c r="AC39" i="69"/>
  <c r="AC40" i="69"/>
  <c r="AC41" i="69"/>
  <c r="AC42" i="69"/>
  <c r="AC43" i="69"/>
  <c r="AC44" i="69"/>
  <c r="AC45" i="69"/>
  <c r="AC46" i="69"/>
  <c r="AC47" i="69"/>
  <c r="AC48" i="69"/>
  <c r="AC49" i="69"/>
  <c r="AC76" i="69"/>
  <c r="AC77" i="69"/>
  <c r="AC127" i="69"/>
  <c r="AC128" i="69"/>
  <c r="AC129" i="69"/>
  <c r="AC130" i="69"/>
  <c r="AC131" i="69"/>
  <c r="AC132" i="69"/>
  <c r="AC133" i="69"/>
  <c r="AC134" i="69"/>
  <c r="AC135" i="69"/>
  <c r="AC136" i="69"/>
  <c r="AC137" i="69"/>
  <c r="AC138" i="69"/>
  <c r="AC139" i="69"/>
  <c r="AC140" i="69"/>
  <c r="AC141" i="69"/>
  <c r="AC142" i="69"/>
  <c r="AC143" i="69"/>
  <c r="AC144" i="69"/>
  <c r="AC145" i="69"/>
  <c r="AC146" i="69"/>
  <c r="AC147" i="69"/>
  <c r="AC148" i="69"/>
  <c r="AC149" i="69"/>
  <c r="AC150" i="69"/>
  <c r="AC151" i="69"/>
  <c r="AC152" i="69"/>
  <c r="AC153" i="69"/>
  <c r="AC154" i="69"/>
  <c r="AC155" i="69"/>
  <c r="AC156" i="69"/>
  <c r="AC157" i="69"/>
  <c r="AC158" i="69"/>
  <c r="AC159" i="69"/>
  <c r="AC160" i="69"/>
  <c r="AC161" i="69"/>
  <c r="AC162" i="69"/>
  <c r="AC163" i="69"/>
  <c r="AC164" i="69"/>
  <c r="AC165" i="69"/>
  <c r="AC166" i="69"/>
  <c r="AC167" i="69"/>
  <c r="AC168" i="69"/>
  <c r="AC169" i="69"/>
  <c r="AC170" i="69"/>
  <c r="AC171" i="69"/>
  <c r="AC172" i="69"/>
  <c r="AC173" i="69"/>
  <c r="AC174" i="69"/>
  <c r="AC175" i="69"/>
  <c r="AC176" i="69"/>
  <c r="AC177" i="69"/>
  <c r="AC178" i="69"/>
  <c r="AC179" i="69"/>
  <c r="AC180" i="69"/>
  <c r="AC181" i="69"/>
  <c r="AC182" i="69"/>
  <c r="AC183" i="69"/>
  <c r="AC184" i="69"/>
  <c r="AC185" i="69"/>
  <c r="AC186" i="69"/>
  <c r="AC187" i="69"/>
  <c r="AC188" i="69"/>
  <c r="AC189" i="69"/>
  <c r="AC190" i="69"/>
  <c r="AC191" i="69"/>
  <c r="AC192" i="69"/>
  <c r="AC193" i="69"/>
  <c r="AC194" i="69"/>
  <c r="AC195" i="69"/>
  <c r="AC196" i="69"/>
  <c r="AC197" i="69"/>
  <c r="AC198" i="69"/>
  <c r="AC199" i="69"/>
  <c r="AC200" i="69"/>
  <c r="AC201" i="69"/>
  <c r="AC202" i="69"/>
  <c r="AC305" i="69"/>
  <c r="AC307" i="69"/>
  <c r="AC311" i="69"/>
  <c r="AC313" i="69"/>
  <c r="AC314" i="69"/>
  <c r="AC315" i="69"/>
  <c r="AC316" i="69"/>
  <c r="AC317" i="69"/>
  <c r="AC319" i="69"/>
  <c r="AC320" i="69"/>
  <c r="AC321" i="69"/>
  <c r="AC322" i="69"/>
  <c r="AC323" i="69"/>
  <c r="AC324" i="69"/>
  <c r="AC325" i="69"/>
  <c r="AC327" i="69"/>
  <c r="AC329" i="69"/>
  <c r="AC330" i="69"/>
  <c r="AK330" i="69" s="1"/>
  <c r="AC331" i="69"/>
  <c r="AC332" i="69"/>
  <c r="AC333" i="69"/>
  <c r="AC334" i="69"/>
  <c r="AC336" i="69"/>
  <c r="AC366" i="69"/>
  <c r="AC367" i="69"/>
  <c r="AC368" i="69"/>
  <c r="AC369" i="69"/>
  <c r="AC370" i="69"/>
  <c r="AC371" i="69"/>
  <c r="AC372" i="69"/>
  <c r="AC373" i="69"/>
  <c r="AC374" i="69"/>
  <c r="AC375" i="69"/>
  <c r="AC376" i="69"/>
  <c r="AC377" i="69"/>
  <c r="AC378" i="69"/>
  <c r="AC379" i="69"/>
  <c r="AC380" i="69"/>
  <c r="AC381" i="69"/>
  <c r="AC382" i="69"/>
  <c r="AC383" i="69"/>
  <c r="AC384" i="69"/>
  <c r="AC385" i="69"/>
  <c r="AC386" i="69"/>
  <c r="AC387" i="69"/>
  <c r="AC388" i="69"/>
  <c r="AC392" i="69"/>
  <c r="AC393" i="69"/>
  <c r="AC394" i="69"/>
  <c r="AC395" i="69"/>
  <c r="AC396" i="69"/>
  <c r="AC397" i="69"/>
  <c r="AC398" i="69"/>
  <c r="AC405" i="69"/>
  <c r="AC406" i="69"/>
  <c r="AC407" i="69"/>
  <c r="AC409" i="69"/>
  <c r="AC411" i="69"/>
  <c r="AC412" i="69"/>
  <c r="AC413" i="69"/>
  <c r="AC414" i="69"/>
  <c r="AC415" i="69"/>
  <c r="AC418" i="69"/>
  <c r="AC419" i="69"/>
  <c r="AC420" i="69"/>
  <c r="AC421" i="69"/>
  <c r="AC422" i="69"/>
  <c r="AC454" i="69"/>
  <c r="AC456" i="69"/>
  <c r="AC457" i="69"/>
  <c r="AC474" i="69"/>
  <c r="AC478" i="69"/>
  <c r="AC480" i="69"/>
  <c r="AC484" i="69"/>
  <c r="AC492" i="69"/>
  <c r="AC493" i="69"/>
  <c r="AC494" i="69"/>
  <c r="AC495" i="69"/>
  <c r="AC497" i="69"/>
  <c r="AC498" i="69"/>
  <c r="AC499" i="69"/>
  <c r="AC500" i="69"/>
  <c r="AC501" i="69"/>
  <c r="AC502" i="69"/>
  <c r="AC503" i="69"/>
  <c r="AC507" i="69"/>
  <c r="AC508" i="69"/>
  <c r="AC509" i="69"/>
  <c r="AC516" i="69"/>
  <c r="AC518" i="69"/>
  <c r="AC519" i="69"/>
  <c r="AC520" i="69"/>
  <c r="AC521" i="69"/>
  <c r="AC522" i="69"/>
  <c r="AC523" i="69"/>
  <c r="AC524" i="69"/>
  <c r="AC525" i="69"/>
  <c r="AC527" i="69"/>
  <c r="AC528" i="69"/>
  <c r="AC529" i="69"/>
  <c r="AC530" i="69"/>
  <c r="AC531" i="69"/>
  <c r="AC533" i="69"/>
  <c r="AC534" i="69"/>
  <c r="AC535" i="69"/>
  <c r="AC536" i="69"/>
  <c r="AC541" i="69"/>
  <c r="AC542" i="69"/>
  <c r="AC543" i="69"/>
  <c r="AC544" i="69"/>
  <c r="AC545" i="69"/>
  <c r="AC546" i="69"/>
  <c r="AC547" i="69"/>
  <c r="AC548" i="69"/>
  <c r="AC549" i="69"/>
  <c r="AC550" i="69"/>
  <c r="AC551" i="69"/>
  <c r="AC553" i="69"/>
  <c r="AC554" i="69"/>
  <c r="AC555" i="69"/>
  <c r="AC556" i="69"/>
  <c r="AC557" i="69"/>
  <c r="AC558" i="69"/>
  <c r="AC559" i="69"/>
  <c r="AC560" i="69"/>
  <c r="AC561" i="69"/>
  <c r="AC562" i="69"/>
  <c r="AC563" i="69"/>
  <c r="AC565" i="69"/>
  <c r="AC566" i="69"/>
  <c r="AC567" i="69"/>
  <c r="AC568" i="69"/>
  <c r="AC569" i="69"/>
  <c r="AC570" i="69"/>
  <c r="AC571" i="69"/>
  <c r="AC572" i="69"/>
  <c r="AC573" i="69"/>
  <c r="AC574" i="69"/>
  <c r="AC575" i="69"/>
  <c r="AC576" i="69"/>
  <c r="AC577" i="69"/>
  <c r="AC578" i="69"/>
  <c r="AC579" i="69"/>
  <c r="AC581" i="69"/>
  <c r="AC583" i="69"/>
  <c r="AC584" i="69"/>
  <c r="AC585" i="69"/>
  <c r="AC586" i="69"/>
  <c r="AC587" i="69"/>
  <c r="AC588" i="69"/>
  <c r="AC643" i="69"/>
  <c r="AC657" i="69"/>
  <c r="AC659" i="69"/>
  <c r="AC660" i="69"/>
  <c r="AC661" i="69"/>
  <c r="AC662" i="69"/>
  <c r="AC663" i="69"/>
  <c r="AC664" i="69"/>
  <c r="AC665" i="69"/>
  <c r="AC666" i="69"/>
  <c r="AC667" i="69"/>
  <c r="AC668" i="69"/>
  <c r="AC683" i="69"/>
  <c r="AC9" i="69"/>
  <c r="AJ10" i="69"/>
  <c r="AJ11" i="69"/>
  <c r="AJ12" i="69"/>
  <c r="AJ13" i="69"/>
  <c r="AJ14" i="69"/>
  <c r="AJ15" i="69"/>
  <c r="AJ16" i="69"/>
  <c r="AJ17" i="69"/>
  <c r="AJ18" i="69"/>
  <c r="AJ19" i="69"/>
  <c r="AJ20" i="69"/>
  <c r="AJ21" i="69"/>
  <c r="AJ22" i="69"/>
  <c r="AJ23" i="69"/>
  <c r="AJ24" i="69"/>
  <c r="AJ25" i="69"/>
  <c r="AJ26" i="69"/>
  <c r="AJ27" i="69"/>
  <c r="AJ28" i="69"/>
  <c r="AJ29" i="69"/>
  <c r="AJ30" i="69"/>
  <c r="AJ31" i="69"/>
  <c r="AJ32" i="69"/>
  <c r="AJ33" i="69"/>
  <c r="AJ34" i="69"/>
  <c r="AJ35" i="69"/>
  <c r="AJ36" i="69"/>
  <c r="AJ37" i="69"/>
  <c r="AJ38" i="69"/>
  <c r="AJ39" i="69"/>
  <c r="AJ40" i="69"/>
  <c r="AJ41" i="69"/>
  <c r="AJ42" i="69"/>
  <c r="AJ43" i="69"/>
  <c r="AJ44" i="69"/>
  <c r="AJ45" i="69"/>
  <c r="AJ46" i="69"/>
  <c r="AJ47" i="69"/>
  <c r="AJ48" i="69"/>
  <c r="AJ49" i="69"/>
  <c r="AJ76" i="69"/>
  <c r="AJ77" i="69"/>
  <c r="AJ127" i="69"/>
  <c r="AJ128" i="69"/>
  <c r="AJ129" i="69"/>
  <c r="AJ130" i="69"/>
  <c r="AJ131" i="69"/>
  <c r="AJ132" i="69"/>
  <c r="AJ133" i="69"/>
  <c r="AJ134" i="69"/>
  <c r="AJ135" i="69"/>
  <c r="AJ136" i="69"/>
  <c r="AJ137" i="69"/>
  <c r="AJ138" i="69"/>
  <c r="AJ139" i="69"/>
  <c r="AJ140" i="69"/>
  <c r="AJ141" i="69"/>
  <c r="AJ142" i="69"/>
  <c r="AJ143" i="69"/>
  <c r="AJ144" i="69"/>
  <c r="AJ145" i="69"/>
  <c r="AJ146" i="69"/>
  <c r="AJ147" i="69"/>
  <c r="AJ148" i="69"/>
  <c r="AJ149" i="69"/>
  <c r="AJ150" i="69"/>
  <c r="AJ151" i="69"/>
  <c r="AJ152" i="69"/>
  <c r="AJ153" i="69"/>
  <c r="AJ154" i="69"/>
  <c r="AJ155" i="69"/>
  <c r="AJ156" i="69"/>
  <c r="AJ157" i="69"/>
  <c r="AJ158" i="69"/>
  <c r="AJ159" i="69"/>
  <c r="AJ160" i="69"/>
  <c r="AJ161" i="69"/>
  <c r="AJ162" i="69"/>
  <c r="AJ163" i="69"/>
  <c r="AJ164" i="69"/>
  <c r="AJ165" i="69"/>
  <c r="AJ166" i="69"/>
  <c r="AJ167" i="69"/>
  <c r="AJ168" i="69"/>
  <c r="AJ169" i="69"/>
  <c r="AJ170" i="69"/>
  <c r="AJ171" i="69"/>
  <c r="AJ172" i="69"/>
  <c r="AJ173" i="69"/>
  <c r="AJ174" i="69"/>
  <c r="AJ175" i="69"/>
  <c r="AJ176" i="69"/>
  <c r="AJ177" i="69"/>
  <c r="AJ178" i="69"/>
  <c r="AJ179" i="69"/>
  <c r="AJ180" i="69"/>
  <c r="AJ181" i="69"/>
  <c r="AJ182" i="69"/>
  <c r="AJ183" i="69"/>
  <c r="AJ184" i="69"/>
  <c r="AJ185" i="69"/>
  <c r="AJ186" i="69"/>
  <c r="AJ187" i="69"/>
  <c r="AJ188" i="69"/>
  <c r="AJ189" i="69"/>
  <c r="AJ190" i="69"/>
  <c r="AJ191" i="69"/>
  <c r="AJ192" i="69"/>
  <c r="AJ193" i="69"/>
  <c r="AJ194" i="69"/>
  <c r="AJ195" i="69"/>
  <c r="AJ196" i="69"/>
  <c r="AJ197" i="69"/>
  <c r="AJ198" i="69"/>
  <c r="AJ199" i="69"/>
  <c r="AJ200" i="69"/>
  <c r="AJ201" i="69"/>
  <c r="AJ202" i="69"/>
  <c r="AJ305" i="69"/>
  <c r="AJ307" i="69"/>
  <c r="AJ311" i="69"/>
  <c r="AJ313" i="69"/>
  <c r="AJ314" i="69"/>
  <c r="AJ315" i="69"/>
  <c r="AJ316" i="69"/>
  <c r="AJ317" i="69"/>
  <c r="AJ319" i="69"/>
  <c r="AJ320" i="69"/>
  <c r="AJ321" i="69"/>
  <c r="AJ322" i="69"/>
  <c r="AJ323" i="69"/>
  <c r="AJ324" i="69"/>
  <c r="AJ325" i="69"/>
  <c r="AJ326" i="69"/>
  <c r="AJ327" i="69"/>
  <c r="AJ329" i="69"/>
  <c r="AJ330" i="69"/>
  <c r="AJ331" i="69"/>
  <c r="AJ332" i="69"/>
  <c r="AJ333" i="69"/>
  <c r="AJ334" i="69"/>
  <c r="AJ336" i="69"/>
  <c r="AJ366" i="69"/>
  <c r="AJ367" i="69"/>
  <c r="AJ368" i="69"/>
  <c r="AJ369" i="69"/>
  <c r="AJ370" i="69"/>
  <c r="AJ371" i="69"/>
  <c r="AJ372" i="69"/>
  <c r="AJ373" i="69"/>
  <c r="AJ374" i="69"/>
  <c r="AJ375" i="69"/>
  <c r="AJ376" i="69"/>
  <c r="AJ377" i="69"/>
  <c r="AJ378" i="69"/>
  <c r="AJ379" i="69"/>
  <c r="AJ380" i="69"/>
  <c r="AJ381" i="69"/>
  <c r="AJ382" i="69"/>
  <c r="AJ383" i="69"/>
  <c r="AJ384" i="69"/>
  <c r="AJ385" i="69"/>
  <c r="AJ386" i="69"/>
  <c r="AJ387" i="69"/>
  <c r="AJ388" i="69"/>
  <c r="AJ392" i="69"/>
  <c r="AJ393" i="69"/>
  <c r="AJ394" i="69"/>
  <c r="AJ395" i="69"/>
  <c r="AJ396" i="69"/>
  <c r="AJ397" i="69"/>
  <c r="AJ398" i="69"/>
  <c r="AJ405" i="69"/>
  <c r="AJ406" i="69"/>
  <c r="AJ407" i="69"/>
  <c r="AJ409" i="69"/>
  <c r="AJ411" i="69"/>
  <c r="AJ412" i="69"/>
  <c r="AJ413" i="69"/>
  <c r="AJ414" i="69"/>
  <c r="AJ415" i="69"/>
  <c r="AJ418" i="69"/>
  <c r="AJ419" i="69"/>
  <c r="AJ420" i="69"/>
  <c r="AJ421" i="69"/>
  <c r="AJ422" i="69"/>
  <c r="AJ454" i="69"/>
  <c r="AJ456" i="69"/>
  <c r="AJ457" i="69"/>
  <c r="AJ474" i="69"/>
  <c r="AJ478" i="69"/>
  <c r="AJ480" i="69"/>
  <c r="AJ484" i="69"/>
  <c r="AJ492" i="69"/>
  <c r="AJ493" i="69"/>
  <c r="AJ494" i="69"/>
  <c r="AJ495" i="69"/>
  <c r="AJ497" i="69"/>
  <c r="AJ498" i="69"/>
  <c r="AJ499" i="69"/>
  <c r="AJ500" i="69"/>
  <c r="AJ501" i="69"/>
  <c r="AJ502" i="69"/>
  <c r="AJ503" i="69"/>
  <c r="AJ507" i="69"/>
  <c r="AJ508" i="69"/>
  <c r="AJ509" i="69"/>
  <c r="AJ516" i="69"/>
  <c r="AJ518" i="69"/>
  <c r="AJ519" i="69"/>
  <c r="AJ520" i="69"/>
  <c r="AJ521" i="69"/>
  <c r="AJ522" i="69"/>
  <c r="AJ523" i="69"/>
  <c r="AJ524" i="69"/>
  <c r="AJ525" i="69"/>
  <c r="AJ527" i="69"/>
  <c r="AJ528" i="69"/>
  <c r="AJ529" i="69"/>
  <c r="AJ530" i="69"/>
  <c r="AJ531" i="69"/>
  <c r="AJ533" i="69"/>
  <c r="AJ534" i="69"/>
  <c r="AJ535" i="69"/>
  <c r="AJ536" i="69"/>
  <c r="AJ541" i="69"/>
  <c r="AJ542" i="69"/>
  <c r="AJ543" i="69"/>
  <c r="AJ544" i="69"/>
  <c r="AJ545" i="69"/>
  <c r="AJ546" i="69"/>
  <c r="AJ547" i="69"/>
  <c r="AJ548" i="69"/>
  <c r="AJ549" i="69"/>
  <c r="AJ550" i="69"/>
  <c r="AJ551" i="69"/>
  <c r="AJ553" i="69"/>
  <c r="AJ554" i="69"/>
  <c r="AJ555" i="69"/>
  <c r="AJ556" i="69"/>
  <c r="AJ557" i="69"/>
  <c r="AJ558" i="69"/>
  <c r="AJ559" i="69"/>
  <c r="AJ560" i="69"/>
  <c r="AJ561" i="69"/>
  <c r="AJ562" i="69"/>
  <c r="AJ563" i="69"/>
  <c r="AJ565" i="69"/>
  <c r="AJ566" i="69"/>
  <c r="AJ567" i="69"/>
  <c r="AJ568" i="69"/>
  <c r="AJ569" i="69"/>
  <c r="AJ570" i="69"/>
  <c r="AJ571" i="69"/>
  <c r="AJ572" i="69"/>
  <c r="AJ573" i="69"/>
  <c r="AJ574" i="69"/>
  <c r="AJ575" i="69"/>
  <c r="AJ576" i="69"/>
  <c r="AJ577" i="69"/>
  <c r="AJ578" i="69"/>
  <c r="AJ579" i="69"/>
  <c r="AJ581" i="69"/>
  <c r="AJ583" i="69"/>
  <c r="AJ584" i="69"/>
  <c r="AJ585" i="69"/>
  <c r="AJ586" i="69"/>
  <c r="AJ587" i="69"/>
  <c r="AJ588" i="69"/>
  <c r="AJ643" i="69"/>
  <c r="AJ657" i="69"/>
  <c r="AJ659" i="69"/>
  <c r="AJ660" i="69"/>
  <c r="AJ661" i="69"/>
  <c r="AJ662" i="69"/>
  <c r="AJ663" i="69"/>
  <c r="AJ664" i="69"/>
  <c r="AJ665" i="69"/>
  <c r="AJ666" i="69"/>
  <c r="AJ667" i="69"/>
  <c r="AJ668" i="69"/>
  <c r="AJ683" i="69"/>
  <c r="AG10" i="69"/>
  <c r="AO10" i="69" s="1"/>
  <c r="AH10" i="69"/>
  <c r="AP10" i="69" s="1"/>
  <c r="AI10" i="69"/>
  <c r="AQ10" i="69" s="1"/>
  <c r="AG11" i="69"/>
  <c r="AO11" i="69" s="1"/>
  <c r="AH11" i="69"/>
  <c r="AP11" i="69" s="1"/>
  <c r="AI11" i="69"/>
  <c r="AQ11" i="69" s="1"/>
  <c r="AG12" i="69"/>
  <c r="AO12" i="69" s="1"/>
  <c r="AH12" i="69"/>
  <c r="AP12" i="69" s="1"/>
  <c r="AI12" i="69"/>
  <c r="AQ12" i="69" s="1"/>
  <c r="AG13" i="69"/>
  <c r="AO13" i="69" s="1"/>
  <c r="AH13" i="69"/>
  <c r="AP13" i="69" s="1"/>
  <c r="AI13" i="69"/>
  <c r="AQ13" i="69" s="1"/>
  <c r="AG14" i="69"/>
  <c r="AO14" i="69" s="1"/>
  <c r="AH14" i="69"/>
  <c r="AP14" i="69" s="1"/>
  <c r="AI14" i="69"/>
  <c r="AQ14" i="69" s="1"/>
  <c r="AG15" i="69"/>
  <c r="AO15" i="69" s="1"/>
  <c r="AH15" i="69"/>
  <c r="AP15" i="69" s="1"/>
  <c r="AI15" i="69"/>
  <c r="AQ15" i="69" s="1"/>
  <c r="AG16" i="69"/>
  <c r="AO16" i="69" s="1"/>
  <c r="AH16" i="69"/>
  <c r="AP16" i="69" s="1"/>
  <c r="AI16" i="69"/>
  <c r="AQ16" i="69" s="1"/>
  <c r="AG17" i="69"/>
  <c r="AO17" i="69" s="1"/>
  <c r="AH17" i="69"/>
  <c r="AP17" i="69" s="1"/>
  <c r="AI17" i="69"/>
  <c r="AQ17" i="69" s="1"/>
  <c r="AG18" i="69"/>
  <c r="AO18" i="69" s="1"/>
  <c r="AH18" i="69"/>
  <c r="AP18" i="69" s="1"/>
  <c r="AI18" i="69"/>
  <c r="AQ18" i="69" s="1"/>
  <c r="AG19" i="69"/>
  <c r="AO19" i="69" s="1"/>
  <c r="AH19" i="69"/>
  <c r="AP19" i="69" s="1"/>
  <c r="AI19" i="69"/>
  <c r="AQ19" i="69" s="1"/>
  <c r="AG20" i="69"/>
  <c r="AO20" i="69" s="1"/>
  <c r="AH20" i="69"/>
  <c r="AP20" i="69" s="1"/>
  <c r="AI20" i="69"/>
  <c r="AQ20" i="69" s="1"/>
  <c r="AG21" i="69"/>
  <c r="AO21" i="69" s="1"/>
  <c r="AH21" i="69"/>
  <c r="AP21" i="69" s="1"/>
  <c r="AI21" i="69"/>
  <c r="AQ21" i="69" s="1"/>
  <c r="AG22" i="69"/>
  <c r="AO22" i="69" s="1"/>
  <c r="AH22" i="69"/>
  <c r="AP22" i="69" s="1"/>
  <c r="AI22" i="69"/>
  <c r="AQ22" i="69" s="1"/>
  <c r="AG23" i="69"/>
  <c r="AO23" i="69" s="1"/>
  <c r="AH23" i="69"/>
  <c r="AP23" i="69" s="1"/>
  <c r="AI23" i="69"/>
  <c r="AQ23" i="69" s="1"/>
  <c r="AG24" i="69"/>
  <c r="AO24" i="69" s="1"/>
  <c r="AH24" i="69"/>
  <c r="AP24" i="69" s="1"/>
  <c r="AI24" i="69"/>
  <c r="AQ24" i="69" s="1"/>
  <c r="AG25" i="69"/>
  <c r="AO25" i="69" s="1"/>
  <c r="AH25" i="69"/>
  <c r="AP25" i="69" s="1"/>
  <c r="AI25" i="69"/>
  <c r="AQ25" i="69" s="1"/>
  <c r="AG26" i="69"/>
  <c r="AO26" i="69" s="1"/>
  <c r="AH26" i="69"/>
  <c r="AP26" i="69" s="1"/>
  <c r="AI26" i="69"/>
  <c r="AQ26" i="69" s="1"/>
  <c r="AG27" i="69"/>
  <c r="AO27" i="69" s="1"/>
  <c r="AH27" i="69"/>
  <c r="AP27" i="69" s="1"/>
  <c r="AI27" i="69"/>
  <c r="AQ27" i="69" s="1"/>
  <c r="AG28" i="69"/>
  <c r="AO28" i="69" s="1"/>
  <c r="AH28" i="69"/>
  <c r="AP28" i="69" s="1"/>
  <c r="AI28" i="69"/>
  <c r="AQ28" i="69" s="1"/>
  <c r="AG29" i="69"/>
  <c r="AO29" i="69" s="1"/>
  <c r="AH29" i="69"/>
  <c r="AP29" i="69" s="1"/>
  <c r="AI29" i="69"/>
  <c r="AQ29" i="69" s="1"/>
  <c r="AG30" i="69"/>
  <c r="AO30" i="69" s="1"/>
  <c r="AH30" i="69"/>
  <c r="AP30" i="69" s="1"/>
  <c r="AI30" i="69"/>
  <c r="AQ30" i="69" s="1"/>
  <c r="AG31" i="69"/>
  <c r="AO31" i="69" s="1"/>
  <c r="AH31" i="69"/>
  <c r="AP31" i="69" s="1"/>
  <c r="AI31" i="69"/>
  <c r="AQ31" i="69" s="1"/>
  <c r="AG32" i="69"/>
  <c r="AO32" i="69" s="1"/>
  <c r="AH32" i="69"/>
  <c r="AP32" i="69" s="1"/>
  <c r="AI32" i="69"/>
  <c r="AQ32" i="69" s="1"/>
  <c r="AG33" i="69"/>
  <c r="AO33" i="69" s="1"/>
  <c r="AH33" i="69"/>
  <c r="AP33" i="69" s="1"/>
  <c r="AI33" i="69"/>
  <c r="AQ33" i="69" s="1"/>
  <c r="AG34" i="69"/>
  <c r="AO34" i="69" s="1"/>
  <c r="AH34" i="69"/>
  <c r="AP34" i="69" s="1"/>
  <c r="AI34" i="69"/>
  <c r="AQ34" i="69" s="1"/>
  <c r="AG35" i="69"/>
  <c r="AO35" i="69" s="1"/>
  <c r="AH35" i="69"/>
  <c r="AP35" i="69" s="1"/>
  <c r="AI35" i="69"/>
  <c r="AQ35" i="69" s="1"/>
  <c r="AG36" i="69"/>
  <c r="AO36" i="69" s="1"/>
  <c r="AH36" i="69"/>
  <c r="AP36" i="69" s="1"/>
  <c r="AI36" i="69"/>
  <c r="AQ36" i="69" s="1"/>
  <c r="AG37" i="69"/>
  <c r="AO37" i="69" s="1"/>
  <c r="AH37" i="69"/>
  <c r="AP37" i="69" s="1"/>
  <c r="AI37" i="69"/>
  <c r="AQ37" i="69" s="1"/>
  <c r="AG38" i="69"/>
  <c r="AO38" i="69" s="1"/>
  <c r="AH38" i="69"/>
  <c r="AP38" i="69" s="1"/>
  <c r="AI38" i="69"/>
  <c r="AQ38" i="69" s="1"/>
  <c r="AG39" i="69"/>
  <c r="AO39" i="69" s="1"/>
  <c r="AH39" i="69"/>
  <c r="AP39" i="69" s="1"/>
  <c r="AI39" i="69"/>
  <c r="AQ39" i="69" s="1"/>
  <c r="AG40" i="69"/>
  <c r="AO40" i="69" s="1"/>
  <c r="AH40" i="69"/>
  <c r="AP40" i="69" s="1"/>
  <c r="AI40" i="69"/>
  <c r="AQ40" i="69" s="1"/>
  <c r="AG41" i="69"/>
  <c r="AO41" i="69" s="1"/>
  <c r="AH41" i="69"/>
  <c r="AP41" i="69" s="1"/>
  <c r="AI41" i="69"/>
  <c r="AQ41" i="69" s="1"/>
  <c r="AG42" i="69"/>
  <c r="AO42" i="69" s="1"/>
  <c r="AH42" i="69"/>
  <c r="AP42" i="69" s="1"/>
  <c r="AI42" i="69"/>
  <c r="AQ42" i="69" s="1"/>
  <c r="AG43" i="69"/>
  <c r="AO43" i="69" s="1"/>
  <c r="AH43" i="69"/>
  <c r="AP43" i="69" s="1"/>
  <c r="AI43" i="69"/>
  <c r="AQ43" i="69" s="1"/>
  <c r="AG44" i="69"/>
  <c r="AO44" i="69" s="1"/>
  <c r="AH44" i="69"/>
  <c r="AP44" i="69" s="1"/>
  <c r="AI44" i="69"/>
  <c r="AQ44" i="69" s="1"/>
  <c r="AG45" i="69"/>
  <c r="AO45" i="69" s="1"/>
  <c r="AH45" i="69"/>
  <c r="AP45" i="69" s="1"/>
  <c r="AI45" i="69"/>
  <c r="AQ45" i="69" s="1"/>
  <c r="AG46" i="69"/>
  <c r="AO46" i="69" s="1"/>
  <c r="AH46" i="69"/>
  <c r="AP46" i="69" s="1"/>
  <c r="AI46" i="69"/>
  <c r="AQ46" i="69" s="1"/>
  <c r="AG47" i="69"/>
  <c r="AO47" i="69" s="1"/>
  <c r="AH47" i="69"/>
  <c r="AP47" i="69" s="1"/>
  <c r="AI47" i="69"/>
  <c r="AQ47" i="69" s="1"/>
  <c r="AG48" i="69"/>
  <c r="AO48" i="69" s="1"/>
  <c r="AH48" i="69"/>
  <c r="AP48" i="69" s="1"/>
  <c r="AI48" i="69"/>
  <c r="AQ48" i="69" s="1"/>
  <c r="AG49" i="69"/>
  <c r="AO49" i="69" s="1"/>
  <c r="AH49" i="69"/>
  <c r="AP49" i="69" s="1"/>
  <c r="AI49" i="69"/>
  <c r="AQ49" i="69" s="1"/>
  <c r="AG76" i="69"/>
  <c r="AO76" i="69" s="1"/>
  <c r="AH76" i="69"/>
  <c r="AP76" i="69" s="1"/>
  <c r="AI76" i="69"/>
  <c r="AQ76" i="69" s="1"/>
  <c r="AG77" i="69"/>
  <c r="AO77" i="69" s="1"/>
  <c r="AH77" i="69"/>
  <c r="AP77" i="69" s="1"/>
  <c r="AI77" i="69"/>
  <c r="AQ77" i="69" s="1"/>
  <c r="AG127" i="69"/>
  <c r="AO127" i="69" s="1"/>
  <c r="AH127" i="69"/>
  <c r="AP127" i="69" s="1"/>
  <c r="AI127" i="69"/>
  <c r="AQ127" i="69" s="1"/>
  <c r="AG128" i="69"/>
  <c r="AO128" i="69" s="1"/>
  <c r="AH128" i="69"/>
  <c r="AP128" i="69" s="1"/>
  <c r="AI128" i="69"/>
  <c r="AQ128" i="69" s="1"/>
  <c r="AG129" i="69"/>
  <c r="AO129" i="69" s="1"/>
  <c r="AH129" i="69"/>
  <c r="AP129" i="69" s="1"/>
  <c r="AI129" i="69"/>
  <c r="AQ129" i="69" s="1"/>
  <c r="AG130" i="69"/>
  <c r="AO130" i="69" s="1"/>
  <c r="AH130" i="69"/>
  <c r="AP130" i="69" s="1"/>
  <c r="AI130" i="69"/>
  <c r="AQ130" i="69" s="1"/>
  <c r="AG131" i="69"/>
  <c r="AO131" i="69" s="1"/>
  <c r="AH131" i="69"/>
  <c r="AP131" i="69" s="1"/>
  <c r="AI131" i="69"/>
  <c r="AQ131" i="69" s="1"/>
  <c r="AG132" i="69"/>
  <c r="AO132" i="69" s="1"/>
  <c r="AH132" i="69"/>
  <c r="AP132" i="69" s="1"/>
  <c r="AI132" i="69"/>
  <c r="AQ132" i="69" s="1"/>
  <c r="AG133" i="69"/>
  <c r="AO133" i="69" s="1"/>
  <c r="AH133" i="69"/>
  <c r="AP133" i="69" s="1"/>
  <c r="AI133" i="69"/>
  <c r="AQ133" i="69" s="1"/>
  <c r="AG134" i="69"/>
  <c r="AO134" i="69" s="1"/>
  <c r="AH134" i="69"/>
  <c r="AP134" i="69" s="1"/>
  <c r="AI134" i="69"/>
  <c r="AQ134" i="69" s="1"/>
  <c r="AG135" i="69"/>
  <c r="AO135" i="69" s="1"/>
  <c r="AH135" i="69"/>
  <c r="AP135" i="69" s="1"/>
  <c r="AI135" i="69"/>
  <c r="AQ135" i="69" s="1"/>
  <c r="AG136" i="69"/>
  <c r="AO136" i="69" s="1"/>
  <c r="AH136" i="69"/>
  <c r="AP136" i="69" s="1"/>
  <c r="AI136" i="69"/>
  <c r="AQ136" i="69" s="1"/>
  <c r="AG137" i="69"/>
  <c r="AO137" i="69" s="1"/>
  <c r="AH137" i="69"/>
  <c r="AP137" i="69" s="1"/>
  <c r="AI137" i="69"/>
  <c r="AQ137" i="69" s="1"/>
  <c r="AG138" i="69"/>
  <c r="AO138" i="69" s="1"/>
  <c r="AH138" i="69"/>
  <c r="AP138" i="69" s="1"/>
  <c r="AI138" i="69"/>
  <c r="AQ138" i="69" s="1"/>
  <c r="AG139" i="69"/>
  <c r="AO139" i="69" s="1"/>
  <c r="AH139" i="69"/>
  <c r="AP139" i="69" s="1"/>
  <c r="AI139" i="69"/>
  <c r="AQ139" i="69" s="1"/>
  <c r="AG140" i="69"/>
  <c r="AO140" i="69" s="1"/>
  <c r="AH140" i="69"/>
  <c r="AP140" i="69" s="1"/>
  <c r="AI140" i="69"/>
  <c r="AQ140" i="69" s="1"/>
  <c r="AG141" i="69"/>
  <c r="AO141" i="69" s="1"/>
  <c r="AH141" i="69"/>
  <c r="AP141" i="69" s="1"/>
  <c r="AI141" i="69"/>
  <c r="AQ141" i="69" s="1"/>
  <c r="AG142" i="69"/>
  <c r="AO142" i="69" s="1"/>
  <c r="AH142" i="69"/>
  <c r="AP142" i="69" s="1"/>
  <c r="AI142" i="69"/>
  <c r="AQ142" i="69" s="1"/>
  <c r="AG143" i="69"/>
  <c r="AO143" i="69" s="1"/>
  <c r="AH143" i="69"/>
  <c r="AP143" i="69" s="1"/>
  <c r="AI143" i="69"/>
  <c r="AQ143" i="69" s="1"/>
  <c r="AG144" i="69"/>
  <c r="AO144" i="69" s="1"/>
  <c r="AH144" i="69"/>
  <c r="AP144" i="69" s="1"/>
  <c r="AI144" i="69"/>
  <c r="AQ144" i="69" s="1"/>
  <c r="AG145" i="69"/>
  <c r="AO145" i="69" s="1"/>
  <c r="AH145" i="69"/>
  <c r="AP145" i="69" s="1"/>
  <c r="AI145" i="69"/>
  <c r="AQ145" i="69" s="1"/>
  <c r="AG146" i="69"/>
  <c r="AO146" i="69" s="1"/>
  <c r="AH146" i="69"/>
  <c r="AP146" i="69" s="1"/>
  <c r="AI146" i="69"/>
  <c r="AQ146" i="69" s="1"/>
  <c r="AG147" i="69"/>
  <c r="AO147" i="69" s="1"/>
  <c r="AH147" i="69"/>
  <c r="AP147" i="69" s="1"/>
  <c r="AI147" i="69"/>
  <c r="AQ147" i="69" s="1"/>
  <c r="AG148" i="69"/>
  <c r="AO148" i="69" s="1"/>
  <c r="AH148" i="69"/>
  <c r="AP148" i="69" s="1"/>
  <c r="AI148" i="69"/>
  <c r="AQ148" i="69" s="1"/>
  <c r="AG149" i="69"/>
  <c r="AO149" i="69" s="1"/>
  <c r="AH149" i="69"/>
  <c r="AP149" i="69" s="1"/>
  <c r="AI149" i="69"/>
  <c r="AQ149" i="69" s="1"/>
  <c r="AG150" i="69"/>
  <c r="AO150" i="69" s="1"/>
  <c r="AH150" i="69"/>
  <c r="AP150" i="69" s="1"/>
  <c r="AI150" i="69"/>
  <c r="AQ150" i="69" s="1"/>
  <c r="AG151" i="69"/>
  <c r="AO151" i="69" s="1"/>
  <c r="AH151" i="69"/>
  <c r="AP151" i="69" s="1"/>
  <c r="AI151" i="69"/>
  <c r="AQ151" i="69" s="1"/>
  <c r="AG152" i="69"/>
  <c r="AO152" i="69" s="1"/>
  <c r="AH152" i="69"/>
  <c r="AP152" i="69" s="1"/>
  <c r="AI152" i="69"/>
  <c r="AQ152" i="69" s="1"/>
  <c r="AG153" i="69"/>
  <c r="AO153" i="69" s="1"/>
  <c r="AH153" i="69"/>
  <c r="AP153" i="69" s="1"/>
  <c r="AI153" i="69"/>
  <c r="AQ153" i="69" s="1"/>
  <c r="AG154" i="69"/>
  <c r="AO154" i="69" s="1"/>
  <c r="AH154" i="69"/>
  <c r="AP154" i="69" s="1"/>
  <c r="AI154" i="69"/>
  <c r="AQ154" i="69" s="1"/>
  <c r="AG155" i="69"/>
  <c r="AO155" i="69" s="1"/>
  <c r="AH155" i="69"/>
  <c r="AP155" i="69" s="1"/>
  <c r="AI155" i="69"/>
  <c r="AQ155" i="69" s="1"/>
  <c r="AG156" i="69"/>
  <c r="AO156" i="69" s="1"/>
  <c r="AH156" i="69"/>
  <c r="AP156" i="69" s="1"/>
  <c r="AI156" i="69"/>
  <c r="AQ156" i="69" s="1"/>
  <c r="AG157" i="69"/>
  <c r="AO157" i="69" s="1"/>
  <c r="AH157" i="69"/>
  <c r="AP157" i="69" s="1"/>
  <c r="AI157" i="69"/>
  <c r="AQ157" i="69" s="1"/>
  <c r="AG158" i="69"/>
  <c r="AO158" i="69" s="1"/>
  <c r="AH158" i="69"/>
  <c r="AP158" i="69" s="1"/>
  <c r="AI158" i="69"/>
  <c r="AQ158" i="69" s="1"/>
  <c r="AG159" i="69"/>
  <c r="AO159" i="69" s="1"/>
  <c r="AH159" i="69"/>
  <c r="AP159" i="69" s="1"/>
  <c r="AI159" i="69"/>
  <c r="AQ159" i="69" s="1"/>
  <c r="AG160" i="69"/>
  <c r="AO160" i="69" s="1"/>
  <c r="AH160" i="69"/>
  <c r="AP160" i="69" s="1"/>
  <c r="AI160" i="69"/>
  <c r="AQ160" i="69" s="1"/>
  <c r="AG161" i="69"/>
  <c r="AO161" i="69" s="1"/>
  <c r="AH161" i="69"/>
  <c r="AP161" i="69" s="1"/>
  <c r="AI161" i="69"/>
  <c r="AQ161" i="69" s="1"/>
  <c r="AG162" i="69"/>
  <c r="AO162" i="69" s="1"/>
  <c r="AH162" i="69"/>
  <c r="AP162" i="69" s="1"/>
  <c r="AI162" i="69"/>
  <c r="AQ162" i="69" s="1"/>
  <c r="AG163" i="69"/>
  <c r="AO163" i="69" s="1"/>
  <c r="AH163" i="69"/>
  <c r="AP163" i="69" s="1"/>
  <c r="AI163" i="69"/>
  <c r="AQ163" i="69" s="1"/>
  <c r="AG164" i="69"/>
  <c r="AO164" i="69" s="1"/>
  <c r="AH164" i="69"/>
  <c r="AP164" i="69" s="1"/>
  <c r="AI164" i="69"/>
  <c r="AQ164" i="69" s="1"/>
  <c r="AG165" i="69"/>
  <c r="AO165" i="69" s="1"/>
  <c r="AH165" i="69"/>
  <c r="AP165" i="69" s="1"/>
  <c r="AI165" i="69"/>
  <c r="AQ165" i="69" s="1"/>
  <c r="AG166" i="69"/>
  <c r="AO166" i="69" s="1"/>
  <c r="AH166" i="69"/>
  <c r="AP166" i="69" s="1"/>
  <c r="AI166" i="69"/>
  <c r="AQ166" i="69" s="1"/>
  <c r="AG167" i="69"/>
  <c r="AO167" i="69" s="1"/>
  <c r="AH167" i="69"/>
  <c r="AP167" i="69" s="1"/>
  <c r="AI167" i="69"/>
  <c r="AQ167" i="69" s="1"/>
  <c r="AG168" i="69"/>
  <c r="AO168" i="69" s="1"/>
  <c r="AH168" i="69"/>
  <c r="AP168" i="69" s="1"/>
  <c r="AI168" i="69"/>
  <c r="AQ168" i="69" s="1"/>
  <c r="AG169" i="69"/>
  <c r="AO169" i="69" s="1"/>
  <c r="AH169" i="69"/>
  <c r="AP169" i="69" s="1"/>
  <c r="AI169" i="69"/>
  <c r="AQ169" i="69" s="1"/>
  <c r="AG170" i="69"/>
  <c r="AO170" i="69" s="1"/>
  <c r="AH170" i="69"/>
  <c r="AP170" i="69" s="1"/>
  <c r="AI170" i="69"/>
  <c r="AQ170" i="69" s="1"/>
  <c r="AG171" i="69"/>
  <c r="AO171" i="69" s="1"/>
  <c r="AH171" i="69"/>
  <c r="AP171" i="69" s="1"/>
  <c r="AI171" i="69"/>
  <c r="AQ171" i="69" s="1"/>
  <c r="AG172" i="69"/>
  <c r="AO172" i="69" s="1"/>
  <c r="AH172" i="69"/>
  <c r="AP172" i="69" s="1"/>
  <c r="AI172" i="69"/>
  <c r="AQ172" i="69" s="1"/>
  <c r="AG173" i="69"/>
  <c r="AO173" i="69" s="1"/>
  <c r="AH173" i="69"/>
  <c r="AP173" i="69" s="1"/>
  <c r="AI173" i="69"/>
  <c r="AQ173" i="69" s="1"/>
  <c r="AG174" i="69"/>
  <c r="AO174" i="69" s="1"/>
  <c r="AH174" i="69"/>
  <c r="AP174" i="69" s="1"/>
  <c r="AI174" i="69"/>
  <c r="AQ174" i="69" s="1"/>
  <c r="AG175" i="69"/>
  <c r="AO175" i="69" s="1"/>
  <c r="AH175" i="69"/>
  <c r="AP175" i="69" s="1"/>
  <c r="AI175" i="69"/>
  <c r="AQ175" i="69" s="1"/>
  <c r="AG176" i="69"/>
  <c r="AO176" i="69" s="1"/>
  <c r="AH176" i="69"/>
  <c r="AP176" i="69" s="1"/>
  <c r="AI176" i="69"/>
  <c r="AQ176" i="69" s="1"/>
  <c r="AG177" i="69"/>
  <c r="AO177" i="69" s="1"/>
  <c r="AH177" i="69"/>
  <c r="AP177" i="69" s="1"/>
  <c r="AI177" i="69"/>
  <c r="AQ177" i="69" s="1"/>
  <c r="AG178" i="69"/>
  <c r="AO178" i="69" s="1"/>
  <c r="AH178" i="69"/>
  <c r="AP178" i="69" s="1"/>
  <c r="AI178" i="69"/>
  <c r="AQ178" i="69" s="1"/>
  <c r="AG179" i="69"/>
  <c r="AO179" i="69" s="1"/>
  <c r="AH179" i="69"/>
  <c r="AP179" i="69" s="1"/>
  <c r="AI179" i="69"/>
  <c r="AQ179" i="69" s="1"/>
  <c r="AG180" i="69"/>
  <c r="AO180" i="69" s="1"/>
  <c r="AH180" i="69"/>
  <c r="AP180" i="69" s="1"/>
  <c r="AI180" i="69"/>
  <c r="AQ180" i="69" s="1"/>
  <c r="AG181" i="69"/>
  <c r="AO181" i="69" s="1"/>
  <c r="AH181" i="69"/>
  <c r="AP181" i="69" s="1"/>
  <c r="AI181" i="69"/>
  <c r="AQ181" i="69" s="1"/>
  <c r="AG182" i="69"/>
  <c r="AO182" i="69" s="1"/>
  <c r="AH182" i="69"/>
  <c r="AP182" i="69" s="1"/>
  <c r="AI182" i="69"/>
  <c r="AQ182" i="69" s="1"/>
  <c r="AG183" i="69"/>
  <c r="AO183" i="69" s="1"/>
  <c r="AH183" i="69"/>
  <c r="AP183" i="69" s="1"/>
  <c r="AI183" i="69"/>
  <c r="AQ183" i="69" s="1"/>
  <c r="AG184" i="69"/>
  <c r="AO184" i="69" s="1"/>
  <c r="AH184" i="69"/>
  <c r="AP184" i="69" s="1"/>
  <c r="AI184" i="69"/>
  <c r="AQ184" i="69" s="1"/>
  <c r="AG185" i="69"/>
  <c r="AO185" i="69" s="1"/>
  <c r="AH185" i="69"/>
  <c r="AP185" i="69" s="1"/>
  <c r="AI185" i="69"/>
  <c r="AQ185" i="69" s="1"/>
  <c r="AG186" i="69"/>
  <c r="AO186" i="69" s="1"/>
  <c r="AH186" i="69"/>
  <c r="AP186" i="69" s="1"/>
  <c r="AI186" i="69"/>
  <c r="AQ186" i="69" s="1"/>
  <c r="AG187" i="69"/>
  <c r="AO187" i="69" s="1"/>
  <c r="AH187" i="69"/>
  <c r="AP187" i="69" s="1"/>
  <c r="AI187" i="69"/>
  <c r="AQ187" i="69" s="1"/>
  <c r="AG188" i="69"/>
  <c r="AO188" i="69" s="1"/>
  <c r="AH188" i="69"/>
  <c r="AP188" i="69" s="1"/>
  <c r="AI188" i="69"/>
  <c r="AQ188" i="69" s="1"/>
  <c r="AG189" i="69"/>
  <c r="AO189" i="69" s="1"/>
  <c r="AH189" i="69"/>
  <c r="AP189" i="69" s="1"/>
  <c r="AI189" i="69"/>
  <c r="AQ189" i="69" s="1"/>
  <c r="AG190" i="69"/>
  <c r="AO190" i="69" s="1"/>
  <c r="AH190" i="69"/>
  <c r="AP190" i="69" s="1"/>
  <c r="AI190" i="69"/>
  <c r="AQ190" i="69" s="1"/>
  <c r="AG191" i="69"/>
  <c r="AO191" i="69" s="1"/>
  <c r="AH191" i="69"/>
  <c r="AP191" i="69" s="1"/>
  <c r="AI191" i="69"/>
  <c r="AQ191" i="69" s="1"/>
  <c r="AG192" i="69"/>
  <c r="AO192" i="69" s="1"/>
  <c r="AH192" i="69"/>
  <c r="AP192" i="69" s="1"/>
  <c r="AI192" i="69"/>
  <c r="AQ192" i="69" s="1"/>
  <c r="AG193" i="69"/>
  <c r="AO193" i="69" s="1"/>
  <c r="AH193" i="69"/>
  <c r="AP193" i="69" s="1"/>
  <c r="AI193" i="69"/>
  <c r="AQ193" i="69" s="1"/>
  <c r="AG194" i="69"/>
  <c r="AO194" i="69" s="1"/>
  <c r="AH194" i="69"/>
  <c r="AP194" i="69" s="1"/>
  <c r="AI194" i="69"/>
  <c r="AQ194" i="69" s="1"/>
  <c r="AG195" i="69"/>
  <c r="AO195" i="69" s="1"/>
  <c r="AH195" i="69"/>
  <c r="AP195" i="69" s="1"/>
  <c r="AI195" i="69"/>
  <c r="AQ195" i="69" s="1"/>
  <c r="AG196" i="69"/>
  <c r="AO196" i="69" s="1"/>
  <c r="AH196" i="69"/>
  <c r="AP196" i="69" s="1"/>
  <c r="AI196" i="69"/>
  <c r="AQ196" i="69" s="1"/>
  <c r="AG197" i="69"/>
  <c r="AO197" i="69" s="1"/>
  <c r="AH197" i="69"/>
  <c r="AP197" i="69" s="1"/>
  <c r="AI197" i="69"/>
  <c r="AQ197" i="69" s="1"/>
  <c r="AG198" i="69"/>
  <c r="AO198" i="69" s="1"/>
  <c r="AH198" i="69"/>
  <c r="AP198" i="69" s="1"/>
  <c r="AI198" i="69"/>
  <c r="AQ198" i="69" s="1"/>
  <c r="AG199" i="69"/>
  <c r="AO199" i="69" s="1"/>
  <c r="AH199" i="69"/>
  <c r="AP199" i="69" s="1"/>
  <c r="AI199" i="69"/>
  <c r="AQ199" i="69" s="1"/>
  <c r="AG200" i="69"/>
  <c r="AO200" i="69" s="1"/>
  <c r="AH200" i="69"/>
  <c r="AP200" i="69" s="1"/>
  <c r="AI200" i="69"/>
  <c r="AQ200" i="69" s="1"/>
  <c r="AG201" i="69"/>
  <c r="AO201" i="69" s="1"/>
  <c r="AH201" i="69"/>
  <c r="AP201" i="69" s="1"/>
  <c r="AI201" i="69"/>
  <c r="AQ201" i="69" s="1"/>
  <c r="AG202" i="69"/>
  <c r="AO202" i="69" s="1"/>
  <c r="AH202" i="69"/>
  <c r="AP202" i="69" s="1"/>
  <c r="AI202" i="69"/>
  <c r="AQ202" i="69" s="1"/>
  <c r="AG305" i="69"/>
  <c r="AO305" i="69" s="1"/>
  <c r="AH305" i="69"/>
  <c r="AP305" i="69" s="1"/>
  <c r="AI305" i="69"/>
  <c r="AQ305" i="69" s="1"/>
  <c r="AG307" i="69"/>
  <c r="AO307" i="69" s="1"/>
  <c r="AH307" i="69"/>
  <c r="AP307" i="69" s="1"/>
  <c r="AI307" i="69"/>
  <c r="AQ307" i="69" s="1"/>
  <c r="AG311" i="69"/>
  <c r="AO311" i="69" s="1"/>
  <c r="AH311" i="69"/>
  <c r="AP311" i="69" s="1"/>
  <c r="AI311" i="69"/>
  <c r="AQ311" i="69" s="1"/>
  <c r="AG313" i="69"/>
  <c r="AO313" i="69" s="1"/>
  <c r="AH313" i="69"/>
  <c r="AP313" i="69" s="1"/>
  <c r="AI313" i="69"/>
  <c r="AQ313" i="69" s="1"/>
  <c r="AG314" i="69"/>
  <c r="AO314" i="69" s="1"/>
  <c r="AH314" i="69"/>
  <c r="AP314" i="69" s="1"/>
  <c r="AI314" i="69"/>
  <c r="AQ314" i="69" s="1"/>
  <c r="AG315" i="69"/>
  <c r="AO315" i="69" s="1"/>
  <c r="AH315" i="69"/>
  <c r="AP315" i="69" s="1"/>
  <c r="AI315" i="69"/>
  <c r="AQ315" i="69" s="1"/>
  <c r="AG316" i="69"/>
  <c r="AO316" i="69" s="1"/>
  <c r="AH316" i="69"/>
  <c r="AP316" i="69" s="1"/>
  <c r="AI316" i="69"/>
  <c r="AQ316" i="69" s="1"/>
  <c r="AG317" i="69"/>
  <c r="AO317" i="69" s="1"/>
  <c r="AH317" i="69"/>
  <c r="AP317" i="69" s="1"/>
  <c r="AI317" i="69"/>
  <c r="AQ317" i="69" s="1"/>
  <c r="AG319" i="69"/>
  <c r="AO319" i="69" s="1"/>
  <c r="AH319" i="69"/>
  <c r="AP319" i="69" s="1"/>
  <c r="AI319" i="69"/>
  <c r="AQ319" i="69" s="1"/>
  <c r="AG320" i="69"/>
  <c r="AO320" i="69" s="1"/>
  <c r="AH320" i="69"/>
  <c r="AP320" i="69" s="1"/>
  <c r="AI320" i="69"/>
  <c r="AQ320" i="69" s="1"/>
  <c r="AG321" i="69"/>
  <c r="AO321" i="69" s="1"/>
  <c r="AH321" i="69"/>
  <c r="AP321" i="69" s="1"/>
  <c r="AI321" i="69"/>
  <c r="AQ321" i="69" s="1"/>
  <c r="AG322" i="69"/>
  <c r="AO322" i="69" s="1"/>
  <c r="AH322" i="69"/>
  <c r="AP322" i="69" s="1"/>
  <c r="AI322" i="69"/>
  <c r="AQ322" i="69" s="1"/>
  <c r="AG323" i="69"/>
  <c r="AO323" i="69" s="1"/>
  <c r="AH323" i="69"/>
  <c r="AP323" i="69" s="1"/>
  <c r="AI323" i="69"/>
  <c r="AQ323" i="69" s="1"/>
  <c r="AG324" i="69"/>
  <c r="AO324" i="69" s="1"/>
  <c r="AH324" i="69"/>
  <c r="AP324" i="69" s="1"/>
  <c r="AI324" i="69"/>
  <c r="AQ324" i="69" s="1"/>
  <c r="AG325" i="69"/>
  <c r="AO325" i="69" s="1"/>
  <c r="AH325" i="69"/>
  <c r="AP325" i="69" s="1"/>
  <c r="AI325" i="69"/>
  <c r="AQ325" i="69" s="1"/>
  <c r="AG327" i="69"/>
  <c r="AO327" i="69" s="1"/>
  <c r="AH327" i="69"/>
  <c r="AP327" i="69" s="1"/>
  <c r="AI327" i="69"/>
  <c r="AQ327" i="69" s="1"/>
  <c r="AG329" i="69"/>
  <c r="AO329" i="69" s="1"/>
  <c r="AH329" i="69"/>
  <c r="AP329" i="69" s="1"/>
  <c r="AI329" i="69"/>
  <c r="AQ329" i="69" s="1"/>
  <c r="AG330" i="69"/>
  <c r="AO330" i="69" s="1"/>
  <c r="AH330" i="69"/>
  <c r="AP330" i="69" s="1"/>
  <c r="AI330" i="69"/>
  <c r="AQ330" i="69" s="1"/>
  <c r="AG331" i="69"/>
  <c r="AO331" i="69" s="1"/>
  <c r="AH331" i="69"/>
  <c r="AP331" i="69" s="1"/>
  <c r="AI331" i="69"/>
  <c r="AQ331" i="69" s="1"/>
  <c r="AG332" i="69"/>
  <c r="AO332" i="69" s="1"/>
  <c r="AH332" i="69"/>
  <c r="AP332" i="69" s="1"/>
  <c r="AI332" i="69"/>
  <c r="AQ332" i="69" s="1"/>
  <c r="AG333" i="69"/>
  <c r="AO333" i="69" s="1"/>
  <c r="AH333" i="69"/>
  <c r="AP333" i="69" s="1"/>
  <c r="AI333" i="69"/>
  <c r="AQ333" i="69" s="1"/>
  <c r="AG334" i="69"/>
  <c r="AO334" i="69" s="1"/>
  <c r="AH334" i="69"/>
  <c r="AP334" i="69" s="1"/>
  <c r="AI334" i="69"/>
  <c r="AQ334" i="69" s="1"/>
  <c r="AG336" i="69"/>
  <c r="AO336" i="69" s="1"/>
  <c r="AH336" i="69"/>
  <c r="AP336" i="69" s="1"/>
  <c r="AI336" i="69"/>
  <c r="AQ336" i="69" s="1"/>
  <c r="AG366" i="69"/>
  <c r="AO366" i="69" s="1"/>
  <c r="AH366" i="69"/>
  <c r="AP366" i="69" s="1"/>
  <c r="AI366" i="69"/>
  <c r="AQ366" i="69" s="1"/>
  <c r="AG367" i="69"/>
  <c r="AO367" i="69" s="1"/>
  <c r="AH367" i="69"/>
  <c r="AP367" i="69" s="1"/>
  <c r="AI367" i="69"/>
  <c r="AQ367" i="69" s="1"/>
  <c r="AG368" i="69"/>
  <c r="AO368" i="69" s="1"/>
  <c r="AH368" i="69"/>
  <c r="AP368" i="69" s="1"/>
  <c r="AI368" i="69"/>
  <c r="AQ368" i="69" s="1"/>
  <c r="AG369" i="69"/>
  <c r="AO369" i="69" s="1"/>
  <c r="AH369" i="69"/>
  <c r="AP369" i="69" s="1"/>
  <c r="AI369" i="69"/>
  <c r="AQ369" i="69" s="1"/>
  <c r="AG370" i="69"/>
  <c r="AO370" i="69" s="1"/>
  <c r="AH370" i="69"/>
  <c r="AP370" i="69" s="1"/>
  <c r="AI370" i="69"/>
  <c r="AQ370" i="69" s="1"/>
  <c r="AG371" i="69"/>
  <c r="AO371" i="69" s="1"/>
  <c r="AH371" i="69"/>
  <c r="AP371" i="69" s="1"/>
  <c r="AI371" i="69"/>
  <c r="AQ371" i="69" s="1"/>
  <c r="AG372" i="69"/>
  <c r="AO372" i="69" s="1"/>
  <c r="AH372" i="69"/>
  <c r="AP372" i="69" s="1"/>
  <c r="AI372" i="69"/>
  <c r="AQ372" i="69" s="1"/>
  <c r="AG373" i="69"/>
  <c r="AO373" i="69" s="1"/>
  <c r="AH373" i="69"/>
  <c r="AP373" i="69" s="1"/>
  <c r="AI373" i="69"/>
  <c r="AQ373" i="69" s="1"/>
  <c r="AG374" i="69"/>
  <c r="AO374" i="69" s="1"/>
  <c r="AH374" i="69"/>
  <c r="AP374" i="69" s="1"/>
  <c r="AI374" i="69"/>
  <c r="AQ374" i="69" s="1"/>
  <c r="AG375" i="69"/>
  <c r="AO375" i="69" s="1"/>
  <c r="AH375" i="69"/>
  <c r="AP375" i="69" s="1"/>
  <c r="AI375" i="69"/>
  <c r="AQ375" i="69" s="1"/>
  <c r="AG376" i="69"/>
  <c r="AO376" i="69" s="1"/>
  <c r="AH376" i="69"/>
  <c r="AP376" i="69" s="1"/>
  <c r="AI376" i="69"/>
  <c r="AQ376" i="69" s="1"/>
  <c r="AG377" i="69"/>
  <c r="AO377" i="69" s="1"/>
  <c r="AH377" i="69"/>
  <c r="AP377" i="69" s="1"/>
  <c r="AI377" i="69"/>
  <c r="AQ377" i="69" s="1"/>
  <c r="AG378" i="69"/>
  <c r="AO378" i="69" s="1"/>
  <c r="AH378" i="69"/>
  <c r="AP378" i="69" s="1"/>
  <c r="AI378" i="69"/>
  <c r="AQ378" i="69" s="1"/>
  <c r="AG379" i="69"/>
  <c r="AO379" i="69" s="1"/>
  <c r="AH379" i="69"/>
  <c r="AP379" i="69" s="1"/>
  <c r="AI379" i="69"/>
  <c r="AQ379" i="69" s="1"/>
  <c r="AG380" i="69"/>
  <c r="AO380" i="69" s="1"/>
  <c r="AH380" i="69"/>
  <c r="AP380" i="69" s="1"/>
  <c r="AI380" i="69"/>
  <c r="AQ380" i="69" s="1"/>
  <c r="AG381" i="69"/>
  <c r="AO381" i="69" s="1"/>
  <c r="AH381" i="69"/>
  <c r="AP381" i="69" s="1"/>
  <c r="AI381" i="69"/>
  <c r="AQ381" i="69" s="1"/>
  <c r="AG382" i="69"/>
  <c r="AO382" i="69" s="1"/>
  <c r="AH382" i="69"/>
  <c r="AP382" i="69" s="1"/>
  <c r="AI382" i="69"/>
  <c r="AQ382" i="69" s="1"/>
  <c r="AG383" i="69"/>
  <c r="AO383" i="69" s="1"/>
  <c r="AH383" i="69"/>
  <c r="AP383" i="69" s="1"/>
  <c r="AI383" i="69"/>
  <c r="AQ383" i="69" s="1"/>
  <c r="AG384" i="69"/>
  <c r="AO384" i="69" s="1"/>
  <c r="AH384" i="69"/>
  <c r="AP384" i="69" s="1"/>
  <c r="AI384" i="69"/>
  <c r="AQ384" i="69" s="1"/>
  <c r="AG385" i="69"/>
  <c r="AO385" i="69" s="1"/>
  <c r="AH385" i="69"/>
  <c r="AP385" i="69" s="1"/>
  <c r="AI385" i="69"/>
  <c r="AQ385" i="69" s="1"/>
  <c r="AG386" i="69"/>
  <c r="AO386" i="69" s="1"/>
  <c r="AH386" i="69"/>
  <c r="AP386" i="69" s="1"/>
  <c r="AI386" i="69"/>
  <c r="AQ386" i="69" s="1"/>
  <c r="AG387" i="69"/>
  <c r="AO387" i="69" s="1"/>
  <c r="AH387" i="69"/>
  <c r="AP387" i="69" s="1"/>
  <c r="AI387" i="69"/>
  <c r="AQ387" i="69" s="1"/>
  <c r="AG388" i="69"/>
  <c r="AO388" i="69" s="1"/>
  <c r="AH388" i="69"/>
  <c r="AP388" i="69" s="1"/>
  <c r="AI388" i="69"/>
  <c r="AQ388" i="69" s="1"/>
  <c r="AG392" i="69"/>
  <c r="AO392" i="69" s="1"/>
  <c r="AH392" i="69"/>
  <c r="AP392" i="69" s="1"/>
  <c r="AI392" i="69"/>
  <c r="AQ392" i="69" s="1"/>
  <c r="AG393" i="69"/>
  <c r="AO393" i="69" s="1"/>
  <c r="AH393" i="69"/>
  <c r="AP393" i="69" s="1"/>
  <c r="AI393" i="69"/>
  <c r="AQ393" i="69" s="1"/>
  <c r="AG394" i="69"/>
  <c r="AO394" i="69" s="1"/>
  <c r="AH394" i="69"/>
  <c r="AP394" i="69" s="1"/>
  <c r="AI394" i="69"/>
  <c r="AQ394" i="69" s="1"/>
  <c r="AG395" i="69"/>
  <c r="AO395" i="69" s="1"/>
  <c r="AH395" i="69"/>
  <c r="AP395" i="69" s="1"/>
  <c r="AI395" i="69"/>
  <c r="AQ395" i="69" s="1"/>
  <c r="AG396" i="69"/>
  <c r="AO396" i="69" s="1"/>
  <c r="AH396" i="69"/>
  <c r="AP396" i="69" s="1"/>
  <c r="AI396" i="69"/>
  <c r="AQ396" i="69" s="1"/>
  <c r="AG397" i="69"/>
  <c r="AO397" i="69" s="1"/>
  <c r="AH397" i="69"/>
  <c r="AP397" i="69" s="1"/>
  <c r="AI397" i="69"/>
  <c r="AQ397" i="69" s="1"/>
  <c r="AG398" i="69"/>
  <c r="AO398" i="69" s="1"/>
  <c r="AH398" i="69"/>
  <c r="AP398" i="69" s="1"/>
  <c r="AI398" i="69"/>
  <c r="AQ398" i="69" s="1"/>
  <c r="AG405" i="69"/>
  <c r="AO405" i="69" s="1"/>
  <c r="AH405" i="69"/>
  <c r="AP405" i="69" s="1"/>
  <c r="AI405" i="69"/>
  <c r="AQ405" i="69" s="1"/>
  <c r="AG406" i="69"/>
  <c r="AO406" i="69" s="1"/>
  <c r="AH406" i="69"/>
  <c r="AP406" i="69" s="1"/>
  <c r="AI406" i="69"/>
  <c r="AQ406" i="69" s="1"/>
  <c r="AG407" i="69"/>
  <c r="AO407" i="69" s="1"/>
  <c r="AH407" i="69"/>
  <c r="AP407" i="69" s="1"/>
  <c r="AI407" i="69"/>
  <c r="AQ407" i="69" s="1"/>
  <c r="AG409" i="69"/>
  <c r="AO409" i="69" s="1"/>
  <c r="AH409" i="69"/>
  <c r="AP409" i="69" s="1"/>
  <c r="AI409" i="69"/>
  <c r="AQ409" i="69" s="1"/>
  <c r="AG411" i="69"/>
  <c r="AO411" i="69" s="1"/>
  <c r="AH411" i="69"/>
  <c r="AP411" i="69" s="1"/>
  <c r="AI411" i="69"/>
  <c r="AQ411" i="69" s="1"/>
  <c r="AG412" i="69"/>
  <c r="AO412" i="69" s="1"/>
  <c r="AH412" i="69"/>
  <c r="AP412" i="69" s="1"/>
  <c r="AI412" i="69"/>
  <c r="AQ412" i="69" s="1"/>
  <c r="AG413" i="69"/>
  <c r="AO413" i="69" s="1"/>
  <c r="AH413" i="69"/>
  <c r="AP413" i="69" s="1"/>
  <c r="AI413" i="69"/>
  <c r="AQ413" i="69" s="1"/>
  <c r="AG414" i="69"/>
  <c r="AO414" i="69" s="1"/>
  <c r="AH414" i="69"/>
  <c r="AP414" i="69" s="1"/>
  <c r="AI414" i="69"/>
  <c r="AQ414" i="69" s="1"/>
  <c r="AG415" i="69"/>
  <c r="AO415" i="69" s="1"/>
  <c r="AH415" i="69"/>
  <c r="AP415" i="69" s="1"/>
  <c r="AI415" i="69"/>
  <c r="AQ415" i="69" s="1"/>
  <c r="AG418" i="69"/>
  <c r="AO418" i="69" s="1"/>
  <c r="AH418" i="69"/>
  <c r="AP418" i="69" s="1"/>
  <c r="AI418" i="69"/>
  <c r="AQ418" i="69" s="1"/>
  <c r="AG419" i="69"/>
  <c r="AO419" i="69" s="1"/>
  <c r="AH419" i="69"/>
  <c r="AP419" i="69" s="1"/>
  <c r="AI419" i="69"/>
  <c r="AQ419" i="69" s="1"/>
  <c r="AG420" i="69"/>
  <c r="AO420" i="69" s="1"/>
  <c r="AH420" i="69"/>
  <c r="AP420" i="69" s="1"/>
  <c r="AI420" i="69"/>
  <c r="AQ420" i="69" s="1"/>
  <c r="AG421" i="69"/>
  <c r="AO421" i="69" s="1"/>
  <c r="AH421" i="69"/>
  <c r="AP421" i="69" s="1"/>
  <c r="AI421" i="69"/>
  <c r="AQ421" i="69" s="1"/>
  <c r="AG422" i="69"/>
  <c r="AO422" i="69" s="1"/>
  <c r="AH422" i="69"/>
  <c r="AP422" i="69" s="1"/>
  <c r="AI422" i="69"/>
  <c r="AQ422" i="69" s="1"/>
  <c r="AG454" i="69"/>
  <c r="AO454" i="69" s="1"/>
  <c r="AH454" i="69"/>
  <c r="AP454" i="69" s="1"/>
  <c r="AI454" i="69"/>
  <c r="AQ454" i="69" s="1"/>
  <c r="AG456" i="69"/>
  <c r="AO456" i="69" s="1"/>
  <c r="AH456" i="69"/>
  <c r="AP456" i="69" s="1"/>
  <c r="AI456" i="69"/>
  <c r="AQ456" i="69" s="1"/>
  <c r="AG457" i="69"/>
  <c r="AO457" i="69" s="1"/>
  <c r="AH457" i="69"/>
  <c r="AP457" i="69" s="1"/>
  <c r="AI457" i="69"/>
  <c r="AQ457" i="69" s="1"/>
  <c r="AG474" i="69"/>
  <c r="AO474" i="69" s="1"/>
  <c r="AH474" i="69"/>
  <c r="AP474" i="69" s="1"/>
  <c r="AI474" i="69"/>
  <c r="AQ474" i="69" s="1"/>
  <c r="AG478" i="69"/>
  <c r="AO478" i="69" s="1"/>
  <c r="AH478" i="69"/>
  <c r="AP478" i="69" s="1"/>
  <c r="AI478" i="69"/>
  <c r="AQ478" i="69" s="1"/>
  <c r="AG480" i="69"/>
  <c r="AO480" i="69" s="1"/>
  <c r="AH480" i="69"/>
  <c r="AP480" i="69" s="1"/>
  <c r="AI480" i="69"/>
  <c r="AQ480" i="69" s="1"/>
  <c r="AG484" i="69"/>
  <c r="AO484" i="69" s="1"/>
  <c r="AH484" i="69"/>
  <c r="AP484" i="69" s="1"/>
  <c r="AI484" i="69"/>
  <c r="AQ484" i="69" s="1"/>
  <c r="AG492" i="69"/>
  <c r="AO492" i="69" s="1"/>
  <c r="AH492" i="69"/>
  <c r="AP492" i="69" s="1"/>
  <c r="AI492" i="69"/>
  <c r="AQ492" i="69" s="1"/>
  <c r="AG493" i="69"/>
  <c r="AO493" i="69" s="1"/>
  <c r="AH493" i="69"/>
  <c r="AP493" i="69" s="1"/>
  <c r="AI493" i="69"/>
  <c r="AQ493" i="69" s="1"/>
  <c r="AG494" i="69"/>
  <c r="AO494" i="69" s="1"/>
  <c r="AH494" i="69"/>
  <c r="AP494" i="69" s="1"/>
  <c r="AI494" i="69"/>
  <c r="AQ494" i="69" s="1"/>
  <c r="AG495" i="69"/>
  <c r="AO495" i="69" s="1"/>
  <c r="AH495" i="69"/>
  <c r="AP495" i="69" s="1"/>
  <c r="AI495" i="69"/>
  <c r="AQ495" i="69" s="1"/>
  <c r="AG497" i="69"/>
  <c r="AO497" i="69" s="1"/>
  <c r="AH497" i="69"/>
  <c r="AP497" i="69" s="1"/>
  <c r="AI497" i="69"/>
  <c r="AQ497" i="69" s="1"/>
  <c r="AG498" i="69"/>
  <c r="AO498" i="69" s="1"/>
  <c r="AH498" i="69"/>
  <c r="AP498" i="69" s="1"/>
  <c r="AI498" i="69"/>
  <c r="AQ498" i="69" s="1"/>
  <c r="AG499" i="69"/>
  <c r="AO499" i="69" s="1"/>
  <c r="AH499" i="69"/>
  <c r="AP499" i="69" s="1"/>
  <c r="AI499" i="69"/>
  <c r="AQ499" i="69" s="1"/>
  <c r="AG500" i="69"/>
  <c r="AO500" i="69" s="1"/>
  <c r="AH500" i="69"/>
  <c r="AP500" i="69" s="1"/>
  <c r="AI500" i="69"/>
  <c r="AQ500" i="69" s="1"/>
  <c r="AG501" i="69"/>
  <c r="AO501" i="69" s="1"/>
  <c r="AH501" i="69"/>
  <c r="AP501" i="69" s="1"/>
  <c r="AI501" i="69"/>
  <c r="AQ501" i="69" s="1"/>
  <c r="AG502" i="69"/>
  <c r="AO502" i="69" s="1"/>
  <c r="AH502" i="69"/>
  <c r="AP502" i="69" s="1"/>
  <c r="AI502" i="69"/>
  <c r="AQ502" i="69" s="1"/>
  <c r="AG503" i="69"/>
  <c r="AO503" i="69" s="1"/>
  <c r="AH503" i="69"/>
  <c r="AP503" i="69" s="1"/>
  <c r="AI503" i="69"/>
  <c r="AQ503" i="69" s="1"/>
  <c r="AG507" i="69"/>
  <c r="AO507" i="69" s="1"/>
  <c r="AH507" i="69"/>
  <c r="AP507" i="69" s="1"/>
  <c r="AI507" i="69"/>
  <c r="AQ507" i="69" s="1"/>
  <c r="AG508" i="69"/>
  <c r="AO508" i="69" s="1"/>
  <c r="AH508" i="69"/>
  <c r="AP508" i="69" s="1"/>
  <c r="AI508" i="69"/>
  <c r="AQ508" i="69" s="1"/>
  <c r="AG509" i="69"/>
  <c r="AO509" i="69" s="1"/>
  <c r="AH509" i="69"/>
  <c r="AP509" i="69" s="1"/>
  <c r="AI509" i="69"/>
  <c r="AQ509" i="69" s="1"/>
  <c r="AG516" i="69"/>
  <c r="AO516" i="69" s="1"/>
  <c r="AH516" i="69"/>
  <c r="AP516" i="69" s="1"/>
  <c r="AI516" i="69"/>
  <c r="AQ516" i="69" s="1"/>
  <c r="AG518" i="69"/>
  <c r="AO518" i="69" s="1"/>
  <c r="AH518" i="69"/>
  <c r="AP518" i="69" s="1"/>
  <c r="AI518" i="69"/>
  <c r="AQ518" i="69" s="1"/>
  <c r="AG519" i="69"/>
  <c r="AO519" i="69" s="1"/>
  <c r="AH519" i="69"/>
  <c r="AP519" i="69" s="1"/>
  <c r="AI519" i="69"/>
  <c r="AQ519" i="69" s="1"/>
  <c r="AG520" i="69"/>
  <c r="AO520" i="69" s="1"/>
  <c r="AH520" i="69"/>
  <c r="AP520" i="69" s="1"/>
  <c r="AI520" i="69"/>
  <c r="AQ520" i="69" s="1"/>
  <c r="AG521" i="69"/>
  <c r="AO521" i="69" s="1"/>
  <c r="AH521" i="69"/>
  <c r="AP521" i="69" s="1"/>
  <c r="AI521" i="69"/>
  <c r="AQ521" i="69" s="1"/>
  <c r="AG522" i="69"/>
  <c r="AO522" i="69" s="1"/>
  <c r="AH522" i="69"/>
  <c r="AP522" i="69" s="1"/>
  <c r="AI522" i="69"/>
  <c r="AQ522" i="69" s="1"/>
  <c r="AG523" i="69"/>
  <c r="AO523" i="69" s="1"/>
  <c r="AH523" i="69"/>
  <c r="AP523" i="69" s="1"/>
  <c r="AI523" i="69"/>
  <c r="AQ523" i="69" s="1"/>
  <c r="AG524" i="69"/>
  <c r="AO524" i="69" s="1"/>
  <c r="AH524" i="69"/>
  <c r="AP524" i="69" s="1"/>
  <c r="AI524" i="69"/>
  <c r="AQ524" i="69" s="1"/>
  <c r="AG525" i="69"/>
  <c r="AO525" i="69" s="1"/>
  <c r="AH525" i="69"/>
  <c r="AP525" i="69" s="1"/>
  <c r="AI525" i="69"/>
  <c r="AQ525" i="69" s="1"/>
  <c r="AG527" i="69"/>
  <c r="AO527" i="69" s="1"/>
  <c r="AH527" i="69"/>
  <c r="AP527" i="69" s="1"/>
  <c r="AI527" i="69"/>
  <c r="AQ527" i="69" s="1"/>
  <c r="AG528" i="69"/>
  <c r="AO528" i="69" s="1"/>
  <c r="AH528" i="69"/>
  <c r="AP528" i="69" s="1"/>
  <c r="AI528" i="69"/>
  <c r="AQ528" i="69" s="1"/>
  <c r="AG529" i="69"/>
  <c r="AO529" i="69" s="1"/>
  <c r="AH529" i="69"/>
  <c r="AP529" i="69" s="1"/>
  <c r="AI529" i="69"/>
  <c r="AQ529" i="69" s="1"/>
  <c r="AG530" i="69"/>
  <c r="AO530" i="69" s="1"/>
  <c r="AH530" i="69"/>
  <c r="AP530" i="69" s="1"/>
  <c r="AI530" i="69"/>
  <c r="AQ530" i="69" s="1"/>
  <c r="AG531" i="69"/>
  <c r="AO531" i="69" s="1"/>
  <c r="AH531" i="69"/>
  <c r="AP531" i="69" s="1"/>
  <c r="AI531" i="69"/>
  <c r="AQ531" i="69" s="1"/>
  <c r="AG533" i="69"/>
  <c r="AO533" i="69" s="1"/>
  <c r="AH533" i="69"/>
  <c r="AP533" i="69" s="1"/>
  <c r="AI533" i="69"/>
  <c r="AQ533" i="69" s="1"/>
  <c r="AG534" i="69"/>
  <c r="AO534" i="69" s="1"/>
  <c r="AH534" i="69"/>
  <c r="AP534" i="69" s="1"/>
  <c r="AI534" i="69"/>
  <c r="AQ534" i="69" s="1"/>
  <c r="AG535" i="69"/>
  <c r="AO535" i="69" s="1"/>
  <c r="AH535" i="69"/>
  <c r="AP535" i="69" s="1"/>
  <c r="AI535" i="69"/>
  <c r="AQ535" i="69" s="1"/>
  <c r="AG536" i="69"/>
  <c r="AO536" i="69" s="1"/>
  <c r="AH536" i="69"/>
  <c r="AP536" i="69" s="1"/>
  <c r="AI536" i="69"/>
  <c r="AQ536" i="69" s="1"/>
  <c r="AG541" i="69"/>
  <c r="AO541" i="69" s="1"/>
  <c r="AH541" i="69"/>
  <c r="AP541" i="69" s="1"/>
  <c r="AI541" i="69"/>
  <c r="AQ541" i="69" s="1"/>
  <c r="AG542" i="69"/>
  <c r="AO542" i="69" s="1"/>
  <c r="AH542" i="69"/>
  <c r="AP542" i="69" s="1"/>
  <c r="AI542" i="69"/>
  <c r="AQ542" i="69" s="1"/>
  <c r="AG543" i="69"/>
  <c r="AO543" i="69" s="1"/>
  <c r="AH543" i="69"/>
  <c r="AP543" i="69" s="1"/>
  <c r="AI543" i="69"/>
  <c r="AQ543" i="69" s="1"/>
  <c r="AG544" i="69"/>
  <c r="AO544" i="69" s="1"/>
  <c r="AH544" i="69"/>
  <c r="AP544" i="69" s="1"/>
  <c r="AI544" i="69"/>
  <c r="AQ544" i="69" s="1"/>
  <c r="AG545" i="69"/>
  <c r="AO545" i="69" s="1"/>
  <c r="AH545" i="69"/>
  <c r="AP545" i="69" s="1"/>
  <c r="AI545" i="69"/>
  <c r="AQ545" i="69" s="1"/>
  <c r="AG546" i="69"/>
  <c r="AO546" i="69" s="1"/>
  <c r="AH546" i="69"/>
  <c r="AP546" i="69" s="1"/>
  <c r="AI546" i="69"/>
  <c r="AQ546" i="69" s="1"/>
  <c r="AG547" i="69"/>
  <c r="AO547" i="69" s="1"/>
  <c r="AH547" i="69"/>
  <c r="AP547" i="69" s="1"/>
  <c r="AI547" i="69"/>
  <c r="AQ547" i="69" s="1"/>
  <c r="AG548" i="69"/>
  <c r="AO548" i="69" s="1"/>
  <c r="AH548" i="69"/>
  <c r="AP548" i="69" s="1"/>
  <c r="AI548" i="69"/>
  <c r="AQ548" i="69" s="1"/>
  <c r="AG549" i="69"/>
  <c r="AO549" i="69" s="1"/>
  <c r="AH549" i="69"/>
  <c r="AP549" i="69" s="1"/>
  <c r="AI549" i="69"/>
  <c r="AQ549" i="69" s="1"/>
  <c r="AG550" i="69"/>
  <c r="AO550" i="69" s="1"/>
  <c r="AH550" i="69"/>
  <c r="AP550" i="69" s="1"/>
  <c r="AI550" i="69"/>
  <c r="AQ550" i="69" s="1"/>
  <c r="AG551" i="69"/>
  <c r="AO551" i="69" s="1"/>
  <c r="AH551" i="69"/>
  <c r="AP551" i="69" s="1"/>
  <c r="AI551" i="69"/>
  <c r="AQ551" i="69" s="1"/>
  <c r="AG553" i="69"/>
  <c r="AO553" i="69" s="1"/>
  <c r="AH553" i="69"/>
  <c r="AP553" i="69" s="1"/>
  <c r="AI553" i="69"/>
  <c r="AQ553" i="69" s="1"/>
  <c r="AG554" i="69"/>
  <c r="AO554" i="69" s="1"/>
  <c r="AH554" i="69"/>
  <c r="AP554" i="69" s="1"/>
  <c r="AI554" i="69"/>
  <c r="AQ554" i="69" s="1"/>
  <c r="AG555" i="69"/>
  <c r="AO555" i="69" s="1"/>
  <c r="AH555" i="69"/>
  <c r="AP555" i="69" s="1"/>
  <c r="AI555" i="69"/>
  <c r="AQ555" i="69" s="1"/>
  <c r="AG556" i="69"/>
  <c r="AO556" i="69" s="1"/>
  <c r="AH556" i="69"/>
  <c r="AP556" i="69" s="1"/>
  <c r="AI556" i="69"/>
  <c r="AQ556" i="69" s="1"/>
  <c r="AG557" i="69"/>
  <c r="AO557" i="69" s="1"/>
  <c r="AH557" i="69"/>
  <c r="AP557" i="69" s="1"/>
  <c r="AI557" i="69"/>
  <c r="AQ557" i="69" s="1"/>
  <c r="AG558" i="69"/>
  <c r="AO558" i="69" s="1"/>
  <c r="AH558" i="69"/>
  <c r="AP558" i="69" s="1"/>
  <c r="AI558" i="69"/>
  <c r="AQ558" i="69" s="1"/>
  <c r="AG559" i="69"/>
  <c r="AO559" i="69" s="1"/>
  <c r="AH559" i="69"/>
  <c r="AP559" i="69" s="1"/>
  <c r="AI559" i="69"/>
  <c r="AQ559" i="69" s="1"/>
  <c r="AG560" i="69"/>
  <c r="AO560" i="69" s="1"/>
  <c r="AH560" i="69"/>
  <c r="AP560" i="69" s="1"/>
  <c r="AI560" i="69"/>
  <c r="AQ560" i="69" s="1"/>
  <c r="AG561" i="69"/>
  <c r="AO561" i="69" s="1"/>
  <c r="AH561" i="69"/>
  <c r="AP561" i="69" s="1"/>
  <c r="AI561" i="69"/>
  <c r="AQ561" i="69" s="1"/>
  <c r="AG562" i="69"/>
  <c r="AO562" i="69" s="1"/>
  <c r="AH562" i="69"/>
  <c r="AP562" i="69" s="1"/>
  <c r="AI562" i="69"/>
  <c r="AQ562" i="69" s="1"/>
  <c r="AG563" i="69"/>
  <c r="AO563" i="69" s="1"/>
  <c r="AH563" i="69"/>
  <c r="AP563" i="69" s="1"/>
  <c r="AI563" i="69"/>
  <c r="AQ563" i="69" s="1"/>
  <c r="AG565" i="69"/>
  <c r="AO565" i="69" s="1"/>
  <c r="AH565" i="69"/>
  <c r="AP565" i="69" s="1"/>
  <c r="AI565" i="69"/>
  <c r="AQ565" i="69" s="1"/>
  <c r="AG566" i="69"/>
  <c r="AO566" i="69" s="1"/>
  <c r="AH566" i="69"/>
  <c r="AP566" i="69" s="1"/>
  <c r="AI566" i="69"/>
  <c r="AQ566" i="69" s="1"/>
  <c r="AG567" i="69"/>
  <c r="AO567" i="69" s="1"/>
  <c r="AH567" i="69"/>
  <c r="AP567" i="69" s="1"/>
  <c r="AI567" i="69"/>
  <c r="AQ567" i="69" s="1"/>
  <c r="AG568" i="69"/>
  <c r="AO568" i="69" s="1"/>
  <c r="AH568" i="69"/>
  <c r="AP568" i="69" s="1"/>
  <c r="AI568" i="69"/>
  <c r="AQ568" i="69" s="1"/>
  <c r="AG569" i="69"/>
  <c r="AO569" i="69" s="1"/>
  <c r="AH569" i="69"/>
  <c r="AP569" i="69" s="1"/>
  <c r="AI569" i="69"/>
  <c r="AQ569" i="69" s="1"/>
  <c r="AG570" i="69"/>
  <c r="AO570" i="69" s="1"/>
  <c r="AH570" i="69"/>
  <c r="AP570" i="69" s="1"/>
  <c r="AI570" i="69"/>
  <c r="AQ570" i="69" s="1"/>
  <c r="AG571" i="69"/>
  <c r="AO571" i="69" s="1"/>
  <c r="AH571" i="69"/>
  <c r="AP571" i="69" s="1"/>
  <c r="AI571" i="69"/>
  <c r="AQ571" i="69" s="1"/>
  <c r="AG572" i="69"/>
  <c r="AO572" i="69" s="1"/>
  <c r="AH572" i="69"/>
  <c r="AP572" i="69" s="1"/>
  <c r="AI572" i="69"/>
  <c r="AQ572" i="69" s="1"/>
  <c r="AG573" i="69"/>
  <c r="AO573" i="69" s="1"/>
  <c r="AH573" i="69"/>
  <c r="AP573" i="69" s="1"/>
  <c r="AI573" i="69"/>
  <c r="AQ573" i="69" s="1"/>
  <c r="AG574" i="69"/>
  <c r="AO574" i="69" s="1"/>
  <c r="AH574" i="69"/>
  <c r="AP574" i="69" s="1"/>
  <c r="AI574" i="69"/>
  <c r="AQ574" i="69" s="1"/>
  <c r="AG575" i="69"/>
  <c r="AO575" i="69" s="1"/>
  <c r="AH575" i="69"/>
  <c r="AP575" i="69" s="1"/>
  <c r="AI575" i="69"/>
  <c r="AQ575" i="69" s="1"/>
  <c r="AG576" i="69"/>
  <c r="AO576" i="69" s="1"/>
  <c r="AH576" i="69"/>
  <c r="AP576" i="69" s="1"/>
  <c r="AI576" i="69"/>
  <c r="AQ576" i="69" s="1"/>
  <c r="AG577" i="69"/>
  <c r="AO577" i="69" s="1"/>
  <c r="AH577" i="69"/>
  <c r="AP577" i="69" s="1"/>
  <c r="AI577" i="69"/>
  <c r="AQ577" i="69" s="1"/>
  <c r="AG578" i="69"/>
  <c r="AO578" i="69" s="1"/>
  <c r="AH578" i="69"/>
  <c r="AP578" i="69" s="1"/>
  <c r="AI578" i="69"/>
  <c r="AQ578" i="69" s="1"/>
  <c r="AG579" i="69"/>
  <c r="AO579" i="69" s="1"/>
  <c r="AH579" i="69"/>
  <c r="AP579" i="69" s="1"/>
  <c r="AI579" i="69"/>
  <c r="AQ579" i="69" s="1"/>
  <c r="AG581" i="69"/>
  <c r="AO581" i="69" s="1"/>
  <c r="AH581" i="69"/>
  <c r="AP581" i="69" s="1"/>
  <c r="AI581" i="69"/>
  <c r="AQ581" i="69" s="1"/>
  <c r="AG583" i="69"/>
  <c r="AO583" i="69" s="1"/>
  <c r="AH583" i="69"/>
  <c r="AP583" i="69" s="1"/>
  <c r="AI583" i="69"/>
  <c r="AQ583" i="69" s="1"/>
  <c r="AG584" i="69"/>
  <c r="AO584" i="69" s="1"/>
  <c r="AH584" i="69"/>
  <c r="AP584" i="69" s="1"/>
  <c r="AI584" i="69"/>
  <c r="AQ584" i="69" s="1"/>
  <c r="AG585" i="69"/>
  <c r="AO585" i="69" s="1"/>
  <c r="AH585" i="69"/>
  <c r="AP585" i="69" s="1"/>
  <c r="AI585" i="69"/>
  <c r="AQ585" i="69" s="1"/>
  <c r="AG586" i="69"/>
  <c r="AO586" i="69" s="1"/>
  <c r="AH586" i="69"/>
  <c r="AP586" i="69" s="1"/>
  <c r="AI586" i="69"/>
  <c r="AQ586" i="69" s="1"/>
  <c r="AG587" i="69"/>
  <c r="AO587" i="69" s="1"/>
  <c r="AH587" i="69"/>
  <c r="AP587" i="69" s="1"/>
  <c r="AI587" i="69"/>
  <c r="AQ587" i="69" s="1"/>
  <c r="AG588" i="69"/>
  <c r="AO588" i="69" s="1"/>
  <c r="AH588" i="69"/>
  <c r="AP588" i="69" s="1"/>
  <c r="AI588" i="69"/>
  <c r="AQ588" i="69" s="1"/>
  <c r="AG643" i="69"/>
  <c r="AO643" i="69" s="1"/>
  <c r="AH643" i="69"/>
  <c r="AP643" i="69" s="1"/>
  <c r="AI643" i="69"/>
  <c r="AQ643" i="69" s="1"/>
  <c r="AG657" i="69"/>
  <c r="AO657" i="69" s="1"/>
  <c r="AH657" i="69"/>
  <c r="AP657" i="69" s="1"/>
  <c r="AI657" i="69"/>
  <c r="AQ657" i="69" s="1"/>
  <c r="AG659" i="69"/>
  <c r="AO659" i="69" s="1"/>
  <c r="AH659" i="69"/>
  <c r="AP659" i="69" s="1"/>
  <c r="AI659" i="69"/>
  <c r="AQ659" i="69" s="1"/>
  <c r="AG660" i="69"/>
  <c r="AO660" i="69" s="1"/>
  <c r="AH660" i="69"/>
  <c r="AP660" i="69" s="1"/>
  <c r="AI660" i="69"/>
  <c r="AQ660" i="69" s="1"/>
  <c r="AG661" i="69"/>
  <c r="AO661" i="69" s="1"/>
  <c r="AH661" i="69"/>
  <c r="AP661" i="69" s="1"/>
  <c r="AI661" i="69"/>
  <c r="AQ661" i="69" s="1"/>
  <c r="AG662" i="69"/>
  <c r="AO662" i="69" s="1"/>
  <c r="AH662" i="69"/>
  <c r="AP662" i="69" s="1"/>
  <c r="AI662" i="69"/>
  <c r="AQ662" i="69" s="1"/>
  <c r="AG663" i="69"/>
  <c r="AO663" i="69" s="1"/>
  <c r="AH663" i="69"/>
  <c r="AP663" i="69" s="1"/>
  <c r="AI663" i="69"/>
  <c r="AQ663" i="69" s="1"/>
  <c r="AG664" i="69"/>
  <c r="AO664" i="69" s="1"/>
  <c r="AH664" i="69"/>
  <c r="AP664" i="69" s="1"/>
  <c r="AI664" i="69"/>
  <c r="AQ664" i="69" s="1"/>
  <c r="AG665" i="69"/>
  <c r="AO665" i="69" s="1"/>
  <c r="AH665" i="69"/>
  <c r="AP665" i="69" s="1"/>
  <c r="AI665" i="69"/>
  <c r="AQ665" i="69" s="1"/>
  <c r="AG666" i="69"/>
  <c r="AO666" i="69" s="1"/>
  <c r="AH666" i="69"/>
  <c r="AP666" i="69" s="1"/>
  <c r="AI666" i="69"/>
  <c r="AQ666" i="69" s="1"/>
  <c r="AG667" i="69"/>
  <c r="AO667" i="69" s="1"/>
  <c r="AH667" i="69"/>
  <c r="AP667" i="69" s="1"/>
  <c r="AI667" i="69"/>
  <c r="AQ667" i="69" s="1"/>
  <c r="AG668" i="69"/>
  <c r="AO668" i="69" s="1"/>
  <c r="AH668" i="69"/>
  <c r="AP668" i="69" s="1"/>
  <c r="AI668" i="69"/>
  <c r="AQ668" i="69" s="1"/>
  <c r="AG683" i="69"/>
  <c r="AO683" i="69" s="1"/>
  <c r="AH683" i="69"/>
  <c r="AP683" i="69" s="1"/>
  <c r="AI683" i="69"/>
  <c r="AQ683" i="69" s="1"/>
  <c r="AG9" i="69"/>
  <c r="AO9" i="69" s="1"/>
  <c r="AH9" i="69"/>
  <c r="AP9" i="69" s="1"/>
  <c r="AI9" i="69"/>
  <c r="AQ9" i="69" s="1"/>
  <c r="AE10" i="69"/>
  <c r="AM10" i="69" s="1"/>
  <c r="AE11" i="69"/>
  <c r="AM11" i="69" s="1"/>
  <c r="AE12" i="69"/>
  <c r="AM12" i="69" s="1"/>
  <c r="AE13" i="69"/>
  <c r="AM13" i="69" s="1"/>
  <c r="AE14" i="69"/>
  <c r="AM14" i="69" s="1"/>
  <c r="AE15" i="69"/>
  <c r="AM15" i="69" s="1"/>
  <c r="AE16" i="69"/>
  <c r="AM16" i="69" s="1"/>
  <c r="AE17" i="69"/>
  <c r="AM17" i="69" s="1"/>
  <c r="AE18" i="69"/>
  <c r="AM18" i="69" s="1"/>
  <c r="AE19" i="69"/>
  <c r="AM19" i="69" s="1"/>
  <c r="AE20" i="69"/>
  <c r="AM20" i="69" s="1"/>
  <c r="AE21" i="69"/>
  <c r="AM21" i="69" s="1"/>
  <c r="AE22" i="69"/>
  <c r="AM22" i="69" s="1"/>
  <c r="AE23" i="69"/>
  <c r="AM23" i="69" s="1"/>
  <c r="AE24" i="69"/>
  <c r="AM24" i="69" s="1"/>
  <c r="AE25" i="69"/>
  <c r="AM25" i="69" s="1"/>
  <c r="AE26" i="69"/>
  <c r="AM26" i="69" s="1"/>
  <c r="AE27" i="69"/>
  <c r="AM27" i="69" s="1"/>
  <c r="AE28" i="69"/>
  <c r="AM28" i="69" s="1"/>
  <c r="AE29" i="69"/>
  <c r="AM29" i="69" s="1"/>
  <c r="AE30" i="69"/>
  <c r="AM30" i="69" s="1"/>
  <c r="AE31" i="69"/>
  <c r="AM31" i="69" s="1"/>
  <c r="AE32" i="69"/>
  <c r="AM32" i="69" s="1"/>
  <c r="AE33" i="69"/>
  <c r="AM33" i="69" s="1"/>
  <c r="AE34" i="69"/>
  <c r="AM34" i="69" s="1"/>
  <c r="AE35" i="69"/>
  <c r="AM35" i="69" s="1"/>
  <c r="AE36" i="69"/>
  <c r="AM36" i="69" s="1"/>
  <c r="AE37" i="69"/>
  <c r="AM37" i="69" s="1"/>
  <c r="AE38" i="69"/>
  <c r="AM38" i="69" s="1"/>
  <c r="AE39" i="69"/>
  <c r="AM39" i="69" s="1"/>
  <c r="AE40" i="69"/>
  <c r="AM40" i="69" s="1"/>
  <c r="AE41" i="69"/>
  <c r="AM41" i="69" s="1"/>
  <c r="AE42" i="69"/>
  <c r="AM42" i="69" s="1"/>
  <c r="AE43" i="69"/>
  <c r="AM43" i="69" s="1"/>
  <c r="AE44" i="69"/>
  <c r="AM44" i="69" s="1"/>
  <c r="AE45" i="69"/>
  <c r="AM45" i="69" s="1"/>
  <c r="AE46" i="69"/>
  <c r="AM46" i="69" s="1"/>
  <c r="AE47" i="69"/>
  <c r="AM47" i="69" s="1"/>
  <c r="AE48" i="69"/>
  <c r="AM48" i="69" s="1"/>
  <c r="AE49" i="69"/>
  <c r="AM49" i="69" s="1"/>
  <c r="AE76" i="69"/>
  <c r="AM76" i="69" s="1"/>
  <c r="AE77" i="69"/>
  <c r="AM77" i="69" s="1"/>
  <c r="AE127" i="69"/>
  <c r="AM127" i="69" s="1"/>
  <c r="AE128" i="69"/>
  <c r="AM128" i="69" s="1"/>
  <c r="AE129" i="69"/>
  <c r="AM129" i="69" s="1"/>
  <c r="AE130" i="69"/>
  <c r="AM130" i="69" s="1"/>
  <c r="AE131" i="69"/>
  <c r="AM131" i="69" s="1"/>
  <c r="AE132" i="69"/>
  <c r="AM132" i="69" s="1"/>
  <c r="AE133" i="69"/>
  <c r="AM133" i="69" s="1"/>
  <c r="AE134" i="69"/>
  <c r="AM134" i="69" s="1"/>
  <c r="AE135" i="69"/>
  <c r="AM135" i="69" s="1"/>
  <c r="AE136" i="69"/>
  <c r="AM136" i="69" s="1"/>
  <c r="AE137" i="69"/>
  <c r="AM137" i="69" s="1"/>
  <c r="AE138" i="69"/>
  <c r="AM138" i="69" s="1"/>
  <c r="AE139" i="69"/>
  <c r="AM139" i="69" s="1"/>
  <c r="AE140" i="69"/>
  <c r="AM140" i="69" s="1"/>
  <c r="AE141" i="69"/>
  <c r="AM141" i="69" s="1"/>
  <c r="AE142" i="69"/>
  <c r="AM142" i="69" s="1"/>
  <c r="AE143" i="69"/>
  <c r="AM143" i="69" s="1"/>
  <c r="AE144" i="69"/>
  <c r="AM144" i="69" s="1"/>
  <c r="AE145" i="69"/>
  <c r="AM145" i="69" s="1"/>
  <c r="AE146" i="69"/>
  <c r="AM146" i="69" s="1"/>
  <c r="AE147" i="69"/>
  <c r="AM147" i="69" s="1"/>
  <c r="AE148" i="69"/>
  <c r="AM148" i="69" s="1"/>
  <c r="AE149" i="69"/>
  <c r="AM149" i="69" s="1"/>
  <c r="AE150" i="69"/>
  <c r="AM150" i="69" s="1"/>
  <c r="AE151" i="69"/>
  <c r="AM151" i="69" s="1"/>
  <c r="AE152" i="69"/>
  <c r="AM152" i="69" s="1"/>
  <c r="AE153" i="69"/>
  <c r="AM153" i="69" s="1"/>
  <c r="AE154" i="69"/>
  <c r="AM154" i="69" s="1"/>
  <c r="AE155" i="69"/>
  <c r="AM155" i="69" s="1"/>
  <c r="AE156" i="69"/>
  <c r="AM156" i="69" s="1"/>
  <c r="AE157" i="69"/>
  <c r="AM157" i="69" s="1"/>
  <c r="AE158" i="69"/>
  <c r="AM158" i="69" s="1"/>
  <c r="AE159" i="69"/>
  <c r="AM159" i="69" s="1"/>
  <c r="AE160" i="69"/>
  <c r="AM160" i="69" s="1"/>
  <c r="AE161" i="69"/>
  <c r="AM161" i="69" s="1"/>
  <c r="AE162" i="69"/>
  <c r="AM162" i="69" s="1"/>
  <c r="AE163" i="69"/>
  <c r="AM163" i="69" s="1"/>
  <c r="AE164" i="69"/>
  <c r="AM164" i="69" s="1"/>
  <c r="AE165" i="69"/>
  <c r="AM165" i="69" s="1"/>
  <c r="AE166" i="69"/>
  <c r="AM166" i="69" s="1"/>
  <c r="AE167" i="69"/>
  <c r="AM167" i="69" s="1"/>
  <c r="AE168" i="69"/>
  <c r="AM168" i="69" s="1"/>
  <c r="AE169" i="69"/>
  <c r="AM169" i="69" s="1"/>
  <c r="AE170" i="69"/>
  <c r="AM170" i="69" s="1"/>
  <c r="AE171" i="69"/>
  <c r="AM171" i="69" s="1"/>
  <c r="AE172" i="69"/>
  <c r="AM172" i="69" s="1"/>
  <c r="AE173" i="69"/>
  <c r="AM173" i="69" s="1"/>
  <c r="AE174" i="69"/>
  <c r="AM174" i="69" s="1"/>
  <c r="AE175" i="69"/>
  <c r="AM175" i="69" s="1"/>
  <c r="AE176" i="69"/>
  <c r="AM176" i="69" s="1"/>
  <c r="AE177" i="69"/>
  <c r="AM177" i="69" s="1"/>
  <c r="AE178" i="69"/>
  <c r="AM178" i="69" s="1"/>
  <c r="AE179" i="69"/>
  <c r="AM179" i="69" s="1"/>
  <c r="AE180" i="69"/>
  <c r="AM180" i="69" s="1"/>
  <c r="AE181" i="69"/>
  <c r="AM181" i="69" s="1"/>
  <c r="AE182" i="69"/>
  <c r="AM182" i="69" s="1"/>
  <c r="AE183" i="69"/>
  <c r="AM183" i="69" s="1"/>
  <c r="AE184" i="69"/>
  <c r="AM184" i="69" s="1"/>
  <c r="AE185" i="69"/>
  <c r="AM185" i="69" s="1"/>
  <c r="AE186" i="69"/>
  <c r="AM186" i="69" s="1"/>
  <c r="AE187" i="69"/>
  <c r="AM187" i="69" s="1"/>
  <c r="AE188" i="69"/>
  <c r="AM188" i="69" s="1"/>
  <c r="AE189" i="69"/>
  <c r="AM189" i="69" s="1"/>
  <c r="AE190" i="69"/>
  <c r="AM190" i="69" s="1"/>
  <c r="AE191" i="69"/>
  <c r="AM191" i="69" s="1"/>
  <c r="AE192" i="69"/>
  <c r="AM192" i="69" s="1"/>
  <c r="AE193" i="69"/>
  <c r="AM193" i="69" s="1"/>
  <c r="AE194" i="69"/>
  <c r="AM194" i="69" s="1"/>
  <c r="AE195" i="69"/>
  <c r="AM195" i="69" s="1"/>
  <c r="AE196" i="69"/>
  <c r="AM196" i="69" s="1"/>
  <c r="AE197" i="69"/>
  <c r="AM197" i="69" s="1"/>
  <c r="AE198" i="69"/>
  <c r="AM198" i="69" s="1"/>
  <c r="AE199" i="69"/>
  <c r="AM199" i="69" s="1"/>
  <c r="AE200" i="69"/>
  <c r="AM200" i="69" s="1"/>
  <c r="AE201" i="69"/>
  <c r="AM201" i="69" s="1"/>
  <c r="AE202" i="69"/>
  <c r="AM202" i="69" s="1"/>
  <c r="AE305" i="69"/>
  <c r="AM305" i="69" s="1"/>
  <c r="AE307" i="69"/>
  <c r="AM307" i="69" s="1"/>
  <c r="AE311" i="69"/>
  <c r="AM311" i="69" s="1"/>
  <c r="AE313" i="69"/>
  <c r="AM313" i="69" s="1"/>
  <c r="AE314" i="69"/>
  <c r="AM314" i="69" s="1"/>
  <c r="AE315" i="69"/>
  <c r="AM315" i="69" s="1"/>
  <c r="AE316" i="69"/>
  <c r="AM316" i="69" s="1"/>
  <c r="AE317" i="69"/>
  <c r="AM317" i="69" s="1"/>
  <c r="AE319" i="69"/>
  <c r="AM319" i="69" s="1"/>
  <c r="AE320" i="69"/>
  <c r="AM320" i="69" s="1"/>
  <c r="AE321" i="69"/>
  <c r="AM321" i="69" s="1"/>
  <c r="AE322" i="69"/>
  <c r="AM322" i="69" s="1"/>
  <c r="AE323" i="69"/>
  <c r="AM323" i="69" s="1"/>
  <c r="AE324" i="69"/>
  <c r="AM324" i="69" s="1"/>
  <c r="AE325" i="69"/>
  <c r="AM325" i="69" s="1"/>
  <c r="AE327" i="69"/>
  <c r="AM327" i="69" s="1"/>
  <c r="AE329" i="69"/>
  <c r="AM329" i="69" s="1"/>
  <c r="AE330" i="69"/>
  <c r="AM330" i="69" s="1"/>
  <c r="AE331" i="69"/>
  <c r="AM331" i="69" s="1"/>
  <c r="AE332" i="69"/>
  <c r="AM332" i="69" s="1"/>
  <c r="AE333" i="69"/>
  <c r="AM333" i="69" s="1"/>
  <c r="AE334" i="69"/>
  <c r="AM334" i="69" s="1"/>
  <c r="AE336" i="69"/>
  <c r="AM336" i="69" s="1"/>
  <c r="AE366" i="69"/>
  <c r="AM366" i="69" s="1"/>
  <c r="AE367" i="69"/>
  <c r="AM367" i="69" s="1"/>
  <c r="AE368" i="69"/>
  <c r="AM368" i="69" s="1"/>
  <c r="AE369" i="69"/>
  <c r="AM369" i="69" s="1"/>
  <c r="AE370" i="69"/>
  <c r="AM370" i="69" s="1"/>
  <c r="AE371" i="69"/>
  <c r="AM371" i="69" s="1"/>
  <c r="AE372" i="69"/>
  <c r="AM372" i="69" s="1"/>
  <c r="AE373" i="69"/>
  <c r="AM373" i="69" s="1"/>
  <c r="AE374" i="69"/>
  <c r="AM374" i="69" s="1"/>
  <c r="AE375" i="69"/>
  <c r="AM375" i="69" s="1"/>
  <c r="AE376" i="69"/>
  <c r="AM376" i="69" s="1"/>
  <c r="AE377" i="69"/>
  <c r="AM377" i="69" s="1"/>
  <c r="AE378" i="69"/>
  <c r="AM378" i="69" s="1"/>
  <c r="AE379" i="69"/>
  <c r="AM379" i="69" s="1"/>
  <c r="AE380" i="69"/>
  <c r="AM380" i="69" s="1"/>
  <c r="AE381" i="69"/>
  <c r="AM381" i="69" s="1"/>
  <c r="AE382" i="69"/>
  <c r="AM382" i="69" s="1"/>
  <c r="AE383" i="69"/>
  <c r="AM383" i="69" s="1"/>
  <c r="AE384" i="69"/>
  <c r="AM384" i="69" s="1"/>
  <c r="AE385" i="69"/>
  <c r="AM385" i="69" s="1"/>
  <c r="AE386" i="69"/>
  <c r="AM386" i="69" s="1"/>
  <c r="AE387" i="69"/>
  <c r="AM387" i="69" s="1"/>
  <c r="AE388" i="69"/>
  <c r="AM388" i="69" s="1"/>
  <c r="AE392" i="69"/>
  <c r="AM392" i="69" s="1"/>
  <c r="AE393" i="69"/>
  <c r="AM393" i="69" s="1"/>
  <c r="AE394" i="69"/>
  <c r="AM394" i="69" s="1"/>
  <c r="AE395" i="69"/>
  <c r="AM395" i="69" s="1"/>
  <c r="AE396" i="69"/>
  <c r="AM396" i="69" s="1"/>
  <c r="AE397" i="69"/>
  <c r="AM397" i="69" s="1"/>
  <c r="AE398" i="69"/>
  <c r="AM398" i="69" s="1"/>
  <c r="AE405" i="69"/>
  <c r="AM405" i="69" s="1"/>
  <c r="AE406" i="69"/>
  <c r="AM406" i="69" s="1"/>
  <c r="AE407" i="69"/>
  <c r="AM407" i="69" s="1"/>
  <c r="AE409" i="69"/>
  <c r="AM409" i="69" s="1"/>
  <c r="AE411" i="69"/>
  <c r="AM411" i="69" s="1"/>
  <c r="AE412" i="69"/>
  <c r="AM412" i="69" s="1"/>
  <c r="AE413" i="69"/>
  <c r="AM413" i="69" s="1"/>
  <c r="AE414" i="69"/>
  <c r="AM414" i="69" s="1"/>
  <c r="AE415" i="69"/>
  <c r="AM415" i="69" s="1"/>
  <c r="AE418" i="69"/>
  <c r="AM418" i="69" s="1"/>
  <c r="AE419" i="69"/>
  <c r="AM419" i="69" s="1"/>
  <c r="AE420" i="69"/>
  <c r="AM420" i="69" s="1"/>
  <c r="AE421" i="69"/>
  <c r="AM421" i="69" s="1"/>
  <c r="AE422" i="69"/>
  <c r="AM422" i="69" s="1"/>
  <c r="AE454" i="69"/>
  <c r="AM454" i="69" s="1"/>
  <c r="AE456" i="69"/>
  <c r="AM456" i="69" s="1"/>
  <c r="AE457" i="69"/>
  <c r="AM457" i="69" s="1"/>
  <c r="AE474" i="69"/>
  <c r="AM474" i="69" s="1"/>
  <c r="AE478" i="69"/>
  <c r="AM478" i="69" s="1"/>
  <c r="AE480" i="69"/>
  <c r="AM480" i="69" s="1"/>
  <c r="AE484" i="69"/>
  <c r="AM484" i="69" s="1"/>
  <c r="AE492" i="69"/>
  <c r="AM492" i="69" s="1"/>
  <c r="AE493" i="69"/>
  <c r="AM493" i="69" s="1"/>
  <c r="AE494" i="69"/>
  <c r="AM494" i="69" s="1"/>
  <c r="AE495" i="69"/>
  <c r="AM495" i="69" s="1"/>
  <c r="AE497" i="69"/>
  <c r="AM497" i="69" s="1"/>
  <c r="AE498" i="69"/>
  <c r="AM498" i="69" s="1"/>
  <c r="AE499" i="69"/>
  <c r="AM499" i="69" s="1"/>
  <c r="AE500" i="69"/>
  <c r="AM500" i="69" s="1"/>
  <c r="AE501" i="69"/>
  <c r="AM501" i="69" s="1"/>
  <c r="AE502" i="69"/>
  <c r="AM502" i="69" s="1"/>
  <c r="AE503" i="69"/>
  <c r="AM503" i="69" s="1"/>
  <c r="AE507" i="69"/>
  <c r="AM507" i="69" s="1"/>
  <c r="AE508" i="69"/>
  <c r="AM508" i="69" s="1"/>
  <c r="AE509" i="69"/>
  <c r="AM509" i="69" s="1"/>
  <c r="AE516" i="69"/>
  <c r="AM516" i="69" s="1"/>
  <c r="AE518" i="69"/>
  <c r="AM518" i="69" s="1"/>
  <c r="AE519" i="69"/>
  <c r="AM519" i="69" s="1"/>
  <c r="AE520" i="69"/>
  <c r="AM520" i="69" s="1"/>
  <c r="AE521" i="69"/>
  <c r="AM521" i="69" s="1"/>
  <c r="AE522" i="69"/>
  <c r="AM522" i="69" s="1"/>
  <c r="AE523" i="69"/>
  <c r="AM523" i="69" s="1"/>
  <c r="AE524" i="69"/>
  <c r="AM524" i="69" s="1"/>
  <c r="AE525" i="69"/>
  <c r="AM525" i="69" s="1"/>
  <c r="AE527" i="69"/>
  <c r="AM527" i="69" s="1"/>
  <c r="AE528" i="69"/>
  <c r="AM528" i="69" s="1"/>
  <c r="AE529" i="69"/>
  <c r="AM529" i="69" s="1"/>
  <c r="AE530" i="69"/>
  <c r="AM530" i="69" s="1"/>
  <c r="AE531" i="69"/>
  <c r="AM531" i="69" s="1"/>
  <c r="AE533" i="69"/>
  <c r="AM533" i="69" s="1"/>
  <c r="AE534" i="69"/>
  <c r="AM534" i="69" s="1"/>
  <c r="AE535" i="69"/>
  <c r="AM535" i="69" s="1"/>
  <c r="AE536" i="69"/>
  <c r="AM536" i="69" s="1"/>
  <c r="AE541" i="69"/>
  <c r="AM541" i="69" s="1"/>
  <c r="AE542" i="69"/>
  <c r="AM542" i="69" s="1"/>
  <c r="AE543" i="69"/>
  <c r="AM543" i="69" s="1"/>
  <c r="AE544" i="69"/>
  <c r="AM544" i="69" s="1"/>
  <c r="AE545" i="69"/>
  <c r="AM545" i="69" s="1"/>
  <c r="AE546" i="69"/>
  <c r="AM546" i="69" s="1"/>
  <c r="AE547" i="69"/>
  <c r="AM547" i="69" s="1"/>
  <c r="AE548" i="69"/>
  <c r="AM548" i="69" s="1"/>
  <c r="AE549" i="69"/>
  <c r="AM549" i="69" s="1"/>
  <c r="AE550" i="69"/>
  <c r="AM550" i="69" s="1"/>
  <c r="AE551" i="69"/>
  <c r="AM551" i="69" s="1"/>
  <c r="AE553" i="69"/>
  <c r="AM553" i="69" s="1"/>
  <c r="AE554" i="69"/>
  <c r="AM554" i="69" s="1"/>
  <c r="AE555" i="69"/>
  <c r="AM555" i="69" s="1"/>
  <c r="AE556" i="69"/>
  <c r="AM556" i="69" s="1"/>
  <c r="AE557" i="69"/>
  <c r="AM557" i="69" s="1"/>
  <c r="AE558" i="69"/>
  <c r="AM558" i="69" s="1"/>
  <c r="AE559" i="69"/>
  <c r="AM559" i="69" s="1"/>
  <c r="AE560" i="69"/>
  <c r="AM560" i="69" s="1"/>
  <c r="AE561" i="69"/>
  <c r="AM561" i="69" s="1"/>
  <c r="AE562" i="69"/>
  <c r="AM562" i="69" s="1"/>
  <c r="AE563" i="69"/>
  <c r="AM563" i="69" s="1"/>
  <c r="AE565" i="69"/>
  <c r="AM565" i="69" s="1"/>
  <c r="AE566" i="69"/>
  <c r="AM566" i="69" s="1"/>
  <c r="AE567" i="69"/>
  <c r="AM567" i="69" s="1"/>
  <c r="AE568" i="69"/>
  <c r="AM568" i="69" s="1"/>
  <c r="AE569" i="69"/>
  <c r="AM569" i="69" s="1"/>
  <c r="AE570" i="69"/>
  <c r="AM570" i="69" s="1"/>
  <c r="AE571" i="69"/>
  <c r="AM571" i="69" s="1"/>
  <c r="AE572" i="69"/>
  <c r="AM572" i="69" s="1"/>
  <c r="AE573" i="69"/>
  <c r="AM573" i="69" s="1"/>
  <c r="AE574" i="69"/>
  <c r="AM574" i="69" s="1"/>
  <c r="AE575" i="69"/>
  <c r="AM575" i="69" s="1"/>
  <c r="AE576" i="69"/>
  <c r="AM576" i="69" s="1"/>
  <c r="AE577" i="69"/>
  <c r="AM577" i="69" s="1"/>
  <c r="AE578" i="69"/>
  <c r="AM578" i="69" s="1"/>
  <c r="AE579" i="69"/>
  <c r="AM579" i="69" s="1"/>
  <c r="AE581" i="69"/>
  <c r="AM581" i="69" s="1"/>
  <c r="AE583" i="69"/>
  <c r="AM583" i="69" s="1"/>
  <c r="AE584" i="69"/>
  <c r="AM584" i="69" s="1"/>
  <c r="AE585" i="69"/>
  <c r="AM585" i="69" s="1"/>
  <c r="AE586" i="69"/>
  <c r="AM586" i="69" s="1"/>
  <c r="AE587" i="69"/>
  <c r="AM587" i="69" s="1"/>
  <c r="AE588" i="69"/>
  <c r="AM588" i="69" s="1"/>
  <c r="AE643" i="69"/>
  <c r="AM643" i="69" s="1"/>
  <c r="AE657" i="69"/>
  <c r="AM657" i="69" s="1"/>
  <c r="AE659" i="69"/>
  <c r="AM659" i="69" s="1"/>
  <c r="AE660" i="69"/>
  <c r="AM660" i="69" s="1"/>
  <c r="AE661" i="69"/>
  <c r="AM661" i="69" s="1"/>
  <c r="AE662" i="69"/>
  <c r="AM662" i="69" s="1"/>
  <c r="AE663" i="69"/>
  <c r="AM663" i="69" s="1"/>
  <c r="AE664" i="69"/>
  <c r="AM664" i="69" s="1"/>
  <c r="AE665" i="69"/>
  <c r="AM665" i="69" s="1"/>
  <c r="AE666" i="69"/>
  <c r="AM666" i="69" s="1"/>
  <c r="AE667" i="69"/>
  <c r="AM667" i="69" s="1"/>
  <c r="AE668" i="69"/>
  <c r="AM668" i="69" s="1"/>
  <c r="AE683" i="69"/>
  <c r="AM683" i="69" s="1"/>
  <c r="AD10" i="69"/>
  <c r="AL10" i="69" s="1"/>
  <c r="AD11" i="69"/>
  <c r="AL11" i="69" s="1"/>
  <c r="AD12" i="69"/>
  <c r="AL12" i="69" s="1"/>
  <c r="AD13" i="69"/>
  <c r="AL13" i="69" s="1"/>
  <c r="AD14" i="69"/>
  <c r="AL14" i="69" s="1"/>
  <c r="AD15" i="69"/>
  <c r="AL15" i="69" s="1"/>
  <c r="AD16" i="69"/>
  <c r="AL16" i="69" s="1"/>
  <c r="AD17" i="69"/>
  <c r="AL17" i="69" s="1"/>
  <c r="AD18" i="69"/>
  <c r="AL18" i="69" s="1"/>
  <c r="AD19" i="69"/>
  <c r="AL19" i="69" s="1"/>
  <c r="AD20" i="69"/>
  <c r="AL20" i="69" s="1"/>
  <c r="AD21" i="69"/>
  <c r="AL21" i="69" s="1"/>
  <c r="AD22" i="69"/>
  <c r="AL22" i="69" s="1"/>
  <c r="AD23" i="69"/>
  <c r="AL23" i="69" s="1"/>
  <c r="AD24" i="69"/>
  <c r="AL24" i="69" s="1"/>
  <c r="AD25" i="69"/>
  <c r="AL25" i="69" s="1"/>
  <c r="AD26" i="69"/>
  <c r="AL26" i="69" s="1"/>
  <c r="AD27" i="69"/>
  <c r="AL27" i="69" s="1"/>
  <c r="AD28" i="69"/>
  <c r="AL28" i="69" s="1"/>
  <c r="AD29" i="69"/>
  <c r="AL29" i="69" s="1"/>
  <c r="AD30" i="69"/>
  <c r="AL30" i="69" s="1"/>
  <c r="AD31" i="69"/>
  <c r="AL31" i="69" s="1"/>
  <c r="AD32" i="69"/>
  <c r="AL32" i="69" s="1"/>
  <c r="AD33" i="69"/>
  <c r="AL33" i="69" s="1"/>
  <c r="AD34" i="69"/>
  <c r="AL34" i="69" s="1"/>
  <c r="AD35" i="69"/>
  <c r="AL35" i="69" s="1"/>
  <c r="AD36" i="69"/>
  <c r="AL36" i="69" s="1"/>
  <c r="AD37" i="69"/>
  <c r="AL37" i="69" s="1"/>
  <c r="AD38" i="69"/>
  <c r="AL38" i="69" s="1"/>
  <c r="AD39" i="69"/>
  <c r="AL39" i="69" s="1"/>
  <c r="AD40" i="69"/>
  <c r="AL40" i="69" s="1"/>
  <c r="AD41" i="69"/>
  <c r="AL41" i="69" s="1"/>
  <c r="AD42" i="69"/>
  <c r="AL42" i="69" s="1"/>
  <c r="AD43" i="69"/>
  <c r="AL43" i="69" s="1"/>
  <c r="AD44" i="69"/>
  <c r="AL44" i="69" s="1"/>
  <c r="AD45" i="69"/>
  <c r="AL45" i="69" s="1"/>
  <c r="AD46" i="69"/>
  <c r="AL46" i="69" s="1"/>
  <c r="AD47" i="69"/>
  <c r="AL47" i="69" s="1"/>
  <c r="AD48" i="69"/>
  <c r="AL48" i="69" s="1"/>
  <c r="AD49" i="69"/>
  <c r="AL49" i="69" s="1"/>
  <c r="AD76" i="69"/>
  <c r="AL76" i="69" s="1"/>
  <c r="AD77" i="69"/>
  <c r="AL77" i="69" s="1"/>
  <c r="AD127" i="69"/>
  <c r="AL127" i="69" s="1"/>
  <c r="AD128" i="69"/>
  <c r="AL128" i="69" s="1"/>
  <c r="AD129" i="69"/>
  <c r="AL129" i="69" s="1"/>
  <c r="AD130" i="69"/>
  <c r="AL130" i="69" s="1"/>
  <c r="AD131" i="69"/>
  <c r="AL131" i="69" s="1"/>
  <c r="AD132" i="69"/>
  <c r="AL132" i="69" s="1"/>
  <c r="AD133" i="69"/>
  <c r="AL133" i="69" s="1"/>
  <c r="AD134" i="69"/>
  <c r="AL134" i="69" s="1"/>
  <c r="AD135" i="69"/>
  <c r="AL135" i="69" s="1"/>
  <c r="AD136" i="69"/>
  <c r="AL136" i="69" s="1"/>
  <c r="AD137" i="69"/>
  <c r="AL137" i="69" s="1"/>
  <c r="AD138" i="69"/>
  <c r="AL138" i="69" s="1"/>
  <c r="AD139" i="69"/>
  <c r="AL139" i="69" s="1"/>
  <c r="AD140" i="69"/>
  <c r="AL140" i="69" s="1"/>
  <c r="AD141" i="69"/>
  <c r="AL141" i="69" s="1"/>
  <c r="AD142" i="69"/>
  <c r="AL142" i="69" s="1"/>
  <c r="AD143" i="69"/>
  <c r="AL143" i="69" s="1"/>
  <c r="AD144" i="69"/>
  <c r="AL144" i="69" s="1"/>
  <c r="AD145" i="69"/>
  <c r="AL145" i="69" s="1"/>
  <c r="AD146" i="69"/>
  <c r="AL146" i="69" s="1"/>
  <c r="AD147" i="69"/>
  <c r="AL147" i="69" s="1"/>
  <c r="AD148" i="69"/>
  <c r="AL148" i="69" s="1"/>
  <c r="AD149" i="69"/>
  <c r="AL149" i="69" s="1"/>
  <c r="AD150" i="69"/>
  <c r="AL150" i="69" s="1"/>
  <c r="AD151" i="69"/>
  <c r="AL151" i="69" s="1"/>
  <c r="AD152" i="69"/>
  <c r="AL152" i="69" s="1"/>
  <c r="AD153" i="69"/>
  <c r="AL153" i="69" s="1"/>
  <c r="AD154" i="69"/>
  <c r="AL154" i="69" s="1"/>
  <c r="AD155" i="69"/>
  <c r="AL155" i="69" s="1"/>
  <c r="AD156" i="69"/>
  <c r="AL156" i="69" s="1"/>
  <c r="AD157" i="69"/>
  <c r="AL157" i="69" s="1"/>
  <c r="AD158" i="69"/>
  <c r="AL158" i="69" s="1"/>
  <c r="AD159" i="69"/>
  <c r="AL159" i="69" s="1"/>
  <c r="AD160" i="69"/>
  <c r="AL160" i="69" s="1"/>
  <c r="AD161" i="69"/>
  <c r="AL161" i="69" s="1"/>
  <c r="AD162" i="69"/>
  <c r="AL162" i="69" s="1"/>
  <c r="AD163" i="69"/>
  <c r="AL163" i="69" s="1"/>
  <c r="AD164" i="69"/>
  <c r="AL164" i="69" s="1"/>
  <c r="AD165" i="69"/>
  <c r="AL165" i="69" s="1"/>
  <c r="AD166" i="69"/>
  <c r="AL166" i="69" s="1"/>
  <c r="AD167" i="69"/>
  <c r="AL167" i="69" s="1"/>
  <c r="AD168" i="69"/>
  <c r="AL168" i="69" s="1"/>
  <c r="AD169" i="69"/>
  <c r="AL169" i="69" s="1"/>
  <c r="AD170" i="69"/>
  <c r="AL170" i="69" s="1"/>
  <c r="AD171" i="69"/>
  <c r="AL171" i="69" s="1"/>
  <c r="AD172" i="69"/>
  <c r="AL172" i="69" s="1"/>
  <c r="AD173" i="69"/>
  <c r="AL173" i="69" s="1"/>
  <c r="AD174" i="69"/>
  <c r="AL174" i="69" s="1"/>
  <c r="AD175" i="69"/>
  <c r="AL175" i="69" s="1"/>
  <c r="AD176" i="69"/>
  <c r="AL176" i="69" s="1"/>
  <c r="AD177" i="69"/>
  <c r="AL177" i="69" s="1"/>
  <c r="AD178" i="69"/>
  <c r="AL178" i="69" s="1"/>
  <c r="AD179" i="69"/>
  <c r="AL179" i="69" s="1"/>
  <c r="AD180" i="69"/>
  <c r="AL180" i="69" s="1"/>
  <c r="AD181" i="69"/>
  <c r="AL181" i="69" s="1"/>
  <c r="AD182" i="69"/>
  <c r="AL182" i="69" s="1"/>
  <c r="AD183" i="69"/>
  <c r="AL183" i="69" s="1"/>
  <c r="AD184" i="69"/>
  <c r="AL184" i="69" s="1"/>
  <c r="AD185" i="69"/>
  <c r="AL185" i="69" s="1"/>
  <c r="AD186" i="69"/>
  <c r="AL186" i="69" s="1"/>
  <c r="AD187" i="69"/>
  <c r="AL187" i="69" s="1"/>
  <c r="AD188" i="69"/>
  <c r="AL188" i="69" s="1"/>
  <c r="AD189" i="69"/>
  <c r="AL189" i="69" s="1"/>
  <c r="AD190" i="69"/>
  <c r="AL190" i="69" s="1"/>
  <c r="AD191" i="69"/>
  <c r="AL191" i="69" s="1"/>
  <c r="AD192" i="69"/>
  <c r="AL192" i="69" s="1"/>
  <c r="AD193" i="69"/>
  <c r="AL193" i="69" s="1"/>
  <c r="AD194" i="69"/>
  <c r="AL194" i="69" s="1"/>
  <c r="AD195" i="69"/>
  <c r="AL195" i="69" s="1"/>
  <c r="AD196" i="69"/>
  <c r="AL196" i="69" s="1"/>
  <c r="AD197" i="69"/>
  <c r="AL197" i="69" s="1"/>
  <c r="AD198" i="69"/>
  <c r="AL198" i="69" s="1"/>
  <c r="AD199" i="69"/>
  <c r="AL199" i="69" s="1"/>
  <c r="AD200" i="69"/>
  <c r="AL200" i="69" s="1"/>
  <c r="AD201" i="69"/>
  <c r="AL201" i="69" s="1"/>
  <c r="AD202" i="69"/>
  <c r="AL202" i="69" s="1"/>
  <c r="AD305" i="69"/>
  <c r="AL305" i="69" s="1"/>
  <c r="AD307" i="69"/>
  <c r="AL307" i="69" s="1"/>
  <c r="AD311" i="69"/>
  <c r="AL311" i="69" s="1"/>
  <c r="AD313" i="69"/>
  <c r="AL313" i="69" s="1"/>
  <c r="AD314" i="69"/>
  <c r="AL314" i="69" s="1"/>
  <c r="AD315" i="69"/>
  <c r="AL315" i="69" s="1"/>
  <c r="AD316" i="69"/>
  <c r="AL316" i="69" s="1"/>
  <c r="AD317" i="69"/>
  <c r="AL317" i="69" s="1"/>
  <c r="AD319" i="69"/>
  <c r="AL319" i="69" s="1"/>
  <c r="AD320" i="69"/>
  <c r="AL320" i="69" s="1"/>
  <c r="AD321" i="69"/>
  <c r="AL321" i="69" s="1"/>
  <c r="AD322" i="69"/>
  <c r="AL322" i="69" s="1"/>
  <c r="AD323" i="69"/>
  <c r="AL323" i="69" s="1"/>
  <c r="AD324" i="69"/>
  <c r="AL324" i="69" s="1"/>
  <c r="AD325" i="69"/>
  <c r="AL325" i="69" s="1"/>
  <c r="AD327" i="69"/>
  <c r="AL327" i="69" s="1"/>
  <c r="AD329" i="69"/>
  <c r="AL329" i="69" s="1"/>
  <c r="AD330" i="69"/>
  <c r="AL330" i="69" s="1"/>
  <c r="AD331" i="69"/>
  <c r="AL331" i="69" s="1"/>
  <c r="AD332" i="69"/>
  <c r="AL332" i="69" s="1"/>
  <c r="AD333" i="69"/>
  <c r="AL333" i="69" s="1"/>
  <c r="AD334" i="69"/>
  <c r="AL334" i="69" s="1"/>
  <c r="AD336" i="69"/>
  <c r="AL336" i="69" s="1"/>
  <c r="AD366" i="69"/>
  <c r="AL366" i="69" s="1"/>
  <c r="AD367" i="69"/>
  <c r="AL367" i="69" s="1"/>
  <c r="AD368" i="69"/>
  <c r="AL368" i="69" s="1"/>
  <c r="AD369" i="69"/>
  <c r="AL369" i="69" s="1"/>
  <c r="AD370" i="69"/>
  <c r="AL370" i="69" s="1"/>
  <c r="AD371" i="69"/>
  <c r="AL371" i="69" s="1"/>
  <c r="AD372" i="69"/>
  <c r="AL372" i="69" s="1"/>
  <c r="AD373" i="69"/>
  <c r="AL373" i="69" s="1"/>
  <c r="AD374" i="69"/>
  <c r="AL374" i="69" s="1"/>
  <c r="AD375" i="69"/>
  <c r="AL375" i="69" s="1"/>
  <c r="AD376" i="69"/>
  <c r="AL376" i="69" s="1"/>
  <c r="AD377" i="69"/>
  <c r="AL377" i="69" s="1"/>
  <c r="AD378" i="69"/>
  <c r="AL378" i="69" s="1"/>
  <c r="AD379" i="69"/>
  <c r="AL379" i="69" s="1"/>
  <c r="AD380" i="69"/>
  <c r="AL380" i="69" s="1"/>
  <c r="AD381" i="69"/>
  <c r="AL381" i="69" s="1"/>
  <c r="AD382" i="69"/>
  <c r="AL382" i="69" s="1"/>
  <c r="AD383" i="69"/>
  <c r="AL383" i="69" s="1"/>
  <c r="AD384" i="69"/>
  <c r="AL384" i="69" s="1"/>
  <c r="AD385" i="69"/>
  <c r="AL385" i="69" s="1"/>
  <c r="AD386" i="69"/>
  <c r="AL386" i="69" s="1"/>
  <c r="AD387" i="69"/>
  <c r="AL387" i="69" s="1"/>
  <c r="AD388" i="69"/>
  <c r="AL388" i="69" s="1"/>
  <c r="AD392" i="69"/>
  <c r="AL392" i="69" s="1"/>
  <c r="AD393" i="69"/>
  <c r="AL393" i="69" s="1"/>
  <c r="AD394" i="69"/>
  <c r="AL394" i="69" s="1"/>
  <c r="AD395" i="69"/>
  <c r="AL395" i="69" s="1"/>
  <c r="AD396" i="69"/>
  <c r="AL396" i="69" s="1"/>
  <c r="AD397" i="69"/>
  <c r="AL397" i="69" s="1"/>
  <c r="AD398" i="69"/>
  <c r="AL398" i="69" s="1"/>
  <c r="AD405" i="69"/>
  <c r="AL405" i="69" s="1"/>
  <c r="AD406" i="69"/>
  <c r="AL406" i="69" s="1"/>
  <c r="AD407" i="69"/>
  <c r="AL407" i="69" s="1"/>
  <c r="AD409" i="69"/>
  <c r="AL409" i="69" s="1"/>
  <c r="AD411" i="69"/>
  <c r="AL411" i="69" s="1"/>
  <c r="AD412" i="69"/>
  <c r="AL412" i="69" s="1"/>
  <c r="AD413" i="69"/>
  <c r="AL413" i="69" s="1"/>
  <c r="AD414" i="69"/>
  <c r="AL414" i="69" s="1"/>
  <c r="AD415" i="69"/>
  <c r="AL415" i="69" s="1"/>
  <c r="AD418" i="69"/>
  <c r="AL418" i="69" s="1"/>
  <c r="AD419" i="69"/>
  <c r="AL419" i="69" s="1"/>
  <c r="AD420" i="69"/>
  <c r="AL420" i="69" s="1"/>
  <c r="AD421" i="69"/>
  <c r="AL421" i="69" s="1"/>
  <c r="AD422" i="69"/>
  <c r="AL422" i="69" s="1"/>
  <c r="AD454" i="69"/>
  <c r="AL454" i="69" s="1"/>
  <c r="AD456" i="69"/>
  <c r="AL456" i="69" s="1"/>
  <c r="AD457" i="69"/>
  <c r="AL457" i="69" s="1"/>
  <c r="AD474" i="69"/>
  <c r="AL474" i="69" s="1"/>
  <c r="AD478" i="69"/>
  <c r="AL478" i="69" s="1"/>
  <c r="AD480" i="69"/>
  <c r="AL480" i="69" s="1"/>
  <c r="AD484" i="69"/>
  <c r="AL484" i="69" s="1"/>
  <c r="AD492" i="69"/>
  <c r="AL492" i="69" s="1"/>
  <c r="AD493" i="69"/>
  <c r="AL493" i="69" s="1"/>
  <c r="AD494" i="69"/>
  <c r="AL494" i="69" s="1"/>
  <c r="AD495" i="69"/>
  <c r="AL495" i="69" s="1"/>
  <c r="AD497" i="69"/>
  <c r="AL497" i="69" s="1"/>
  <c r="AD498" i="69"/>
  <c r="AL498" i="69" s="1"/>
  <c r="AD499" i="69"/>
  <c r="AL499" i="69" s="1"/>
  <c r="AD500" i="69"/>
  <c r="AL500" i="69" s="1"/>
  <c r="AD501" i="69"/>
  <c r="AL501" i="69" s="1"/>
  <c r="AD502" i="69"/>
  <c r="AL502" i="69" s="1"/>
  <c r="AD503" i="69"/>
  <c r="AL503" i="69" s="1"/>
  <c r="AD507" i="69"/>
  <c r="AL507" i="69" s="1"/>
  <c r="AD508" i="69"/>
  <c r="AL508" i="69" s="1"/>
  <c r="AD509" i="69"/>
  <c r="AL509" i="69" s="1"/>
  <c r="AD516" i="69"/>
  <c r="AL516" i="69" s="1"/>
  <c r="AD518" i="69"/>
  <c r="AL518" i="69" s="1"/>
  <c r="AD519" i="69"/>
  <c r="AL519" i="69" s="1"/>
  <c r="AD520" i="69"/>
  <c r="AL520" i="69" s="1"/>
  <c r="AD521" i="69"/>
  <c r="AL521" i="69" s="1"/>
  <c r="AD522" i="69"/>
  <c r="AL522" i="69" s="1"/>
  <c r="AD523" i="69"/>
  <c r="AL523" i="69" s="1"/>
  <c r="AD524" i="69"/>
  <c r="AL524" i="69" s="1"/>
  <c r="AD525" i="69"/>
  <c r="AL525" i="69" s="1"/>
  <c r="AD527" i="69"/>
  <c r="AL527" i="69" s="1"/>
  <c r="AD528" i="69"/>
  <c r="AL528" i="69" s="1"/>
  <c r="AD529" i="69"/>
  <c r="AL529" i="69" s="1"/>
  <c r="AD530" i="69"/>
  <c r="AL530" i="69" s="1"/>
  <c r="AD531" i="69"/>
  <c r="AL531" i="69" s="1"/>
  <c r="AD533" i="69"/>
  <c r="AL533" i="69" s="1"/>
  <c r="AD534" i="69"/>
  <c r="AL534" i="69" s="1"/>
  <c r="AD535" i="69"/>
  <c r="AL535" i="69" s="1"/>
  <c r="AD536" i="69"/>
  <c r="AL536" i="69" s="1"/>
  <c r="AD541" i="69"/>
  <c r="AL541" i="69" s="1"/>
  <c r="AD542" i="69"/>
  <c r="AL542" i="69" s="1"/>
  <c r="AD543" i="69"/>
  <c r="AL543" i="69" s="1"/>
  <c r="AD544" i="69"/>
  <c r="AL544" i="69" s="1"/>
  <c r="AD545" i="69"/>
  <c r="AL545" i="69" s="1"/>
  <c r="AD546" i="69"/>
  <c r="AL546" i="69" s="1"/>
  <c r="AD547" i="69"/>
  <c r="AL547" i="69" s="1"/>
  <c r="AD548" i="69"/>
  <c r="AL548" i="69" s="1"/>
  <c r="AD549" i="69"/>
  <c r="AL549" i="69" s="1"/>
  <c r="AD550" i="69"/>
  <c r="AL550" i="69" s="1"/>
  <c r="AD551" i="69"/>
  <c r="AL551" i="69" s="1"/>
  <c r="AD553" i="69"/>
  <c r="AL553" i="69" s="1"/>
  <c r="AD554" i="69"/>
  <c r="AL554" i="69" s="1"/>
  <c r="AD555" i="69"/>
  <c r="AL555" i="69" s="1"/>
  <c r="AD556" i="69"/>
  <c r="AL556" i="69" s="1"/>
  <c r="AD557" i="69"/>
  <c r="AL557" i="69" s="1"/>
  <c r="AD558" i="69"/>
  <c r="AL558" i="69" s="1"/>
  <c r="AD559" i="69"/>
  <c r="AL559" i="69" s="1"/>
  <c r="AD560" i="69"/>
  <c r="AL560" i="69" s="1"/>
  <c r="AD561" i="69"/>
  <c r="AL561" i="69" s="1"/>
  <c r="AD562" i="69"/>
  <c r="AL562" i="69" s="1"/>
  <c r="AD563" i="69"/>
  <c r="AL563" i="69" s="1"/>
  <c r="AD565" i="69"/>
  <c r="AL565" i="69" s="1"/>
  <c r="AD566" i="69"/>
  <c r="AL566" i="69" s="1"/>
  <c r="AD567" i="69"/>
  <c r="AL567" i="69" s="1"/>
  <c r="AD568" i="69"/>
  <c r="AL568" i="69" s="1"/>
  <c r="AD569" i="69"/>
  <c r="AL569" i="69" s="1"/>
  <c r="AD570" i="69"/>
  <c r="AL570" i="69" s="1"/>
  <c r="AD571" i="69"/>
  <c r="AL571" i="69" s="1"/>
  <c r="AD572" i="69"/>
  <c r="AL572" i="69" s="1"/>
  <c r="AD573" i="69"/>
  <c r="AL573" i="69" s="1"/>
  <c r="AD574" i="69"/>
  <c r="AL574" i="69" s="1"/>
  <c r="AD575" i="69"/>
  <c r="AL575" i="69" s="1"/>
  <c r="AD576" i="69"/>
  <c r="AL576" i="69" s="1"/>
  <c r="AD577" i="69"/>
  <c r="AL577" i="69" s="1"/>
  <c r="AD578" i="69"/>
  <c r="AL578" i="69" s="1"/>
  <c r="AD579" i="69"/>
  <c r="AL579" i="69" s="1"/>
  <c r="AD581" i="69"/>
  <c r="AL581" i="69" s="1"/>
  <c r="AD583" i="69"/>
  <c r="AL583" i="69" s="1"/>
  <c r="AD584" i="69"/>
  <c r="AL584" i="69" s="1"/>
  <c r="AD585" i="69"/>
  <c r="AL585" i="69" s="1"/>
  <c r="AD586" i="69"/>
  <c r="AL586" i="69" s="1"/>
  <c r="AD587" i="69"/>
  <c r="AL587" i="69" s="1"/>
  <c r="AD588" i="69"/>
  <c r="AL588" i="69" s="1"/>
  <c r="AD643" i="69"/>
  <c r="AL643" i="69" s="1"/>
  <c r="AD657" i="69"/>
  <c r="AL657" i="69" s="1"/>
  <c r="AD659" i="69"/>
  <c r="AL659" i="69" s="1"/>
  <c r="AD660" i="69"/>
  <c r="AL660" i="69" s="1"/>
  <c r="AD661" i="69"/>
  <c r="AL661" i="69" s="1"/>
  <c r="AD662" i="69"/>
  <c r="AL662" i="69" s="1"/>
  <c r="AD663" i="69"/>
  <c r="AL663" i="69" s="1"/>
  <c r="AD664" i="69"/>
  <c r="AL664" i="69" s="1"/>
  <c r="AD665" i="69"/>
  <c r="AL665" i="69" s="1"/>
  <c r="AD666" i="69"/>
  <c r="AL666" i="69" s="1"/>
  <c r="AD667" i="69"/>
  <c r="AL667" i="69" s="1"/>
  <c r="AD668" i="69"/>
  <c r="AL668" i="69" s="1"/>
  <c r="AD683" i="69"/>
  <c r="AL683" i="69" s="1"/>
  <c r="AD9" i="69"/>
  <c r="AL9" i="69" s="1"/>
  <c r="AF10" i="69"/>
  <c r="AN10" i="69" s="1"/>
  <c r="AF11" i="69"/>
  <c r="AN11" i="69" s="1"/>
  <c r="AF12" i="69"/>
  <c r="AN12" i="69" s="1"/>
  <c r="AF13" i="69"/>
  <c r="AN13" i="69" s="1"/>
  <c r="AF14" i="69"/>
  <c r="AN14" i="69" s="1"/>
  <c r="AF15" i="69"/>
  <c r="AN15" i="69" s="1"/>
  <c r="AF16" i="69"/>
  <c r="AN16" i="69" s="1"/>
  <c r="AF17" i="69"/>
  <c r="AN17" i="69" s="1"/>
  <c r="AF18" i="69"/>
  <c r="AN18" i="69" s="1"/>
  <c r="AF19" i="69"/>
  <c r="AN19" i="69" s="1"/>
  <c r="AF20" i="69"/>
  <c r="AN20" i="69" s="1"/>
  <c r="AF21" i="69"/>
  <c r="AN21" i="69" s="1"/>
  <c r="AF22" i="69"/>
  <c r="AN22" i="69" s="1"/>
  <c r="AF23" i="69"/>
  <c r="AN23" i="69" s="1"/>
  <c r="AF24" i="69"/>
  <c r="AN24" i="69" s="1"/>
  <c r="AF25" i="69"/>
  <c r="AN25" i="69" s="1"/>
  <c r="AF26" i="69"/>
  <c r="AN26" i="69" s="1"/>
  <c r="AF27" i="69"/>
  <c r="AN27" i="69" s="1"/>
  <c r="AF28" i="69"/>
  <c r="AN28" i="69" s="1"/>
  <c r="AF29" i="69"/>
  <c r="AN29" i="69" s="1"/>
  <c r="AF30" i="69"/>
  <c r="AN30" i="69" s="1"/>
  <c r="AF31" i="69"/>
  <c r="AN31" i="69" s="1"/>
  <c r="AF32" i="69"/>
  <c r="AN32" i="69" s="1"/>
  <c r="AF33" i="69"/>
  <c r="AN33" i="69" s="1"/>
  <c r="AF34" i="69"/>
  <c r="AN34" i="69" s="1"/>
  <c r="AF35" i="69"/>
  <c r="AN35" i="69" s="1"/>
  <c r="AF36" i="69"/>
  <c r="AN36" i="69" s="1"/>
  <c r="AF37" i="69"/>
  <c r="AN37" i="69" s="1"/>
  <c r="AF38" i="69"/>
  <c r="AN38" i="69" s="1"/>
  <c r="AF39" i="69"/>
  <c r="AN39" i="69" s="1"/>
  <c r="AF40" i="69"/>
  <c r="AN40" i="69" s="1"/>
  <c r="AF41" i="69"/>
  <c r="AN41" i="69" s="1"/>
  <c r="AF42" i="69"/>
  <c r="AN42" i="69" s="1"/>
  <c r="AF43" i="69"/>
  <c r="AN43" i="69" s="1"/>
  <c r="AF44" i="69"/>
  <c r="AN44" i="69" s="1"/>
  <c r="AF45" i="69"/>
  <c r="AN45" i="69" s="1"/>
  <c r="AF46" i="69"/>
  <c r="AN46" i="69" s="1"/>
  <c r="AF47" i="69"/>
  <c r="AN47" i="69" s="1"/>
  <c r="AF48" i="69"/>
  <c r="AN48" i="69" s="1"/>
  <c r="AF49" i="69"/>
  <c r="AN49" i="69" s="1"/>
  <c r="AF76" i="69"/>
  <c r="AN76" i="69" s="1"/>
  <c r="AF77" i="69"/>
  <c r="AN77" i="69" s="1"/>
  <c r="AF127" i="69"/>
  <c r="AN127" i="69" s="1"/>
  <c r="AF128" i="69"/>
  <c r="AN128" i="69" s="1"/>
  <c r="AF129" i="69"/>
  <c r="AN129" i="69" s="1"/>
  <c r="AF130" i="69"/>
  <c r="AN130" i="69" s="1"/>
  <c r="AF131" i="69"/>
  <c r="AN131" i="69" s="1"/>
  <c r="AF132" i="69"/>
  <c r="AN132" i="69" s="1"/>
  <c r="AF133" i="69"/>
  <c r="AN133" i="69" s="1"/>
  <c r="AF134" i="69"/>
  <c r="AN134" i="69" s="1"/>
  <c r="AF135" i="69"/>
  <c r="AN135" i="69" s="1"/>
  <c r="AF136" i="69"/>
  <c r="AN136" i="69" s="1"/>
  <c r="AF137" i="69"/>
  <c r="AN137" i="69" s="1"/>
  <c r="AF138" i="69"/>
  <c r="AN138" i="69" s="1"/>
  <c r="AF139" i="69"/>
  <c r="AN139" i="69" s="1"/>
  <c r="AF140" i="69"/>
  <c r="AN140" i="69" s="1"/>
  <c r="AF141" i="69"/>
  <c r="AN141" i="69" s="1"/>
  <c r="AF142" i="69"/>
  <c r="AN142" i="69" s="1"/>
  <c r="AF143" i="69"/>
  <c r="AN143" i="69" s="1"/>
  <c r="AF144" i="69"/>
  <c r="AN144" i="69" s="1"/>
  <c r="AF145" i="69"/>
  <c r="AN145" i="69" s="1"/>
  <c r="AF146" i="69"/>
  <c r="AN146" i="69" s="1"/>
  <c r="AF147" i="69"/>
  <c r="AN147" i="69" s="1"/>
  <c r="AF148" i="69"/>
  <c r="AN148" i="69" s="1"/>
  <c r="AF149" i="69"/>
  <c r="AN149" i="69" s="1"/>
  <c r="AF150" i="69"/>
  <c r="AN150" i="69" s="1"/>
  <c r="AF151" i="69"/>
  <c r="AN151" i="69" s="1"/>
  <c r="AF152" i="69"/>
  <c r="AN152" i="69" s="1"/>
  <c r="AF153" i="69"/>
  <c r="AN153" i="69" s="1"/>
  <c r="AF154" i="69"/>
  <c r="AN154" i="69" s="1"/>
  <c r="AF155" i="69"/>
  <c r="AN155" i="69" s="1"/>
  <c r="AF156" i="69"/>
  <c r="AN156" i="69" s="1"/>
  <c r="AF157" i="69"/>
  <c r="AN157" i="69" s="1"/>
  <c r="AF158" i="69"/>
  <c r="AN158" i="69" s="1"/>
  <c r="AF159" i="69"/>
  <c r="AN159" i="69" s="1"/>
  <c r="AF160" i="69"/>
  <c r="AN160" i="69" s="1"/>
  <c r="AF161" i="69"/>
  <c r="AN161" i="69" s="1"/>
  <c r="AF162" i="69"/>
  <c r="AN162" i="69" s="1"/>
  <c r="AF163" i="69"/>
  <c r="AN163" i="69" s="1"/>
  <c r="AF164" i="69"/>
  <c r="AN164" i="69" s="1"/>
  <c r="AF165" i="69"/>
  <c r="AN165" i="69" s="1"/>
  <c r="AF166" i="69"/>
  <c r="AN166" i="69" s="1"/>
  <c r="AF167" i="69"/>
  <c r="AN167" i="69" s="1"/>
  <c r="AF168" i="69"/>
  <c r="AN168" i="69" s="1"/>
  <c r="AF169" i="69"/>
  <c r="AN169" i="69" s="1"/>
  <c r="AF170" i="69"/>
  <c r="AN170" i="69" s="1"/>
  <c r="AF171" i="69"/>
  <c r="AN171" i="69" s="1"/>
  <c r="AF172" i="69"/>
  <c r="AN172" i="69" s="1"/>
  <c r="AF173" i="69"/>
  <c r="AN173" i="69" s="1"/>
  <c r="AF174" i="69"/>
  <c r="AN174" i="69" s="1"/>
  <c r="AF175" i="69"/>
  <c r="AN175" i="69" s="1"/>
  <c r="AF176" i="69"/>
  <c r="AN176" i="69" s="1"/>
  <c r="AF177" i="69"/>
  <c r="AN177" i="69" s="1"/>
  <c r="AF178" i="69"/>
  <c r="AN178" i="69" s="1"/>
  <c r="AF179" i="69"/>
  <c r="AN179" i="69" s="1"/>
  <c r="AF180" i="69"/>
  <c r="AN180" i="69" s="1"/>
  <c r="AF181" i="69"/>
  <c r="AN181" i="69" s="1"/>
  <c r="AF182" i="69"/>
  <c r="AN182" i="69" s="1"/>
  <c r="AF183" i="69"/>
  <c r="AN183" i="69" s="1"/>
  <c r="AF184" i="69"/>
  <c r="AN184" i="69" s="1"/>
  <c r="AF185" i="69"/>
  <c r="AN185" i="69" s="1"/>
  <c r="AF186" i="69"/>
  <c r="AN186" i="69" s="1"/>
  <c r="AF187" i="69"/>
  <c r="AN187" i="69" s="1"/>
  <c r="AF188" i="69"/>
  <c r="AN188" i="69" s="1"/>
  <c r="AF189" i="69"/>
  <c r="AN189" i="69" s="1"/>
  <c r="AF190" i="69"/>
  <c r="AN190" i="69" s="1"/>
  <c r="AF191" i="69"/>
  <c r="AN191" i="69" s="1"/>
  <c r="AF192" i="69"/>
  <c r="AN192" i="69" s="1"/>
  <c r="AF193" i="69"/>
  <c r="AN193" i="69" s="1"/>
  <c r="AF194" i="69"/>
  <c r="AN194" i="69" s="1"/>
  <c r="AF195" i="69"/>
  <c r="AN195" i="69" s="1"/>
  <c r="AF196" i="69"/>
  <c r="AN196" i="69" s="1"/>
  <c r="AF197" i="69"/>
  <c r="AN197" i="69" s="1"/>
  <c r="AF198" i="69"/>
  <c r="AN198" i="69" s="1"/>
  <c r="AF199" i="69"/>
  <c r="AN199" i="69" s="1"/>
  <c r="AF200" i="69"/>
  <c r="AN200" i="69" s="1"/>
  <c r="AF201" i="69"/>
  <c r="AN201" i="69" s="1"/>
  <c r="AF202" i="69"/>
  <c r="AN202" i="69" s="1"/>
  <c r="AF305" i="69"/>
  <c r="AN305" i="69" s="1"/>
  <c r="AF307" i="69"/>
  <c r="AN307" i="69" s="1"/>
  <c r="AF311" i="69"/>
  <c r="AN311" i="69" s="1"/>
  <c r="AF313" i="69"/>
  <c r="AN313" i="69" s="1"/>
  <c r="AF314" i="69"/>
  <c r="AN314" i="69" s="1"/>
  <c r="AF315" i="69"/>
  <c r="AN315" i="69" s="1"/>
  <c r="AF316" i="69"/>
  <c r="AN316" i="69" s="1"/>
  <c r="AF317" i="69"/>
  <c r="AN317" i="69" s="1"/>
  <c r="AF319" i="69"/>
  <c r="AN319" i="69" s="1"/>
  <c r="AF320" i="69"/>
  <c r="AN320" i="69" s="1"/>
  <c r="AF321" i="69"/>
  <c r="AN321" i="69" s="1"/>
  <c r="AF322" i="69"/>
  <c r="AN322" i="69" s="1"/>
  <c r="AF323" i="69"/>
  <c r="AN323" i="69" s="1"/>
  <c r="AF324" i="69"/>
  <c r="AN324" i="69" s="1"/>
  <c r="AF325" i="69"/>
  <c r="AN325" i="69" s="1"/>
  <c r="AF327" i="69"/>
  <c r="AN327" i="69" s="1"/>
  <c r="AF329" i="69"/>
  <c r="AN329" i="69" s="1"/>
  <c r="AF330" i="69"/>
  <c r="AN330" i="69" s="1"/>
  <c r="AF331" i="69"/>
  <c r="AN331" i="69" s="1"/>
  <c r="AF332" i="69"/>
  <c r="AN332" i="69" s="1"/>
  <c r="AF333" i="69"/>
  <c r="AN333" i="69" s="1"/>
  <c r="AF334" i="69"/>
  <c r="AN334" i="69" s="1"/>
  <c r="AF336" i="69"/>
  <c r="AN336" i="69" s="1"/>
  <c r="AF366" i="69"/>
  <c r="AN366" i="69" s="1"/>
  <c r="AF367" i="69"/>
  <c r="AN367" i="69" s="1"/>
  <c r="AF368" i="69"/>
  <c r="AN368" i="69" s="1"/>
  <c r="AF369" i="69"/>
  <c r="AN369" i="69" s="1"/>
  <c r="AF370" i="69"/>
  <c r="AN370" i="69" s="1"/>
  <c r="AF371" i="69"/>
  <c r="AN371" i="69" s="1"/>
  <c r="AF372" i="69"/>
  <c r="AN372" i="69" s="1"/>
  <c r="AF373" i="69"/>
  <c r="AN373" i="69" s="1"/>
  <c r="AF374" i="69"/>
  <c r="AN374" i="69" s="1"/>
  <c r="AF375" i="69"/>
  <c r="AN375" i="69" s="1"/>
  <c r="AF376" i="69"/>
  <c r="AN376" i="69" s="1"/>
  <c r="AF377" i="69"/>
  <c r="AN377" i="69" s="1"/>
  <c r="AF378" i="69"/>
  <c r="AN378" i="69" s="1"/>
  <c r="AF379" i="69"/>
  <c r="AN379" i="69" s="1"/>
  <c r="AF380" i="69"/>
  <c r="AN380" i="69" s="1"/>
  <c r="AF381" i="69"/>
  <c r="AN381" i="69" s="1"/>
  <c r="AF382" i="69"/>
  <c r="AN382" i="69" s="1"/>
  <c r="AF383" i="69"/>
  <c r="AN383" i="69" s="1"/>
  <c r="AF384" i="69"/>
  <c r="AN384" i="69" s="1"/>
  <c r="AF385" i="69"/>
  <c r="AN385" i="69" s="1"/>
  <c r="AF386" i="69"/>
  <c r="AN386" i="69" s="1"/>
  <c r="AF387" i="69"/>
  <c r="AN387" i="69" s="1"/>
  <c r="AF388" i="69"/>
  <c r="AN388" i="69" s="1"/>
  <c r="AF392" i="69"/>
  <c r="AN392" i="69" s="1"/>
  <c r="AF393" i="69"/>
  <c r="AN393" i="69" s="1"/>
  <c r="AF394" i="69"/>
  <c r="AN394" i="69" s="1"/>
  <c r="AF395" i="69"/>
  <c r="AN395" i="69" s="1"/>
  <c r="AF396" i="69"/>
  <c r="AN396" i="69" s="1"/>
  <c r="AF397" i="69"/>
  <c r="AN397" i="69" s="1"/>
  <c r="AF398" i="69"/>
  <c r="AN398" i="69" s="1"/>
  <c r="AF405" i="69"/>
  <c r="AN405" i="69" s="1"/>
  <c r="AF406" i="69"/>
  <c r="AN406" i="69" s="1"/>
  <c r="AF407" i="69"/>
  <c r="AN407" i="69" s="1"/>
  <c r="AF409" i="69"/>
  <c r="AN409" i="69" s="1"/>
  <c r="AF411" i="69"/>
  <c r="AN411" i="69" s="1"/>
  <c r="AF412" i="69"/>
  <c r="AN412" i="69" s="1"/>
  <c r="AF413" i="69"/>
  <c r="AN413" i="69" s="1"/>
  <c r="AF414" i="69"/>
  <c r="AN414" i="69" s="1"/>
  <c r="AF415" i="69"/>
  <c r="AN415" i="69" s="1"/>
  <c r="AF418" i="69"/>
  <c r="AN418" i="69" s="1"/>
  <c r="AF419" i="69"/>
  <c r="AN419" i="69" s="1"/>
  <c r="AF420" i="69"/>
  <c r="AN420" i="69" s="1"/>
  <c r="AF421" i="69"/>
  <c r="AN421" i="69" s="1"/>
  <c r="AF422" i="69"/>
  <c r="AN422" i="69" s="1"/>
  <c r="AF454" i="69"/>
  <c r="AN454" i="69" s="1"/>
  <c r="AF456" i="69"/>
  <c r="AN456" i="69" s="1"/>
  <c r="AF457" i="69"/>
  <c r="AN457" i="69" s="1"/>
  <c r="AF474" i="69"/>
  <c r="AN474" i="69" s="1"/>
  <c r="AF478" i="69"/>
  <c r="AN478" i="69" s="1"/>
  <c r="AF480" i="69"/>
  <c r="AN480" i="69" s="1"/>
  <c r="AF484" i="69"/>
  <c r="AN484" i="69" s="1"/>
  <c r="AF492" i="69"/>
  <c r="AN492" i="69" s="1"/>
  <c r="AF493" i="69"/>
  <c r="AN493" i="69" s="1"/>
  <c r="AF494" i="69"/>
  <c r="AN494" i="69" s="1"/>
  <c r="AF495" i="69"/>
  <c r="AN495" i="69" s="1"/>
  <c r="AF497" i="69"/>
  <c r="AN497" i="69" s="1"/>
  <c r="AF498" i="69"/>
  <c r="AN498" i="69" s="1"/>
  <c r="AF499" i="69"/>
  <c r="AN499" i="69" s="1"/>
  <c r="AF500" i="69"/>
  <c r="AN500" i="69" s="1"/>
  <c r="AF501" i="69"/>
  <c r="AN501" i="69" s="1"/>
  <c r="AF502" i="69"/>
  <c r="AN502" i="69" s="1"/>
  <c r="AF503" i="69"/>
  <c r="AN503" i="69" s="1"/>
  <c r="AF507" i="69"/>
  <c r="AN507" i="69" s="1"/>
  <c r="AF508" i="69"/>
  <c r="AN508" i="69" s="1"/>
  <c r="AF509" i="69"/>
  <c r="AN509" i="69" s="1"/>
  <c r="AF516" i="69"/>
  <c r="AN516" i="69" s="1"/>
  <c r="AF518" i="69"/>
  <c r="AN518" i="69" s="1"/>
  <c r="AF519" i="69"/>
  <c r="AN519" i="69" s="1"/>
  <c r="AF520" i="69"/>
  <c r="AN520" i="69" s="1"/>
  <c r="AF521" i="69"/>
  <c r="AN521" i="69" s="1"/>
  <c r="AF522" i="69"/>
  <c r="AN522" i="69" s="1"/>
  <c r="AF523" i="69"/>
  <c r="AN523" i="69" s="1"/>
  <c r="AF524" i="69"/>
  <c r="AN524" i="69" s="1"/>
  <c r="AF525" i="69"/>
  <c r="AN525" i="69" s="1"/>
  <c r="AF527" i="69"/>
  <c r="AN527" i="69" s="1"/>
  <c r="AF528" i="69"/>
  <c r="AN528" i="69" s="1"/>
  <c r="AF529" i="69"/>
  <c r="AN529" i="69" s="1"/>
  <c r="AF530" i="69"/>
  <c r="AN530" i="69" s="1"/>
  <c r="AF531" i="69"/>
  <c r="AN531" i="69" s="1"/>
  <c r="AF533" i="69"/>
  <c r="AN533" i="69" s="1"/>
  <c r="AF534" i="69"/>
  <c r="AN534" i="69" s="1"/>
  <c r="AF535" i="69"/>
  <c r="AN535" i="69" s="1"/>
  <c r="AF536" i="69"/>
  <c r="AN536" i="69" s="1"/>
  <c r="AF541" i="69"/>
  <c r="AN541" i="69" s="1"/>
  <c r="AF542" i="69"/>
  <c r="AN542" i="69" s="1"/>
  <c r="AF543" i="69"/>
  <c r="AN543" i="69" s="1"/>
  <c r="AF544" i="69"/>
  <c r="AN544" i="69" s="1"/>
  <c r="AF545" i="69"/>
  <c r="AN545" i="69" s="1"/>
  <c r="AF546" i="69"/>
  <c r="AN546" i="69" s="1"/>
  <c r="AF547" i="69"/>
  <c r="AN547" i="69" s="1"/>
  <c r="AF548" i="69"/>
  <c r="AN548" i="69" s="1"/>
  <c r="AF549" i="69"/>
  <c r="AN549" i="69" s="1"/>
  <c r="AF550" i="69"/>
  <c r="AN550" i="69" s="1"/>
  <c r="AF551" i="69"/>
  <c r="AN551" i="69" s="1"/>
  <c r="AF553" i="69"/>
  <c r="AN553" i="69" s="1"/>
  <c r="AF554" i="69"/>
  <c r="AN554" i="69" s="1"/>
  <c r="AF555" i="69"/>
  <c r="AN555" i="69" s="1"/>
  <c r="AF556" i="69"/>
  <c r="AN556" i="69" s="1"/>
  <c r="AF557" i="69"/>
  <c r="AN557" i="69" s="1"/>
  <c r="AF558" i="69"/>
  <c r="AN558" i="69" s="1"/>
  <c r="AF559" i="69"/>
  <c r="AN559" i="69" s="1"/>
  <c r="AF560" i="69"/>
  <c r="AN560" i="69" s="1"/>
  <c r="AF561" i="69"/>
  <c r="AN561" i="69" s="1"/>
  <c r="AF562" i="69"/>
  <c r="AN562" i="69" s="1"/>
  <c r="AF563" i="69"/>
  <c r="AN563" i="69" s="1"/>
  <c r="AF565" i="69"/>
  <c r="AN565" i="69" s="1"/>
  <c r="AF566" i="69"/>
  <c r="AN566" i="69" s="1"/>
  <c r="AF567" i="69"/>
  <c r="AN567" i="69" s="1"/>
  <c r="AF568" i="69"/>
  <c r="AN568" i="69" s="1"/>
  <c r="AF569" i="69"/>
  <c r="AN569" i="69" s="1"/>
  <c r="AF570" i="69"/>
  <c r="AN570" i="69" s="1"/>
  <c r="AF571" i="69"/>
  <c r="AN571" i="69" s="1"/>
  <c r="AF572" i="69"/>
  <c r="AN572" i="69" s="1"/>
  <c r="AF573" i="69"/>
  <c r="AN573" i="69" s="1"/>
  <c r="AF574" i="69"/>
  <c r="AN574" i="69" s="1"/>
  <c r="AF575" i="69"/>
  <c r="AN575" i="69" s="1"/>
  <c r="AF576" i="69"/>
  <c r="AN576" i="69" s="1"/>
  <c r="AF577" i="69"/>
  <c r="AN577" i="69" s="1"/>
  <c r="AF578" i="69"/>
  <c r="AN578" i="69" s="1"/>
  <c r="AF579" i="69"/>
  <c r="AN579" i="69" s="1"/>
  <c r="AF581" i="69"/>
  <c r="AN581" i="69" s="1"/>
  <c r="AF583" i="69"/>
  <c r="AN583" i="69" s="1"/>
  <c r="AF584" i="69"/>
  <c r="AN584" i="69" s="1"/>
  <c r="AF585" i="69"/>
  <c r="AN585" i="69" s="1"/>
  <c r="AF586" i="69"/>
  <c r="AN586" i="69" s="1"/>
  <c r="AF587" i="69"/>
  <c r="AN587" i="69" s="1"/>
  <c r="AF588" i="69"/>
  <c r="AN588" i="69" s="1"/>
  <c r="AF643" i="69"/>
  <c r="AN643" i="69" s="1"/>
  <c r="AF657" i="69"/>
  <c r="AN657" i="69" s="1"/>
  <c r="AF659" i="69"/>
  <c r="AN659" i="69" s="1"/>
  <c r="AF660" i="69"/>
  <c r="AN660" i="69" s="1"/>
  <c r="AF661" i="69"/>
  <c r="AN661" i="69" s="1"/>
  <c r="AF662" i="69"/>
  <c r="AN662" i="69" s="1"/>
  <c r="AF663" i="69"/>
  <c r="AN663" i="69" s="1"/>
  <c r="AF664" i="69"/>
  <c r="AN664" i="69" s="1"/>
  <c r="AF665" i="69"/>
  <c r="AN665" i="69" s="1"/>
  <c r="AF666" i="69"/>
  <c r="AN666" i="69" s="1"/>
  <c r="AF667" i="69"/>
  <c r="AN667" i="69" s="1"/>
  <c r="AF668" i="69"/>
  <c r="AN668" i="69" s="1"/>
  <c r="AF683" i="69"/>
  <c r="AN683" i="69" s="1"/>
  <c r="AF9" i="69"/>
  <c r="AN9" i="69" s="1"/>
  <c r="AE9" i="69"/>
  <c r="AM9" i="69" s="1"/>
  <c r="AB10" i="69"/>
  <c r="AB11" i="69"/>
  <c r="AB12" i="69"/>
  <c r="AB13" i="69"/>
  <c r="AB14" i="69"/>
  <c r="AB15" i="69"/>
  <c r="AB16" i="69"/>
  <c r="AB17" i="69"/>
  <c r="AB18" i="69"/>
  <c r="AB19" i="69"/>
  <c r="AB20" i="69"/>
  <c r="AB21" i="69"/>
  <c r="AB22" i="69"/>
  <c r="AB23" i="69"/>
  <c r="AB24" i="69"/>
  <c r="AB25" i="69"/>
  <c r="AB26" i="69"/>
  <c r="AB27" i="69"/>
  <c r="AB28" i="69"/>
  <c r="AB29" i="69"/>
  <c r="AB30" i="69"/>
  <c r="AB31" i="69"/>
  <c r="AB32" i="69"/>
  <c r="AB33" i="69"/>
  <c r="AB34" i="69"/>
  <c r="AB35" i="69"/>
  <c r="AB36" i="69"/>
  <c r="AB37" i="69"/>
  <c r="AB38" i="69"/>
  <c r="AB39" i="69"/>
  <c r="AB40" i="69"/>
  <c r="AB41" i="69"/>
  <c r="AB42" i="69"/>
  <c r="AB43" i="69"/>
  <c r="AB44" i="69"/>
  <c r="AB45" i="69"/>
  <c r="AB46" i="69"/>
  <c r="AB47" i="69"/>
  <c r="AB48" i="69"/>
  <c r="AB49" i="69"/>
  <c r="AB76" i="69"/>
  <c r="AB77" i="69"/>
  <c r="AB127" i="69"/>
  <c r="AB128" i="69"/>
  <c r="AB129" i="69"/>
  <c r="AB130" i="69"/>
  <c r="AB131" i="69"/>
  <c r="AB132" i="69"/>
  <c r="AB133" i="69"/>
  <c r="AB134" i="69"/>
  <c r="AB135" i="69"/>
  <c r="AB136" i="69"/>
  <c r="AB137" i="69"/>
  <c r="AB138" i="69"/>
  <c r="AB139" i="69"/>
  <c r="AB140" i="69"/>
  <c r="AB141" i="69"/>
  <c r="AB142" i="69"/>
  <c r="AB143" i="69"/>
  <c r="AB144" i="69"/>
  <c r="AB145" i="69"/>
  <c r="AB146" i="69"/>
  <c r="AB147" i="69"/>
  <c r="AB148" i="69"/>
  <c r="AB149" i="69"/>
  <c r="AB150" i="69"/>
  <c r="AB151" i="69"/>
  <c r="AB152" i="69"/>
  <c r="AB153" i="69"/>
  <c r="AB154" i="69"/>
  <c r="AB155" i="69"/>
  <c r="AB156" i="69"/>
  <c r="AB157" i="69"/>
  <c r="AB158" i="69"/>
  <c r="AB159" i="69"/>
  <c r="AB160" i="69"/>
  <c r="AB161" i="69"/>
  <c r="AB162" i="69"/>
  <c r="AB163" i="69"/>
  <c r="AB164" i="69"/>
  <c r="AB165" i="69"/>
  <c r="AB166" i="69"/>
  <c r="AB167" i="69"/>
  <c r="AB168" i="69"/>
  <c r="AB169" i="69"/>
  <c r="AB170" i="69"/>
  <c r="AB171" i="69"/>
  <c r="AB172" i="69"/>
  <c r="AB173" i="69"/>
  <c r="AB174" i="69"/>
  <c r="AB175" i="69"/>
  <c r="AB176" i="69"/>
  <c r="AB177" i="69"/>
  <c r="AB178" i="69"/>
  <c r="AB179" i="69"/>
  <c r="AB180" i="69"/>
  <c r="AB181" i="69"/>
  <c r="AB182" i="69"/>
  <c r="AB183" i="69"/>
  <c r="AB184" i="69"/>
  <c r="AB185" i="69"/>
  <c r="AB186" i="69"/>
  <c r="AB187" i="69"/>
  <c r="AB188" i="69"/>
  <c r="AB189" i="69"/>
  <c r="AB190" i="69"/>
  <c r="AB191" i="69"/>
  <c r="AB192" i="69"/>
  <c r="AB193" i="69"/>
  <c r="AB194" i="69"/>
  <c r="AB195" i="69"/>
  <c r="AB196" i="69"/>
  <c r="AB197" i="69"/>
  <c r="AB198" i="69"/>
  <c r="AB199" i="69"/>
  <c r="AB200" i="69"/>
  <c r="AB201" i="69"/>
  <c r="AB202" i="69"/>
  <c r="AB305" i="69"/>
  <c r="AB307" i="69"/>
  <c r="AB311" i="69"/>
  <c r="AB313" i="69"/>
  <c r="AB314" i="69"/>
  <c r="AB315" i="69"/>
  <c r="AB316" i="69"/>
  <c r="AB317" i="69"/>
  <c r="AB319" i="69"/>
  <c r="AB320" i="69"/>
  <c r="AB321" i="69"/>
  <c r="AB322" i="69"/>
  <c r="AB323" i="69"/>
  <c r="AB324" i="69"/>
  <c r="AB325" i="69"/>
  <c r="AB326" i="69"/>
  <c r="AB327" i="69"/>
  <c r="AB329" i="69"/>
  <c r="AB330" i="69"/>
  <c r="AB331" i="69"/>
  <c r="AB332" i="69"/>
  <c r="AB333" i="69"/>
  <c r="AB334" i="69"/>
  <c r="AB336" i="69"/>
  <c r="AB366" i="69"/>
  <c r="AB367" i="69"/>
  <c r="AB368" i="69"/>
  <c r="AB369" i="69"/>
  <c r="AB370" i="69"/>
  <c r="AB371" i="69"/>
  <c r="AB372" i="69"/>
  <c r="AB373" i="69"/>
  <c r="AB374" i="69"/>
  <c r="AB375" i="69"/>
  <c r="AB376" i="69"/>
  <c r="AB377" i="69"/>
  <c r="AB378" i="69"/>
  <c r="AB379" i="69"/>
  <c r="AB380" i="69"/>
  <c r="AB381" i="69"/>
  <c r="AB382" i="69"/>
  <c r="AB383" i="69"/>
  <c r="AB384" i="69"/>
  <c r="AB385" i="69"/>
  <c r="AB386" i="69"/>
  <c r="AB387" i="69"/>
  <c r="AB388" i="69"/>
  <c r="AB392" i="69"/>
  <c r="AB393" i="69"/>
  <c r="AB394" i="69"/>
  <c r="AB395" i="69"/>
  <c r="AB396" i="69"/>
  <c r="AB397" i="69"/>
  <c r="AB398" i="69"/>
  <c r="AB405" i="69"/>
  <c r="AB406" i="69"/>
  <c r="AB407" i="69"/>
  <c r="AB409" i="69"/>
  <c r="AB411" i="69"/>
  <c r="AB412" i="69"/>
  <c r="AB413" i="69"/>
  <c r="AB414" i="69"/>
  <c r="AB415" i="69"/>
  <c r="AB418" i="69"/>
  <c r="AB419" i="69"/>
  <c r="AB420" i="69"/>
  <c r="AB421" i="69"/>
  <c r="AB422" i="69"/>
  <c r="AB454" i="69"/>
  <c r="AB456" i="69"/>
  <c r="AB457" i="69"/>
  <c r="AB474" i="69"/>
  <c r="AB478" i="69"/>
  <c r="AB480" i="69"/>
  <c r="AB484" i="69"/>
  <c r="AB492" i="69"/>
  <c r="AB493" i="69"/>
  <c r="AB494" i="69"/>
  <c r="AB495" i="69"/>
  <c r="AB497" i="69"/>
  <c r="AB498" i="69"/>
  <c r="AB499" i="69"/>
  <c r="AB500" i="69"/>
  <c r="AB501" i="69"/>
  <c r="AB502" i="69"/>
  <c r="AB503" i="69"/>
  <c r="AB507" i="69"/>
  <c r="AB508" i="69"/>
  <c r="AB509" i="69"/>
  <c r="AB516" i="69"/>
  <c r="AB518" i="69"/>
  <c r="AB519" i="69"/>
  <c r="AB520" i="69"/>
  <c r="AB521" i="69"/>
  <c r="AB522" i="69"/>
  <c r="AB523" i="69"/>
  <c r="AB524" i="69"/>
  <c r="AB525" i="69"/>
  <c r="AB527" i="69"/>
  <c r="AB528" i="69"/>
  <c r="AB529" i="69"/>
  <c r="AB530" i="69"/>
  <c r="AB531" i="69"/>
  <c r="AB533" i="69"/>
  <c r="AB534" i="69"/>
  <c r="AB535" i="69"/>
  <c r="AB536" i="69"/>
  <c r="AB541" i="69"/>
  <c r="AB542" i="69"/>
  <c r="AB543" i="69"/>
  <c r="AB544" i="69"/>
  <c r="AB545" i="69"/>
  <c r="AB546" i="69"/>
  <c r="AB547" i="69"/>
  <c r="AB548" i="69"/>
  <c r="AB549" i="69"/>
  <c r="AB550" i="69"/>
  <c r="AB551" i="69"/>
  <c r="AB553" i="69"/>
  <c r="AB554" i="69"/>
  <c r="AB555" i="69"/>
  <c r="AB556" i="69"/>
  <c r="AB557" i="69"/>
  <c r="AB558" i="69"/>
  <c r="AB559" i="69"/>
  <c r="AB560" i="69"/>
  <c r="AB561" i="69"/>
  <c r="AB562" i="69"/>
  <c r="AB563" i="69"/>
  <c r="AB565" i="69"/>
  <c r="AB566" i="69"/>
  <c r="AB567" i="69"/>
  <c r="AB568" i="69"/>
  <c r="AB569" i="69"/>
  <c r="AB570" i="69"/>
  <c r="AB571" i="69"/>
  <c r="AB572" i="69"/>
  <c r="AB573" i="69"/>
  <c r="AB574" i="69"/>
  <c r="AB575" i="69"/>
  <c r="AB576" i="69"/>
  <c r="AB577" i="69"/>
  <c r="AB578" i="69"/>
  <c r="AB579" i="69"/>
  <c r="AB581" i="69"/>
  <c r="AB583" i="69"/>
  <c r="AB584" i="69"/>
  <c r="AB585" i="69"/>
  <c r="AB586" i="69"/>
  <c r="AB587" i="69"/>
  <c r="AB588" i="69"/>
  <c r="AB643" i="69"/>
  <c r="AB657" i="69"/>
  <c r="AB659" i="69"/>
  <c r="AB660" i="69"/>
  <c r="AB661" i="69"/>
  <c r="AB662" i="69"/>
  <c r="AB663" i="69"/>
  <c r="AB664" i="69"/>
  <c r="AB666" i="69"/>
  <c r="AB667" i="69"/>
  <c r="AB668" i="69"/>
  <c r="AB683" i="69"/>
  <c r="N24" i="65" l="1"/>
  <c r="I534" i="65"/>
  <c r="N168" i="65"/>
  <c r="O168" i="65" s="1"/>
  <c r="I675" i="65"/>
  <c r="L230" i="65"/>
  <c r="L246" i="65"/>
  <c r="L156" i="65"/>
  <c r="N75" i="65"/>
  <c r="O75" i="65" s="1"/>
  <c r="L515" i="65"/>
  <c r="L361" i="65"/>
  <c r="L517" i="65"/>
  <c r="M388" i="65"/>
  <c r="M479" i="65"/>
  <c r="L75" i="65"/>
  <c r="M77" i="65"/>
  <c r="N534" i="65"/>
  <c r="O534" i="65" s="1"/>
  <c r="L534" i="65"/>
  <c r="M517" i="65"/>
  <c r="L479" i="65"/>
  <c r="M503" i="65"/>
  <c r="M484" i="65"/>
  <c r="M648" i="65"/>
  <c r="M588" i="65"/>
  <c r="M534" i="65"/>
  <c r="L388" i="65"/>
  <c r="M75" i="65"/>
  <c r="N78" i="65"/>
  <c r="O78" i="65" s="1"/>
  <c r="L503" i="65"/>
  <c r="L484" i="65"/>
  <c r="L648" i="65"/>
  <c r="L588" i="65"/>
  <c r="N648" i="65"/>
  <c r="O648" i="65" s="1"/>
  <c r="N588" i="65"/>
  <c r="O588" i="65" s="1"/>
  <c r="N610" i="65"/>
  <c r="O610" i="65" s="1"/>
  <c r="N568" i="65"/>
  <c r="O568" i="65" s="1"/>
  <c r="M544" i="65"/>
  <c r="N155" i="65"/>
  <c r="O155" i="65" s="1"/>
  <c r="L610" i="65"/>
  <c r="L568" i="65"/>
  <c r="M156" i="65"/>
  <c r="L253" i="65"/>
  <c r="N515" i="65"/>
  <c r="O515" i="65" s="1"/>
  <c r="N361" i="65"/>
  <c r="O361" i="65" s="1"/>
  <c r="M78" i="65"/>
  <c r="L544" i="65"/>
  <c r="M155" i="65"/>
  <c r="M610" i="65"/>
  <c r="M568" i="65"/>
  <c r="L77" i="65"/>
  <c r="M230" i="65"/>
  <c r="M246" i="65"/>
  <c r="M253" i="65"/>
  <c r="N77" i="65"/>
  <c r="O77" i="65" s="1"/>
  <c r="L78" i="65"/>
  <c r="L155" i="65"/>
  <c r="M515" i="65"/>
  <c r="M361" i="65"/>
  <c r="O11" i="65"/>
  <c r="O24" i="65"/>
  <c r="O216" i="65"/>
  <c r="O167" i="65"/>
  <c r="AO423" i="69"/>
  <c r="V423" i="69"/>
  <c r="AI423" i="69" s="1"/>
  <c r="AQ423" i="69" s="1"/>
  <c r="AH423" i="69"/>
  <c r="AP423" i="69" s="1"/>
  <c r="AK666" i="69"/>
  <c r="AT666" i="69" s="1"/>
  <c r="AK586" i="69"/>
  <c r="AT586" i="69" s="1"/>
  <c r="AK577" i="69"/>
  <c r="AK569" i="69"/>
  <c r="AK562" i="69"/>
  <c r="AK558" i="69"/>
  <c r="AK553" i="69"/>
  <c r="AT553" i="69" s="1"/>
  <c r="AK549" i="69"/>
  <c r="AK534" i="69"/>
  <c r="AK530" i="69"/>
  <c r="AT530" i="69" s="1"/>
  <c r="AK525" i="69"/>
  <c r="AK518" i="69"/>
  <c r="AT518" i="69" s="1"/>
  <c r="AK508" i="69"/>
  <c r="AK394" i="69"/>
  <c r="AK383" i="69"/>
  <c r="AK375" i="69"/>
  <c r="AK331" i="69"/>
  <c r="AK323" i="69"/>
  <c r="AK321" i="69"/>
  <c r="AK317" i="69"/>
  <c r="AT317" i="69" s="1"/>
  <c r="L79" i="65" s="1"/>
  <c r="AK314" i="69"/>
  <c r="AT314" i="69" s="1"/>
  <c r="L173" i="65" s="1"/>
  <c r="AK311" i="69"/>
  <c r="AK201" i="69"/>
  <c r="AT201" i="69" s="1"/>
  <c r="AK197" i="69"/>
  <c r="AK193" i="69"/>
  <c r="AK189" i="69"/>
  <c r="AK185" i="69"/>
  <c r="AK181" i="69"/>
  <c r="AT181" i="69" s="1"/>
  <c r="AK177" i="69"/>
  <c r="AK174" i="69"/>
  <c r="AT174" i="69" s="1"/>
  <c r="AK171" i="69"/>
  <c r="AT171" i="69" s="1"/>
  <c r="L224" i="65" s="1"/>
  <c r="AK167" i="69"/>
  <c r="AT167" i="69" s="1"/>
  <c r="AK163" i="69"/>
  <c r="AK159" i="69"/>
  <c r="AK155" i="69"/>
  <c r="AK151" i="69"/>
  <c r="AK147" i="69"/>
  <c r="AK143" i="69"/>
  <c r="AK139" i="69"/>
  <c r="AK135" i="69"/>
  <c r="AK131" i="69"/>
  <c r="AK127" i="69"/>
  <c r="AK48" i="69"/>
  <c r="AK44" i="69"/>
  <c r="AT44" i="69" s="1"/>
  <c r="AK40" i="69"/>
  <c r="AK36" i="69"/>
  <c r="AT36" i="69" s="1"/>
  <c r="AK32" i="69"/>
  <c r="AK28" i="69"/>
  <c r="AK24" i="69"/>
  <c r="AK20" i="69"/>
  <c r="AK15" i="69"/>
  <c r="AK11" i="69"/>
  <c r="AT11" i="69" s="1"/>
  <c r="AK499" i="69"/>
  <c r="AT499" i="69" s="1"/>
  <c r="AK492" i="69"/>
  <c r="AK454" i="69"/>
  <c r="AT454" i="69" s="1"/>
  <c r="L485" i="65" s="1"/>
  <c r="AK418" i="69"/>
  <c r="AK407" i="69"/>
  <c r="AK393" i="69"/>
  <c r="AK382" i="69"/>
  <c r="AK368" i="69"/>
  <c r="L264" i="65"/>
  <c r="AK334" i="69"/>
  <c r="AT334" i="69" s="1"/>
  <c r="AK327" i="69"/>
  <c r="AT327" i="69" s="1"/>
  <c r="AK660" i="69"/>
  <c r="AK579" i="69"/>
  <c r="AT579" i="69" s="1"/>
  <c r="AK575" i="69"/>
  <c r="AT575" i="69" s="1"/>
  <c r="AK551" i="69"/>
  <c r="AK536" i="69"/>
  <c r="AK516" i="69"/>
  <c r="AT516" i="69" s="1"/>
  <c r="AK502" i="69"/>
  <c r="AK498" i="69"/>
  <c r="AK494" i="69"/>
  <c r="AT494" i="69" s="1"/>
  <c r="AK474" i="69"/>
  <c r="AT474" i="69" s="1"/>
  <c r="L305" i="65" s="1"/>
  <c r="AK415" i="69"/>
  <c r="AK406" i="69"/>
  <c r="AK9" i="69"/>
  <c r="AK659" i="69"/>
  <c r="AK587" i="69"/>
  <c r="AT587" i="69" s="1"/>
  <c r="AK578" i="69"/>
  <c r="AK574" i="69"/>
  <c r="AK570" i="69"/>
  <c r="AK559" i="69"/>
  <c r="AK554" i="69"/>
  <c r="AK550" i="69"/>
  <c r="AK546" i="69"/>
  <c r="AK535" i="69"/>
  <c r="AK531" i="69"/>
  <c r="AK527" i="69"/>
  <c r="AT527" i="69" s="1"/>
  <c r="AK519" i="69"/>
  <c r="AK509" i="69"/>
  <c r="AK501" i="69"/>
  <c r="AK497" i="69"/>
  <c r="AT497" i="69" s="1"/>
  <c r="AK457" i="69"/>
  <c r="AT457" i="69" s="1"/>
  <c r="AK319" i="69"/>
  <c r="AK194" i="69"/>
  <c r="AT194" i="69" s="1"/>
  <c r="AK186" i="69"/>
  <c r="AK178" i="69"/>
  <c r="AK172" i="69"/>
  <c r="AK164" i="69"/>
  <c r="AT164" i="69" s="1"/>
  <c r="AK156" i="69"/>
  <c r="AK148" i="69"/>
  <c r="AK140" i="69"/>
  <c r="AK132" i="69"/>
  <c r="AK45" i="69"/>
  <c r="AK37" i="69"/>
  <c r="AK29" i="69"/>
  <c r="AK21" i="69"/>
  <c r="AK12" i="69"/>
  <c r="AK202" i="69"/>
  <c r="AS683" i="69"/>
  <c r="AS666" i="69"/>
  <c r="AS662" i="69"/>
  <c r="AS657" i="69"/>
  <c r="AS586" i="69"/>
  <c r="AS581" i="69"/>
  <c r="AS577" i="69"/>
  <c r="AS573" i="69"/>
  <c r="AS569" i="69"/>
  <c r="AS565" i="69"/>
  <c r="AS562" i="69"/>
  <c r="AS558" i="69"/>
  <c r="AS553" i="69"/>
  <c r="AS549" i="69"/>
  <c r="AS542" i="69"/>
  <c r="AS534" i="69"/>
  <c r="AS530" i="69"/>
  <c r="AS525" i="69"/>
  <c r="AS521" i="69"/>
  <c r="K393" i="65" s="1"/>
  <c r="AS518" i="69"/>
  <c r="AS508" i="69"/>
  <c r="AS497" i="69"/>
  <c r="AS480" i="69"/>
  <c r="AS457" i="69"/>
  <c r="AS422" i="69"/>
  <c r="AK422" i="69"/>
  <c r="AS419" i="69"/>
  <c r="AK419" i="69"/>
  <c r="AS414" i="69"/>
  <c r="AK414" i="69"/>
  <c r="AS411" i="69"/>
  <c r="AK411" i="69"/>
  <c r="AS396" i="69"/>
  <c r="K300" i="65" s="1"/>
  <c r="AK396" i="69"/>
  <c r="AS392" i="69"/>
  <c r="AK392" i="69"/>
  <c r="AS385" i="69"/>
  <c r="AK385" i="69"/>
  <c r="AS381" i="69"/>
  <c r="K286" i="65" s="1"/>
  <c r="AK381" i="69"/>
  <c r="AS377" i="69"/>
  <c r="AK377" i="69"/>
  <c r="AS374" i="69"/>
  <c r="K278" i="65" s="1"/>
  <c r="AK374" i="69"/>
  <c r="AS370" i="69"/>
  <c r="AK370" i="69"/>
  <c r="AS367" i="69"/>
  <c r="K271" i="65" s="1"/>
  <c r="AK367" i="69"/>
  <c r="AS333" i="69"/>
  <c r="AK333" i="69"/>
  <c r="AS320" i="69"/>
  <c r="K81" i="65" s="1"/>
  <c r="AK320" i="69"/>
  <c r="AS313" i="69"/>
  <c r="K172" i="65" s="1"/>
  <c r="AK313" i="69"/>
  <c r="AS307" i="69"/>
  <c r="K166" i="65" s="1"/>
  <c r="AK307" i="69"/>
  <c r="AS200" i="69"/>
  <c r="AK200" i="69"/>
  <c r="AS196" i="69"/>
  <c r="AK196" i="69"/>
  <c r="AS192" i="69"/>
  <c r="AK192" i="69"/>
  <c r="AS188" i="69"/>
  <c r="AK188" i="69"/>
  <c r="AS184" i="69"/>
  <c r="AK184" i="69"/>
  <c r="AS180" i="69"/>
  <c r="AK180" i="69"/>
  <c r="AS176" i="69"/>
  <c r="AK176" i="69"/>
  <c r="AS170" i="69"/>
  <c r="AK170" i="69"/>
  <c r="AS166" i="69"/>
  <c r="AK166" i="69"/>
  <c r="AS162" i="69"/>
  <c r="AK162" i="69"/>
  <c r="AS158" i="69"/>
  <c r="K212" i="65" s="1"/>
  <c r="AK158" i="69"/>
  <c r="AS154" i="69"/>
  <c r="K208" i="65" s="1"/>
  <c r="AK154" i="69"/>
  <c r="AS150" i="69"/>
  <c r="K204" i="65" s="1"/>
  <c r="AK150" i="69"/>
  <c r="AS146" i="69"/>
  <c r="K200" i="65" s="1"/>
  <c r="AK146" i="69"/>
  <c r="AS142" i="69"/>
  <c r="K194" i="65" s="1"/>
  <c r="AK142" i="69"/>
  <c r="AS138" i="69"/>
  <c r="K509" i="65" s="1"/>
  <c r="AK138" i="69"/>
  <c r="AS134" i="69"/>
  <c r="K505" i="65" s="1"/>
  <c r="AK134" i="69"/>
  <c r="AS130" i="69"/>
  <c r="K455" i="65" s="1"/>
  <c r="AK130" i="69"/>
  <c r="AS77" i="69"/>
  <c r="AK77" i="69"/>
  <c r="AS47" i="69"/>
  <c r="AK47" i="69"/>
  <c r="AS43" i="69"/>
  <c r="AK43" i="69"/>
  <c r="AS39" i="69"/>
  <c r="AK39" i="69"/>
  <c r="AS35" i="69"/>
  <c r="AK35" i="69"/>
  <c r="AS31" i="69"/>
  <c r="AK31" i="69"/>
  <c r="AS27" i="69"/>
  <c r="AK27" i="69"/>
  <c r="AS23" i="69"/>
  <c r="AK23" i="69"/>
  <c r="AS19" i="69"/>
  <c r="AK19" i="69"/>
  <c r="AS14" i="69"/>
  <c r="AK14" i="69"/>
  <c r="AS10" i="69"/>
  <c r="AK10" i="69"/>
  <c r="AK662" i="69"/>
  <c r="AK581" i="69"/>
  <c r="AK565" i="69"/>
  <c r="AK542" i="69"/>
  <c r="AK521" i="69"/>
  <c r="AK480" i="69"/>
  <c r="AS668" i="69"/>
  <c r="AK668" i="69"/>
  <c r="AS665" i="69"/>
  <c r="AK665" i="69"/>
  <c r="AS661" i="69"/>
  <c r="AK661" i="69"/>
  <c r="AS643" i="69"/>
  <c r="AK643" i="69"/>
  <c r="AS585" i="69"/>
  <c r="AK585" i="69"/>
  <c r="AS576" i="69"/>
  <c r="AK576" i="69"/>
  <c r="AS572" i="69"/>
  <c r="AK572" i="69"/>
  <c r="AS568" i="69"/>
  <c r="AK568" i="69"/>
  <c r="AS563" i="69"/>
  <c r="AK563" i="69"/>
  <c r="AS561" i="69"/>
  <c r="AK561" i="69"/>
  <c r="AS557" i="69"/>
  <c r="AK557" i="69"/>
  <c r="AS548" i="69"/>
  <c r="AK548" i="69"/>
  <c r="AS545" i="69"/>
  <c r="AK545" i="69"/>
  <c r="AS541" i="69"/>
  <c r="AK541" i="69"/>
  <c r="AS533" i="69"/>
  <c r="AK533" i="69"/>
  <c r="AS529" i="69"/>
  <c r="AK529" i="69"/>
  <c r="AS524" i="69"/>
  <c r="K400" i="65" s="1"/>
  <c r="AK524" i="69"/>
  <c r="AS520" i="69"/>
  <c r="K389" i="65" s="1"/>
  <c r="AK520" i="69"/>
  <c r="AS507" i="69"/>
  <c r="AK507" i="69"/>
  <c r="AS503" i="69"/>
  <c r="AK503" i="69"/>
  <c r="AS500" i="69"/>
  <c r="AK500" i="69"/>
  <c r="AS493" i="69"/>
  <c r="AK493" i="69"/>
  <c r="AS478" i="69"/>
  <c r="AK478" i="69"/>
  <c r="AS456" i="69"/>
  <c r="K629" i="65" s="1"/>
  <c r="AK456" i="69"/>
  <c r="AS421" i="69"/>
  <c r="AK421" i="69"/>
  <c r="AS409" i="69"/>
  <c r="AK409" i="69"/>
  <c r="AS405" i="69"/>
  <c r="AK405" i="69"/>
  <c r="AS395" i="69"/>
  <c r="AK395" i="69"/>
  <c r="AS388" i="69"/>
  <c r="K293" i="65" s="1"/>
  <c r="AK388" i="69"/>
  <c r="AS384" i="69"/>
  <c r="K289" i="65" s="1"/>
  <c r="AK384" i="69"/>
  <c r="AS380" i="69"/>
  <c r="K285" i="65" s="1"/>
  <c r="AK380" i="69"/>
  <c r="AS376" i="69"/>
  <c r="K281" i="65" s="1"/>
  <c r="AK376" i="69"/>
  <c r="AS373" i="69"/>
  <c r="K277" i="65" s="1"/>
  <c r="AK373" i="69"/>
  <c r="AS369" i="69"/>
  <c r="AK369" i="69"/>
  <c r="AS366" i="69"/>
  <c r="AK366" i="69"/>
  <c r="AS336" i="69"/>
  <c r="AK336" i="69"/>
  <c r="AS332" i="69"/>
  <c r="AK332" i="69"/>
  <c r="AS325" i="69"/>
  <c r="AK325" i="69"/>
  <c r="AS316" i="69"/>
  <c r="K175" i="65" s="1"/>
  <c r="AK316" i="69"/>
  <c r="AS305" i="69"/>
  <c r="AK305" i="69"/>
  <c r="AS199" i="69"/>
  <c r="AK199" i="69"/>
  <c r="AS195" i="69"/>
  <c r="AK195" i="69"/>
  <c r="AS191" i="69"/>
  <c r="AK191" i="69"/>
  <c r="AS187" i="69"/>
  <c r="AK187" i="69"/>
  <c r="AS183" i="69"/>
  <c r="AK183" i="69"/>
  <c r="AS179" i="69"/>
  <c r="AK179" i="69"/>
  <c r="AS173" i="69"/>
  <c r="AK173" i="69"/>
  <c r="AS169" i="69"/>
  <c r="AK169" i="69"/>
  <c r="AS165" i="69"/>
  <c r="AK165" i="69"/>
  <c r="AS161" i="69"/>
  <c r="AK161" i="69"/>
  <c r="AS157" i="69"/>
  <c r="K211" i="65" s="1"/>
  <c r="AK157" i="69"/>
  <c r="AS153" i="69"/>
  <c r="K207" i="65" s="1"/>
  <c r="AK153" i="69"/>
  <c r="AS149" i="69"/>
  <c r="K203" i="65" s="1"/>
  <c r="AK149" i="69"/>
  <c r="AS145" i="69"/>
  <c r="K197" i="65" s="1"/>
  <c r="AK145" i="69"/>
  <c r="AS141" i="69"/>
  <c r="K193" i="65" s="1"/>
  <c r="AK141" i="69"/>
  <c r="AS137" i="69"/>
  <c r="K508" i="65" s="1"/>
  <c r="AK137" i="69"/>
  <c r="AS133" i="69"/>
  <c r="K504" i="65" s="1"/>
  <c r="AK133" i="69"/>
  <c r="AS129" i="69"/>
  <c r="K463" i="65" s="1"/>
  <c r="AK129" i="69"/>
  <c r="AS128" i="69"/>
  <c r="K462" i="65" s="1"/>
  <c r="AK128" i="69"/>
  <c r="AS76" i="69"/>
  <c r="AK76" i="69"/>
  <c r="AS46" i="69"/>
  <c r="AK46" i="69"/>
  <c r="AS42" i="69"/>
  <c r="AK42" i="69"/>
  <c r="AS38" i="69"/>
  <c r="AK38" i="69"/>
  <c r="AS34" i="69"/>
  <c r="AK34" i="69"/>
  <c r="AS30" i="69"/>
  <c r="AK30" i="69"/>
  <c r="AS26" i="69"/>
  <c r="AK26" i="69"/>
  <c r="AS22" i="69"/>
  <c r="AK22" i="69"/>
  <c r="AS18" i="69"/>
  <c r="AK18" i="69"/>
  <c r="AS17" i="69"/>
  <c r="AK17" i="69"/>
  <c r="AS13" i="69"/>
  <c r="AK13" i="69"/>
  <c r="AS667" i="69"/>
  <c r="AS664" i="69"/>
  <c r="AS660" i="69"/>
  <c r="AS588" i="69"/>
  <c r="AS584" i="69"/>
  <c r="AS579" i="69"/>
  <c r="AS575" i="69"/>
  <c r="AS571" i="69"/>
  <c r="AS567" i="69"/>
  <c r="AS560" i="69"/>
  <c r="AS556" i="69"/>
  <c r="AS551" i="69"/>
  <c r="AS547" i="69"/>
  <c r="AS544" i="69"/>
  <c r="AS536" i="69"/>
  <c r="AS528" i="69"/>
  <c r="AS523" i="69"/>
  <c r="K399" i="65" s="1"/>
  <c r="AS516" i="69"/>
  <c r="AS502" i="69"/>
  <c r="AS499" i="69"/>
  <c r="AS495" i="69"/>
  <c r="AS492" i="69"/>
  <c r="AS454" i="69"/>
  <c r="K485" i="65" s="1"/>
  <c r="AS420" i="69"/>
  <c r="AS418" i="69"/>
  <c r="AS413" i="69"/>
  <c r="AS407" i="69"/>
  <c r="K675" i="65" s="1"/>
  <c r="AS398" i="69"/>
  <c r="K302" i="65" s="1"/>
  <c r="AS394" i="69"/>
  <c r="AS387" i="69"/>
  <c r="AS383" i="69"/>
  <c r="K288" i="65" s="1"/>
  <c r="AS379" i="69"/>
  <c r="K284" i="65" s="1"/>
  <c r="AS375" i="69"/>
  <c r="K280" i="65" s="1"/>
  <c r="AS372" i="69"/>
  <c r="AS331" i="69"/>
  <c r="AS329" i="69"/>
  <c r="AS324" i="69"/>
  <c r="K85" i="65" s="1"/>
  <c r="AS322" i="69"/>
  <c r="K83" i="65" s="1"/>
  <c r="AS319" i="69"/>
  <c r="K80" i="65" s="1"/>
  <c r="AS315" i="69"/>
  <c r="K174" i="65" s="1"/>
  <c r="AS202" i="69"/>
  <c r="AS198" i="69"/>
  <c r="AS194" i="69"/>
  <c r="AS190" i="69"/>
  <c r="AS186" i="69"/>
  <c r="AS182" i="69"/>
  <c r="AS178" i="69"/>
  <c r="AS175" i="69"/>
  <c r="AS172" i="69"/>
  <c r="AS168" i="69"/>
  <c r="AS164" i="69"/>
  <c r="AS160" i="69"/>
  <c r="K214" i="65" s="1"/>
  <c r="AS156" i="69"/>
  <c r="K210" i="65" s="1"/>
  <c r="AS152" i="69"/>
  <c r="K206" i="65" s="1"/>
  <c r="AS148" i="69"/>
  <c r="K202" i="65" s="1"/>
  <c r="AS144" i="69"/>
  <c r="K196" i="65" s="1"/>
  <c r="AS140" i="69"/>
  <c r="K609" i="65" s="1"/>
  <c r="AS136" i="69"/>
  <c r="K507" i="65" s="1"/>
  <c r="AS132" i="69"/>
  <c r="K457" i="65" s="1"/>
  <c r="AS49" i="69"/>
  <c r="AS45" i="69"/>
  <c r="AS41" i="69"/>
  <c r="AS37" i="69"/>
  <c r="AS33" i="69"/>
  <c r="AS29" i="69"/>
  <c r="AS25" i="69"/>
  <c r="AS21" i="69"/>
  <c r="AS16" i="69"/>
  <c r="AS12" i="69"/>
  <c r="AK683" i="69"/>
  <c r="AK664" i="69"/>
  <c r="AK657" i="69"/>
  <c r="AK584" i="69"/>
  <c r="AK573" i="69"/>
  <c r="AK567" i="69"/>
  <c r="AK556" i="69"/>
  <c r="AK544" i="69"/>
  <c r="AK523" i="69"/>
  <c r="AK420" i="69"/>
  <c r="AK413" i="69"/>
  <c r="AK398" i="69"/>
  <c r="AK387" i="69"/>
  <c r="AK379" i="69"/>
  <c r="AK372" i="69"/>
  <c r="AK329" i="69"/>
  <c r="AK324" i="69"/>
  <c r="AK322" i="69"/>
  <c r="AK315" i="69"/>
  <c r="AK198" i="69"/>
  <c r="AK190" i="69"/>
  <c r="AK182" i="69"/>
  <c r="AK175" i="69"/>
  <c r="AK168" i="69"/>
  <c r="AK160" i="69"/>
  <c r="AK152" i="69"/>
  <c r="AK144" i="69"/>
  <c r="AK136" i="69"/>
  <c r="AK49" i="69"/>
  <c r="AK41" i="69"/>
  <c r="AK33" i="69"/>
  <c r="AK25" i="69"/>
  <c r="AK16" i="69"/>
  <c r="AS663" i="69"/>
  <c r="AS659" i="69"/>
  <c r="AS587" i="69"/>
  <c r="AS583" i="69"/>
  <c r="AS578" i="69"/>
  <c r="AS574" i="69"/>
  <c r="AS570" i="69"/>
  <c r="AS566" i="69"/>
  <c r="AS559" i="69"/>
  <c r="AS555" i="69"/>
  <c r="AS554" i="69"/>
  <c r="AS550" i="69"/>
  <c r="AS546" i="69"/>
  <c r="AS543" i="69"/>
  <c r="AS535" i="69"/>
  <c r="AS531" i="69"/>
  <c r="AS527" i="69"/>
  <c r="AS522" i="69"/>
  <c r="K397" i="65" s="1"/>
  <c r="AS519" i="69"/>
  <c r="K385" i="65" s="1"/>
  <c r="AS509" i="69"/>
  <c r="AS501" i="69"/>
  <c r="AS498" i="69"/>
  <c r="AS494" i="69"/>
  <c r="AS484" i="69"/>
  <c r="AS474" i="69"/>
  <c r="AS415" i="69"/>
  <c r="AS412" i="69"/>
  <c r="AS406" i="69"/>
  <c r="AS397" i="69"/>
  <c r="AS393" i="69"/>
  <c r="AS386" i="69"/>
  <c r="AS382" i="69"/>
  <c r="K287" i="65" s="1"/>
  <c r="AS378" i="69"/>
  <c r="K283" i="65" s="1"/>
  <c r="AS371" i="69"/>
  <c r="AS368" i="69"/>
  <c r="K268" i="65"/>
  <c r="AS334" i="69"/>
  <c r="AK667" i="69"/>
  <c r="AK663" i="69"/>
  <c r="AK588" i="69"/>
  <c r="AK583" i="69"/>
  <c r="AK571" i="69"/>
  <c r="AK566" i="69"/>
  <c r="AK560" i="69"/>
  <c r="AK555" i="69"/>
  <c r="AK547" i="69"/>
  <c r="AK543" i="69"/>
  <c r="AK528" i="69"/>
  <c r="AK522" i="69"/>
  <c r="AK495" i="69"/>
  <c r="AK484" i="69"/>
  <c r="AK412" i="69"/>
  <c r="AK397" i="69"/>
  <c r="AK386" i="69"/>
  <c r="AK378" i="69"/>
  <c r="AK371" i="69"/>
  <c r="AS330" i="69"/>
  <c r="AS327" i="69"/>
  <c r="AS323" i="69"/>
  <c r="K84" i="65" s="1"/>
  <c r="AS321" i="69"/>
  <c r="K82" i="65" s="1"/>
  <c r="AS317" i="69"/>
  <c r="K79" i="65" s="1"/>
  <c r="AS314" i="69"/>
  <c r="K173" i="65" s="1"/>
  <c r="AS311" i="69"/>
  <c r="K170" i="65" s="1"/>
  <c r="AS201" i="69"/>
  <c r="AS197" i="69"/>
  <c r="AS193" i="69"/>
  <c r="AS189" i="69"/>
  <c r="AS185" i="69"/>
  <c r="AS181" i="69"/>
  <c r="AS177" i="69"/>
  <c r="AS174" i="69"/>
  <c r="AS171" i="69"/>
  <c r="AS167" i="69"/>
  <c r="AS163" i="69"/>
  <c r="AS159" i="69"/>
  <c r="K213" i="65" s="1"/>
  <c r="AS155" i="69"/>
  <c r="K209" i="65" s="1"/>
  <c r="AS151" i="69"/>
  <c r="K205" i="65" s="1"/>
  <c r="AS147" i="69"/>
  <c r="K201" i="65" s="1"/>
  <c r="AS143" i="69"/>
  <c r="K195" i="65" s="1"/>
  <c r="AS139" i="69"/>
  <c r="K608" i="65" s="1"/>
  <c r="AS135" i="69"/>
  <c r="K506" i="65" s="1"/>
  <c r="AS131" i="69"/>
  <c r="K456" i="65" s="1"/>
  <c r="AS127" i="69"/>
  <c r="K533" i="65" s="1"/>
  <c r="AS48" i="69"/>
  <c r="AS44" i="69"/>
  <c r="AS40" i="69"/>
  <c r="AS36" i="69"/>
  <c r="AS32" i="69"/>
  <c r="AS28" i="69"/>
  <c r="AS24" i="69"/>
  <c r="AS20" i="69"/>
  <c r="AS15" i="69"/>
  <c r="AS11" i="69"/>
  <c r="AS9" i="69"/>
  <c r="AJ9" i="69"/>
  <c r="AB9" i="69"/>
  <c r="K6" i="76"/>
  <c r="I6" i="76"/>
  <c r="D6" i="76"/>
  <c r="B2" i="68"/>
  <c r="F6" i="76" s="1"/>
  <c r="E6" i="76"/>
  <c r="E3" i="76" s="1"/>
  <c r="L487" i="65" l="1"/>
  <c r="L418" i="65"/>
  <c r="K48" i="65"/>
  <c r="K35" i="65"/>
  <c r="L35" i="65"/>
  <c r="K26" i="65"/>
  <c r="L43" i="65"/>
  <c r="K87" i="65"/>
  <c r="K355" i="65"/>
  <c r="K188" i="65"/>
  <c r="K180" i="65"/>
  <c r="K553" i="65"/>
  <c r="K681" i="65"/>
  <c r="K104" i="65"/>
  <c r="K312" i="65"/>
  <c r="K470" i="65"/>
  <c r="L468" i="65"/>
  <c r="L635" i="65"/>
  <c r="L500" i="65"/>
  <c r="K415" i="65"/>
  <c r="K176" i="65"/>
  <c r="K674" i="65"/>
  <c r="K439" i="65"/>
  <c r="K298" i="65"/>
  <c r="K248" i="65"/>
  <c r="K189" i="65"/>
  <c r="K182" i="65"/>
  <c r="K667" i="65"/>
  <c r="K179" i="65"/>
  <c r="K272" i="65"/>
  <c r="K642" i="65"/>
  <c r="K191" i="65"/>
  <c r="K265" i="65"/>
  <c r="K309" i="65"/>
  <c r="K424" i="65"/>
  <c r="K192" i="65"/>
  <c r="K144" i="65"/>
  <c r="K414" i="65"/>
  <c r="L546" i="65"/>
  <c r="L126" i="65"/>
  <c r="K74" i="65"/>
  <c r="K275" i="65"/>
  <c r="K220" i="65"/>
  <c r="K238" i="65"/>
  <c r="K299" i="65"/>
  <c r="K370" i="65"/>
  <c r="K231" i="65"/>
  <c r="K555" i="65"/>
  <c r="K644" i="65"/>
  <c r="K183" i="65"/>
  <c r="K274" i="65"/>
  <c r="K290" i="65"/>
  <c r="K353" i="65"/>
  <c r="K249" i="65"/>
  <c r="K466" i="65"/>
  <c r="L556" i="65"/>
  <c r="L315" i="65"/>
  <c r="K643" i="65"/>
  <c r="K564" i="65"/>
  <c r="K665" i="65"/>
  <c r="K269" i="65"/>
  <c r="K314" i="65"/>
  <c r="K164" i="65"/>
  <c r="K573" i="65"/>
  <c r="K535" i="65"/>
  <c r="K305" i="65"/>
  <c r="K634" i="65"/>
  <c r="K276" i="65"/>
  <c r="K552" i="65"/>
  <c r="K633" i="65"/>
  <c r="K190" i="65"/>
  <c r="L482" i="65"/>
  <c r="L526" i="65"/>
  <c r="K310" i="65"/>
  <c r="K434" i="65"/>
  <c r="K313" i="65"/>
  <c r="K469" i="65"/>
  <c r="K112" i="65"/>
  <c r="K263" i="65"/>
  <c r="K306" i="65"/>
  <c r="K296" i="65"/>
  <c r="K554" i="65"/>
  <c r="K560" i="65"/>
  <c r="L662" i="65"/>
  <c r="L536" i="65"/>
  <c r="L655" i="65"/>
  <c r="K250" i="65"/>
  <c r="K270" i="65"/>
  <c r="K291" i="65"/>
  <c r="K447" i="65"/>
  <c r="K405" i="65"/>
  <c r="K460" i="65"/>
  <c r="K556" i="65"/>
  <c r="K315" i="65"/>
  <c r="L604" i="65"/>
  <c r="L645" i="65"/>
  <c r="L190" i="65"/>
  <c r="L380" i="65"/>
  <c r="L476" i="65"/>
  <c r="L308" i="65"/>
  <c r="K297" i="65"/>
  <c r="K363" i="65"/>
  <c r="K478" i="65"/>
  <c r="K482" i="65"/>
  <c r="K475" i="65"/>
  <c r="K239" i="65"/>
  <c r="K267" i="65"/>
  <c r="K311" i="65"/>
  <c r="K282" i="65"/>
  <c r="K567" i="65"/>
  <c r="K536" i="65"/>
  <c r="K221" i="65"/>
  <c r="L147" i="65"/>
  <c r="L176" i="65"/>
  <c r="L621" i="65"/>
  <c r="L422" i="65"/>
  <c r="L74" i="65"/>
  <c r="L685" i="65"/>
  <c r="K185" i="65"/>
  <c r="K338" i="65"/>
  <c r="K403" i="65"/>
  <c r="K227" i="65"/>
  <c r="K620" i="65"/>
  <c r="K273" i="65"/>
  <c r="K551" i="65"/>
  <c r="K651" i="65"/>
  <c r="K264" i="65"/>
  <c r="K308" i="65"/>
  <c r="K301" i="65"/>
  <c r="K683" i="65"/>
  <c r="K177" i="65"/>
  <c r="K292" i="65"/>
  <c r="K468" i="65"/>
  <c r="K474" i="65"/>
  <c r="L191" i="65"/>
  <c r="L416" i="65"/>
  <c r="L185" i="65"/>
  <c r="L623" i="65"/>
  <c r="L249" i="65"/>
  <c r="L327" i="65"/>
  <c r="AT197" i="69"/>
  <c r="AR197" i="69"/>
  <c r="K672" i="65" s="1"/>
  <c r="AS423" i="69"/>
  <c r="K619" i="65" s="1"/>
  <c r="AU423" i="69"/>
  <c r="AV423" i="69" s="1"/>
  <c r="I438" i="65" s="1"/>
  <c r="AR423" i="69"/>
  <c r="AT423" i="69"/>
  <c r="AR9" i="69"/>
  <c r="M641" i="65" s="1"/>
  <c r="AU378" i="69"/>
  <c r="AR378" i="69"/>
  <c r="M283" i="65" s="1"/>
  <c r="AU33" i="69"/>
  <c r="AR33" i="69"/>
  <c r="M33" i="65" s="1"/>
  <c r="AU168" i="69"/>
  <c r="AR168" i="69"/>
  <c r="K423" i="65" s="1"/>
  <c r="AU322" i="69"/>
  <c r="AR322" i="69"/>
  <c r="M83" i="65" s="1"/>
  <c r="AU379" i="69"/>
  <c r="AR379" i="69"/>
  <c r="M284" i="65" s="1"/>
  <c r="AU523" i="69"/>
  <c r="AR523" i="69"/>
  <c r="M399" i="65" s="1"/>
  <c r="AU521" i="69"/>
  <c r="AR521" i="69"/>
  <c r="M393" i="65" s="1"/>
  <c r="AU14" i="69"/>
  <c r="AR14" i="69"/>
  <c r="M23" i="65" s="1"/>
  <c r="AU23" i="69"/>
  <c r="AR23" i="69"/>
  <c r="M21" i="65" s="1"/>
  <c r="AU39" i="69"/>
  <c r="AR39" i="69"/>
  <c r="M38" i="65" s="1"/>
  <c r="AU142" i="69"/>
  <c r="AR142" i="69"/>
  <c r="M194" i="65" s="1"/>
  <c r="AU158" i="69"/>
  <c r="AR158" i="69"/>
  <c r="M212" i="65" s="1"/>
  <c r="AU180" i="69"/>
  <c r="AR180" i="69"/>
  <c r="K125" i="65" s="1"/>
  <c r="AU196" i="69"/>
  <c r="AR196" i="69"/>
  <c r="K431" i="65" s="1"/>
  <c r="AU313" i="69"/>
  <c r="AR313" i="69"/>
  <c r="M172" i="65" s="1"/>
  <c r="AU320" i="69"/>
  <c r="AR320" i="69"/>
  <c r="M81" i="65" s="1"/>
  <c r="AU12" i="69"/>
  <c r="AR12" i="69"/>
  <c r="M10" i="65" s="1"/>
  <c r="AU37" i="69"/>
  <c r="AR37" i="69"/>
  <c r="M36" i="65" s="1"/>
  <c r="AU140" i="69"/>
  <c r="AR140" i="69"/>
  <c r="M609" i="65" s="1"/>
  <c r="AU172" i="69"/>
  <c r="AR172" i="69"/>
  <c r="K73" i="65" s="1"/>
  <c r="AU531" i="69"/>
  <c r="AR531" i="69"/>
  <c r="K425" i="65" s="1"/>
  <c r="AU554" i="69"/>
  <c r="AR554" i="69"/>
  <c r="K330" i="65" s="1"/>
  <c r="AU570" i="69"/>
  <c r="AR570" i="69"/>
  <c r="K532" i="65" s="1"/>
  <c r="AU406" i="69"/>
  <c r="AR406" i="69"/>
  <c r="K401" i="65" s="1"/>
  <c r="AU498" i="69"/>
  <c r="AR498" i="69"/>
  <c r="K647" i="65" s="1"/>
  <c r="AU368" i="69"/>
  <c r="AR368" i="69"/>
  <c r="K320" i="65" s="1"/>
  <c r="AU407" i="69"/>
  <c r="AR407" i="69"/>
  <c r="M675" i="65" s="1"/>
  <c r="AU15" i="69"/>
  <c r="AR15" i="69"/>
  <c r="M52" i="65" s="1"/>
  <c r="AU24" i="69"/>
  <c r="AR24" i="69"/>
  <c r="M22" i="65" s="1"/>
  <c r="AU40" i="69"/>
  <c r="AR40" i="69"/>
  <c r="M39" i="65" s="1"/>
  <c r="AU143" i="69"/>
  <c r="AR143" i="69"/>
  <c r="M195" i="65" s="1"/>
  <c r="AU159" i="69"/>
  <c r="AR159" i="69"/>
  <c r="M213" i="65" s="1"/>
  <c r="AU174" i="69"/>
  <c r="AR174" i="69"/>
  <c r="K487" i="65" s="1"/>
  <c r="AU189" i="69"/>
  <c r="AR189" i="69"/>
  <c r="K141" i="65" s="1"/>
  <c r="AU311" i="69"/>
  <c r="AR311" i="69"/>
  <c r="M170" i="65" s="1"/>
  <c r="AU323" i="69"/>
  <c r="AR323" i="69"/>
  <c r="M84" i="65" s="1"/>
  <c r="AU375" i="69"/>
  <c r="AR375" i="69"/>
  <c r="M280" i="65" s="1"/>
  <c r="AU508" i="69"/>
  <c r="AR508" i="69"/>
  <c r="K558" i="65" s="1"/>
  <c r="AU534" i="69"/>
  <c r="AR534" i="69"/>
  <c r="K426" i="65" s="1"/>
  <c r="AU558" i="69"/>
  <c r="AR558" i="69"/>
  <c r="K360" i="65" s="1"/>
  <c r="AU577" i="69"/>
  <c r="AR577" i="69"/>
  <c r="K383" i="65" s="1"/>
  <c r="AU386" i="69"/>
  <c r="AR386" i="69"/>
  <c r="K348" i="65" s="1"/>
  <c r="AU495" i="69"/>
  <c r="AR495" i="69"/>
  <c r="K646" i="65" s="1"/>
  <c r="AU522" i="69"/>
  <c r="AR522" i="69"/>
  <c r="M397" i="65" s="1"/>
  <c r="AU583" i="69"/>
  <c r="AR583" i="69"/>
  <c r="K549" i="65" s="1"/>
  <c r="AU667" i="69"/>
  <c r="AR667" i="69"/>
  <c r="K595" i="65" s="1"/>
  <c r="AU16" i="69"/>
  <c r="AR16" i="69"/>
  <c r="M14" i="65" s="1"/>
  <c r="AU41" i="69"/>
  <c r="AR41" i="69"/>
  <c r="M40" i="65" s="1"/>
  <c r="AU144" i="69"/>
  <c r="AR144" i="69"/>
  <c r="M196" i="65" s="1"/>
  <c r="AU175" i="69"/>
  <c r="AR175" i="69"/>
  <c r="K430" i="65" s="1"/>
  <c r="AU387" i="69"/>
  <c r="AR387" i="69"/>
  <c r="K350" i="65" s="1"/>
  <c r="AU556" i="69"/>
  <c r="AR556" i="69"/>
  <c r="K339" i="65" s="1"/>
  <c r="AU657" i="69"/>
  <c r="AR657" i="69"/>
  <c r="K606" i="65" s="1"/>
  <c r="AU13" i="69"/>
  <c r="AR13" i="69"/>
  <c r="M27" i="65" s="1"/>
  <c r="AU22" i="69"/>
  <c r="AR22" i="69"/>
  <c r="M20" i="65" s="1"/>
  <c r="AU30" i="69"/>
  <c r="AR30" i="69"/>
  <c r="M30" i="65" s="1"/>
  <c r="AU38" i="69"/>
  <c r="AR38" i="69"/>
  <c r="M37" i="65" s="1"/>
  <c r="AU46" i="69"/>
  <c r="AR46" i="69"/>
  <c r="M45" i="65" s="1"/>
  <c r="AU128" i="69"/>
  <c r="AR128" i="69"/>
  <c r="M462" i="65" s="1"/>
  <c r="AU133" i="69"/>
  <c r="AR133" i="69"/>
  <c r="M504" i="65" s="1"/>
  <c r="AU141" i="69"/>
  <c r="AR141" i="69"/>
  <c r="M193" i="65" s="1"/>
  <c r="AU149" i="69"/>
  <c r="AR149" i="69"/>
  <c r="M203" i="65" s="1"/>
  <c r="AU157" i="69"/>
  <c r="AR157" i="69"/>
  <c r="M211" i="65" s="1"/>
  <c r="AU165" i="69"/>
  <c r="AR165" i="69"/>
  <c r="K71" i="65" s="1"/>
  <c r="AU173" i="69"/>
  <c r="AR173" i="69"/>
  <c r="K244" i="65" s="1"/>
  <c r="AU179" i="69"/>
  <c r="AR179" i="69"/>
  <c r="K124" i="65" s="1"/>
  <c r="AU187" i="69"/>
  <c r="AR187" i="69"/>
  <c r="K137" i="65" s="1"/>
  <c r="AU195" i="69"/>
  <c r="AR195" i="69"/>
  <c r="K149" i="65" s="1"/>
  <c r="AU305" i="69"/>
  <c r="AR305" i="69"/>
  <c r="AU332" i="69"/>
  <c r="AR332" i="69"/>
  <c r="K480" i="65" s="1"/>
  <c r="AU369" i="69"/>
  <c r="AR369" i="69"/>
  <c r="K322" i="65" s="1"/>
  <c r="AU376" i="69"/>
  <c r="AR376" i="69"/>
  <c r="M281" i="65" s="1"/>
  <c r="AU384" i="69"/>
  <c r="AR384" i="69"/>
  <c r="M289" i="65" s="1"/>
  <c r="AU395" i="69"/>
  <c r="AR395" i="69"/>
  <c r="AU409" i="69"/>
  <c r="AR409" i="69"/>
  <c r="K406" i="65" s="1"/>
  <c r="AU456" i="69"/>
  <c r="AR456" i="69"/>
  <c r="M629" i="65" s="1"/>
  <c r="AU500" i="69"/>
  <c r="AR500" i="69"/>
  <c r="K547" i="65" s="1"/>
  <c r="AU524" i="69"/>
  <c r="AR524" i="69"/>
  <c r="M400" i="65" s="1"/>
  <c r="AU533" i="69"/>
  <c r="AR533" i="69"/>
  <c r="K580" i="65" s="1"/>
  <c r="AU545" i="69"/>
  <c r="AR545" i="69"/>
  <c r="K334" i="65" s="1"/>
  <c r="AU557" i="69"/>
  <c r="AR557" i="69"/>
  <c r="K585" i="65" s="1"/>
  <c r="AU563" i="69"/>
  <c r="AR563" i="69"/>
  <c r="K319" i="65" s="1"/>
  <c r="AU568" i="69"/>
  <c r="AR568" i="69"/>
  <c r="K364" i="65" s="1"/>
  <c r="AU576" i="69"/>
  <c r="AR576" i="69"/>
  <c r="K382" i="65" s="1"/>
  <c r="AU585" i="69"/>
  <c r="AR585" i="69"/>
  <c r="K379" i="65" s="1"/>
  <c r="AU665" i="69"/>
  <c r="AR665" i="69"/>
  <c r="AU480" i="69"/>
  <c r="AR480" i="69"/>
  <c r="K523" i="65" s="1"/>
  <c r="AU542" i="69"/>
  <c r="AR542" i="69"/>
  <c r="K181" i="65" s="1"/>
  <c r="AU662" i="69"/>
  <c r="AR662" i="69"/>
  <c r="K666" i="65" s="1"/>
  <c r="AU45" i="69"/>
  <c r="AR45" i="69"/>
  <c r="M44" i="65" s="1"/>
  <c r="AU148" i="69"/>
  <c r="AR148" i="69"/>
  <c r="M202" i="65" s="1"/>
  <c r="AU178" i="69"/>
  <c r="AR178" i="69"/>
  <c r="K123" i="65" s="1"/>
  <c r="AU457" i="69"/>
  <c r="AR457" i="69"/>
  <c r="K635" i="65" s="1"/>
  <c r="AU509" i="69"/>
  <c r="AR509" i="69"/>
  <c r="K561" i="65" s="1"/>
  <c r="AU535" i="69"/>
  <c r="AR535" i="69"/>
  <c r="K657" i="65" s="1"/>
  <c r="AU559" i="69"/>
  <c r="AR559" i="69"/>
  <c r="K340" i="65" s="1"/>
  <c r="AU574" i="69"/>
  <c r="AR574" i="69"/>
  <c r="K342" i="65" s="1"/>
  <c r="AU659" i="69"/>
  <c r="AR659" i="69"/>
  <c r="AU415" i="69"/>
  <c r="AR415" i="69"/>
  <c r="K432" i="65" s="1"/>
  <c r="AU502" i="69"/>
  <c r="AR502" i="69"/>
  <c r="K550" i="65" s="1"/>
  <c r="AU536" i="69"/>
  <c r="AR536" i="69"/>
  <c r="K658" i="65" s="1"/>
  <c r="AU660" i="69"/>
  <c r="AR660" i="69"/>
  <c r="K684" i="65" s="1"/>
  <c r="AU330" i="69"/>
  <c r="AR330" i="69"/>
  <c r="K622" i="65" s="1"/>
  <c r="AU418" i="69"/>
  <c r="AR418" i="69"/>
  <c r="K410" i="65" s="1"/>
  <c r="AU492" i="69"/>
  <c r="AR492" i="69"/>
  <c r="K232" i="65" s="1"/>
  <c r="AU28" i="69"/>
  <c r="AR28" i="69"/>
  <c r="M18" i="65" s="1"/>
  <c r="AU44" i="69"/>
  <c r="AR44" i="69"/>
  <c r="M43" i="65" s="1"/>
  <c r="AU131" i="69"/>
  <c r="AR131" i="69"/>
  <c r="M456" i="65" s="1"/>
  <c r="AU147" i="69"/>
  <c r="AR147" i="69"/>
  <c r="M201" i="65" s="1"/>
  <c r="AU163" i="69"/>
  <c r="AR163" i="69"/>
  <c r="K243" i="65" s="1"/>
  <c r="AU177" i="69"/>
  <c r="AR177" i="69"/>
  <c r="K489" i="65" s="1"/>
  <c r="AU193" i="69"/>
  <c r="AR193" i="69"/>
  <c r="K671" i="65" s="1"/>
  <c r="AU331" i="69"/>
  <c r="AR331" i="69"/>
  <c r="K565" i="65" s="1"/>
  <c r="AU383" i="69"/>
  <c r="AR383" i="69"/>
  <c r="M288" i="65" s="1"/>
  <c r="AU518" i="69"/>
  <c r="AR518" i="69"/>
  <c r="K652" i="65" s="1"/>
  <c r="AU562" i="69"/>
  <c r="AR562" i="69"/>
  <c r="K661" i="65" s="1"/>
  <c r="AU586" i="69"/>
  <c r="AR586" i="69"/>
  <c r="K380" i="65" s="1"/>
  <c r="AU136" i="69"/>
  <c r="AR136" i="69"/>
  <c r="M507" i="65" s="1"/>
  <c r="AU198" i="69"/>
  <c r="AR198" i="69"/>
  <c r="K151" i="65" s="1"/>
  <c r="AU329" i="69"/>
  <c r="AR329" i="69"/>
  <c r="K7" i="65" s="1"/>
  <c r="AU420" i="69"/>
  <c r="AR420" i="69"/>
  <c r="K412" i="65" s="1"/>
  <c r="AU581" i="69"/>
  <c r="AR581" i="69"/>
  <c r="K349" i="65" s="1"/>
  <c r="AU31" i="69"/>
  <c r="AR31" i="69"/>
  <c r="M31" i="65" s="1"/>
  <c r="AU47" i="69"/>
  <c r="AR47" i="69"/>
  <c r="M46" i="65" s="1"/>
  <c r="AU134" i="69"/>
  <c r="AR134" i="69"/>
  <c r="M505" i="65" s="1"/>
  <c r="AU150" i="69"/>
  <c r="AR150" i="69"/>
  <c r="M204" i="65" s="1"/>
  <c r="AU166" i="69"/>
  <c r="AR166" i="69"/>
  <c r="K513" i="65" s="1"/>
  <c r="AU188" i="69"/>
  <c r="AR188" i="69"/>
  <c r="K139" i="65" s="1"/>
  <c r="AU307" i="69"/>
  <c r="AR307" i="69"/>
  <c r="M166" i="65" s="1"/>
  <c r="AU333" i="69"/>
  <c r="AR333" i="69"/>
  <c r="K481" i="65" s="1"/>
  <c r="AU370" i="69"/>
  <c r="AR370" i="69"/>
  <c r="K324" i="65" s="1"/>
  <c r="AU377" i="69"/>
  <c r="AR377" i="69"/>
  <c r="K336" i="65" s="1"/>
  <c r="AU385" i="69"/>
  <c r="AR385" i="69"/>
  <c r="K346" i="65" s="1"/>
  <c r="AU396" i="69"/>
  <c r="AR396" i="69"/>
  <c r="M300" i="65" s="1"/>
  <c r="AU414" i="69"/>
  <c r="AR414" i="69"/>
  <c r="K408" i="65" s="1"/>
  <c r="AU422" i="69"/>
  <c r="AR422" i="69"/>
  <c r="M567" i="65" s="1"/>
  <c r="M268" i="65"/>
  <c r="AU397" i="69"/>
  <c r="AR397" i="69"/>
  <c r="K377" i="65" s="1"/>
  <c r="AU484" i="69"/>
  <c r="AR484" i="69"/>
  <c r="K636" i="65" s="1"/>
  <c r="AU528" i="69"/>
  <c r="AR528" i="69"/>
  <c r="K234" i="65" s="1"/>
  <c r="AU588" i="69"/>
  <c r="AR588" i="69"/>
  <c r="AU49" i="69"/>
  <c r="AR49" i="69"/>
  <c r="M49" i="65" s="1"/>
  <c r="AU152" i="69"/>
  <c r="AR152" i="69"/>
  <c r="M206" i="65" s="1"/>
  <c r="AU182" i="69"/>
  <c r="AR182" i="69"/>
  <c r="K127" i="65" s="1"/>
  <c r="AU315" i="69"/>
  <c r="AR315" i="69"/>
  <c r="M174" i="65" s="1"/>
  <c r="AU324" i="69"/>
  <c r="AR324" i="69"/>
  <c r="M85" i="65" s="1"/>
  <c r="AU398" i="69"/>
  <c r="AR398" i="69"/>
  <c r="M302" i="65" s="1"/>
  <c r="AU567" i="69"/>
  <c r="AR567" i="69"/>
  <c r="K374" i="65" s="1"/>
  <c r="AU664" i="69"/>
  <c r="AR664" i="69"/>
  <c r="K594" i="65" s="1"/>
  <c r="AU10" i="69"/>
  <c r="AR10" i="69"/>
  <c r="M417" i="65" s="1"/>
  <c r="AU19" i="69"/>
  <c r="AR19" i="69"/>
  <c r="M15" i="65" s="1"/>
  <c r="AU27" i="69"/>
  <c r="AR27" i="69"/>
  <c r="M17" i="65" s="1"/>
  <c r="AU35" i="69"/>
  <c r="AR35" i="69"/>
  <c r="M419" i="65" s="1"/>
  <c r="AU43" i="69"/>
  <c r="AR43" i="69"/>
  <c r="M42" i="65" s="1"/>
  <c r="AU77" i="69"/>
  <c r="AR77" i="69"/>
  <c r="K242" i="65" s="1"/>
  <c r="AU130" i="69"/>
  <c r="AR130" i="69"/>
  <c r="M455" i="65" s="1"/>
  <c r="AU138" i="69"/>
  <c r="AR138" i="69"/>
  <c r="M509" i="65" s="1"/>
  <c r="AU146" i="69"/>
  <c r="AR146" i="69"/>
  <c r="M200" i="65" s="1"/>
  <c r="AU154" i="69"/>
  <c r="AR154" i="69"/>
  <c r="M208" i="65" s="1"/>
  <c r="AU162" i="69"/>
  <c r="AR162" i="69"/>
  <c r="K69" i="65" s="1"/>
  <c r="AU170" i="69"/>
  <c r="AR170" i="69"/>
  <c r="K72" i="65" s="1"/>
  <c r="AU176" i="69"/>
  <c r="AR176" i="69"/>
  <c r="K488" i="65" s="1"/>
  <c r="AU184" i="69"/>
  <c r="AR184" i="69"/>
  <c r="K131" i="65" s="1"/>
  <c r="AU192" i="69"/>
  <c r="AR192" i="69"/>
  <c r="K490" i="65" s="1"/>
  <c r="AU200" i="69"/>
  <c r="AR200" i="69"/>
  <c r="K225" i="65" s="1"/>
  <c r="AU367" i="69"/>
  <c r="AR367" i="69"/>
  <c r="M271" i="65" s="1"/>
  <c r="AU374" i="69"/>
  <c r="AR374" i="69"/>
  <c r="M278" i="65" s="1"/>
  <c r="AU381" i="69"/>
  <c r="AR381" i="69"/>
  <c r="M286" i="65" s="1"/>
  <c r="AU392" i="69"/>
  <c r="AR392" i="69"/>
  <c r="K359" i="65" s="1"/>
  <c r="AU411" i="69"/>
  <c r="AR411" i="69"/>
  <c r="K537" i="65" s="1"/>
  <c r="AU419" i="69"/>
  <c r="AR419" i="69"/>
  <c r="K411" i="65" s="1"/>
  <c r="AU21" i="69"/>
  <c r="AR21" i="69"/>
  <c r="M19" i="65" s="1"/>
  <c r="AU156" i="69"/>
  <c r="AR156" i="69"/>
  <c r="M210" i="65" s="1"/>
  <c r="AU186" i="69"/>
  <c r="AR186" i="69"/>
  <c r="K135" i="65" s="1"/>
  <c r="AU319" i="69"/>
  <c r="AR319" i="69"/>
  <c r="M80" i="65" s="1"/>
  <c r="AU497" i="69"/>
  <c r="AR497" i="69"/>
  <c r="K546" i="65" s="1"/>
  <c r="AU519" i="69"/>
  <c r="AR519" i="69"/>
  <c r="M385" i="65" s="1"/>
  <c r="AU546" i="69"/>
  <c r="AR546" i="69"/>
  <c r="K323" i="65" s="1"/>
  <c r="AU578" i="69"/>
  <c r="AR578" i="69"/>
  <c r="K384" i="65" s="1"/>
  <c r="AU516" i="69"/>
  <c r="AR516" i="69"/>
  <c r="K650" i="65" s="1"/>
  <c r="AU551" i="69"/>
  <c r="AR551" i="69"/>
  <c r="K530" i="65" s="1"/>
  <c r="AU575" i="69"/>
  <c r="AR575" i="69"/>
  <c r="K526" i="65" s="1"/>
  <c r="AU327" i="69"/>
  <c r="AR327" i="69"/>
  <c r="K621" i="65" s="1"/>
  <c r="AU334" i="69"/>
  <c r="AR334" i="69"/>
  <c r="K623" i="65" s="1"/>
  <c r="AU382" i="69"/>
  <c r="AR382" i="69"/>
  <c r="M287" i="65" s="1"/>
  <c r="AU454" i="69"/>
  <c r="AR454" i="69"/>
  <c r="M485" i="65" s="1"/>
  <c r="AU499" i="69"/>
  <c r="AR499" i="69"/>
  <c r="K500" i="65" s="1"/>
  <c r="AU32" i="69"/>
  <c r="AR32" i="69"/>
  <c r="M32" i="65" s="1"/>
  <c r="AU48" i="69"/>
  <c r="AR48" i="69"/>
  <c r="M48" i="65" s="1"/>
  <c r="AU135" i="69"/>
  <c r="AR135" i="69"/>
  <c r="M506" i="65" s="1"/>
  <c r="AU151" i="69"/>
  <c r="AR151" i="69"/>
  <c r="M205" i="65" s="1"/>
  <c r="AU167" i="69"/>
  <c r="AR167" i="69"/>
  <c r="K422" i="65" s="1"/>
  <c r="AU181" i="69"/>
  <c r="AR181" i="69"/>
  <c r="K126" i="65" s="1"/>
  <c r="AU197" i="69"/>
  <c r="AU314" i="69"/>
  <c r="AR314" i="69"/>
  <c r="M173" i="65" s="1"/>
  <c r="AU321" i="69"/>
  <c r="AR321" i="69"/>
  <c r="M82" i="65" s="1"/>
  <c r="AU394" i="69"/>
  <c r="AR394" i="69"/>
  <c r="K367" i="65" s="1"/>
  <c r="AU525" i="69"/>
  <c r="AR525" i="69"/>
  <c r="K579" i="65" s="1"/>
  <c r="AU549" i="69"/>
  <c r="AR549" i="69"/>
  <c r="K321" i="65" s="1"/>
  <c r="AU547" i="69"/>
  <c r="AR547" i="69"/>
  <c r="K178" i="65" s="1"/>
  <c r="AU560" i="69"/>
  <c r="AR560" i="69"/>
  <c r="K368" i="65" s="1"/>
  <c r="AU571" i="69"/>
  <c r="AR571" i="69"/>
  <c r="K252" i="65" s="1"/>
  <c r="AU663" i="69"/>
  <c r="AR663" i="69"/>
  <c r="K514" i="65" s="1"/>
  <c r="AU584" i="69"/>
  <c r="AR584" i="69"/>
  <c r="K378" i="65" s="1"/>
  <c r="AU371" i="69"/>
  <c r="AR371" i="69"/>
  <c r="K325" i="65" s="1"/>
  <c r="AU412" i="69"/>
  <c r="AR412" i="69"/>
  <c r="K538" i="65" s="1"/>
  <c r="AU543" i="69"/>
  <c r="AR543" i="69"/>
  <c r="K184" i="65" s="1"/>
  <c r="AU555" i="69"/>
  <c r="AR555" i="69"/>
  <c r="K531" i="65" s="1"/>
  <c r="AU566" i="69"/>
  <c r="AR566" i="69"/>
  <c r="K372" i="65" s="1"/>
  <c r="AU25" i="69"/>
  <c r="AR25" i="69"/>
  <c r="M25" i="65" s="1"/>
  <c r="AU160" i="69"/>
  <c r="AR160" i="69"/>
  <c r="M214" i="65" s="1"/>
  <c r="AU190" i="69"/>
  <c r="AR190" i="69"/>
  <c r="K143" i="65" s="1"/>
  <c r="AU372" i="69"/>
  <c r="AR372" i="69"/>
  <c r="K326" i="65" s="1"/>
  <c r="AU413" i="69"/>
  <c r="AR413" i="69"/>
  <c r="K407" i="65" s="1"/>
  <c r="AU544" i="69"/>
  <c r="AR544" i="69"/>
  <c r="K332" i="65" s="1"/>
  <c r="AU573" i="69"/>
  <c r="AR573" i="69"/>
  <c r="K95" i="65" s="1"/>
  <c r="AU683" i="69"/>
  <c r="AR683" i="69"/>
  <c r="K428" i="65" s="1"/>
  <c r="AU17" i="69"/>
  <c r="AR17" i="69"/>
  <c r="M12" i="65" s="1"/>
  <c r="AU18" i="69"/>
  <c r="AR18" i="69"/>
  <c r="M8" i="65" s="1"/>
  <c r="AU26" i="69"/>
  <c r="AR26" i="69"/>
  <c r="M26" i="65" s="1"/>
  <c r="AU34" i="69"/>
  <c r="AR34" i="69"/>
  <c r="M34" i="65" s="1"/>
  <c r="AU42" i="69"/>
  <c r="AR42" i="69"/>
  <c r="M41" i="65" s="1"/>
  <c r="AU76" i="69"/>
  <c r="AR76" i="69"/>
  <c r="K241" i="65" s="1"/>
  <c r="AU129" i="69"/>
  <c r="AR129" i="69"/>
  <c r="M463" i="65" s="1"/>
  <c r="AU137" i="69"/>
  <c r="AR137" i="69"/>
  <c r="M508" i="65" s="1"/>
  <c r="AU145" i="69"/>
  <c r="AR145" i="69"/>
  <c r="M197" i="65" s="1"/>
  <c r="AU153" i="69"/>
  <c r="AR153" i="69"/>
  <c r="M207" i="65" s="1"/>
  <c r="AU161" i="69"/>
  <c r="AR161" i="69"/>
  <c r="K512" i="65" s="1"/>
  <c r="AU169" i="69"/>
  <c r="AR169" i="69"/>
  <c r="K223" i="65" s="1"/>
  <c r="AU183" i="69"/>
  <c r="AR183" i="69"/>
  <c r="K129" i="65" s="1"/>
  <c r="AU191" i="69"/>
  <c r="AR191" i="69"/>
  <c r="K145" i="65" s="1"/>
  <c r="AU199" i="69"/>
  <c r="AR199" i="69"/>
  <c r="K153" i="65" s="1"/>
  <c r="AU316" i="69"/>
  <c r="AR316" i="69"/>
  <c r="M175" i="65" s="1"/>
  <c r="AU325" i="69"/>
  <c r="AR325" i="69"/>
  <c r="AU336" i="69"/>
  <c r="AR336" i="69"/>
  <c r="K624" i="65" s="1"/>
  <c r="AU366" i="69"/>
  <c r="AR366" i="69"/>
  <c r="K317" i="65" s="1"/>
  <c r="AU373" i="69"/>
  <c r="AR373" i="69"/>
  <c r="M277" i="65" s="1"/>
  <c r="AU380" i="69"/>
  <c r="AR380" i="69"/>
  <c r="M285" i="65" s="1"/>
  <c r="AU388" i="69"/>
  <c r="AR388" i="69"/>
  <c r="M293" i="65" s="1"/>
  <c r="AU405" i="69"/>
  <c r="AR405" i="69"/>
  <c r="K632" i="65" s="1"/>
  <c r="AU421" i="69"/>
  <c r="AR421" i="69"/>
  <c r="AU478" i="69"/>
  <c r="AR478" i="69"/>
  <c r="K520" i="65" s="1"/>
  <c r="AU493" i="69"/>
  <c r="AR493" i="69"/>
  <c r="K637" i="65" s="1"/>
  <c r="AU503" i="69"/>
  <c r="AR503" i="69"/>
  <c r="K233" i="65" s="1"/>
  <c r="AU507" i="69"/>
  <c r="AR507" i="69"/>
  <c r="K557" i="65" s="1"/>
  <c r="AU520" i="69"/>
  <c r="AR520" i="69"/>
  <c r="M389" i="65" s="1"/>
  <c r="AU529" i="69"/>
  <c r="AR529" i="69"/>
  <c r="K654" i="65" s="1"/>
  <c r="AU541" i="69"/>
  <c r="AR541" i="69"/>
  <c r="K529" i="65" s="1"/>
  <c r="AU548" i="69"/>
  <c r="AR548" i="69"/>
  <c r="K187" i="65" s="1"/>
  <c r="AU561" i="69"/>
  <c r="AR561" i="69"/>
  <c r="K369" i="65" s="1"/>
  <c r="AU572" i="69"/>
  <c r="AR572" i="69"/>
  <c r="K93" i="65" s="1"/>
  <c r="AU643" i="69"/>
  <c r="AR643" i="69"/>
  <c r="K582" i="65" s="1"/>
  <c r="AU661" i="69"/>
  <c r="AR661" i="69"/>
  <c r="K593" i="65" s="1"/>
  <c r="AU668" i="69"/>
  <c r="AR668" i="69"/>
  <c r="K596" i="65" s="1"/>
  <c r="AU565" i="69"/>
  <c r="AR565" i="69"/>
  <c r="K371" i="65" s="1"/>
  <c r="AT407" i="69"/>
  <c r="L675" i="65" s="1"/>
  <c r="AR202" i="69"/>
  <c r="K226" i="65" s="1"/>
  <c r="AU29" i="69"/>
  <c r="AR29" i="69"/>
  <c r="M29" i="65" s="1"/>
  <c r="AU132" i="69"/>
  <c r="AR132" i="69"/>
  <c r="M457" i="65" s="1"/>
  <c r="AU164" i="69"/>
  <c r="AR164" i="69"/>
  <c r="K70" i="65" s="1"/>
  <c r="AU194" i="69"/>
  <c r="AR194" i="69"/>
  <c r="K147" i="65" s="1"/>
  <c r="AU501" i="69"/>
  <c r="AR501" i="69"/>
  <c r="K548" i="65" s="1"/>
  <c r="AU527" i="69"/>
  <c r="AR527" i="69"/>
  <c r="K604" i="65" s="1"/>
  <c r="AU550" i="69"/>
  <c r="AR550" i="69"/>
  <c r="K335" i="65" s="1"/>
  <c r="AU587" i="69"/>
  <c r="AR587" i="69"/>
  <c r="K416" i="65" s="1"/>
  <c r="AU474" i="69"/>
  <c r="AR474" i="69"/>
  <c r="K476" i="65" s="1"/>
  <c r="AU494" i="69"/>
  <c r="AR494" i="69"/>
  <c r="K645" i="65" s="1"/>
  <c r="AU579" i="69"/>
  <c r="AR579" i="69"/>
  <c r="K662" i="65" s="1"/>
  <c r="AU393" i="69"/>
  <c r="AR393" i="69"/>
  <c r="AU11" i="69"/>
  <c r="AR11" i="69"/>
  <c r="M418" i="65" s="1"/>
  <c r="AU20" i="69"/>
  <c r="AR20" i="69"/>
  <c r="M9" i="65" s="1"/>
  <c r="AU36" i="69"/>
  <c r="AR36" i="69"/>
  <c r="M35" i="65" s="1"/>
  <c r="AU127" i="69"/>
  <c r="AR127" i="69"/>
  <c r="M533" i="65" s="1"/>
  <c r="AU139" i="69"/>
  <c r="AR139" i="69"/>
  <c r="M608" i="65" s="1"/>
  <c r="AU155" i="69"/>
  <c r="AR155" i="69"/>
  <c r="M209" i="65" s="1"/>
  <c r="AU171" i="69"/>
  <c r="AR171" i="69"/>
  <c r="K224" i="65" s="1"/>
  <c r="AU185" i="69"/>
  <c r="AR185" i="69"/>
  <c r="K133" i="65" s="1"/>
  <c r="AU201" i="69"/>
  <c r="AR201" i="69"/>
  <c r="AU317" i="69"/>
  <c r="AR317" i="69"/>
  <c r="M79" i="65" s="1"/>
  <c r="AU530" i="69"/>
  <c r="AR530" i="69"/>
  <c r="K655" i="65" s="1"/>
  <c r="AU553" i="69"/>
  <c r="AR553" i="69"/>
  <c r="K327" i="65" s="1"/>
  <c r="AU569" i="69"/>
  <c r="AR569" i="69"/>
  <c r="K375" i="65" s="1"/>
  <c r="AU666" i="69"/>
  <c r="AR666" i="69"/>
  <c r="K685" i="65" s="1"/>
  <c r="AT323" i="69"/>
  <c r="L84" i="65" s="1"/>
  <c r="AT163" i="69"/>
  <c r="AT383" i="69"/>
  <c r="L288" i="65" s="1"/>
  <c r="AT562" i="69"/>
  <c r="AT131" i="69"/>
  <c r="L456" i="65" s="1"/>
  <c r="AT147" i="69"/>
  <c r="L201" i="65" s="1"/>
  <c r="AT577" i="69"/>
  <c r="AT508" i="69"/>
  <c r="AT193" i="69"/>
  <c r="AT559" i="69"/>
  <c r="AT45" i="69"/>
  <c r="L44" i="65" s="1"/>
  <c r="AT659" i="69"/>
  <c r="AT415" i="69"/>
  <c r="L617" i="65" s="1"/>
  <c r="AT535" i="69"/>
  <c r="AT574" i="69"/>
  <c r="AT29" i="69"/>
  <c r="L29" i="65" s="1"/>
  <c r="AT132" i="69"/>
  <c r="L457" i="65" s="1"/>
  <c r="AT509" i="69"/>
  <c r="AT554" i="69"/>
  <c r="AT186" i="69"/>
  <c r="AT319" i="69"/>
  <c r="L80" i="65" s="1"/>
  <c r="AT12" i="69"/>
  <c r="L10" i="65" s="1"/>
  <c r="AT140" i="69"/>
  <c r="L609" i="65" s="1"/>
  <c r="AT549" i="69"/>
  <c r="AT155" i="69"/>
  <c r="L209" i="65" s="1"/>
  <c r="AT185" i="69"/>
  <c r="AT368" i="69"/>
  <c r="AT393" i="69"/>
  <c r="AT20" i="69"/>
  <c r="L9" i="65" s="1"/>
  <c r="AT139" i="69"/>
  <c r="L608" i="65" s="1"/>
  <c r="AT498" i="69"/>
  <c r="AT570" i="69"/>
  <c r="AT127" i="69"/>
  <c r="L533" i="65" s="1"/>
  <c r="AT525" i="69"/>
  <c r="AT394" i="69"/>
  <c r="AT406" i="69"/>
  <c r="AT492" i="69"/>
  <c r="AU9" i="69"/>
  <c r="AT569" i="69"/>
  <c r="AT37" i="69"/>
  <c r="L36" i="65" s="1"/>
  <c r="AT148" i="69"/>
  <c r="L202" i="65" s="1"/>
  <c r="AT172" i="69"/>
  <c r="AT418" i="69"/>
  <c r="AT551" i="69"/>
  <c r="AT501" i="69"/>
  <c r="AT531" i="69"/>
  <c r="AT550" i="69"/>
  <c r="AT28" i="69"/>
  <c r="L18" i="65" s="1"/>
  <c r="AT382" i="69"/>
  <c r="L287" i="65" s="1"/>
  <c r="AT578" i="69"/>
  <c r="AT32" i="69"/>
  <c r="L32" i="65" s="1"/>
  <c r="AT48" i="69"/>
  <c r="L48" i="65" s="1"/>
  <c r="AT135" i="69"/>
  <c r="L506" i="65" s="1"/>
  <c r="AT151" i="69"/>
  <c r="L205" i="65" s="1"/>
  <c r="AT321" i="69"/>
  <c r="L82" i="65" s="1"/>
  <c r="AT178" i="69"/>
  <c r="AT331" i="69"/>
  <c r="AT375" i="69"/>
  <c r="L280" i="65" s="1"/>
  <c r="AT502" i="69"/>
  <c r="AT536" i="69"/>
  <c r="AT660" i="69"/>
  <c r="AT519" i="69"/>
  <c r="L385" i="65" s="1"/>
  <c r="AT546" i="69"/>
  <c r="AT534" i="69"/>
  <c r="AT15" i="69"/>
  <c r="L52" i="65" s="1"/>
  <c r="AT24" i="69"/>
  <c r="L22" i="65" s="1"/>
  <c r="AT40" i="69"/>
  <c r="L39" i="65" s="1"/>
  <c r="AT143" i="69"/>
  <c r="L195" i="65" s="1"/>
  <c r="AT159" i="69"/>
  <c r="L213" i="65" s="1"/>
  <c r="AT189" i="69"/>
  <c r="AT311" i="69"/>
  <c r="L170" i="65" s="1"/>
  <c r="AT177" i="69"/>
  <c r="AT330" i="69"/>
  <c r="AT558" i="69"/>
  <c r="AT21" i="69"/>
  <c r="L19" i="65" s="1"/>
  <c r="AT156" i="69"/>
  <c r="L210" i="65" s="1"/>
  <c r="AT202" i="69"/>
  <c r="AU202" i="69"/>
  <c r="C10" i="68"/>
  <c r="C42" i="68" s="1"/>
  <c r="C73" i="68" s="1"/>
  <c r="AT386" i="69"/>
  <c r="AT371" i="69"/>
  <c r="AT412" i="69"/>
  <c r="AT484" i="69"/>
  <c r="AT522" i="69"/>
  <c r="L397" i="65" s="1"/>
  <c r="AT543" i="69"/>
  <c r="AT555" i="69"/>
  <c r="AT566" i="69"/>
  <c r="AT583" i="69"/>
  <c r="AT663" i="69"/>
  <c r="AT33" i="69"/>
  <c r="L33" i="65" s="1"/>
  <c r="AT136" i="69"/>
  <c r="L507" i="65" s="1"/>
  <c r="AT168" i="69"/>
  <c r="AT198" i="69"/>
  <c r="AT322" i="69"/>
  <c r="L83" i="65" s="1"/>
  <c r="AT329" i="69"/>
  <c r="AT379" i="69"/>
  <c r="L284" i="65" s="1"/>
  <c r="AT420" i="69"/>
  <c r="AT556" i="69"/>
  <c r="AT573" i="69"/>
  <c r="AT683" i="69"/>
  <c r="AT521" i="69"/>
  <c r="L393" i="65" s="1"/>
  <c r="AT581" i="69"/>
  <c r="AT14" i="69"/>
  <c r="L23" i="65" s="1"/>
  <c r="AT23" i="69"/>
  <c r="L21" i="65" s="1"/>
  <c r="AT31" i="69"/>
  <c r="L31" i="65" s="1"/>
  <c r="AT39" i="69"/>
  <c r="L38" i="65" s="1"/>
  <c r="AT47" i="69"/>
  <c r="L46" i="65" s="1"/>
  <c r="AT134" i="69"/>
  <c r="L505" i="65" s="1"/>
  <c r="AT142" i="69"/>
  <c r="L194" i="65" s="1"/>
  <c r="AT150" i="69"/>
  <c r="L204" i="65" s="1"/>
  <c r="AT158" i="69"/>
  <c r="L212" i="65" s="1"/>
  <c r="AT166" i="69"/>
  <c r="AT180" i="69"/>
  <c r="AT188" i="69"/>
  <c r="AT196" i="69"/>
  <c r="AT307" i="69"/>
  <c r="L166" i="65" s="1"/>
  <c r="AT313" i="69"/>
  <c r="L172" i="65" s="1"/>
  <c r="AT320" i="69"/>
  <c r="L81" i="65" s="1"/>
  <c r="AT333" i="69"/>
  <c r="AT370" i="69"/>
  <c r="AT377" i="69"/>
  <c r="AT385" i="69"/>
  <c r="AT396" i="69"/>
  <c r="L300" i="65" s="1"/>
  <c r="AT411" i="69"/>
  <c r="AT419" i="69"/>
  <c r="AT378" i="69"/>
  <c r="L283" i="65" s="1"/>
  <c r="AT495" i="69"/>
  <c r="AT528" i="69"/>
  <c r="AT547" i="69"/>
  <c r="AT560" i="69"/>
  <c r="AT571" i="69"/>
  <c r="AT588" i="69"/>
  <c r="AT667" i="69"/>
  <c r="AT16" i="69"/>
  <c r="L14" i="65" s="1"/>
  <c r="AT41" i="69"/>
  <c r="L40" i="65" s="1"/>
  <c r="AT144" i="69"/>
  <c r="L196" i="65" s="1"/>
  <c r="AT175" i="69"/>
  <c r="AT387" i="69"/>
  <c r="AT544" i="69"/>
  <c r="AT584" i="69"/>
  <c r="AT13" i="69"/>
  <c r="L27" i="65" s="1"/>
  <c r="AT22" i="69"/>
  <c r="L20" i="65" s="1"/>
  <c r="AT30" i="69"/>
  <c r="L30" i="65" s="1"/>
  <c r="AT38" i="69"/>
  <c r="L37" i="65" s="1"/>
  <c r="AT46" i="69"/>
  <c r="L45" i="65" s="1"/>
  <c r="AT128" i="69"/>
  <c r="L462" i="65" s="1"/>
  <c r="AT133" i="69"/>
  <c r="L504" i="65" s="1"/>
  <c r="AT141" i="69"/>
  <c r="L193" i="65" s="1"/>
  <c r="AT149" i="69"/>
  <c r="L203" i="65" s="1"/>
  <c r="AT157" i="69"/>
  <c r="L211" i="65" s="1"/>
  <c r="AT165" i="69"/>
  <c r="AT173" i="69"/>
  <c r="AT179" i="69"/>
  <c r="AT187" i="69"/>
  <c r="AT195" i="69"/>
  <c r="AT305" i="69"/>
  <c r="AT332" i="69"/>
  <c r="AT369" i="69"/>
  <c r="AT376" i="69"/>
  <c r="L281" i="65" s="1"/>
  <c r="AT384" i="69"/>
  <c r="L289" i="65" s="1"/>
  <c r="AT395" i="69"/>
  <c r="AT409" i="69"/>
  <c r="AT456" i="69"/>
  <c r="L629" i="65" s="1"/>
  <c r="AT500" i="69"/>
  <c r="AT524" i="69"/>
  <c r="L400" i="65" s="1"/>
  <c r="AT533" i="69"/>
  <c r="AT545" i="69"/>
  <c r="AT557" i="69"/>
  <c r="AT563" i="69"/>
  <c r="AT568" i="69"/>
  <c r="AT576" i="69"/>
  <c r="AT585" i="69"/>
  <c r="AT665" i="69"/>
  <c r="AT480" i="69"/>
  <c r="AT542" i="69"/>
  <c r="AT662" i="69"/>
  <c r="AT49" i="69"/>
  <c r="L49" i="65" s="1"/>
  <c r="AT152" i="69"/>
  <c r="L206" i="65" s="1"/>
  <c r="AT182" i="69"/>
  <c r="AT315" i="69"/>
  <c r="L174" i="65" s="1"/>
  <c r="AT324" i="69"/>
  <c r="L85" i="65" s="1"/>
  <c r="AT398" i="69"/>
  <c r="L302" i="65" s="1"/>
  <c r="AT523" i="69"/>
  <c r="L399" i="65" s="1"/>
  <c r="AT657" i="69"/>
  <c r="AT10" i="69"/>
  <c r="L417" i="65" s="1"/>
  <c r="AT19" i="69"/>
  <c r="L15" i="65" s="1"/>
  <c r="AT27" i="69"/>
  <c r="L17" i="65" s="1"/>
  <c r="AT35" i="69"/>
  <c r="L419" i="65" s="1"/>
  <c r="AT43" i="69"/>
  <c r="L42" i="65" s="1"/>
  <c r="AT77" i="69"/>
  <c r="AT130" i="69"/>
  <c r="L455" i="65" s="1"/>
  <c r="AT138" i="69"/>
  <c r="L509" i="65" s="1"/>
  <c r="AT146" i="69"/>
  <c r="L200" i="65" s="1"/>
  <c r="AT154" i="69"/>
  <c r="L208" i="65" s="1"/>
  <c r="AT162" i="69"/>
  <c r="AT170" i="69"/>
  <c r="AT176" i="69"/>
  <c r="AT184" i="69"/>
  <c r="AT192" i="69"/>
  <c r="AT200" i="69"/>
  <c r="AT367" i="69"/>
  <c r="L271" i="65" s="1"/>
  <c r="AT374" i="69"/>
  <c r="L278" i="65" s="1"/>
  <c r="AT381" i="69"/>
  <c r="L286" i="65" s="1"/>
  <c r="AT392" i="69"/>
  <c r="AT414" i="69"/>
  <c r="AT422" i="69"/>
  <c r="L268" i="65"/>
  <c r="AT397" i="69"/>
  <c r="AT25" i="69"/>
  <c r="L25" i="65" s="1"/>
  <c r="AT160" i="69"/>
  <c r="L214" i="65" s="1"/>
  <c r="AT190" i="69"/>
  <c r="AT372" i="69"/>
  <c r="AT413" i="69"/>
  <c r="AT567" i="69"/>
  <c r="AT664" i="69"/>
  <c r="AT17" i="69"/>
  <c r="L12" i="65" s="1"/>
  <c r="AT18" i="69"/>
  <c r="L8" i="65" s="1"/>
  <c r="AT26" i="69"/>
  <c r="L26" i="65" s="1"/>
  <c r="AT34" i="69"/>
  <c r="L34" i="65" s="1"/>
  <c r="AT42" i="69"/>
  <c r="L41" i="65" s="1"/>
  <c r="AT76" i="69"/>
  <c r="AT129" i="69"/>
  <c r="L463" i="65" s="1"/>
  <c r="AT137" i="69"/>
  <c r="L508" i="65" s="1"/>
  <c r="AT145" i="69"/>
  <c r="L197" i="65" s="1"/>
  <c r="AT153" i="69"/>
  <c r="L207" i="65" s="1"/>
  <c r="AT161" i="69"/>
  <c r="AT169" i="69"/>
  <c r="AT183" i="69"/>
  <c r="AT191" i="69"/>
  <c r="AT199" i="69"/>
  <c r="AT316" i="69"/>
  <c r="L175" i="65" s="1"/>
  <c r="AT325" i="69"/>
  <c r="AT336" i="69"/>
  <c r="AT366" i="69"/>
  <c r="AT373" i="69"/>
  <c r="L277" i="65" s="1"/>
  <c r="AT380" i="69"/>
  <c r="L285" i="65" s="1"/>
  <c r="AT388" i="69"/>
  <c r="L293" i="65" s="1"/>
  <c r="AT405" i="69"/>
  <c r="AT421" i="69"/>
  <c r="AT478" i="69"/>
  <c r="AT493" i="69"/>
  <c r="AT503" i="69"/>
  <c r="AT507" i="69"/>
  <c r="AT520" i="69"/>
  <c r="L389" i="65" s="1"/>
  <c r="AT529" i="69"/>
  <c r="AT541" i="69"/>
  <c r="AT548" i="69"/>
  <c r="AT561" i="69"/>
  <c r="AT572" i="69"/>
  <c r="AT643" i="69"/>
  <c r="AT661" i="69"/>
  <c r="AT668" i="69"/>
  <c r="AT565" i="69"/>
  <c r="AT9" i="69"/>
  <c r="L641" i="65" s="1"/>
  <c r="M571" i="65" l="1"/>
  <c r="K351" i="65"/>
  <c r="K653" i="65"/>
  <c r="K578" i="65"/>
  <c r="K575" i="65"/>
  <c r="K67" i="65"/>
  <c r="K247" i="65"/>
  <c r="K418" i="65"/>
  <c r="K46" i="65"/>
  <c r="K38" i="65"/>
  <c r="K616" i="65"/>
  <c r="K329" i="65"/>
  <c r="K92" i="65"/>
  <c r="K121" i="65"/>
  <c r="K571" i="65"/>
  <c r="K12" i="65"/>
  <c r="K21" i="65"/>
  <c r="K41" i="65"/>
  <c r="K114" i="65"/>
  <c r="K611" i="65"/>
  <c r="K109" i="65"/>
  <c r="K331" i="65"/>
  <c r="K111" i="65"/>
  <c r="K94" i="65"/>
  <c r="K413" i="65"/>
  <c r="K101" i="65"/>
  <c r="K33" i="65"/>
  <c r="K43" i="65"/>
  <c r="K116" i="65"/>
  <c r="K118" i="65"/>
  <c r="K574" i="65"/>
  <c r="K614" i="65"/>
  <c r="K102" i="65"/>
  <c r="K381" i="65"/>
  <c r="K31" i="65"/>
  <c r="K17" i="65"/>
  <c r="K641" i="65"/>
  <c r="K103" i="65"/>
  <c r="K402" i="65"/>
  <c r="K91" i="65"/>
  <c r="K341" i="65"/>
  <c r="K617" i="65"/>
  <c r="K34" i="65"/>
  <c r="K44" i="65"/>
  <c r="K419" i="65"/>
  <c r="K23" i="65"/>
  <c r="K486" i="65"/>
  <c r="K120" i="65"/>
  <c r="K97" i="65"/>
  <c r="K122" i="65"/>
  <c r="K603" i="65"/>
  <c r="K27" i="65"/>
  <c r="K9" i="65"/>
  <c r="K42" i="65"/>
  <c r="K8" i="65"/>
  <c r="K576" i="65"/>
  <c r="K110" i="65"/>
  <c r="K105" i="65"/>
  <c r="K615" i="65"/>
  <c r="K682" i="65"/>
  <c r="K333" i="65"/>
  <c r="K222" i="65"/>
  <c r="K18" i="65"/>
  <c r="K37" i="65"/>
  <c r="K15" i="65"/>
  <c r="K19" i="65"/>
  <c r="K433" i="65"/>
  <c r="K100" i="65"/>
  <c r="K409" i="65"/>
  <c r="K577" i="65"/>
  <c r="K613" i="65"/>
  <c r="K373" i="65"/>
  <c r="K32" i="65"/>
  <c r="K40" i="65"/>
  <c r="K45" i="65"/>
  <c r="K417" i="65"/>
  <c r="K343" i="65"/>
  <c r="K98" i="65"/>
  <c r="K344" i="65"/>
  <c r="K107" i="65"/>
  <c r="K66" i="65"/>
  <c r="K49" i="65"/>
  <c r="K52" i="65"/>
  <c r="K20" i="65"/>
  <c r="K14" i="65"/>
  <c r="K328" i="65"/>
  <c r="K106" i="65"/>
  <c r="K108" i="65"/>
  <c r="K90" i="65"/>
  <c r="K88" i="65"/>
  <c r="K318" i="65"/>
  <c r="K86" i="65"/>
  <c r="K22" i="65"/>
  <c r="K36" i="65"/>
  <c r="K29" i="65"/>
  <c r="K39" i="65"/>
  <c r="K99" i="65"/>
  <c r="K96" i="65"/>
  <c r="K68" i="65"/>
  <c r="K345" i="65"/>
  <c r="K337" i="65"/>
  <c r="K89" i="65"/>
  <c r="K570" i="65"/>
  <c r="K30" i="65"/>
  <c r="K10" i="65"/>
  <c r="K25" i="65"/>
  <c r="M611" i="65"/>
  <c r="E11" i="76"/>
  <c r="D6" i="87"/>
  <c r="L66" i="65"/>
  <c r="L611" i="65"/>
  <c r="L222" i="65"/>
  <c r="L68" i="65"/>
  <c r="L567" i="65"/>
  <c r="L88" i="65"/>
  <c r="L613" i="65"/>
  <c r="L409" i="65"/>
  <c r="M613" i="65"/>
  <c r="L247" i="65"/>
  <c r="L616" i="65"/>
  <c r="L603" i="65"/>
  <c r="M89" i="65"/>
  <c r="M373" i="65"/>
  <c r="M67" i="65"/>
  <c r="M616" i="65"/>
  <c r="M68" i="65"/>
  <c r="M617" i="65"/>
  <c r="L67" i="65"/>
  <c r="M603" i="65"/>
  <c r="M86" i="65"/>
  <c r="M409" i="65"/>
  <c r="L547" i="65"/>
  <c r="L582" i="65"/>
  <c r="L270" i="65"/>
  <c r="L317" i="65"/>
  <c r="L644" i="65"/>
  <c r="L379" i="65"/>
  <c r="L433" i="65"/>
  <c r="L332" i="65"/>
  <c r="L460" i="65"/>
  <c r="L252" i="65"/>
  <c r="L657" i="65"/>
  <c r="L428" i="65"/>
  <c r="L90" i="65"/>
  <c r="L424" i="65"/>
  <c r="L530" i="65"/>
  <c r="L674" i="65"/>
  <c r="L401" i="65"/>
  <c r="M341" i="65"/>
  <c r="M500" i="65"/>
  <c r="M683" i="65"/>
  <c r="M384" i="65"/>
  <c r="L231" i="65"/>
  <c r="L187" i="65"/>
  <c r="L571" i="65"/>
  <c r="L574" i="65"/>
  <c r="L594" i="65"/>
  <c r="L513" i="65"/>
  <c r="L225" i="65"/>
  <c r="L560" i="65"/>
  <c r="L606" i="65"/>
  <c r="L555" i="65"/>
  <c r="L319" i="65"/>
  <c r="L111" i="65"/>
  <c r="L137" i="65"/>
  <c r="L292" i="65"/>
  <c r="L350" i="65"/>
  <c r="L552" i="65"/>
  <c r="L368" i="65"/>
  <c r="L290" i="65"/>
  <c r="L346" i="65"/>
  <c r="L69" i="65"/>
  <c r="L431" i="65"/>
  <c r="L470" i="65"/>
  <c r="L95" i="65"/>
  <c r="L318" i="65"/>
  <c r="L636" i="65"/>
  <c r="L344" i="65"/>
  <c r="L550" i="65"/>
  <c r="L570" i="65"/>
  <c r="L298" i="65"/>
  <c r="L367" i="65"/>
  <c r="L297" i="65"/>
  <c r="L363" i="65"/>
  <c r="L110" i="65"/>
  <c r="L135" i="65"/>
  <c r="L564" i="65"/>
  <c r="L665" i="65"/>
  <c r="L554" i="65"/>
  <c r="L661" i="65"/>
  <c r="M249" i="65"/>
  <c r="M327" i="65"/>
  <c r="M109" i="65"/>
  <c r="M133" i="65"/>
  <c r="M297" i="65"/>
  <c r="M363" i="65"/>
  <c r="M305" i="65"/>
  <c r="M476" i="65"/>
  <c r="M343" i="65"/>
  <c r="M548" i="65"/>
  <c r="M651" i="65"/>
  <c r="M593" i="65"/>
  <c r="M231" i="65"/>
  <c r="M187" i="65"/>
  <c r="M351" i="65"/>
  <c r="M557" i="65"/>
  <c r="M91" i="65"/>
  <c r="M223" i="65"/>
  <c r="M657" i="65"/>
  <c r="M428" i="65"/>
  <c r="M276" i="65"/>
  <c r="M326" i="65"/>
  <c r="M415" i="65"/>
  <c r="M372" i="65"/>
  <c r="M275" i="65"/>
  <c r="M325" i="65"/>
  <c r="M552" i="65"/>
  <c r="M368" i="65"/>
  <c r="M632" i="65"/>
  <c r="M579" i="65"/>
  <c r="L576" i="65"/>
  <c r="L331" i="65"/>
  <c r="L486" i="65"/>
  <c r="L71" i="65"/>
  <c r="L153" i="65"/>
  <c r="L120" i="65"/>
  <c r="L490" i="65"/>
  <c r="L99" i="65"/>
  <c r="L430" i="65"/>
  <c r="L248" i="65"/>
  <c r="L178" i="65"/>
  <c r="L282" i="65"/>
  <c r="L336" i="65"/>
  <c r="L112" i="65"/>
  <c r="L139" i="65"/>
  <c r="L614" i="65"/>
  <c r="L538" i="65"/>
  <c r="L633" i="65"/>
  <c r="L360" i="65"/>
  <c r="M482" i="65"/>
  <c r="M526" i="65"/>
  <c r="M438" i="65"/>
  <c r="M323" i="65"/>
  <c r="M110" i="65"/>
  <c r="M135" i="65"/>
  <c r="M108" i="65"/>
  <c r="M131" i="65"/>
  <c r="M239" i="65"/>
  <c r="M242" i="65"/>
  <c r="M106" i="65"/>
  <c r="M127" i="65"/>
  <c r="M405" i="65"/>
  <c r="M234" i="65"/>
  <c r="M282" i="65"/>
  <c r="M336" i="65"/>
  <c r="M190" i="65"/>
  <c r="M380" i="65"/>
  <c r="M180" i="65"/>
  <c r="M565" i="65"/>
  <c r="M328" i="65"/>
  <c r="M232" i="65"/>
  <c r="M403" i="65"/>
  <c r="M658" i="65"/>
  <c r="M478" i="65"/>
  <c r="M342" i="65"/>
  <c r="M468" i="65"/>
  <c r="M635" i="65"/>
  <c r="M652" i="65"/>
  <c r="M666" i="65"/>
  <c r="M644" i="65"/>
  <c r="M379" i="65"/>
  <c r="M551" i="65"/>
  <c r="M585" i="65"/>
  <c r="M299" i="65"/>
  <c r="M370" i="65"/>
  <c r="M182" i="65"/>
  <c r="M480" i="65"/>
  <c r="M103" i="65"/>
  <c r="M124" i="65"/>
  <c r="M99" i="65"/>
  <c r="M430" i="65"/>
  <c r="M577" i="65"/>
  <c r="M595" i="65"/>
  <c r="M291" i="65"/>
  <c r="M348" i="65"/>
  <c r="M353" i="65"/>
  <c r="M558" i="65"/>
  <c r="M114" i="65"/>
  <c r="M141" i="65"/>
  <c r="M272" i="65"/>
  <c r="M320" i="65"/>
  <c r="M642" i="65"/>
  <c r="M330" i="65"/>
  <c r="M69" i="65"/>
  <c r="M431" i="65"/>
  <c r="L553" i="65"/>
  <c r="L369" i="65"/>
  <c r="L227" i="65"/>
  <c r="L620" i="65"/>
  <c r="L410" i="65"/>
  <c r="L529" i="65"/>
  <c r="L250" i="65"/>
  <c r="L374" i="65"/>
  <c r="L652" i="65"/>
  <c r="L666" i="65"/>
  <c r="L551" i="65"/>
  <c r="L585" i="65"/>
  <c r="L299" i="65"/>
  <c r="L370" i="65"/>
  <c r="L103" i="65"/>
  <c r="L124" i="65"/>
  <c r="L220" i="65"/>
  <c r="L339" i="65"/>
  <c r="L683" i="65"/>
  <c r="L384" i="65"/>
  <c r="L96" i="65"/>
  <c r="L73" i="65"/>
  <c r="L265" i="65"/>
  <c r="L309" i="65"/>
  <c r="L272" i="65"/>
  <c r="L320" i="65"/>
  <c r="L642" i="65"/>
  <c r="L330" i="65"/>
  <c r="L221" i="65"/>
  <c r="L371" i="65"/>
  <c r="L406" i="65"/>
  <c r="L654" i="65"/>
  <c r="L118" i="65"/>
  <c r="L145" i="65"/>
  <c r="L238" i="65"/>
  <c r="L241" i="65"/>
  <c r="L615" i="65"/>
  <c r="L108" i="65"/>
  <c r="L131" i="65"/>
  <c r="L239" i="65"/>
  <c r="L242" i="65"/>
  <c r="L411" i="65"/>
  <c r="L181" i="65"/>
  <c r="L434" i="65"/>
  <c r="L313" i="65"/>
  <c r="L97" i="65"/>
  <c r="L244" i="65"/>
  <c r="L405" i="65"/>
  <c r="L234" i="65"/>
  <c r="L274" i="65"/>
  <c r="L324" i="65"/>
  <c r="L104" i="65"/>
  <c r="L125" i="65"/>
  <c r="L653" i="65"/>
  <c r="L514" i="65"/>
  <c r="L275" i="65"/>
  <c r="L325" i="65"/>
  <c r="L179" i="65"/>
  <c r="L622" i="65"/>
  <c r="L180" i="65"/>
  <c r="L565" i="65"/>
  <c r="L632" i="65"/>
  <c r="L579" i="65"/>
  <c r="L109" i="65"/>
  <c r="L133" i="65"/>
  <c r="L355" i="65"/>
  <c r="L561" i="65"/>
  <c r="L634" i="65"/>
  <c r="L340" i="65"/>
  <c r="L86" i="65"/>
  <c r="M536" i="65"/>
  <c r="M655" i="65"/>
  <c r="M94" i="65"/>
  <c r="M224" i="65"/>
  <c r="M264" i="65"/>
  <c r="M308" i="65"/>
  <c r="M191" i="65"/>
  <c r="M416" i="65"/>
  <c r="M122" i="65"/>
  <c r="M147" i="65"/>
  <c r="M423" i="65"/>
  <c r="M226" i="65"/>
  <c r="M547" i="65"/>
  <c r="M582" i="65"/>
  <c r="M410" i="65"/>
  <c r="M529" i="65"/>
  <c r="M345" i="65"/>
  <c r="M233" i="65"/>
  <c r="M66" i="65"/>
  <c r="M270" i="65"/>
  <c r="M317" i="65"/>
  <c r="M71" i="65"/>
  <c r="M153" i="65"/>
  <c r="M222" i="65"/>
  <c r="M470" i="65"/>
  <c r="M95" i="65"/>
  <c r="M116" i="65"/>
  <c r="M143" i="65"/>
  <c r="M643" i="65"/>
  <c r="M531" i="65"/>
  <c r="M189" i="65"/>
  <c r="M378" i="65"/>
  <c r="M248" i="65"/>
  <c r="M178" i="65"/>
  <c r="M298" i="65"/>
  <c r="M367" i="65"/>
  <c r="M243" i="65"/>
  <c r="M672" i="65"/>
  <c r="K438" i="65"/>
  <c r="L402" i="65"/>
  <c r="L341" i="65"/>
  <c r="L578" i="65"/>
  <c r="L596" i="65"/>
  <c r="L276" i="65"/>
  <c r="L326" i="65"/>
  <c r="L296" i="65"/>
  <c r="L359" i="65"/>
  <c r="L100" i="65"/>
  <c r="L488" i="65"/>
  <c r="L269" i="65"/>
  <c r="L314" i="65"/>
  <c r="L312" i="65"/>
  <c r="L523" i="65"/>
  <c r="L413" i="65"/>
  <c r="L334" i="65"/>
  <c r="L333" i="65"/>
  <c r="L646" i="65"/>
  <c r="L267" i="65"/>
  <c r="L311" i="65"/>
  <c r="L188" i="65"/>
  <c r="L549" i="65"/>
  <c r="L408" i="65"/>
  <c r="L426" i="65"/>
  <c r="M296" i="65"/>
  <c r="M359" i="65"/>
  <c r="M263" i="65"/>
  <c r="M306" i="65"/>
  <c r="M100" i="65"/>
  <c r="M488" i="65"/>
  <c r="M269" i="65"/>
  <c r="M314" i="65"/>
  <c r="M318" i="65"/>
  <c r="M636" i="65"/>
  <c r="M274" i="65"/>
  <c r="M324" i="65"/>
  <c r="M112" i="65"/>
  <c r="M139" i="65"/>
  <c r="M177" i="65"/>
  <c r="M7" i="65"/>
  <c r="M554" i="65"/>
  <c r="M661" i="65"/>
  <c r="M121" i="65"/>
  <c r="M671" i="65"/>
  <c r="M570" i="65"/>
  <c r="M344" i="65"/>
  <c r="M550" i="65"/>
  <c r="M634" i="65"/>
  <c r="M340" i="65"/>
  <c r="M102" i="65"/>
  <c r="M123" i="65"/>
  <c r="M411" i="65"/>
  <c r="M181" i="65"/>
  <c r="M681" i="65"/>
  <c r="M382" i="65"/>
  <c r="M434" i="65"/>
  <c r="M313" i="65"/>
  <c r="M247" i="65"/>
  <c r="M164" i="65"/>
  <c r="M573" i="65"/>
  <c r="M97" i="65"/>
  <c r="M244" i="65"/>
  <c r="M560" i="65"/>
  <c r="M606" i="65"/>
  <c r="M188" i="65"/>
  <c r="M549" i="65"/>
  <c r="M682" i="65"/>
  <c r="M383" i="65"/>
  <c r="M98" i="65"/>
  <c r="M487" i="65"/>
  <c r="M338" i="65"/>
  <c r="M647" i="65"/>
  <c r="M537" i="65"/>
  <c r="M425" i="65"/>
  <c r="M104" i="65"/>
  <c r="M125" i="65"/>
  <c r="L243" i="65"/>
  <c r="L672" i="65"/>
  <c r="L94" i="65"/>
  <c r="L373" i="65"/>
  <c r="L107" i="65"/>
  <c r="L129" i="65"/>
  <c r="L291" i="65"/>
  <c r="L348" i="65"/>
  <c r="L101" i="65"/>
  <c r="L489" i="65"/>
  <c r="L102" i="65"/>
  <c r="L123" i="65"/>
  <c r="L121" i="65"/>
  <c r="L671" i="65"/>
  <c r="M105" i="65"/>
  <c r="M126" i="65"/>
  <c r="M424" i="65"/>
  <c r="M530" i="65"/>
  <c r="L651" i="65"/>
  <c r="L593" i="65"/>
  <c r="L351" i="65"/>
  <c r="L557" i="65"/>
  <c r="L91" i="65"/>
  <c r="L223" i="65"/>
  <c r="L116" i="65"/>
  <c r="L143" i="65"/>
  <c r="L92" i="65"/>
  <c r="L72" i="65"/>
  <c r="L575" i="65"/>
  <c r="L667" i="65"/>
  <c r="L407" i="65"/>
  <c r="L580" i="65"/>
  <c r="L273" i="65"/>
  <c r="L322" i="65"/>
  <c r="L183" i="65"/>
  <c r="L481" i="65"/>
  <c r="L177" i="65"/>
  <c r="L7" i="65"/>
  <c r="L415" i="65"/>
  <c r="L372" i="65"/>
  <c r="L438" i="65"/>
  <c r="L323" i="65"/>
  <c r="L439" i="65"/>
  <c r="L335" i="65"/>
  <c r="L474" i="65"/>
  <c r="L375" i="65"/>
  <c r="L447" i="65"/>
  <c r="L532" i="65"/>
  <c r="L414" i="65"/>
  <c r="L321" i="65"/>
  <c r="L353" i="65"/>
  <c r="L558" i="65"/>
  <c r="M576" i="65"/>
  <c r="M685" i="65"/>
  <c r="M486" i="65"/>
  <c r="M662" i="65"/>
  <c r="M439" i="65"/>
  <c r="M335" i="65"/>
  <c r="M87" i="65"/>
  <c r="M221" i="65"/>
  <c r="M371" i="65"/>
  <c r="M475" i="65"/>
  <c r="M93" i="65"/>
  <c r="M406" i="65"/>
  <c r="M654" i="65"/>
  <c r="M329" i="65"/>
  <c r="M637" i="65"/>
  <c r="M535" i="65"/>
  <c r="M624" i="65"/>
  <c r="M118" i="65"/>
  <c r="M145" i="65"/>
  <c r="M238" i="65"/>
  <c r="M241" i="65"/>
  <c r="M433" i="65"/>
  <c r="M332" i="65"/>
  <c r="M412" i="65"/>
  <c r="M184" i="65"/>
  <c r="M653" i="65"/>
  <c r="M514" i="65"/>
  <c r="M556" i="65"/>
  <c r="M315" i="65"/>
  <c r="M265" i="65"/>
  <c r="M309" i="65"/>
  <c r="L381" i="65"/>
  <c r="L345" i="65"/>
  <c r="L233" i="65"/>
  <c r="M337" i="65"/>
  <c r="M546" i="65"/>
  <c r="M513" i="65"/>
  <c r="M225" i="65"/>
  <c r="M92" i="65"/>
  <c r="M72" i="65"/>
  <c r="M574" i="65"/>
  <c r="M594" i="65"/>
  <c r="M301" i="65"/>
  <c r="M377" i="65"/>
  <c r="M267" i="65"/>
  <c r="M311" i="65"/>
  <c r="M70" i="65"/>
  <c r="M151" i="65"/>
  <c r="M381" i="65"/>
  <c r="M101" i="65"/>
  <c r="M489" i="65"/>
  <c r="M179" i="65"/>
  <c r="M622" i="65"/>
  <c r="M432" i="65"/>
  <c r="M312" i="65"/>
  <c r="M523" i="65"/>
  <c r="M469" i="65"/>
  <c r="M364" i="65"/>
  <c r="M413" i="65"/>
  <c r="M334" i="65"/>
  <c r="M512" i="65"/>
  <c r="M149" i="65"/>
  <c r="M88" i="65"/>
  <c r="M220" i="65"/>
  <c r="M339" i="65"/>
  <c r="M633" i="65"/>
  <c r="M360" i="65"/>
  <c r="M674" i="65"/>
  <c r="M401" i="65"/>
  <c r="M96" i="65"/>
  <c r="M73" i="65"/>
  <c r="L87" i="65"/>
  <c r="L105" i="65"/>
  <c r="L466" i="65"/>
  <c r="L349" i="65"/>
  <c r="L643" i="65"/>
  <c r="L531" i="65"/>
  <c r="L114" i="65"/>
  <c r="L141" i="65"/>
  <c r="L537" i="65"/>
  <c r="L425" i="65"/>
  <c r="L338" i="65"/>
  <c r="L647" i="65"/>
  <c r="L478" i="65"/>
  <c r="L342" i="65"/>
  <c r="L682" i="65"/>
  <c r="L383" i="65"/>
  <c r="M185" i="65"/>
  <c r="M623" i="65"/>
  <c r="L475" i="65"/>
  <c r="L93" i="65"/>
  <c r="L329" i="65"/>
  <c r="L637" i="65"/>
  <c r="L535" i="65"/>
  <c r="L624" i="65"/>
  <c r="L106" i="65"/>
  <c r="L127" i="65"/>
  <c r="L681" i="65"/>
  <c r="L382" i="65"/>
  <c r="L164" i="65"/>
  <c r="L573" i="65"/>
  <c r="L189" i="65"/>
  <c r="L378" i="65"/>
  <c r="L192" i="65"/>
  <c r="L144" i="65"/>
  <c r="L70" i="65"/>
  <c r="L151" i="65"/>
  <c r="L412" i="65"/>
  <c r="L184" i="65"/>
  <c r="L423" i="65"/>
  <c r="L226" i="65"/>
  <c r="L650" i="65"/>
  <c r="L684" i="65"/>
  <c r="L343" i="65"/>
  <c r="L548" i="65"/>
  <c r="L328" i="65"/>
  <c r="L232" i="65"/>
  <c r="L432" i="65"/>
  <c r="M474" i="65"/>
  <c r="M375" i="65"/>
  <c r="M422" i="65"/>
  <c r="M74" i="65"/>
  <c r="M331" i="65"/>
  <c r="M645" i="65"/>
  <c r="M402" i="65"/>
  <c r="M604" i="65"/>
  <c r="M578" i="65"/>
  <c r="M596" i="65"/>
  <c r="M553" i="65"/>
  <c r="M369" i="65"/>
  <c r="M310" i="65"/>
  <c r="M520" i="65"/>
  <c r="M227" i="65"/>
  <c r="M620" i="65"/>
  <c r="M107" i="65"/>
  <c r="M129" i="65"/>
  <c r="M615" i="65"/>
  <c r="M614" i="65"/>
  <c r="M538" i="65"/>
  <c r="M460" i="65"/>
  <c r="M252" i="65"/>
  <c r="M414" i="65"/>
  <c r="M321" i="65"/>
  <c r="L619" i="65"/>
  <c r="L98" i="65"/>
  <c r="L89" i="65"/>
  <c r="L182" i="65"/>
  <c r="L480" i="65"/>
  <c r="L577" i="65"/>
  <c r="L595" i="65"/>
  <c r="L310" i="65"/>
  <c r="L520" i="65"/>
  <c r="L301" i="65"/>
  <c r="L377" i="65"/>
  <c r="L263" i="65"/>
  <c r="L306" i="65"/>
  <c r="L469" i="65"/>
  <c r="L364" i="65"/>
  <c r="L512" i="65"/>
  <c r="L149" i="65"/>
  <c r="L403" i="65"/>
  <c r="L658" i="65"/>
  <c r="M176" i="65"/>
  <c r="M621" i="65"/>
  <c r="M120" i="65"/>
  <c r="M490" i="65"/>
  <c r="M250" i="65"/>
  <c r="M374" i="65"/>
  <c r="M192" i="65"/>
  <c r="M144" i="65"/>
  <c r="M290" i="65"/>
  <c r="M346" i="65"/>
  <c r="M183" i="65"/>
  <c r="M481" i="65"/>
  <c r="M466" i="65"/>
  <c r="M349" i="65"/>
  <c r="M650" i="65"/>
  <c r="M684" i="65"/>
  <c r="M564" i="65"/>
  <c r="M665" i="65"/>
  <c r="M355" i="65"/>
  <c r="M561" i="65"/>
  <c r="M575" i="65"/>
  <c r="M667" i="65"/>
  <c r="M555" i="65"/>
  <c r="M319" i="65"/>
  <c r="M407" i="65"/>
  <c r="M580" i="65"/>
  <c r="M273" i="65"/>
  <c r="M322" i="65"/>
  <c r="M111" i="65"/>
  <c r="M137" i="65"/>
  <c r="M292" i="65"/>
  <c r="M350" i="65"/>
  <c r="M333" i="65"/>
  <c r="M646" i="65"/>
  <c r="M408" i="65"/>
  <c r="M426" i="65"/>
  <c r="M447" i="65"/>
  <c r="M532" i="65"/>
  <c r="M90" i="65"/>
  <c r="M619" i="65"/>
  <c r="L122" i="65"/>
  <c r="L337" i="65"/>
  <c r="AV569" i="69"/>
  <c r="I375" i="65" s="1"/>
  <c r="AV530" i="69"/>
  <c r="I655" i="65" s="1"/>
  <c r="AV317" i="69"/>
  <c r="AV185" i="69"/>
  <c r="I133" i="65" s="1"/>
  <c r="AV155" i="69"/>
  <c r="AV127" i="69"/>
  <c r="AV20" i="69"/>
  <c r="AV579" i="69"/>
  <c r="I662" i="65" s="1"/>
  <c r="AV474" i="69"/>
  <c r="I476" i="65" s="1"/>
  <c r="AV527" i="69"/>
  <c r="I604" i="65" s="1"/>
  <c r="AV194" i="69"/>
  <c r="I147" i="65" s="1"/>
  <c r="AV132" i="69"/>
  <c r="AV661" i="69"/>
  <c r="I593" i="65" s="1"/>
  <c r="AV541" i="69"/>
  <c r="I529" i="65" s="1"/>
  <c r="AV520" i="69"/>
  <c r="AV503" i="69"/>
  <c r="I233" i="65" s="1"/>
  <c r="AV493" i="69"/>
  <c r="AV478" i="69"/>
  <c r="I520" i="65" s="1"/>
  <c r="AV388" i="69"/>
  <c r="AV373" i="69"/>
  <c r="AV336" i="69"/>
  <c r="I624" i="65" s="1"/>
  <c r="AV191" i="69"/>
  <c r="I145" i="65" s="1"/>
  <c r="AV161" i="69"/>
  <c r="I512" i="65" s="1"/>
  <c r="AV145" i="69"/>
  <c r="AV129" i="69"/>
  <c r="AV42" i="69"/>
  <c r="AV26" i="69"/>
  <c r="AV17" i="69"/>
  <c r="AV573" i="69"/>
  <c r="I95" i="65" s="1"/>
  <c r="AV372" i="69"/>
  <c r="I326" i="65" s="1"/>
  <c r="AV160" i="69"/>
  <c r="AV25" i="69"/>
  <c r="AV555" i="69"/>
  <c r="I531" i="65" s="1"/>
  <c r="AV412" i="69"/>
  <c r="I538" i="65" s="1"/>
  <c r="AV584" i="69"/>
  <c r="I378" i="65" s="1"/>
  <c r="AV571" i="69"/>
  <c r="I252" i="65" s="1"/>
  <c r="AV547" i="69"/>
  <c r="I178" i="65" s="1"/>
  <c r="AV525" i="69"/>
  <c r="I579" i="65" s="1"/>
  <c r="AV321" i="69"/>
  <c r="AV197" i="69"/>
  <c r="I672" i="65" s="1"/>
  <c r="AV167" i="69"/>
  <c r="I422" i="65" s="1"/>
  <c r="AV135" i="69"/>
  <c r="AV32" i="69"/>
  <c r="AV499" i="69"/>
  <c r="I500" i="65" s="1"/>
  <c r="AV382" i="69"/>
  <c r="AV327" i="69"/>
  <c r="I621" i="65" s="1"/>
  <c r="AV551" i="69"/>
  <c r="I530" i="65" s="1"/>
  <c r="AV519" i="69"/>
  <c r="AV186" i="69"/>
  <c r="I135" i="65" s="1"/>
  <c r="AV419" i="69"/>
  <c r="I411" i="65" s="1"/>
  <c r="AV392" i="69"/>
  <c r="I359" i="65" s="1"/>
  <c r="AV374" i="69"/>
  <c r="AV192" i="69"/>
  <c r="I490" i="65" s="1"/>
  <c r="AV176" i="69"/>
  <c r="I488" i="65" s="1"/>
  <c r="AV162" i="69"/>
  <c r="I69" i="65" s="1"/>
  <c r="AV146" i="69"/>
  <c r="AV130" i="69"/>
  <c r="AV43" i="69"/>
  <c r="AV27" i="69"/>
  <c r="AV664" i="69"/>
  <c r="I594" i="65" s="1"/>
  <c r="AV398" i="69"/>
  <c r="AV324" i="69"/>
  <c r="AV182" i="69"/>
  <c r="I127" i="65" s="1"/>
  <c r="AV49" i="69"/>
  <c r="AV588" i="69"/>
  <c r="I144" i="65" s="1"/>
  <c r="AV397" i="69"/>
  <c r="I377" i="65" s="1"/>
  <c r="AV422" i="69"/>
  <c r="I413" i="65" s="1"/>
  <c r="AV396" i="69"/>
  <c r="AV377" i="69"/>
  <c r="I336" i="65" s="1"/>
  <c r="AV188" i="69"/>
  <c r="I139" i="65" s="1"/>
  <c r="AV166" i="69"/>
  <c r="I513" i="65" s="1"/>
  <c r="AV134" i="69"/>
  <c r="AV31" i="69"/>
  <c r="AV581" i="69"/>
  <c r="I349" i="65" s="1"/>
  <c r="AV329" i="69"/>
  <c r="I7" i="65" s="1"/>
  <c r="AV136" i="69"/>
  <c r="AV586" i="69"/>
  <c r="I380" i="65" s="1"/>
  <c r="AV383" i="69"/>
  <c r="AV177" i="69"/>
  <c r="I489" i="65" s="1"/>
  <c r="AV147" i="69"/>
  <c r="AV44" i="69"/>
  <c r="AV418" i="69"/>
  <c r="I410" i="65" s="1"/>
  <c r="AV330" i="69"/>
  <c r="I622" i="65" s="1"/>
  <c r="AV502" i="69"/>
  <c r="I550" i="65" s="1"/>
  <c r="AV415" i="69"/>
  <c r="I432" i="65" s="1"/>
  <c r="AV574" i="69"/>
  <c r="I342" i="65" s="1"/>
  <c r="AV535" i="69"/>
  <c r="I657" i="65" s="1"/>
  <c r="AV148" i="69"/>
  <c r="AV542" i="69"/>
  <c r="I181" i="65" s="1"/>
  <c r="AV665" i="69"/>
  <c r="I667" i="65" s="1"/>
  <c r="AV585" i="69"/>
  <c r="I379" i="65" s="1"/>
  <c r="AV568" i="69"/>
  <c r="I364" i="65" s="1"/>
  <c r="AV557" i="69"/>
  <c r="I585" i="65" s="1"/>
  <c r="AV545" i="69"/>
  <c r="I334" i="65" s="1"/>
  <c r="AV524" i="69"/>
  <c r="AV395" i="69"/>
  <c r="I370" i="65" s="1"/>
  <c r="AV376" i="69"/>
  <c r="AV195" i="69"/>
  <c r="I149" i="65" s="1"/>
  <c r="AV179" i="69"/>
  <c r="I124" i="65" s="1"/>
  <c r="AV165" i="69"/>
  <c r="I71" i="65" s="1"/>
  <c r="AV149" i="69"/>
  <c r="AV133" i="69"/>
  <c r="AV46" i="69"/>
  <c r="AV30" i="69"/>
  <c r="AV657" i="69"/>
  <c r="I606" i="65" s="1"/>
  <c r="AV144" i="69"/>
  <c r="AV16" i="69"/>
  <c r="AV583" i="69"/>
  <c r="I549" i="65" s="1"/>
  <c r="AV495" i="69"/>
  <c r="I646" i="65" s="1"/>
  <c r="AV577" i="69"/>
  <c r="I383" i="65" s="1"/>
  <c r="AV534" i="69"/>
  <c r="I426" i="65" s="1"/>
  <c r="AV375" i="69"/>
  <c r="AV323" i="69"/>
  <c r="AV311" i="69"/>
  <c r="AV174" i="69"/>
  <c r="I487" i="65" s="1"/>
  <c r="AV143" i="69"/>
  <c r="AV40" i="69"/>
  <c r="AV15" i="69"/>
  <c r="AV407" i="69"/>
  <c r="AV498" i="69"/>
  <c r="I647" i="65" s="1"/>
  <c r="AV406" i="69"/>
  <c r="I401" i="65" s="1"/>
  <c r="AV570" i="69"/>
  <c r="I532" i="65" s="1"/>
  <c r="AV531" i="69"/>
  <c r="I425" i="65" s="1"/>
  <c r="AV140" i="69"/>
  <c r="AV12" i="69"/>
  <c r="AV313" i="69"/>
  <c r="AV180" i="69"/>
  <c r="I125" i="65" s="1"/>
  <c r="AV142" i="69"/>
  <c r="AV39" i="69"/>
  <c r="AV14" i="69"/>
  <c r="AV523" i="69"/>
  <c r="AV379" i="69"/>
  <c r="AV168" i="69"/>
  <c r="I423" i="65" s="1"/>
  <c r="AV202" i="69"/>
  <c r="I226" i="65" s="1"/>
  <c r="AV9" i="69"/>
  <c r="AV666" i="69"/>
  <c r="I685" i="65" s="1"/>
  <c r="AV553" i="69"/>
  <c r="I327" i="65" s="1"/>
  <c r="AV201" i="69"/>
  <c r="I74" i="65" s="1"/>
  <c r="AV171" i="69"/>
  <c r="I224" i="65" s="1"/>
  <c r="AV139" i="69"/>
  <c r="AV36" i="69"/>
  <c r="AV11" i="69"/>
  <c r="AV393" i="69"/>
  <c r="I363" i="65" s="1"/>
  <c r="AV494" i="69"/>
  <c r="I645" i="65" s="1"/>
  <c r="AV587" i="69"/>
  <c r="I416" i="65" s="1"/>
  <c r="AV550" i="69"/>
  <c r="I335" i="65" s="1"/>
  <c r="AV501" i="69"/>
  <c r="I548" i="65" s="1"/>
  <c r="AV164" i="69"/>
  <c r="I70" i="65" s="1"/>
  <c r="AV29" i="69"/>
  <c r="AV565" i="69"/>
  <c r="I371" i="65" s="1"/>
  <c r="AV668" i="69"/>
  <c r="I596" i="65" s="1"/>
  <c r="AV643" i="69"/>
  <c r="I582" i="65" s="1"/>
  <c r="AV572" i="69"/>
  <c r="I93" i="65" s="1"/>
  <c r="AV561" i="69"/>
  <c r="I369" i="65" s="1"/>
  <c r="AV548" i="69"/>
  <c r="I187" i="65" s="1"/>
  <c r="AV529" i="69"/>
  <c r="I654" i="65" s="1"/>
  <c r="AV507" i="69"/>
  <c r="I557" i="65" s="1"/>
  <c r="AV421" i="69"/>
  <c r="I433" i="65" s="1"/>
  <c r="AV405" i="69"/>
  <c r="I632" i="65" s="1"/>
  <c r="AV380" i="69"/>
  <c r="AV366" i="69"/>
  <c r="I317" i="65" s="1"/>
  <c r="AV325" i="69"/>
  <c r="I620" i="65" s="1"/>
  <c r="AV316" i="69"/>
  <c r="AV199" i="69"/>
  <c r="I153" i="65" s="1"/>
  <c r="AV183" i="69"/>
  <c r="I129" i="65" s="1"/>
  <c r="AV169" i="69"/>
  <c r="I223" i="65" s="1"/>
  <c r="AV153" i="69"/>
  <c r="AV137" i="69"/>
  <c r="AV76" i="69"/>
  <c r="I241" i="65" s="1"/>
  <c r="AV34" i="69"/>
  <c r="AV18" i="69"/>
  <c r="AV683" i="69"/>
  <c r="I428" i="65" s="1"/>
  <c r="AV544" i="69"/>
  <c r="I332" i="65" s="1"/>
  <c r="AV413" i="69"/>
  <c r="I407" i="65" s="1"/>
  <c r="AV190" i="69"/>
  <c r="I143" i="65" s="1"/>
  <c r="AV566" i="69"/>
  <c r="I372" i="65" s="1"/>
  <c r="AV543" i="69"/>
  <c r="I184" i="65" s="1"/>
  <c r="AV371" i="69"/>
  <c r="I325" i="65" s="1"/>
  <c r="AV663" i="69"/>
  <c r="I514" i="65" s="1"/>
  <c r="AV560" i="69"/>
  <c r="I368" i="65" s="1"/>
  <c r="AV549" i="69"/>
  <c r="I321" i="65" s="1"/>
  <c r="AV394" i="69"/>
  <c r="I367" i="65" s="1"/>
  <c r="AV314" i="69"/>
  <c r="AV181" i="69"/>
  <c r="I126" i="65" s="1"/>
  <c r="AV151" i="69"/>
  <c r="AV48" i="69"/>
  <c r="AV454" i="69"/>
  <c r="AV334" i="69"/>
  <c r="I623" i="65" s="1"/>
  <c r="AV575" i="69"/>
  <c r="I526" i="65" s="1"/>
  <c r="AV516" i="69"/>
  <c r="I650" i="65" s="1"/>
  <c r="AV578" i="69"/>
  <c r="I384" i="65" s="1"/>
  <c r="AV546" i="69"/>
  <c r="I323" i="65" s="1"/>
  <c r="AV497" i="69"/>
  <c r="I546" i="65" s="1"/>
  <c r="AV319" i="69"/>
  <c r="AV156" i="69"/>
  <c r="AV21" i="69"/>
  <c r="AV411" i="69"/>
  <c r="I537" i="65" s="1"/>
  <c r="AV381" i="69"/>
  <c r="AV367" i="69"/>
  <c r="AV200" i="69"/>
  <c r="I225" i="65" s="1"/>
  <c r="AV184" i="69"/>
  <c r="I131" i="65" s="1"/>
  <c r="AV170" i="69"/>
  <c r="I72" i="65" s="1"/>
  <c r="AV154" i="69"/>
  <c r="AV138" i="69"/>
  <c r="AV77" i="69"/>
  <c r="I242" i="65" s="1"/>
  <c r="AV35" i="69"/>
  <c r="AV19" i="69"/>
  <c r="AV10" i="69"/>
  <c r="AV567" i="69"/>
  <c r="I374" i="65" s="1"/>
  <c r="AV315" i="69"/>
  <c r="AV152" i="69"/>
  <c r="AV528" i="69"/>
  <c r="I234" i="65" s="1"/>
  <c r="AV484" i="69"/>
  <c r="I636" i="65" s="1"/>
  <c r="N268" i="65"/>
  <c r="AV414" i="69"/>
  <c r="I408" i="65" s="1"/>
  <c r="AV385" i="69"/>
  <c r="I346" i="65" s="1"/>
  <c r="AV370" i="69"/>
  <c r="I324" i="65" s="1"/>
  <c r="AV333" i="69"/>
  <c r="I481" i="65" s="1"/>
  <c r="AV307" i="69"/>
  <c r="AV150" i="69"/>
  <c r="AV47" i="69"/>
  <c r="AV420" i="69"/>
  <c r="I412" i="65" s="1"/>
  <c r="AV198" i="69"/>
  <c r="I151" i="65" s="1"/>
  <c r="AV562" i="69"/>
  <c r="I661" i="65" s="1"/>
  <c r="AV518" i="69"/>
  <c r="I652" i="65" s="1"/>
  <c r="AV331" i="69"/>
  <c r="I565" i="65" s="1"/>
  <c r="AV193" i="69"/>
  <c r="I671" i="65" s="1"/>
  <c r="AV163" i="69"/>
  <c r="I243" i="65" s="1"/>
  <c r="AV131" i="69"/>
  <c r="AV28" i="69"/>
  <c r="AV492" i="69"/>
  <c r="I232" i="65" s="1"/>
  <c r="AV660" i="69"/>
  <c r="I684" i="65" s="1"/>
  <c r="AV536" i="69"/>
  <c r="I658" i="65" s="1"/>
  <c r="AV659" i="69"/>
  <c r="I665" i="65" s="1"/>
  <c r="AV559" i="69"/>
  <c r="I340" i="65" s="1"/>
  <c r="AV509" i="69"/>
  <c r="I561" i="65" s="1"/>
  <c r="AV457" i="69"/>
  <c r="I635" i="65" s="1"/>
  <c r="AV178" i="69"/>
  <c r="I123" i="65" s="1"/>
  <c r="AV45" i="69"/>
  <c r="AV662" i="69"/>
  <c r="I666" i="65" s="1"/>
  <c r="AV480" i="69"/>
  <c r="I523" i="65" s="1"/>
  <c r="AV576" i="69"/>
  <c r="I382" i="65" s="1"/>
  <c r="AV563" i="69"/>
  <c r="I319" i="65" s="1"/>
  <c r="AV533" i="69"/>
  <c r="I580" i="65" s="1"/>
  <c r="AV500" i="69"/>
  <c r="I547" i="65" s="1"/>
  <c r="AV456" i="69"/>
  <c r="AV409" i="69"/>
  <c r="I406" i="65" s="1"/>
  <c r="AV384" i="69"/>
  <c r="AV369" i="69"/>
  <c r="I322" i="65" s="1"/>
  <c r="AV332" i="69"/>
  <c r="I480" i="65" s="1"/>
  <c r="AV305" i="69"/>
  <c r="I573" i="65" s="1"/>
  <c r="AV187" i="69"/>
  <c r="I137" i="65" s="1"/>
  <c r="AV173" i="69"/>
  <c r="I244" i="65" s="1"/>
  <c r="AV157" i="69"/>
  <c r="AV141" i="69"/>
  <c r="AV128" i="69"/>
  <c r="AV38" i="69"/>
  <c r="AV22" i="69"/>
  <c r="AV13" i="69"/>
  <c r="AV556" i="69"/>
  <c r="I339" i="65" s="1"/>
  <c r="AV387" i="69"/>
  <c r="I350" i="65" s="1"/>
  <c r="AV175" i="69"/>
  <c r="I430" i="65" s="1"/>
  <c r="AV41" i="69"/>
  <c r="AV667" i="69"/>
  <c r="I595" i="65" s="1"/>
  <c r="AV522" i="69"/>
  <c r="AV386" i="69"/>
  <c r="I348" i="65" s="1"/>
  <c r="AV558" i="69"/>
  <c r="I360" i="65" s="1"/>
  <c r="AV508" i="69"/>
  <c r="I558" i="65" s="1"/>
  <c r="AV189" i="69"/>
  <c r="I141" i="65" s="1"/>
  <c r="AV159" i="69"/>
  <c r="AV24" i="69"/>
  <c r="AV368" i="69"/>
  <c r="I320" i="65" s="1"/>
  <c r="AV554" i="69"/>
  <c r="I330" i="65" s="1"/>
  <c r="AV172" i="69"/>
  <c r="I73" i="65" s="1"/>
  <c r="AV37" i="69"/>
  <c r="AV320" i="69"/>
  <c r="AV196" i="69"/>
  <c r="I431" i="65" s="1"/>
  <c r="AV158" i="69"/>
  <c r="AV23" i="69"/>
  <c r="AV521" i="69"/>
  <c r="AV322" i="69"/>
  <c r="AV33" i="69"/>
  <c r="AV378" i="69"/>
  <c r="C18" i="68"/>
  <c r="E20" i="76" s="1"/>
  <c r="AC326" i="69"/>
  <c r="AF326" i="69"/>
  <c r="AN326" i="69" s="1"/>
  <c r="AG326" i="69"/>
  <c r="AO326" i="69" s="1"/>
  <c r="AE326" i="69"/>
  <c r="AM326" i="69" s="1"/>
  <c r="AH326" i="69"/>
  <c r="AP326" i="69" s="1"/>
  <c r="AD326" i="69"/>
  <c r="AL326" i="69" s="1"/>
  <c r="AI326" i="69"/>
  <c r="AQ326" i="69" s="1"/>
  <c r="N608" i="65" l="1"/>
  <c r="I97" i="65"/>
  <c r="N194" i="65"/>
  <c r="I100" i="65"/>
  <c r="N195" i="65"/>
  <c r="I101" i="65"/>
  <c r="N30" i="65"/>
  <c r="I30" i="65"/>
  <c r="N201" i="65"/>
  <c r="I105" i="65"/>
  <c r="N300" i="65"/>
  <c r="O300" i="65" s="1"/>
  <c r="I373" i="65"/>
  <c r="N200" i="65"/>
  <c r="I104" i="65"/>
  <c r="N25" i="65"/>
  <c r="I25" i="65"/>
  <c r="N277" i="65"/>
  <c r="I328" i="65"/>
  <c r="N39" i="65"/>
  <c r="I39" i="65"/>
  <c r="N289" i="65"/>
  <c r="O289" i="65" s="1"/>
  <c r="I345" i="65"/>
  <c r="N283" i="65"/>
  <c r="O283" i="65" s="1"/>
  <c r="I337" i="65"/>
  <c r="N22" i="65"/>
  <c r="I22" i="65"/>
  <c r="N27" i="65"/>
  <c r="I27" i="65"/>
  <c r="N206" i="65"/>
  <c r="I110" i="65"/>
  <c r="N271" i="65"/>
  <c r="I318" i="65"/>
  <c r="N485" i="65"/>
  <c r="O485" i="65" s="1"/>
  <c r="I682" i="65"/>
  <c r="N175" i="65"/>
  <c r="O175" i="65" s="1"/>
  <c r="I616" i="65"/>
  <c r="N45" i="65"/>
  <c r="I45" i="65"/>
  <c r="N32" i="65"/>
  <c r="I32" i="65"/>
  <c r="N214" i="65"/>
  <c r="I122" i="65"/>
  <c r="N293" i="65"/>
  <c r="I351" i="65"/>
  <c r="N9" i="65"/>
  <c r="O9" i="65" s="1"/>
  <c r="I9" i="65"/>
  <c r="N288" i="65"/>
  <c r="O288" i="65" s="1"/>
  <c r="I344" i="65"/>
  <c r="N506" i="65"/>
  <c r="I91" i="65"/>
  <c r="N533" i="65"/>
  <c r="I222" i="65"/>
  <c r="N172" i="65"/>
  <c r="I613" i="65"/>
  <c r="N170" i="65"/>
  <c r="I611" i="65"/>
  <c r="N504" i="65"/>
  <c r="O504" i="65" s="1"/>
  <c r="I89" i="65"/>
  <c r="N83" i="65"/>
  <c r="O83" i="65" s="1"/>
  <c r="I571" i="65"/>
  <c r="N37" i="65"/>
  <c r="I37" i="65"/>
  <c r="N46" i="65"/>
  <c r="I46" i="65"/>
  <c r="N205" i="65"/>
  <c r="I109" i="65"/>
  <c r="N29" i="65"/>
  <c r="I29" i="65"/>
  <c r="N10" i="65"/>
  <c r="O10" i="65" s="1"/>
  <c r="I10" i="65"/>
  <c r="N84" i="65"/>
  <c r="O84" i="65" s="1"/>
  <c r="I567" i="65"/>
  <c r="N203" i="65"/>
  <c r="I107" i="65"/>
  <c r="N209" i="65"/>
  <c r="I114" i="65"/>
  <c r="N455" i="65"/>
  <c r="I87" i="65"/>
  <c r="N174" i="65"/>
  <c r="I615" i="65"/>
  <c r="N286" i="65"/>
  <c r="O286" i="65" s="1"/>
  <c r="I247" i="65"/>
  <c r="N48" i="65"/>
  <c r="O48" i="65" s="1"/>
  <c r="I48" i="65"/>
  <c r="N393" i="65"/>
  <c r="I575" i="65"/>
  <c r="N462" i="65"/>
  <c r="I67" i="65"/>
  <c r="N204" i="65"/>
  <c r="I108" i="65"/>
  <c r="N417" i="65"/>
  <c r="I417" i="65"/>
  <c r="N19" i="65"/>
  <c r="O19" i="65" s="1"/>
  <c r="I19" i="65"/>
  <c r="N285" i="65"/>
  <c r="O285" i="65" s="1"/>
  <c r="I341" i="65"/>
  <c r="N609" i="65"/>
  <c r="I98" i="65"/>
  <c r="N280" i="65"/>
  <c r="I331" i="65"/>
  <c r="N202" i="65"/>
  <c r="I106" i="65"/>
  <c r="N507" i="65"/>
  <c r="I92" i="65"/>
  <c r="N49" i="65"/>
  <c r="O49" i="65" s="1"/>
  <c r="I49" i="65"/>
  <c r="N278" i="65"/>
  <c r="O278" i="65" s="1"/>
  <c r="I329" i="65"/>
  <c r="N12" i="65"/>
  <c r="I12" i="65"/>
  <c r="N21" i="65"/>
  <c r="I21" i="65"/>
  <c r="N193" i="65"/>
  <c r="I99" i="65"/>
  <c r="N210" i="65"/>
  <c r="I116" i="65"/>
  <c r="N82" i="65"/>
  <c r="O82" i="65" s="1"/>
  <c r="I409" i="65"/>
  <c r="N26" i="65"/>
  <c r="O26" i="65" s="1"/>
  <c r="I26" i="65"/>
  <c r="N389" i="65"/>
  <c r="I574" i="65"/>
  <c r="N79" i="65"/>
  <c r="I617" i="65"/>
  <c r="N33" i="65"/>
  <c r="I33" i="65"/>
  <c r="N213" i="65"/>
  <c r="I121" i="65"/>
  <c r="N20" i="65"/>
  <c r="O20" i="65" s="1"/>
  <c r="I20" i="65"/>
  <c r="N166" i="65"/>
  <c r="O166" i="65" s="1"/>
  <c r="I66" i="65"/>
  <c r="N18" i="65"/>
  <c r="I18" i="65"/>
  <c r="N85" i="65"/>
  <c r="I619" i="65"/>
  <c r="N41" i="65"/>
  <c r="I41" i="65"/>
  <c r="N287" i="65"/>
  <c r="I343" i="65"/>
  <c r="N629" i="65"/>
  <c r="O629" i="65" s="1"/>
  <c r="I486" i="65"/>
  <c r="N15" i="65"/>
  <c r="O15" i="65" s="1"/>
  <c r="I15" i="65"/>
  <c r="N212" i="65"/>
  <c r="I120" i="65"/>
  <c r="N211" i="65"/>
  <c r="I118" i="65"/>
  <c r="N419" i="65"/>
  <c r="I419" i="65"/>
  <c r="N80" i="65"/>
  <c r="I570" i="65"/>
  <c r="N34" i="65"/>
  <c r="O34" i="65" s="1"/>
  <c r="I34" i="65"/>
  <c r="N397" i="65"/>
  <c r="O397" i="65" s="1"/>
  <c r="I576" i="65"/>
  <c r="N456" i="65"/>
  <c r="I88" i="65"/>
  <c r="N35" i="65"/>
  <c r="I35" i="65"/>
  <c r="N173" i="65"/>
  <c r="I614" i="65"/>
  <c r="N641" i="65"/>
  <c r="I641" i="65"/>
  <c r="N281" i="65"/>
  <c r="O281" i="65" s="1"/>
  <c r="I333" i="65"/>
  <c r="N31" i="65"/>
  <c r="O31" i="65" s="1"/>
  <c r="I31" i="65"/>
  <c r="N302" i="65"/>
  <c r="I381" i="65"/>
  <c r="N463" i="65"/>
  <c r="I86" i="65"/>
  <c r="N284" i="65"/>
  <c r="I338" i="65"/>
  <c r="N505" i="65"/>
  <c r="I90" i="65"/>
  <c r="N385" i="65"/>
  <c r="O385" i="65" s="1"/>
  <c r="I653" i="65"/>
  <c r="N197" i="65"/>
  <c r="O197" i="65" s="1"/>
  <c r="I103" i="65"/>
  <c r="N457" i="65"/>
  <c r="I68" i="65"/>
  <c r="N38" i="65"/>
  <c r="I38" i="65"/>
  <c r="N8" i="65"/>
  <c r="I8" i="65"/>
  <c r="N81" i="65"/>
  <c r="I603" i="65"/>
  <c r="N509" i="65"/>
  <c r="O509" i="65" s="1"/>
  <c r="I96" i="65"/>
  <c r="N508" i="65"/>
  <c r="O508" i="65" s="1"/>
  <c r="I94" i="65"/>
  <c r="N36" i="65"/>
  <c r="I36" i="65"/>
  <c r="N40" i="65"/>
  <c r="I40" i="65"/>
  <c r="N44" i="65"/>
  <c r="I44" i="65"/>
  <c r="N208" i="65"/>
  <c r="I112" i="65"/>
  <c r="N207" i="65"/>
  <c r="O207" i="65" s="1"/>
  <c r="I111" i="65"/>
  <c r="N399" i="65"/>
  <c r="O399" i="65" s="1"/>
  <c r="I577" i="65"/>
  <c r="N675" i="65"/>
  <c r="I402" i="65"/>
  <c r="N14" i="65"/>
  <c r="I14" i="65"/>
  <c r="N400" i="65"/>
  <c r="I578" i="65"/>
  <c r="N17" i="65"/>
  <c r="I17" i="65"/>
  <c r="N43" i="65"/>
  <c r="I43" i="65"/>
  <c r="N418" i="65"/>
  <c r="O418" i="65" s="1"/>
  <c r="I418" i="65"/>
  <c r="N23" i="65"/>
  <c r="I23" i="65"/>
  <c r="N52" i="65"/>
  <c r="I52" i="65"/>
  <c r="N196" i="65"/>
  <c r="I102" i="65"/>
  <c r="N42" i="65"/>
  <c r="I42" i="65"/>
  <c r="D21" i="87"/>
  <c r="D17" i="87"/>
  <c r="D9" i="87"/>
  <c r="N86" i="65"/>
  <c r="O86" i="65" s="1"/>
  <c r="N373" i="65"/>
  <c r="O373" i="65" s="1"/>
  <c r="N571" i="65"/>
  <c r="O571" i="65" s="1"/>
  <c r="N615" i="65"/>
  <c r="O615" i="65" s="1"/>
  <c r="N616" i="65"/>
  <c r="O616" i="65" s="1"/>
  <c r="N409" i="65"/>
  <c r="O409" i="65" s="1"/>
  <c r="N247" i="65"/>
  <c r="O247" i="65" s="1"/>
  <c r="N567" i="65"/>
  <c r="O567" i="65" s="1"/>
  <c r="N66" i="65"/>
  <c r="O66" i="65" s="1"/>
  <c r="N432" i="65"/>
  <c r="O432" i="65" s="1"/>
  <c r="N67" i="65"/>
  <c r="O67" i="65" s="1"/>
  <c r="N381" i="65"/>
  <c r="O381" i="65" s="1"/>
  <c r="N114" i="65"/>
  <c r="O114" i="65" s="1"/>
  <c r="N141" i="65"/>
  <c r="O141" i="65" s="1"/>
  <c r="N292" i="65"/>
  <c r="O292" i="65" s="1"/>
  <c r="N350" i="65"/>
  <c r="O350" i="65" s="1"/>
  <c r="N97" i="65"/>
  <c r="O97" i="65" s="1"/>
  <c r="N244" i="65"/>
  <c r="O244" i="65" s="1"/>
  <c r="N102" i="65"/>
  <c r="O102" i="65" s="1"/>
  <c r="N123" i="65"/>
  <c r="O123" i="65" s="1"/>
  <c r="N221" i="65"/>
  <c r="O221" i="65" s="1"/>
  <c r="N371" i="65"/>
  <c r="O371" i="65" s="1"/>
  <c r="N633" i="65"/>
  <c r="O633" i="65" s="1"/>
  <c r="N360" i="65"/>
  <c r="O360" i="65" s="1"/>
  <c r="N405" i="65"/>
  <c r="O405" i="65" s="1"/>
  <c r="N234" i="65"/>
  <c r="O234" i="65" s="1"/>
  <c r="N239" i="65"/>
  <c r="O239" i="65" s="1"/>
  <c r="N242" i="65"/>
  <c r="O242" i="65" s="1"/>
  <c r="N482" i="65"/>
  <c r="O482" i="65" s="1"/>
  <c r="N526" i="65"/>
  <c r="O526" i="65" s="1"/>
  <c r="N433" i="65"/>
  <c r="O433" i="65" s="1"/>
  <c r="N332" i="65"/>
  <c r="O332" i="65" s="1"/>
  <c r="N90" i="65"/>
  <c r="O90" i="65" s="1"/>
  <c r="N333" i="65"/>
  <c r="O333" i="65" s="1"/>
  <c r="N646" i="65"/>
  <c r="O646" i="65" s="1"/>
  <c r="N551" i="65"/>
  <c r="O551" i="65" s="1"/>
  <c r="N585" i="65"/>
  <c r="O585" i="65" s="1"/>
  <c r="N100" i="65"/>
  <c r="O100" i="65" s="1"/>
  <c r="N488" i="65"/>
  <c r="O488" i="65" s="1"/>
  <c r="N424" i="65"/>
  <c r="O424" i="65" s="1"/>
  <c r="N530" i="65"/>
  <c r="O530" i="65" s="1"/>
  <c r="N96" i="65"/>
  <c r="O96" i="65" s="1"/>
  <c r="N73" i="65"/>
  <c r="O73" i="65" s="1"/>
  <c r="N291" i="65"/>
  <c r="O291" i="65" s="1"/>
  <c r="N348" i="65"/>
  <c r="O348" i="65" s="1"/>
  <c r="N182" i="65"/>
  <c r="O182" i="65" s="1"/>
  <c r="N480" i="65"/>
  <c r="O480" i="65" s="1"/>
  <c r="N555" i="65"/>
  <c r="O555" i="65" s="1"/>
  <c r="N319" i="65"/>
  <c r="O319" i="65" s="1"/>
  <c r="N634" i="65"/>
  <c r="O634" i="65" s="1"/>
  <c r="N340" i="65"/>
  <c r="O340" i="65" s="1"/>
  <c r="N121" i="65"/>
  <c r="O121" i="65" s="1"/>
  <c r="N671" i="65"/>
  <c r="O671" i="65" s="1"/>
  <c r="N185" i="65"/>
  <c r="O185" i="65" s="1"/>
  <c r="N623" i="65"/>
  <c r="O623" i="65" s="1"/>
  <c r="N552" i="65"/>
  <c r="O552" i="65" s="1"/>
  <c r="N368" i="65"/>
  <c r="O368" i="65" s="1"/>
  <c r="N657" i="65"/>
  <c r="O657" i="65" s="1"/>
  <c r="N428" i="65"/>
  <c r="O428" i="65" s="1"/>
  <c r="N71" i="65"/>
  <c r="O71" i="65" s="1"/>
  <c r="N153" i="65"/>
  <c r="O153" i="65" s="1"/>
  <c r="N406" i="65"/>
  <c r="O406" i="65" s="1"/>
  <c r="N654" i="65"/>
  <c r="O654" i="65" s="1"/>
  <c r="N87" i="65"/>
  <c r="O87" i="65" s="1"/>
  <c r="N188" i="65"/>
  <c r="O188" i="65" s="1"/>
  <c r="N549" i="65"/>
  <c r="O549" i="65" s="1"/>
  <c r="N88" i="65"/>
  <c r="O88" i="65" s="1"/>
  <c r="N469" i="65"/>
  <c r="O469" i="65" s="1"/>
  <c r="N364" i="65"/>
  <c r="O364" i="65" s="1"/>
  <c r="N344" i="65"/>
  <c r="O344" i="65" s="1"/>
  <c r="N550" i="65"/>
  <c r="O550" i="65" s="1"/>
  <c r="N282" i="65"/>
  <c r="O282" i="65" s="1"/>
  <c r="N336" i="65"/>
  <c r="O336" i="65" s="1"/>
  <c r="N120" i="65"/>
  <c r="O120" i="65" s="1"/>
  <c r="N490" i="65"/>
  <c r="O490" i="65" s="1"/>
  <c r="N176" i="65"/>
  <c r="O176" i="65" s="1"/>
  <c r="N621" i="65"/>
  <c r="O621" i="65" s="1"/>
  <c r="N265" i="65"/>
  <c r="O265" i="65" s="1"/>
  <c r="N309" i="65"/>
  <c r="O309" i="65" s="1"/>
  <c r="N345" i="65"/>
  <c r="O345" i="65" s="1"/>
  <c r="N233" i="65"/>
  <c r="O233" i="65" s="1"/>
  <c r="N486" i="65"/>
  <c r="O486" i="65" s="1"/>
  <c r="N662" i="65"/>
  <c r="O662" i="65" s="1"/>
  <c r="N474" i="65"/>
  <c r="O474" i="65" s="1"/>
  <c r="N375" i="65"/>
  <c r="O375" i="65" s="1"/>
  <c r="N69" i="65"/>
  <c r="O69" i="65" s="1"/>
  <c r="N431" i="65"/>
  <c r="O431" i="65" s="1"/>
  <c r="N318" i="65"/>
  <c r="O318" i="65" s="1"/>
  <c r="N636" i="65"/>
  <c r="O636" i="65" s="1"/>
  <c r="N682" i="65"/>
  <c r="O682" i="65" s="1"/>
  <c r="N383" i="65"/>
  <c r="O383" i="65" s="1"/>
  <c r="N164" i="65"/>
  <c r="O164" i="65" s="1"/>
  <c r="N573" i="65"/>
  <c r="O573" i="65" s="1"/>
  <c r="N434" i="65"/>
  <c r="O434" i="65" s="1"/>
  <c r="N313" i="65"/>
  <c r="O313" i="65" s="1"/>
  <c r="N355" i="65"/>
  <c r="O355" i="65" s="1"/>
  <c r="N561" i="65"/>
  <c r="O561" i="65" s="1"/>
  <c r="N642" i="65"/>
  <c r="O642" i="65" s="1"/>
  <c r="N330" i="65"/>
  <c r="O330" i="65" s="1"/>
  <c r="N273" i="65"/>
  <c r="O273" i="65" s="1"/>
  <c r="N322" i="65"/>
  <c r="O322" i="65" s="1"/>
  <c r="N681" i="65"/>
  <c r="O681" i="65" s="1"/>
  <c r="N382" i="65"/>
  <c r="O382" i="65" s="1"/>
  <c r="N564" i="65"/>
  <c r="O564" i="65" s="1"/>
  <c r="N665" i="65"/>
  <c r="O665" i="65" s="1"/>
  <c r="N180" i="65"/>
  <c r="O180" i="65" s="1"/>
  <c r="N565" i="65"/>
  <c r="O565" i="65" s="1"/>
  <c r="N183" i="65"/>
  <c r="O183" i="65" s="1"/>
  <c r="N481" i="65"/>
  <c r="O481" i="65" s="1"/>
  <c r="N653" i="65"/>
  <c r="O653" i="65" s="1"/>
  <c r="N514" i="65"/>
  <c r="O514" i="65" s="1"/>
  <c r="N231" i="65"/>
  <c r="O231" i="65" s="1"/>
  <c r="N187" i="65"/>
  <c r="O187" i="65" s="1"/>
  <c r="N343" i="65"/>
  <c r="O343" i="65" s="1"/>
  <c r="N548" i="65"/>
  <c r="O548" i="65" s="1"/>
  <c r="N94" i="65"/>
  <c r="O94" i="65" s="1"/>
  <c r="N224" i="65"/>
  <c r="O224" i="65" s="1"/>
  <c r="N537" i="65"/>
  <c r="O537" i="65" s="1"/>
  <c r="N425" i="65"/>
  <c r="O425" i="65" s="1"/>
  <c r="N98" i="65"/>
  <c r="O98" i="65" s="1"/>
  <c r="N487" i="65"/>
  <c r="O487" i="65" s="1"/>
  <c r="N103" i="65"/>
  <c r="O103" i="65" s="1"/>
  <c r="N124" i="65"/>
  <c r="O124" i="65" s="1"/>
  <c r="N644" i="65"/>
  <c r="O644" i="65" s="1"/>
  <c r="N379" i="65"/>
  <c r="O379" i="65" s="1"/>
  <c r="N179" i="65"/>
  <c r="O179" i="65" s="1"/>
  <c r="N622" i="65"/>
  <c r="O622" i="65" s="1"/>
  <c r="N177" i="65"/>
  <c r="O177" i="65" s="1"/>
  <c r="N7" i="65"/>
  <c r="O7" i="65" s="1"/>
  <c r="N574" i="65"/>
  <c r="O574" i="65" s="1"/>
  <c r="N594" i="65"/>
  <c r="O594" i="65" s="1"/>
  <c r="N263" i="65"/>
  <c r="O263" i="65" s="1"/>
  <c r="N306" i="65"/>
  <c r="O306" i="65" s="1"/>
  <c r="N632" i="65"/>
  <c r="O632" i="65" s="1"/>
  <c r="N579" i="65"/>
  <c r="O579" i="65" s="1"/>
  <c r="N222" i="65"/>
  <c r="O222" i="65" s="1"/>
  <c r="N264" i="65"/>
  <c r="O264" i="65" s="1"/>
  <c r="N308" i="65"/>
  <c r="O308" i="65" s="1"/>
  <c r="N105" i="65"/>
  <c r="O105" i="65" s="1"/>
  <c r="N126" i="65"/>
  <c r="O126" i="65" s="1"/>
  <c r="N353" i="65"/>
  <c r="O353" i="65" s="1"/>
  <c r="N558" i="65"/>
  <c r="O558" i="65" s="1"/>
  <c r="N220" i="65"/>
  <c r="O220" i="65" s="1"/>
  <c r="N339" i="65"/>
  <c r="O339" i="65" s="1"/>
  <c r="N111" i="65"/>
  <c r="O111" i="65" s="1"/>
  <c r="N137" i="65"/>
  <c r="O137" i="65" s="1"/>
  <c r="N407" i="65"/>
  <c r="O407" i="65" s="1"/>
  <c r="N580" i="65"/>
  <c r="O580" i="65" s="1"/>
  <c r="N468" i="65"/>
  <c r="O468" i="65" s="1"/>
  <c r="N635" i="65"/>
  <c r="O635" i="65" s="1"/>
  <c r="N106" i="65"/>
  <c r="O106" i="65" s="1"/>
  <c r="N127" i="65"/>
  <c r="O127" i="65" s="1"/>
  <c r="N274" i="65"/>
  <c r="O274" i="65" s="1"/>
  <c r="N324" i="65"/>
  <c r="O324" i="65" s="1"/>
  <c r="N269" i="65"/>
  <c r="O269" i="65" s="1"/>
  <c r="N314" i="65"/>
  <c r="O314" i="65" s="1"/>
  <c r="N92" i="65"/>
  <c r="O92" i="65" s="1"/>
  <c r="N72" i="65"/>
  <c r="O72" i="65" s="1"/>
  <c r="N275" i="65"/>
  <c r="O275" i="65" s="1"/>
  <c r="N325" i="65"/>
  <c r="O325" i="65" s="1"/>
  <c r="N227" i="65"/>
  <c r="N620" i="65"/>
  <c r="O620" i="65" s="1"/>
  <c r="N553" i="65"/>
  <c r="O553" i="65" s="1"/>
  <c r="N369" i="65"/>
  <c r="O369" i="65" s="1"/>
  <c r="N439" i="65"/>
  <c r="O439" i="65" s="1"/>
  <c r="N335" i="65"/>
  <c r="O335" i="65" s="1"/>
  <c r="N422" i="65"/>
  <c r="O422" i="65" s="1"/>
  <c r="N74" i="65"/>
  <c r="O74" i="65" s="1"/>
  <c r="N447" i="65"/>
  <c r="O447" i="65" s="1"/>
  <c r="N532" i="65"/>
  <c r="O532" i="65" s="1"/>
  <c r="N512" i="65"/>
  <c r="O512" i="65" s="1"/>
  <c r="N149" i="65"/>
  <c r="O149" i="65" s="1"/>
  <c r="N575" i="65"/>
  <c r="O575" i="65" s="1"/>
  <c r="N667" i="65"/>
  <c r="O667" i="65" s="1"/>
  <c r="N570" i="65"/>
  <c r="O570" i="65" s="1"/>
  <c r="N466" i="65"/>
  <c r="O466" i="65" s="1"/>
  <c r="N349" i="65"/>
  <c r="O349" i="65" s="1"/>
  <c r="N341" i="65"/>
  <c r="O341" i="65" s="1"/>
  <c r="N500" i="65"/>
  <c r="O500" i="65" s="1"/>
  <c r="N556" i="65"/>
  <c r="O556" i="65" s="1"/>
  <c r="N315" i="65"/>
  <c r="O315" i="65" s="1"/>
  <c r="N276" i="65"/>
  <c r="O276" i="65" s="1"/>
  <c r="N326" i="65"/>
  <c r="O326" i="65" s="1"/>
  <c r="N118" i="65"/>
  <c r="O118" i="65" s="1"/>
  <c r="N145" i="65"/>
  <c r="O145" i="65" s="1"/>
  <c r="N410" i="65"/>
  <c r="O410" i="65" s="1"/>
  <c r="N529" i="65"/>
  <c r="O529" i="65" s="1"/>
  <c r="N331" i="65"/>
  <c r="O331" i="65" s="1"/>
  <c r="N645" i="65"/>
  <c r="O645" i="65" s="1"/>
  <c r="N576" i="65"/>
  <c r="O576" i="65" s="1"/>
  <c r="N685" i="65"/>
  <c r="O685" i="65" s="1"/>
  <c r="N338" i="65"/>
  <c r="O338" i="65" s="1"/>
  <c r="N647" i="65"/>
  <c r="O647" i="65" s="1"/>
  <c r="N243" i="65"/>
  <c r="O243" i="65" s="1"/>
  <c r="N672" i="65"/>
  <c r="O672" i="65" s="1"/>
  <c r="N614" i="65"/>
  <c r="O614" i="65" s="1"/>
  <c r="N538" i="65"/>
  <c r="O538" i="65" s="1"/>
  <c r="N310" i="65"/>
  <c r="O310" i="65" s="1"/>
  <c r="N520" i="65"/>
  <c r="O520" i="65" s="1"/>
  <c r="N402" i="65"/>
  <c r="O402" i="65" s="1"/>
  <c r="N604" i="65"/>
  <c r="O604" i="65" s="1"/>
  <c r="N272" i="65"/>
  <c r="O272" i="65" s="1"/>
  <c r="N320" i="65"/>
  <c r="O320" i="65" s="1"/>
  <c r="N577" i="65"/>
  <c r="O577" i="65" s="1"/>
  <c r="N595" i="65"/>
  <c r="O595" i="65" s="1"/>
  <c r="N312" i="65"/>
  <c r="O312" i="65" s="1"/>
  <c r="N523" i="65"/>
  <c r="O523" i="65" s="1"/>
  <c r="N403" i="65"/>
  <c r="O403" i="65" s="1"/>
  <c r="N658" i="65"/>
  <c r="O658" i="65" s="1"/>
  <c r="N611" i="65"/>
  <c r="O611" i="65" s="1"/>
  <c r="N652" i="65"/>
  <c r="O652" i="65" s="1"/>
  <c r="N666" i="65"/>
  <c r="O666" i="65" s="1"/>
  <c r="N650" i="65"/>
  <c r="O650" i="65" s="1"/>
  <c r="N684" i="65"/>
  <c r="O684" i="65" s="1"/>
  <c r="N554" i="65"/>
  <c r="O554" i="65" s="1"/>
  <c r="N661" i="65"/>
  <c r="O661" i="65" s="1"/>
  <c r="N290" i="65"/>
  <c r="O290" i="65" s="1"/>
  <c r="N346" i="65"/>
  <c r="O346" i="65" s="1"/>
  <c r="N250" i="65"/>
  <c r="O250" i="65" s="1"/>
  <c r="N374" i="65"/>
  <c r="O374" i="65" s="1"/>
  <c r="N108" i="65"/>
  <c r="O108" i="65" s="1"/>
  <c r="N131" i="65"/>
  <c r="O131" i="65" s="1"/>
  <c r="N337" i="65"/>
  <c r="O337" i="65" s="1"/>
  <c r="N546" i="65"/>
  <c r="O546" i="65" s="1"/>
  <c r="N412" i="65"/>
  <c r="O412" i="65" s="1"/>
  <c r="N184" i="65"/>
  <c r="O184" i="65" s="1"/>
  <c r="N238" i="65"/>
  <c r="O238" i="65" s="1"/>
  <c r="N241" i="65"/>
  <c r="O241" i="65" s="1"/>
  <c r="N270" i="65"/>
  <c r="O270" i="65" s="1"/>
  <c r="N317" i="65"/>
  <c r="O317" i="65" s="1"/>
  <c r="N475" i="65"/>
  <c r="O475" i="65" s="1"/>
  <c r="N93" i="65"/>
  <c r="O93" i="65" s="1"/>
  <c r="N191" i="65"/>
  <c r="O191" i="65" s="1"/>
  <c r="N416" i="65"/>
  <c r="O416" i="65" s="1"/>
  <c r="N249" i="65"/>
  <c r="O249" i="65" s="1"/>
  <c r="N327" i="65"/>
  <c r="O327" i="65" s="1"/>
  <c r="N674" i="65"/>
  <c r="O674" i="65" s="1"/>
  <c r="N401" i="65"/>
  <c r="O401" i="65" s="1"/>
  <c r="N560" i="65"/>
  <c r="O560" i="65" s="1"/>
  <c r="N606" i="65"/>
  <c r="O606" i="65" s="1"/>
  <c r="N411" i="65"/>
  <c r="O411" i="65" s="1"/>
  <c r="N181" i="65"/>
  <c r="O181" i="65" s="1"/>
  <c r="N301" i="65"/>
  <c r="O301" i="65" s="1"/>
  <c r="N377" i="65"/>
  <c r="O377" i="65" s="1"/>
  <c r="N296" i="65"/>
  <c r="O296" i="65" s="1"/>
  <c r="N359" i="65"/>
  <c r="O359" i="65" s="1"/>
  <c r="N248" i="65"/>
  <c r="O248" i="65" s="1"/>
  <c r="N178" i="65"/>
  <c r="O178" i="65" s="1"/>
  <c r="N470" i="65"/>
  <c r="O470" i="65" s="1"/>
  <c r="N95" i="65"/>
  <c r="O95" i="65" s="1"/>
  <c r="N535" i="65"/>
  <c r="O535" i="65" s="1"/>
  <c r="N624" i="65"/>
  <c r="O624" i="65" s="1"/>
  <c r="N651" i="65"/>
  <c r="O651" i="65" s="1"/>
  <c r="N593" i="65"/>
  <c r="O593" i="65" s="1"/>
  <c r="N547" i="65"/>
  <c r="O547" i="65" s="1"/>
  <c r="N582" i="65"/>
  <c r="O582" i="65" s="1"/>
  <c r="N299" i="65"/>
  <c r="O299" i="65" s="1"/>
  <c r="N370" i="65"/>
  <c r="O370" i="65" s="1"/>
  <c r="N192" i="65"/>
  <c r="O192" i="65" s="1"/>
  <c r="N144" i="65"/>
  <c r="O144" i="65" s="1"/>
  <c r="N603" i="65"/>
  <c r="O603" i="65" s="1"/>
  <c r="N460" i="65"/>
  <c r="O460" i="65" s="1"/>
  <c r="N252" i="65"/>
  <c r="O252" i="65" s="1"/>
  <c r="N99" i="65"/>
  <c r="O99" i="65" s="1"/>
  <c r="N430" i="65"/>
  <c r="O430" i="65" s="1"/>
  <c r="N683" i="65"/>
  <c r="O683" i="65" s="1"/>
  <c r="N384" i="65"/>
  <c r="O384" i="65" s="1"/>
  <c r="N116" i="65"/>
  <c r="O116" i="65" s="1"/>
  <c r="N143" i="65"/>
  <c r="O143" i="65" s="1"/>
  <c r="N578" i="65"/>
  <c r="O578" i="65" s="1"/>
  <c r="N596" i="65"/>
  <c r="O596" i="65" s="1"/>
  <c r="N297" i="65"/>
  <c r="O297" i="65" s="1"/>
  <c r="N363" i="65"/>
  <c r="O363" i="65" s="1"/>
  <c r="N104" i="65"/>
  <c r="O104" i="65" s="1"/>
  <c r="N125" i="65"/>
  <c r="O125" i="65" s="1"/>
  <c r="N408" i="65"/>
  <c r="O408" i="65" s="1"/>
  <c r="N426" i="65"/>
  <c r="O426" i="65" s="1"/>
  <c r="N101" i="65"/>
  <c r="O101" i="65" s="1"/>
  <c r="N489" i="65"/>
  <c r="O489" i="65" s="1"/>
  <c r="N68" i="65"/>
  <c r="O68" i="65" s="1"/>
  <c r="N110" i="65"/>
  <c r="O110" i="65" s="1"/>
  <c r="N135" i="65"/>
  <c r="O135" i="65" s="1"/>
  <c r="N89" i="65"/>
  <c r="O89" i="65" s="1"/>
  <c r="N189" i="65"/>
  <c r="O189" i="65" s="1"/>
  <c r="N378" i="65"/>
  <c r="O378" i="65" s="1"/>
  <c r="N122" i="65"/>
  <c r="O122" i="65" s="1"/>
  <c r="N147" i="65"/>
  <c r="O147" i="65" s="1"/>
  <c r="N109" i="65"/>
  <c r="O109" i="65" s="1"/>
  <c r="N133" i="65"/>
  <c r="O133" i="65" s="1"/>
  <c r="N298" i="65"/>
  <c r="O298" i="65" s="1"/>
  <c r="N367" i="65"/>
  <c r="O367" i="65" s="1"/>
  <c r="N91" i="65"/>
  <c r="O91" i="65" s="1"/>
  <c r="N223" i="65"/>
  <c r="O223" i="65" s="1"/>
  <c r="N413" i="65"/>
  <c r="O413" i="65" s="1"/>
  <c r="N334" i="65"/>
  <c r="O334" i="65" s="1"/>
  <c r="N478" i="65"/>
  <c r="O478" i="65" s="1"/>
  <c r="N342" i="65"/>
  <c r="O342" i="65" s="1"/>
  <c r="N112" i="65"/>
  <c r="O112" i="65" s="1"/>
  <c r="N139" i="65"/>
  <c r="O139" i="65" s="1"/>
  <c r="N619" i="65"/>
  <c r="O619" i="65" s="1"/>
  <c r="N328" i="65"/>
  <c r="O328" i="65" s="1"/>
  <c r="N232" i="65"/>
  <c r="N70" i="65"/>
  <c r="O70" i="65" s="1"/>
  <c r="N151" i="65"/>
  <c r="O151" i="65" s="1"/>
  <c r="N513" i="65"/>
  <c r="O513" i="65" s="1"/>
  <c r="N225" i="65"/>
  <c r="O225" i="65" s="1"/>
  <c r="N438" i="65"/>
  <c r="O438" i="65" s="1"/>
  <c r="N323" i="65"/>
  <c r="O323" i="65" s="1"/>
  <c r="N415" i="65"/>
  <c r="O415" i="65" s="1"/>
  <c r="N372" i="65"/>
  <c r="O372" i="65" s="1"/>
  <c r="N423" i="65"/>
  <c r="O423" i="65" s="1"/>
  <c r="N226" i="65"/>
  <c r="O226" i="65" s="1"/>
  <c r="N613" i="65"/>
  <c r="O613" i="65" s="1"/>
  <c r="N414" i="65"/>
  <c r="O414" i="65" s="1"/>
  <c r="N321" i="65"/>
  <c r="O321" i="65" s="1"/>
  <c r="N107" i="65"/>
  <c r="O107" i="65" s="1"/>
  <c r="N129" i="65"/>
  <c r="O129" i="65" s="1"/>
  <c r="N351" i="65"/>
  <c r="O351" i="65" s="1"/>
  <c r="N557" i="65"/>
  <c r="O557" i="65" s="1"/>
  <c r="N617" i="65"/>
  <c r="O617" i="65" s="1"/>
  <c r="N190" i="65"/>
  <c r="O190" i="65" s="1"/>
  <c r="N380" i="65"/>
  <c r="O380" i="65" s="1"/>
  <c r="N267" i="65"/>
  <c r="O267" i="65" s="1"/>
  <c r="N311" i="65"/>
  <c r="O311" i="65" s="1"/>
  <c r="N643" i="65"/>
  <c r="O643" i="65" s="1"/>
  <c r="N531" i="65"/>
  <c r="O531" i="65" s="1"/>
  <c r="N329" i="65"/>
  <c r="O329" i="65" s="1"/>
  <c r="N637" i="65"/>
  <c r="N305" i="65"/>
  <c r="O305" i="65" s="1"/>
  <c r="N476" i="65"/>
  <c r="O476" i="65" s="1"/>
  <c r="N536" i="65"/>
  <c r="O536" i="65" s="1"/>
  <c r="N655" i="65"/>
  <c r="O655" i="65" s="1"/>
  <c r="O211" i="65"/>
  <c r="O465" i="65"/>
  <c r="O237" i="65"/>
  <c r="O201" i="65"/>
  <c r="O12" i="65"/>
  <c r="O559" i="65"/>
  <c r="O64" i="65"/>
  <c r="O511" i="65"/>
  <c r="O612" i="65"/>
  <c r="O171" i="65"/>
  <c r="O42" i="65"/>
  <c r="O563" i="65"/>
  <c r="O503" i="65"/>
  <c r="O566" i="65"/>
  <c r="O295" i="65"/>
  <c r="O262" i="65"/>
  <c r="O266" i="65"/>
  <c r="O618" i="65"/>
  <c r="O404" i="65"/>
  <c r="O455" i="65"/>
  <c r="O203" i="65"/>
  <c r="O609" i="65"/>
  <c r="O210" i="65"/>
  <c r="O36" i="65"/>
  <c r="O173" i="65"/>
  <c r="O209" i="65"/>
  <c r="O202" i="65"/>
  <c r="O46" i="65"/>
  <c r="O419" i="65"/>
  <c r="O212" i="65"/>
  <c r="O85" i="65"/>
  <c r="O80" i="65"/>
  <c r="O389" i="65"/>
  <c r="O32" i="65"/>
  <c r="O205" i="65"/>
  <c r="O271" i="65"/>
  <c r="O533" i="65"/>
  <c r="O43" i="65"/>
  <c r="O17" i="65"/>
  <c r="O39" i="65"/>
  <c r="O79" i="65"/>
  <c r="O457" i="65"/>
  <c r="O194" i="65"/>
  <c r="O277" i="65"/>
  <c r="O287" i="65"/>
  <c r="O506" i="65"/>
  <c r="O35" i="65"/>
  <c r="O45" i="65"/>
  <c r="O8" i="65"/>
  <c r="O280" i="65"/>
  <c r="O52" i="65"/>
  <c r="O30" i="65"/>
  <c r="O41" i="65"/>
  <c r="O507" i="65"/>
  <c r="O200" i="65"/>
  <c r="O23" i="65"/>
  <c r="O65" i="65"/>
  <c r="O37" i="65"/>
  <c r="O186" i="65"/>
  <c r="O163" i="65"/>
  <c r="O172" i="65"/>
  <c r="O284" i="65"/>
  <c r="O193" i="65"/>
  <c r="O279" i="65"/>
  <c r="O29" i="65"/>
  <c r="O463" i="65"/>
  <c r="O505" i="65"/>
  <c r="O14" i="65"/>
  <c r="O456" i="65"/>
  <c r="O208" i="65"/>
  <c r="O206" i="65"/>
  <c r="O675" i="65"/>
  <c r="O44" i="65"/>
  <c r="O25" i="65"/>
  <c r="O293" i="65"/>
  <c r="O393" i="65"/>
  <c r="O165" i="65"/>
  <c r="O417" i="65"/>
  <c r="O40" i="65"/>
  <c r="O628" i="65"/>
  <c r="O649" i="65"/>
  <c r="O18" i="65"/>
  <c r="O38" i="65"/>
  <c r="O81" i="65"/>
  <c r="O462" i="65"/>
  <c r="O362" i="65"/>
  <c r="O268" i="65"/>
  <c r="O608" i="65"/>
  <c r="O302" i="65"/>
  <c r="O22" i="65"/>
  <c r="O196" i="65"/>
  <c r="O21" i="65"/>
  <c r="O174" i="65"/>
  <c r="O400" i="65"/>
  <c r="O213" i="65"/>
  <c r="O214" i="65"/>
  <c r="O204" i="65"/>
  <c r="O33" i="65"/>
  <c r="O27" i="65"/>
  <c r="O169" i="65"/>
  <c r="O170" i="65"/>
  <c r="O195" i="65"/>
  <c r="O641" i="65"/>
  <c r="AK326" i="69"/>
  <c r="AS326" i="69"/>
  <c r="D10" i="68"/>
  <c r="D42" i="68" s="1"/>
  <c r="D73" i="68" s="1"/>
  <c r="H10" i="68"/>
  <c r="H42" i="68" s="1"/>
  <c r="H73" i="68" s="1"/>
  <c r="G10" i="68"/>
  <c r="G42" i="68" s="1"/>
  <c r="G73" i="68" s="1"/>
  <c r="E10" i="68"/>
  <c r="E42" i="68" s="1"/>
  <c r="E73" i="68" s="1"/>
  <c r="F10" i="68"/>
  <c r="F42" i="68" s="1"/>
  <c r="F73" i="68" s="1"/>
  <c r="I10" i="68"/>
  <c r="I42" i="68" s="1"/>
  <c r="I73" i="68" s="1"/>
  <c r="D10" i="87" l="1"/>
  <c r="D11" i="87" s="1"/>
  <c r="D28" i="87" s="1"/>
  <c r="D18" i="87"/>
  <c r="D19" i="87" s="1"/>
  <c r="D29" i="87" s="1"/>
  <c r="H11" i="76"/>
  <c r="G6" i="87"/>
  <c r="G11" i="76"/>
  <c r="F6" i="87"/>
  <c r="I11" i="76"/>
  <c r="H6" i="87"/>
  <c r="J11" i="76"/>
  <c r="I6" i="87"/>
  <c r="K11" i="76"/>
  <c r="J6" i="87"/>
  <c r="D25" i="87"/>
  <c r="F11" i="76"/>
  <c r="E6" i="87"/>
  <c r="D26" i="87"/>
  <c r="K245" i="65"/>
  <c r="AU326" i="69"/>
  <c r="AR326" i="69"/>
  <c r="K496" i="65" s="1"/>
  <c r="H18" i="68"/>
  <c r="J20" i="76" s="1"/>
  <c r="F18" i="68"/>
  <c r="H20" i="76" s="1"/>
  <c r="E18" i="68"/>
  <c r="G20" i="76" s="1"/>
  <c r="I18" i="68"/>
  <c r="K20" i="76" s="1"/>
  <c r="G18" i="68"/>
  <c r="I20" i="76" s="1"/>
  <c r="AT326" i="69"/>
  <c r="AJ25" i="68"/>
  <c r="D18" i="68"/>
  <c r="F20" i="76" s="1"/>
  <c r="G21" i="87" l="1"/>
  <c r="F21" i="87"/>
  <c r="H21" i="87"/>
  <c r="H17" i="87"/>
  <c r="I21" i="87"/>
  <c r="I17" i="87"/>
  <c r="J21" i="87"/>
  <c r="G53" i="87"/>
  <c r="E21" i="87"/>
  <c r="I9" i="87"/>
  <c r="H9" i="87"/>
  <c r="F9" i="87"/>
  <c r="E17" i="87"/>
  <c r="E9" i="87"/>
  <c r="J9" i="87"/>
  <c r="J17" i="87"/>
  <c r="G17" i="87"/>
  <c r="G9" i="87"/>
  <c r="D30" i="87"/>
  <c r="L245" i="65"/>
  <c r="L496" i="65"/>
  <c r="M245" i="65"/>
  <c r="M496" i="65"/>
  <c r="AV326" i="69"/>
  <c r="I496" i="65" s="1"/>
  <c r="N9" i="76"/>
  <c r="D11" i="76"/>
  <c r="E53" i="87" l="1"/>
  <c r="E58" i="87" s="1"/>
  <c r="E67" i="87" s="1"/>
  <c r="F17" i="87"/>
  <c r="M26" i="87" s="1"/>
  <c r="G58" i="87"/>
  <c r="H10" i="87"/>
  <c r="H11" i="87" s="1"/>
  <c r="H28" i="87" s="1"/>
  <c r="F10" i="87"/>
  <c r="F11" i="87" s="1"/>
  <c r="F28" i="87" s="1"/>
  <c r="J10" i="87"/>
  <c r="J11" i="87" s="1"/>
  <c r="J28" i="87" s="1"/>
  <c r="I10" i="87"/>
  <c r="I11" i="87" s="1"/>
  <c r="I28" i="87" s="1"/>
  <c r="G10" i="87"/>
  <c r="G11" i="87" s="1"/>
  <c r="G28" i="87" s="1"/>
  <c r="E10" i="87"/>
  <c r="E11" i="87" s="1"/>
  <c r="E28" i="87" s="1"/>
  <c r="E18" i="87"/>
  <c r="E19" i="87" s="1"/>
  <c r="E29" i="87" s="1"/>
  <c r="F25" i="87"/>
  <c r="H25" i="87"/>
  <c r="I25" i="87"/>
  <c r="J25" i="87"/>
  <c r="E25" i="87"/>
  <c r="G25" i="87"/>
  <c r="E26" i="87"/>
  <c r="N245" i="65"/>
  <c r="O245" i="65" s="1"/>
  <c r="N496" i="65"/>
  <c r="O496" i="65" s="1"/>
  <c r="O227" i="65"/>
  <c r="N8" i="76"/>
  <c r="B9" i="68"/>
  <c r="C5" i="87" s="1"/>
  <c r="N10" i="68"/>
  <c r="B20" i="68"/>
  <c r="D21" i="76" s="1"/>
  <c r="G26" i="87" l="1"/>
  <c r="F26" i="87"/>
  <c r="H18" i="87"/>
  <c r="H19" i="87" s="1"/>
  <c r="H29" i="87" s="1"/>
  <c r="H30" i="87" s="1"/>
  <c r="G18" i="87"/>
  <c r="G19" i="87" s="1"/>
  <c r="G29" i="87" s="1"/>
  <c r="G30" i="87" s="1"/>
  <c r="H26" i="87"/>
  <c r="J18" i="87"/>
  <c r="J19" i="87" s="1"/>
  <c r="J29" i="87" s="1"/>
  <c r="J30" i="87" s="1"/>
  <c r="I26" i="87"/>
  <c r="F18" i="87"/>
  <c r="F19" i="87" s="1"/>
  <c r="F29" i="87" s="1"/>
  <c r="F30" i="87" s="1"/>
  <c r="I53" i="87"/>
  <c r="I18" i="87"/>
  <c r="I19" i="87" s="1"/>
  <c r="I29" i="87" s="1"/>
  <c r="I30" i="87" s="1"/>
  <c r="J26" i="87"/>
  <c r="C9" i="87"/>
  <c r="J40" i="87" s="1"/>
  <c r="N25" i="68"/>
  <c r="O21" i="87" s="1"/>
  <c r="O6" i="87"/>
  <c r="I58" i="87"/>
  <c r="E30" i="87"/>
  <c r="D10" i="76"/>
  <c r="O20" i="87" l="1"/>
  <c r="I48" i="87"/>
  <c r="G61" i="87"/>
  <c r="B17" i="68"/>
  <c r="D19" i="76" s="1"/>
  <c r="G66" i="87" l="1"/>
  <c r="I77" i="87"/>
  <c r="I61" i="87"/>
  <c r="AL18" i="68"/>
  <c r="AJ46" i="68"/>
  <c r="AH46" i="68"/>
  <c r="AJ45" i="68"/>
  <c r="AH45" i="68"/>
  <c r="AJ42" i="68"/>
  <c r="AH42" i="68"/>
  <c r="AJ41" i="68"/>
  <c r="AH41" i="68"/>
  <c r="AL35" i="68"/>
  <c r="AL34" i="68"/>
  <c r="AJ33" i="68"/>
  <c r="AJ38" i="68" s="1"/>
  <c r="I66" i="87" l="1"/>
  <c r="G67" i="87"/>
  <c r="I67" i="87" s="1"/>
  <c r="I74" i="87" s="1"/>
  <c r="I83" i="87" s="1"/>
  <c r="AH36" i="68"/>
  <c r="AL36" i="68" s="1"/>
  <c r="AQ20" i="68"/>
  <c r="B13" i="68"/>
  <c r="D13" i="76" s="1"/>
  <c r="AL11" i="68"/>
  <c r="AL20" i="68" s="1"/>
  <c r="I76" i="87" l="1"/>
  <c r="I79" i="87" s="1"/>
  <c r="I81" i="87" s="1"/>
  <c r="B21" i="68"/>
  <c r="AH33" i="68"/>
  <c r="D22" i="76" l="1"/>
  <c r="AH38" i="68"/>
  <c r="AL38" i="68" s="1"/>
  <c r="AL33" i="68"/>
  <c r="AL49" i="68"/>
  <c r="D7" i="68" l="1"/>
  <c r="E7" i="68"/>
  <c r="F7" i="68"/>
  <c r="G7" i="68"/>
  <c r="H7" i="68"/>
  <c r="I7" i="68"/>
  <c r="C7" i="68"/>
  <c r="AJ30" i="68" l="1"/>
  <c r="AJ39" i="68" s="1"/>
  <c r="I13" i="68"/>
  <c r="K13" i="76" s="1"/>
  <c r="E13" i="68"/>
  <c r="G13" i="76" s="1"/>
  <c r="H13" i="68"/>
  <c r="J13" i="76" s="1"/>
  <c r="C13" i="68"/>
  <c r="E13" i="76" s="1"/>
  <c r="G13" i="68"/>
  <c r="I13" i="76" s="1"/>
  <c r="F13" i="68"/>
  <c r="H13" i="76" s="1"/>
  <c r="D13" i="68"/>
  <c r="F13" i="76" s="1"/>
  <c r="F14" i="68" l="1"/>
  <c r="H14" i="76" s="1"/>
  <c r="I14" i="68"/>
  <c r="K14" i="76" s="1"/>
  <c r="N22" i="76" s="1"/>
  <c r="E14" i="68"/>
  <c r="G14" i="76" s="1"/>
  <c r="H14" i="68"/>
  <c r="J14" i="76" s="1"/>
  <c r="G14" i="68"/>
  <c r="I14" i="76" s="1"/>
  <c r="D14" i="68"/>
  <c r="F14" i="76" s="1"/>
  <c r="C14" i="68"/>
  <c r="E14" i="76" s="1"/>
  <c r="G29" i="68"/>
  <c r="C29" i="68"/>
  <c r="F29" i="68"/>
  <c r="I29" i="68"/>
  <c r="E29" i="68"/>
  <c r="H29" i="68"/>
  <c r="D29" i="68"/>
  <c r="H21" i="68"/>
  <c r="J22" i="76" s="1"/>
  <c r="AH25" i="68"/>
  <c r="AL25" i="68" s="1"/>
  <c r="I21" i="68"/>
  <c r="K22" i="76" s="1"/>
  <c r="G21" i="68"/>
  <c r="I22" i="76" s="1"/>
  <c r="E21" i="68"/>
  <c r="G22" i="76" s="1"/>
  <c r="F21" i="68"/>
  <c r="H22" i="76" s="1"/>
  <c r="G15" i="68" l="1"/>
  <c r="I15" i="76" s="1"/>
  <c r="D15" i="68"/>
  <c r="F15" i="76" s="1"/>
  <c r="I15" i="68"/>
  <c r="K15" i="76" s="1"/>
  <c r="F15" i="68"/>
  <c r="H15" i="76" s="1"/>
  <c r="H15" i="68"/>
  <c r="J15" i="76" s="1"/>
  <c r="C15" i="68"/>
  <c r="E15" i="76" s="1"/>
  <c r="E15" i="68"/>
  <c r="G15" i="76" s="1"/>
  <c r="AH30" i="68"/>
  <c r="D21" i="68"/>
  <c r="F22" i="76" s="1"/>
  <c r="C21" i="68"/>
  <c r="E22" i="76" l="1"/>
  <c r="L30" i="68"/>
  <c r="N22" i="68" s="1"/>
  <c r="O18" i="87" s="1"/>
  <c r="C32" i="68"/>
  <c r="F32" i="68"/>
  <c r="H32" i="68"/>
  <c r="D32" i="68"/>
  <c r="E32" i="68"/>
  <c r="I32" i="68"/>
  <c r="G32" i="68"/>
  <c r="C22" i="68"/>
  <c r="I22" i="68"/>
  <c r="E22" i="68"/>
  <c r="D22" i="68"/>
  <c r="F22" i="68"/>
  <c r="H22" i="68"/>
  <c r="G22" i="68"/>
  <c r="F30" i="68"/>
  <c r="I30" i="68"/>
  <c r="E30" i="68"/>
  <c r="H30" i="68"/>
  <c r="D30" i="68"/>
  <c r="G30" i="68"/>
  <c r="C30" i="68"/>
  <c r="AL30" i="68"/>
  <c r="AO32" i="68" s="1"/>
  <c r="AH39" i="68"/>
  <c r="AL39" i="68" s="1"/>
  <c r="E23" i="76" l="1"/>
  <c r="I23" i="76"/>
  <c r="F23" i="76"/>
  <c r="J23" i="76"/>
  <c r="G23" i="76"/>
  <c r="H23" i="76"/>
  <c r="K23" i="76"/>
  <c r="N23" i="76" s="1"/>
  <c r="G23" i="68"/>
  <c r="D23" i="68"/>
  <c r="H23" i="68"/>
  <c r="E23" i="68"/>
  <c r="F23" i="68"/>
  <c r="C23" i="68"/>
  <c r="I23" i="68"/>
  <c r="AL46" i="68"/>
  <c r="N24" i="68"/>
  <c r="AL55" i="68" l="1"/>
  <c r="N14" i="68" s="1"/>
  <c r="G24" i="76"/>
  <c r="F24" i="76"/>
  <c r="H24" i="76"/>
  <c r="I24" i="76"/>
  <c r="K24" i="76"/>
  <c r="J24" i="76"/>
  <c r="N26" i="76"/>
  <c r="C33" i="68"/>
  <c r="C34" i="68" s="1"/>
  <c r="E24" i="76"/>
  <c r="D33" i="68"/>
  <c r="D34" i="68" s="1"/>
  <c r="H33" i="68"/>
  <c r="H34" i="68" s="1"/>
  <c r="I33" i="68"/>
  <c r="I34" i="68" s="1"/>
  <c r="E33" i="68"/>
  <c r="E34" i="68" s="1"/>
  <c r="F33" i="68"/>
  <c r="F34" i="68" s="1"/>
  <c r="G33" i="68"/>
  <c r="G34" i="68" s="1"/>
  <c r="AL48" i="68"/>
  <c r="AL51" i="68" s="1"/>
  <c r="AL53" i="68" s="1"/>
  <c r="O10" i="87" l="1"/>
  <c r="J6" i="76" l="1"/>
  <c r="O232" i="65"/>
  <c r="H637" i="65"/>
  <c r="P637" i="65" s="1"/>
  <c r="I637" i="65"/>
  <c r="O637" i="65" l="1"/>
  <c r="H398" i="65" l="1"/>
  <c r="P398" i="65" s="1"/>
  <c r="AW616" i="69"/>
  <c r="I398" i="65" s="1"/>
  <c r="O398" i="6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Pedroso Magri, Fagner</author>
  </authors>
  <commentList>
    <comment ref="F10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REFORMA: AGO/21 - </t>
        </r>
      </text>
    </comment>
    <comment ref="F12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JUN/21</t>
        </r>
      </text>
    </comment>
    <comment ref="F14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AINDA NÃO SAIU! SERÁ A ÚLTIMA</t>
        </r>
      </text>
    </comment>
    <comment ref="F15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sendo reformada atualmente</t>
        </r>
      </text>
    </comment>
    <comment ref="F23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REFORMA: JAN/22 - </t>
        </r>
      </text>
    </comment>
    <comment ref="F26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SUBSTITUIR</t>
        </r>
      </text>
    </comment>
    <comment ref="F31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parada 2019/20</t>
        </r>
      </text>
    </comment>
    <comment ref="F37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reformada na prada 2021/22</t>
        </r>
      </text>
    </comment>
    <comment ref="F52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OUT/21 - </t>
        </r>
      </text>
    </comment>
    <comment ref="F68" authorId="0" shapeId="0" xr:uid="{00000000-0006-0000-0100-00000A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REVISAR LCC</t>
        </r>
      </text>
    </comment>
    <comment ref="F178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OBSOLESCÊNCIA MECÂNICA + ELO PARCIAL</t>
        </r>
      </text>
    </comment>
    <comment ref="F181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OBSOLESCÊNCIA MECÂNICA + ELO PARCIAL</t>
        </r>
      </text>
    </comment>
    <comment ref="F184" authorId="0" shapeId="0" xr:uid="{00000000-0006-0000-0100-00000D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OBSOLESCÊNCIA MECÂNICA + ELO PARCIAL</t>
        </r>
      </text>
    </comment>
    <comment ref="F187" authorId="0" shapeId="0" xr:uid="{00000000-0006-0000-0100-00000E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OBSOLESCÊNCIA MECÂNICA + ELO PARCIAL</t>
        </r>
      </text>
    </comment>
    <comment ref="F247" authorId="0" shapeId="0" xr:uid="{00000000-0006-0000-0100-00000F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problemas com fornecimento de peças - Alemanha</t>
        </r>
      </text>
    </comment>
    <comment ref="F306" authorId="0" shapeId="0" xr:uid="{00000000-0006-0000-0100-000010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platô trincado</t>
        </r>
      </text>
    </comment>
    <comment ref="F308" authorId="0" shapeId="0" xr:uid="{00000000-0006-0000-0100-000011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reformar conjunto de fechamento</t>
        </r>
      </text>
    </comment>
    <comment ref="F313" authorId="0" shapeId="0" xr:uid="{00000000-0006-0000-0100-000012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VAI SAIR</t>
        </r>
      </text>
    </comment>
    <comment ref="F322" authorId="0" shapeId="0" xr:uid="{00000000-0006-0000-0100-000013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avaliar, pois é antiga e mecanicamente já não garante mais</t>
        </r>
      </text>
    </comment>
    <comment ref="F425" authorId="0" shapeId="0" xr:uid="{00000000-0006-0000-0100-000014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P1</t>
        </r>
      </text>
    </comment>
    <comment ref="F557" authorId="0" shapeId="0" xr:uid="{00000000-0006-0000-0100-000015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SUBSTITUIR</t>
        </r>
      </text>
    </comment>
    <comment ref="F558" authorId="0" shapeId="0" xr:uid="{00000000-0006-0000-0100-000016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RETROFIT</t>
        </r>
      </text>
    </comment>
    <comment ref="F561" authorId="0" shapeId="0" xr:uid="{00000000-0006-0000-0100-000017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RETROFIT</t>
        </r>
      </text>
    </comment>
    <comment ref="F585" authorId="0" shapeId="0" xr:uid="{00000000-0006-0000-0100-000018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OBSOLESCÊNCIA MEC + ELE</t>
        </r>
      </text>
    </comment>
    <comment ref="F654" authorId="0" shapeId="0" xr:uid="{00000000-0006-0000-0100-000019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P1</t>
        </r>
      </text>
    </comment>
    <comment ref="F665" authorId="0" shapeId="0" xr:uid="{00000000-0006-0000-0100-00001A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Célula com automação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Pedroso Magri, Fagner</author>
    <author>Ribeiro Spader, Ana Leticia</author>
    <author>tc={C547287E-3A5F-41F4-97CD-70C431A48587}</author>
  </authors>
  <commentList>
    <comment ref="K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pegar da IW38
=SEERRO(PROCV(C2;[Custo_Total_Manutenção.xlsx]Custo_Total_Manut_2022!$A:$B;2;FALSO);"")</t>
        </r>
      </text>
    </comment>
    <comment ref="M1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ou planilha Luan - HT</t>
        </r>
      </text>
    </comment>
    <comment ref="N1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Pedroso Magri, Fagner:
BD_LCC - &gt; MTBF  ACUM</t>
        </r>
      </text>
    </comment>
    <comment ref="P1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base zus - 2021</t>
        </r>
      </text>
    </comment>
    <comment ref="X1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=SEERRO(PROCV(C2;'CUSTOS KSB1.xlsx'!_KSB1[#Tudo];4;FALSO);"")</t>
        </r>
      </text>
    </comment>
    <comment ref="AZ1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zfi - verificado zfi -&gt; transação imobilizado</t>
        </r>
      </text>
    </comment>
    <comment ref="I77" authorId="1" shapeId="0" xr:uid="{00000000-0006-0000-0400-000007000000}">
      <text>
        <r>
          <rPr>
            <b/>
            <sz val="9"/>
            <color indexed="81"/>
            <rFont val="Segoe UI"/>
            <family val="2"/>
          </rPr>
          <t>Ribeiro Spader, Ana Leticia:</t>
        </r>
        <r>
          <rPr>
            <sz val="9"/>
            <color indexed="81"/>
            <rFont val="Segoe UI"/>
            <family val="2"/>
          </rPr>
          <t xml:space="preserve">
Valor da NOTA FISCAL, empresa JOINT</t>
        </r>
      </text>
    </comment>
    <comment ref="G171" authorId="1" shapeId="0" xr:uid="{00000000-0006-0000-0400-000008000000}">
      <text>
        <r>
          <rPr>
            <b/>
            <sz val="9"/>
            <color indexed="81"/>
            <rFont val="Segoe UI"/>
            <family val="2"/>
          </rPr>
          <t>Ribeiro Spader, Ana Leticia:</t>
        </r>
        <r>
          <rPr>
            <sz val="9"/>
            <color indexed="81"/>
            <rFont val="Segoe UI"/>
            <family val="2"/>
          </rPr>
          <t xml:space="preserve">
No SAP está repetido com CEN064</t>
        </r>
      </text>
    </comment>
    <comment ref="C362" authorId="0" shapeId="0" xr:uid="{00000000-0006-0000-0400-000009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revisar em relação à reforma recente</t>
        </r>
      </text>
    </comment>
    <comment ref="L420" authorId="2" shapeId="0" xr:uid="{C547287E-3A5F-41F4-97CD-70C431A485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1,16 - última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Pedroso Magri, Fagner</author>
  </authors>
  <commentList>
    <comment ref="D30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Pedroso Magri, Fagner:</t>
        </r>
        <r>
          <rPr>
            <sz val="9"/>
            <color indexed="81"/>
            <rFont val="Segoe UI"/>
            <family val="2"/>
          </rPr>
          <t xml:space="preserve">
à partir daqui para baixo, foi realizado a média geral, pois mudou a moeda neste ano (plano real)</t>
        </r>
      </text>
    </comment>
  </commentList>
</comments>
</file>

<file path=xl/sharedStrings.xml><?xml version="1.0" encoding="utf-8"?>
<sst xmlns="http://schemas.openxmlformats.org/spreadsheetml/2006/main" count="7457" uniqueCount="2166">
  <si>
    <t>Nº SAP</t>
  </si>
  <si>
    <t>LAS003-MÁQUINA LASER DE CORTE</t>
  </si>
  <si>
    <t>MAN010-MANDRILADORA</t>
  </si>
  <si>
    <t>INJ030-INJETORA DE ALUMÍNIO</t>
  </si>
  <si>
    <t>CEN018-CENTRO DE USINAGEM</t>
  </si>
  <si>
    <t>INJ015-INJETORA DE ALUMÍNIO</t>
  </si>
  <si>
    <t>CEN023-CENTRO DE USINAGEM</t>
  </si>
  <si>
    <t>LAS001-MÁQUINA LASER DE CORTE E SOLDA</t>
  </si>
  <si>
    <t>CEN017-CENTRO DE USINAGEM</t>
  </si>
  <si>
    <t>FIL001-FILTRO OLEO DE CORTE</t>
  </si>
  <si>
    <t>CEN056-CENTRO DE USINAGEM</t>
  </si>
  <si>
    <t>INJ012-INJETORA DE ALUMÍNIO</t>
  </si>
  <si>
    <t>CEN057-CENTRO DE USINAGEM</t>
  </si>
  <si>
    <t>REB003-REBARBAÇÃO ELETROQUÍMICA</t>
  </si>
  <si>
    <t>RET017-RETÍFICA RANHURA</t>
  </si>
  <si>
    <t>RET014-RETÍFICA RANHURA</t>
  </si>
  <si>
    <t>RET015-RETÍFICA RANHURA</t>
  </si>
  <si>
    <t>RET013-RETÍFICA RANHURA</t>
  </si>
  <si>
    <t>ID</t>
  </si>
  <si>
    <t>RET015</t>
  </si>
  <si>
    <t>Equipamento Atual</t>
  </si>
  <si>
    <t>Taxa</t>
  </si>
  <si>
    <t>Ano</t>
  </si>
  <si>
    <t>Custo de Aquisição</t>
  </si>
  <si>
    <t>Custos Manutenção</t>
  </si>
  <si>
    <t>Fluxo de Caixa Resultante</t>
  </si>
  <si>
    <t>VPL</t>
  </si>
  <si>
    <t>Equipamento Novo</t>
  </si>
  <si>
    <t>INJ028</t>
  </si>
  <si>
    <t>CEN017</t>
  </si>
  <si>
    <t>CEN018</t>
  </si>
  <si>
    <t>CEN023</t>
  </si>
  <si>
    <t>CEN056</t>
  </si>
  <si>
    <t>CEN057</t>
  </si>
  <si>
    <t>FIL001</t>
  </si>
  <si>
    <t>INJ012</t>
  </si>
  <si>
    <t>INJ015</t>
  </si>
  <si>
    <t>INJ030</t>
  </si>
  <si>
    <t>LAS001</t>
  </si>
  <si>
    <t>LAS003</t>
  </si>
  <si>
    <t>MAN010</t>
  </si>
  <si>
    <t>REB003</t>
  </si>
  <si>
    <t>RET013</t>
  </si>
  <si>
    <t>RET014</t>
  </si>
  <si>
    <t>RET017</t>
  </si>
  <si>
    <t>TOR014</t>
  </si>
  <si>
    <t>TAG</t>
  </si>
  <si>
    <t>Centro Custo</t>
  </si>
  <si>
    <t>Imobilizado</t>
  </si>
  <si>
    <t>Denominação</t>
  </si>
  <si>
    <t>Ano Aquisição</t>
  </si>
  <si>
    <t>INJ017-INJETORA DE PLÁSTICO</t>
  </si>
  <si>
    <t>INJ017</t>
  </si>
  <si>
    <t>Fluxo de Caixa</t>
  </si>
  <si>
    <t xml:space="preserve">                                                               ROI Calculation</t>
  </si>
  <si>
    <t>Investment Project:</t>
  </si>
  <si>
    <t>Date:</t>
  </si>
  <si>
    <t>TBRL</t>
  </si>
  <si>
    <t>1.</t>
  </si>
  <si>
    <t>Required Capital</t>
  </si>
  <si>
    <t>Future</t>
  </si>
  <si>
    <t>Current</t>
  </si>
  <si>
    <t>A. Fixed Assets</t>
  </si>
  <si>
    <t xml:space="preserve">     1. Machine</t>
  </si>
  <si>
    <t>Retrofit</t>
  </si>
  <si>
    <t xml:space="preserve">     Installation</t>
  </si>
  <si>
    <t xml:space="preserve">     2. Tooling and fixtures</t>
  </si>
  <si>
    <t>B. One Time Expenses</t>
  </si>
  <si>
    <t xml:space="preserve"> Expenses (flow rack + instalation)</t>
  </si>
  <si>
    <t>C. Assets retirement</t>
  </si>
  <si>
    <t>D. Investment Subsidy</t>
  </si>
  <si>
    <t>E. Required Capital Difference</t>
  </si>
  <si>
    <t>2.</t>
  </si>
  <si>
    <t>Quantity/Unit</t>
  </si>
  <si>
    <t>Change</t>
  </si>
  <si>
    <t>3.</t>
  </si>
  <si>
    <t>Cost Comparison</t>
  </si>
  <si>
    <t>A. Variable Cost</t>
  </si>
  <si>
    <t>Maintenance Costs (7 years average)</t>
  </si>
  <si>
    <t>SUM  A</t>
  </si>
  <si>
    <t>B. Fixed Cost</t>
  </si>
  <si>
    <t xml:space="preserve">     Depreciation 7 yrs</t>
  </si>
  <si>
    <t xml:space="preserve">     Depreciation Tooling &gt; 17,5 TBRL</t>
  </si>
  <si>
    <t>Shoots</t>
  </si>
  <si>
    <t xml:space="preserve">     Depreciation Tooling &lt; 17,5 TBRL</t>
  </si>
  <si>
    <t>7 years</t>
  </si>
  <si>
    <t xml:space="preserve">     Depreciation 7 yrs - One Time Expenses</t>
  </si>
  <si>
    <t>SUM  B</t>
  </si>
  <si>
    <t>TOTAL  SUM  A  AND  B</t>
  </si>
  <si>
    <t>C. Var. cost per unit</t>
  </si>
  <si>
    <t xml:space="preserve">     Fixed cost per unit</t>
  </si>
  <si>
    <t>4.</t>
  </si>
  <si>
    <t>Exp. net receipt/unit</t>
  </si>
  <si>
    <t>5.</t>
  </si>
  <si>
    <t>Sales</t>
  </si>
  <si>
    <t>6.</t>
  </si>
  <si>
    <t>Profit (5 - 3A - 3B)</t>
  </si>
  <si>
    <t>7.</t>
  </si>
  <si>
    <t>Cash Flow</t>
  </si>
  <si>
    <t>A. Profit</t>
  </si>
  <si>
    <t>B. + Depreciation</t>
  </si>
  <si>
    <t>C. + Invest. allow.'s                    7 yrs.</t>
  </si>
  <si>
    <t>D. = Pay back/gross CF</t>
  </si>
  <si>
    <t>8.</t>
  </si>
  <si>
    <t>Amortization (1E : 7D)</t>
  </si>
  <si>
    <t>Maximum Amortization</t>
  </si>
  <si>
    <t>9.</t>
  </si>
  <si>
    <t>Yield (7A) : 1E</t>
  </si>
  <si>
    <t>Minimum Yield: 20 %</t>
  </si>
  <si>
    <t>SKB:</t>
  </si>
  <si>
    <t>ROI</t>
  </si>
  <si>
    <t>BRU004-BRUNIDORA</t>
  </si>
  <si>
    <t>RET016-RETÍFICA RANHURA</t>
  </si>
  <si>
    <t>FOR016</t>
  </si>
  <si>
    <t>FOR016-FORNO DE REVENIMENTO</t>
  </si>
  <si>
    <t>REB004</t>
  </si>
  <si>
    <t>REB004-REBARBAÇÃO ELETROQUÍMICA</t>
  </si>
  <si>
    <t>REB002</t>
  </si>
  <si>
    <t>REB002-REBARBAÇÃO ELETROQUÍMICA</t>
  </si>
  <si>
    <t>MOD020</t>
  </si>
  <si>
    <t>MOD020-MONTADORA</t>
  </si>
  <si>
    <t>FOR017</t>
  </si>
  <si>
    <t>FOR017-FORNO DE REVENIMENTO</t>
  </si>
  <si>
    <t>MOD013</t>
  </si>
  <si>
    <t>MOD013-MONTADORA</t>
  </si>
  <si>
    <t>ROB006</t>
  </si>
  <si>
    <t>ROB006-ROBO</t>
  </si>
  <si>
    <t>BRU048</t>
  </si>
  <si>
    <t>BRU048-BRUNIDORA</t>
  </si>
  <si>
    <t>MOD022</t>
  </si>
  <si>
    <t>MOD022-MONTADORA</t>
  </si>
  <si>
    <t>ROB003</t>
  </si>
  <si>
    <t>ROB003-ROBÔ</t>
  </si>
  <si>
    <t>ROB004</t>
  </si>
  <si>
    <t>ROB004-ROBÔ</t>
  </si>
  <si>
    <t>FOR088-FORNO A GÁS</t>
  </si>
  <si>
    <t>INJ005-INJETORA DE ALUMÍNIO</t>
  </si>
  <si>
    <t>INJ064-INJETORA DE ALUMÍNIO</t>
  </si>
  <si>
    <t>INJ062-INJETORA DE ALUMÍNIO</t>
  </si>
  <si>
    <t>CEN083-CENTRO DE USINAGEM</t>
  </si>
  <si>
    <t>INJ018-INJETORA DE ALUMÍNIO</t>
  </si>
  <si>
    <t>INJ061-INJETORA DE ALUMÍNIO</t>
  </si>
  <si>
    <t>INJ063-INJETORA DE ALUMÍNIO</t>
  </si>
  <si>
    <t>CEN059-CENTRO DE USINAGEM</t>
  </si>
  <si>
    <t>INJ033-INJETORA DE ALUMÍNIO</t>
  </si>
  <si>
    <t>INJ029-INJETORA DE ALUMÍNIO</t>
  </si>
  <si>
    <t>INJ006-INJETORA DE MAGNÉSIO</t>
  </si>
  <si>
    <t>CEN039-CENTRO DE USINAGEM</t>
  </si>
  <si>
    <t>CEN084-CENTRO DE USINAGEM DMG</t>
  </si>
  <si>
    <t>INJ011-INJETORA DE ALUMÍNIO</t>
  </si>
  <si>
    <t>CEN086-CENTRO USINAGEM</t>
  </si>
  <si>
    <t>CEN027-CENTRO DE USINAGEM</t>
  </si>
  <si>
    <t>INJ001-INJETORA DE MAGNÉSIO</t>
  </si>
  <si>
    <t>CEN051-CENTRO DE USINAGEM</t>
  </si>
  <si>
    <t>INJ027-INJETORA DE ALUMÍNIO</t>
  </si>
  <si>
    <t>INJ002-INJETORA DE MAGNÉSIO</t>
  </si>
  <si>
    <t>INJ066-INJETORA DE ALUMÍNIO</t>
  </si>
  <si>
    <t>CEN088-CENTRO DE USINAGEM DMG</t>
  </si>
  <si>
    <t>CEN025-CENTRO DE USINAGEM</t>
  </si>
  <si>
    <t>INJ065-INJETORA DE ALUMÍNIO</t>
  </si>
  <si>
    <t>CEN078-CENTRO USINAGEM</t>
  </si>
  <si>
    <t>INJ007-INJETORA DE MAGNÉSIO</t>
  </si>
  <si>
    <t>INJ032-INJETORA DE PLÁSTICO</t>
  </si>
  <si>
    <t>INJ036-INJETORA DE PLÁSTICO</t>
  </si>
  <si>
    <t>INJ034-INJETORA DE PLÁSTICO</t>
  </si>
  <si>
    <t>INJ067-INJETORA DE ALUMÍNIO</t>
  </si>
  <si>
    <t>LAS005-MÁQUINA LASER DE SOLDA</t>
  </si>
  <si>
    <t>INJ003-INJETORA DE MAGNÉSIO</t>
  </si>
  <si>
    <t>RET004-RETÍFICA</t>
  </si>
  <si>
    <t>CEN031-CENTRO DE USINAGEM</t>
  </si>
  <si>
    <t>CEN053-CENTRO DE USINAGEM</t>
  </si>
  <si>
    <t>RET033-RETÍFICA INTERNA</t>
  </si>
  <si>
    <t>FOR052-FORNO DE REFUSÃO</t>
  </si>
  <si>
    <t>JAT029-JATO DE GRANALHA</t>
  </si>
  <si>
    <t>INJ010-INJETORA DE PLÁSTICO</t>
  </si>
  <si>
    <t>CEN089-CENTRO USINAGEM</t>
  </si>
  <si>
    <t>CEN033-CENTRO DE USINAGEM</t>
  </si>
  <si>
    <t>CEN026-CENTRO DE USINAGEM</t>
  </si>
  <si>
    <t>BRU046-BRUNIDORA</t>
  </si>
  <si>
    <t>CEN038-CENTRO DE USINAGEM</t>
  </si>
  <si>
    <t>CEN082-CENTRO USINAGEM</t>
  </si>
  <si>
    <t>CEN036-CENTRO DE USINAGEM</t>
  </si>
  <si>
    <t>CAB032-CABINE DE SECAGEM</t>
  </si>
  <si>
    <t>CEN024-CENTRO DE USINAGEM</t>
  </si>
  <si>
    <t>CEN058-CENTRO DE USINAGEM MIKRON VCE800</t>
  </si>
  <si>
    <t>CEN034-CENTRO DE USINAGEM</t>
  </si>
  <si>
    <t>CEN019-CENTRO DE USINAGEM</t>
  </si>
  <si>
    <t>BRU042-BRUNIDORA</t>
  </si>
  <si>
    <t>FIL023-FILTRO ALUVIÃO</t>
  </si>
  <si>
    <t>CEN028-CENTRO DE USINAGEM</t>
  </si>
  <si>
    <t>CEN029-CENTRO DE USINAGEM</t>
  </si>
  <si>
    <t>MON001-MONOVIA</t>
  </si>
  <si>
    <t>CEN030-CENTRO DE USINAGEM</t>
  </si>
  <si>
    <t>CEN045-CENTRO DE USINAGEM</t>
  </si>
  <si>
    <t>RET030-RETÍFICA DE BIELAS</t>
  </si>
  <si>
    <t>RET002-RETÍFICA</t>
  </si>
  <si>
    <t>CEN035-CENTRO DE USINAGEM</t>
  </si>
  <si>
    <t>CEN032-CENTRO DE USINAGEM</t>
  </si>
  <si>
    <t>CEN041-CENTRO DE USINAGEM</t>
  </si>
  <si>
    <t>INJ039-INJETORA DE PLÁSTICO</t>
  </si>
  <si>
    <t>TEM002-TÊMPERA POR INDUÇÃO</t>
  </si>
  <si>
    <t>RET006-RETÍFICA</t>
  </si>
  <si>
    <t>CEN040-CENTRO DE USINAGEM</t>
  </si>
  <si>
    <t>CEN050-CENTRO USINAGEM</t>
  </si>
  <si>
    <t>CEN022-CENTRO DE USINAGEM</t>
  </si>
  <si>
    <t>BRU044-BRUNIDORA</t>
  </si>
  <si>
    <t>CEN037-CENTRO DE USINAGEM</t>
  </si>
  <si>
    <t>FOR001-FORNO CAMARA</t>
  </si>
  <si>
    <t>CEN055-CENTRO USINAGEM</t>
  </si>
  <si>
    <t>FOR089-FORNO DE REFUSÃO</t>
  </si>
  <si>
    <t>CEN044-CENTRO DE USINAGEM</t>
  </si>
  <si>
    <t>INJ035-INJETORA DE EMATIC</t>
  </si>
  <si>
    <t>CEN042-CENTRO DE USINAGEM</t>
  </si>
  <si>
    <t>CEN048-CENTRO DE USINAGEM</t>
  </si>
  <si>
    <t>INJ038-INJETORA DE PLÁSTICO</t>
  </si>
  <si>
    <t>TOR028-TORNO</t>
  </si>
  <si>
    <t>CEN054-CENTRO DE USINAGEM</t>
  </si>
  <si>
    <t>INJ037-INJETORA DE PLÁSTICO</t>
  </si>
  <si>
    <t>CEN047-CENTRO DE USINAGEM</t>
  </si>
  <si>
    <t>CEN043-CENTRO DE USINAGEM</t>
  </si>
  <si>
    <t>TOR033-TORNO</t>
  </si>
  <si>
    <t>CEN046-CENTRO DE USINAGEM</t>
  </si>
  <si>
    <t>CEN080-CENTRO USINAGEM</t>
  </si>
  <si>
    <t>TOR020-TORNO</t>
  </si>
  <si>
    <t>CEN060-CENTRO DE USINAGEM DECKEL MAHO</t>
  </si>
  <si>
    <t>CEN079-CENTRO USINAGEM</t>
  </si>
  <si>
    <t>CEN073-CENTRO USINAGEM</t>
  </si>
  <si>
    <t>CEN064-CENTRO DE USINAGEM DECKEL MAHO</t>
  </si>
  <si>
    <t>CEN076-CENTRO USINAGEM</t>
  </si>
  <si>
    <t>CEN070-CENTRO DE USINAGEM</t>
  </si>
  <si>
    <t>CEN021-CENTRO DE USINAGEM</t>
  </si>
  <si>
    <t>CEN049-CENTRO DE USINAGEM</t>
  </si>
  <si>
    <t>CEN075-CENTRO USINAGEM</t>
  </si>
  <si>
    <t>RET012-RETÍFICA PLANA</t>
  </si>
  <si>
    <t>ROB028-ROBÔ</t>
  </si>
  <si>
    <t>CEN004-CENTRO DE USINAGEM MIKRON VCP800</t>
  </si>
  <si>
    <t>TOR026-TORNO</t>
  </si>
  <si>
    <t>TOR022-TORNO</t>
  </si>
  <si>
    <t>INJ016-INJETORA DE PLÁSTICO</t>
  </si>
  <si>
    <t>CEN068-CENTRO USINAGEM MIKRON VCE800 PRO</t>
  </si>
  <si>
    <t>INJ042-INJETORA DE PLÁSTICO</t>
  </si>
  <si>
    <t>FOR062</t>
  </si>
  <si>
    <t>FOR062-FORNO BANHO DE SAL</t>
  </si>
  <si>
    <t>JAT012-JATO DE GRANALHA</t>
  </si>
  <si>
    <t>TOR030-TORNO</t>
  </si>
  <si>
    <t>FOR020</t>
  </si>
  <si>
    <t>FOR020-FORNO AUSTEMPERA</t>
  </si>
  <si>
    <t>CEN071</t>
  </si>
  <si>
    <t>CEN071-CENTRO DE USINAGEM</t>
  </si>
  <si>
    <t>MAG003-MAGNETIZADORA</t>
  </si>
  <si>
    <t>CEN081</t>
  </si>
  <si>
    <t>CEN081-CENTRO USINAGEM</t>
  </si>
  <si>
    <t>CEN074</t>
  </si>
  <si>
    <t>CEN074-CENTRO USINAGEM</t>
  </si>
  <si>
    <t>CEN090</t>
  </si>
  <si>
    <t>CEN090-CENTRO USINAGEM</t>
  </si>
  <si>
    <t>INJ031</t>
  </si>
  <si>
    <t>INJ031-INJETORA DE PLÁSTICO</t>
  </si>
  <si>
    <t>JAT014</t>
  </si>
  <si>
    <t>JAT014-JATO DE GRANALHA</t>
  </si>
  <si>
    <t>CEN072</t>
  </si>
  <si>
    <t>CEN072-CENTRO USINAGEM</t>
  </si>
  <si>
    <t>INJ019</t>
  </si>
  <si>
    <t>INJ019-INJETORA DE PLÁSTICO</t>
  </si>
  <si>
    <t>ROB044</t>
  </si>
  <si>
    <t>ROB044-ROBÔ</t>
  </si>
  <si>
    <t>MAQ021</t>
  </si>
  <si>
    <t>MAQ021-MÁQUINA APLICAÇÃO ISOLAÇÃO</t>
  </si>
  <si>
    <t>CEN069</t>
  </si>
  <si>
    <t>CEN069-CENTRO DE USINAGEM</t>
  </si>
  <si>
    <t>BRU039</t>
  </si>
  <si>
    <t>BRU039-BRUNIDORA</t>
  </si>
  <si>
    <t>CEN077</t>
  </si>
  <si>
    <t>CEN077-CENTRO USINAGEM</t>
  </si>
  <si>
    <t>CEN085</t>
  </si>
  <si>
    <t>CEN085-CENTRO USINAGEM</t>
  </si>
  <si>
    <t>CEN067</t>
  </si>
  <si>
    <t>CEN067-CENTRO USINAGEM MIKRON VCE800 PRO</t>
  </si>
  <si>
    <t>BRU028</t>
  </si>
  <si>
    <t>BRU028-BRUNIDORA</t>
  </si>
  <si>
    <t>PRE055</t>
  </si>
  <si>
    <t>PRE055-PRENSA</t>
  </si>
  <si>
    <t>BRU034</t>
  </si>
  <si>
    <t>BRU034-BRUNIDORA</t>
  </si>
  <si>
    <t>BRU023</t>
  </si>
  <si>
    <t>BRU023-BRUNIDORA</t>
  </si>
  <si>
    <t>BRU022</t>
  </si>
  <si>
    <t>BRU022-BRUNIDORA</t>
  </si>
  <si>
    <t>BRU018</t>
  </si>
  <si>
    <t>ROB063</t>
  </si>
  <si>
    <t>ROB063-ROBÔ</t>
  </si>
  <si>
    <t>BRU049</t>
  </si>
  <si>
    <t>BRU049-BRUNIDORA</t>
  </si>
  <si>
    <t>BRU021</t>
  </si>
  <si>
    <t>BRU035</t>
  </si>
  <si>
    <t>BRU035-BRUNIDORA</t>
  </si>
  <si>
    <t>ROB010</t>
  </si>
  <si>
    <t>ROB010-ROBO</t>
  </si>
  <si>
    <t>BRU017</t>
  </si>
  <si>
    <t>ROB017</t>
  </si>
  <si>
    <t>ROB017-ROBO</t>
  </si>
  <si>
    <t>PRE045</t>
  </si>
  <si>
    <t>PRE045-PRENSA</t>
  </si>
  <si>
    <t>ROB013</t>
  </si>
  <si>
    <t>ROB013-ROBO</t>
  </si>
  <si>
    <t>JAT028</t>
  </si>
  <si>
    <t>JAT028-JATO DE GRANALHA</t>
  </si>
  <si>
    <t>JAT024</t>
  </si>
  <si>
    <t>JAT024-JATO DE GRANALHA</t>
  </si>
  <si>
    <t>ROB009</t>
  </si>
  <si>
    <t>ROB009-ROBO</t>
  </si>
  <si>
    <t>RET032</t>
  </si>
  <si>
    <t>BRU004</t>
  </si>
  <si>
    <t>RET016</t>
  </si>
  <si>
    <t>FOR088</t>
  </si>
  <si>
    <t>INJ005</t>
  </si>
  <si>
    <t>INJ064</t>
  </si>
  <si>
    <t>INJ062</t>
  </si>
  <si>
    <t>CEN083</t>
  </si>
  <si>
    <t>INJ018</t>
  </si>
  <si>
    <t>INJ061</t>
  </si>
  <si>
    <t>INJ063</t>
  </si>
  <si>
    <t>CEN059</t>
  </si>
  <si>
    <t>INJ033</t>
  </si>
  <si>
    <t>INJ029</t>
  </si>
  <si>
    <t>INJ006</t>
  </si>
  <si>
    <t>CEN039</t>
  </si>
  <si>
    <t>CEN084</t>
  </si>
  <si>
    <t>INJ011</t>
  </si>
  <si>
    <t>CEN086</t>
  </si>
  <si>
    <t>CEN027</t>
  </si>
  <si>
    <t>INJ001</t>
  </si>
  <si>
    <t>CEN051</t>
  </si>
  <si>
    <t>INJ027</t>
  </si>
  <si>
    <t>INJ002</t>
  </si>
  <si>
    <t>INJ066</t>
  </si>
  <si>
    <t>CEN088</t>
  </si>
  <si>
    <t>CEN025</t>
  </si>
  <si>
    <t>INJ065</t>
  </si>
  <si>
    <t>CEN078</t>
  </si>
  <si>
    <t>INJ007</t>
  </si>
  <si>
    <t>INJ032</t>
  </si>
  <si>
    <t>INJ036</t>
  </si>
  <si>
    <t>INJ034</t>
  </si>
  <si>
    <t>INJ067</t>
  </si>
  <si>
    <t>LAS005</t>
  </si>
  <si>
    <t>INJ003</t>
  </si>
  <si>
    <t>RET004</t>
  </si>
  <si>
    <t>CEN031</t>
  </si>
  <si>
    <t>CEN053</t>
  </si>
  <si>
    <t>RET033</t>
  </si>
  <si>
    <t>FOR052</t>
  </si>
  <si>
    <t>JAT029</t>
  </si>
  <si>
    <t>INJ010</t>
  </si>
  <si>
    <t>CEN089</t>
  </si>
  <si>
    <t>CEN033</t>
  </si>
  <si>
    <t>CEN026</t>
  </si>
  <si>
    <t>BRU046</t>
  </si>
  <si>
    <t>CEN038</t>
  </si>
  <si>
    <t>CEN082</t>
  </si>
  <si>
    <t>CEN036</t>
  </si>
  <si>
    <t>CAB032</t>
  </si>
  <si>
    <t>CEN024</t>
  </si>
  <si>
    <t>CEN058</t>
  </si>
  <si>
    <t>CEN034</t>
  </si>
  <si>
    <t>CEN019</t>
  </si>
  <si>
    <t>BRU042</t>
  </si>
  <si>
    <t>FIL023</t>
  </si>
  <si>
    <t>CEN028</t>
  </si>
  <si>
    <t>CEN029</t>
  </si>
  <si>
    <t>MON001</t>
  </si>
  <si>
    <t>CEN030</t>
  </si>
  <si>
    <t>CEN045</t>
  </si>
  <si>
    <t>RET030</t>
  </si>
  <si>
    <t>RET002</t>
  </si>
  <si>
    <t>CEN035</t>
  </si>
  <si>
    <t>CEN032</t>
  </si>
  <si>
    <t>CEN041</t>
  </si>
  <si>
    <t>INJ039</t>
  </si>
  <si>
    <t>TEM002</t>
  </si>
  <si>
    <t>RET006</t>
  </si>
  <si>
    <t>CEN040</t>
  </si>
  <si>
    <t>CEN050</t>
  </si>
  <si>
    <t>CEN022</t>
  </si>
  <si>
    <t>BRU044</t>
  </si>
  <si>
    <t>CEN037</t>
  </si>
  <si>
    <t>FOR001</t>
  </si>
  <si>
    <t>CEN055</t>
  </si>
  <si>
    <t>FOR089</t>
  </si>
  <si>
    <t>CEN044</t>
  </si>
  <si>
    <t>INJ035</t>
  </si>
  <si>
    <t>CEN042</t>
  </si>
  <si>
    <t>CEN048</t>
  </si>
  <si>
    <t>INJ038</t>
  </si>
  <si>
    <t>TOR028</t>
  </si>
  <si>
    <t>CEN054</t>
  </si>
  <si>
    <t>INJ037</t>
  </si>
  <si>
    <t>CEN047</t>
  </si>
  <si>
    <t>CEN043</t>
  </si>
  <si>
    <t>TOR033</t>
  </si>
  <si>
    <t>CEN046</t>
  </si>
  <si>
    <t>CEN080</t>
  </si>
  <si>
    <t>TOR020</t>
  </si>
  <si>
    <t>CEN060</t>
  </si>
  <si>
    <t>CEN079</t>
  </si>
  <si>
    <t>CEN073</t>
  </si>
  <si>
    <t>CEN064</t>
  </si>
  <si>
    <t>CEN076</t>
  </si>
  <si>
    <t>CEN070</t>
  </si>
  <si>
    <t>CEN021</t>
  </si>
  <si>
    <t>CEN049</t>
  </si>
  <si>
    <t>CEN075</t>
  </si>
  <si>
    <t>RET012</t>
  </si>
  <si>
    <t>ROB028</t>
  </si>
  <si>
    <t>CEN004</t>
  </si>
  <si>
    <t>TOR026</t>
  </si>
  <si>
    <t>TOR022</t>
  </si>
  <si>
    <t>INJ016</t>
  </si>
  <si>
    <t>CEN068</t>
  </si>
  <si>
    <t>INJ042</t>
  </si>
  <si>
    <t>TOR021</t>
  </si>
  <si>
    <t>JAT012</t>
  </si>
  <si>
    <t>TOR030</t>
  </si>
  <si>
    <t>MAG003</t>
  </si>
  <si>
    <t>Farol</t>
  </si>
  <si>
    <t>MATRIZ DE PRIORIDADE</t>
  </si>
  <si>
    <t>Manter</t>
  </si>
  <si>
    <t>Substituir</t>
  </si>
  <si>
    <t>Acompanhar</t>
  </si>
  <si>
    <t>LCC</t>
  </si>
  <si>
    <t>Custo Esperado por Corretiva</t>
  </si>
  <si>
    <t>Custo Esperado Preventiva Mensal</t>
  </si>
  <si>
    <t>Custo de Manutenção</t>
  </si>
  <si>
    <t>Depreciação</t>
  </si>
  <si>
    <t>CAE</t>
  </si>
  <si>
    <t>Ano Contábil</t>
  </si>
  <si>
    <t>RESUMO DA ANÁLISE</t>
  </si>
  <si>
    <t>ATUAL:</t>
  </si>
  <si>
    <t>VALOR DE AQUISIÇÃO</t>
  </si>
  <si>
    <t>VALOR RESIDUAL</t>
  </si>
  <si>
    <t>NOVO:</t>
  </si>
  <si>
    <t>ANÁLISE:</t>
  </si>
  <si>
    <t>VALOR DE RETORNO STIHL</t>
  </si>
  <si>
    <t>VALOR DE AQUISIÇÃO ÓTIMO</t>
  </si>
  <si>
    <t>PONTO ÓTIMO DE SUBSTITUIÇÃO</t>
  </si>
  <si>
    <t>POTENCIAL DE GANHO</t>
  </si>
  <si>
    <t>ACRÉSCIMO PARA NOVA AQUISIÇÃO</t>
  </si>
  <si>
    <t>REDUÇÃO CUSTO DE MANUTENÇÃO</t>
  </si>
  <si>
    <t>PARÂMETROS:</t>
  </si>
  <si>
    <t>TAXA MÉDIA (INFLAÇÃO)</t>
  </si>
  <si>
    <t>CUSTO TOTAL DE VIDA ÚTIL (LCC)</t>
  </si>
  <si>
    <t>ROB005</t>
  </si>
  <si>
    <t>ROB007</t>
  </si>
  <si>
    <t>ROB011</t>
  </si>
  <si>
    <t>ROB012</t>
  </si>
  <si>
    <t>ROB014</t>
  </si>
  <si>
    <t>ROB015</t>
  </si>
  <si>
    <t>ROB016</t>
  </si>
  <si>
    <t>ROB021</t>
  </si>
  <si>
    <t>ROB022</t>
  </si>
  <si>
    <t>ROB023</t>
  </si>
  <si>
    <t>ROB024</t>
  </si>
  <si>
    <t>ROB025</t>
  </si>
  <si>
    <t>ROB026</t>
  </si>
  <si>
    <t>ROB027</t>
  </si>
  <si>
    <t>ROB031</t>
  </si>
  <si>
    <t>ROB033</t>
  </si>
  <si>
    <t>ROB037</t>
  </si>
  <si>
    <t>ROB038</t>
  </si>
  <si>
    <t>ROB039</t>
  </si>
  <si>
    <t>ROB040</t>
  </si>
  <si>
    <t>ROB041</t>
  </si>
  <si>
    <t>ROB042</t>
  </si>
  <si>
    <t>ROB056</t>
  </si>
  <si>
    <t>ROB057</t>
  </si>
  <si>
    <t>ROB058</t>
  </si>
  <si>
    <t>ROB064</t>
  </si>
  <si>
    <t>ROB065</t>
  </si>
  <si>
    <t>ROB066</t>
  </si>
  <si>
    <t>ROB005-ROBÔ</t>
  </si>
  <si>
    <t>ROB007-ROBO</t>
  </si>
  <si>
    <t>ROB011-ROBÔ</t>
  </si>
  <si>
    <t>ROB012-ROBO</t>
  </si>
  <si>
    <t>ROB014-ROBO</t>
  </si>
  <si>
    <t>ROB015-ROBÔ</t>
  </si>
  <si>
    <t>ROB016-ROBO</t>
  </si>
  <si>
    <t>ROB021-ROBO</t>
  </si>
  <si>
    <t>ROB022-ROBO</t>
  </si>
  <si>
    <t>ROB023-ROBÔ</t>
  </si>
  <si>
    <t>ROB024-ROBO</t>
  </si>
  <si>
    <t>ROB025-ROBO</t>
  </si>
  <si>
    <t>ROB026-ROBO</t>
  </si>
  <si>
    <t>ROB027-ROBO</t>
  </si>
  <si>
    <t>ROB031-ROBO</t>
  </si>
  <si>
    <t>ROB033-ROBÔ</t>
  </si>
  <si>
    <t>ROB037-ROBÔ</t>
  </si>
  <si>
    <t>ROB038-ROBÔ</t>
  </si>
  <si>
    <t>ROB039-ROBÔ</t>
  </si>
  <si>
    <t>ROB040-ROBÔ</t>
  </si>
  <si>
    <t>ROB041-ROBÔ</t>
  </si>
  <si>
    <t>ROB042-ROBÔ</t>
  </si>
  <si>
    <t>ROB056-ROBÔ</t>
  </si>
  <si>
    <t>ROB057-ROBÔ</t>
  </si>
  <si>
    <t>ROB058-ROBÔ</t>
  </si>
  <si>
    <t>ROB064-ROBÔ</t>
  </si>
  <si>
    <t>ROB065-ROBÔ</t>
  </si>
  <si>
    <t>ROB066-ROBÔ</t>
  </si>
  <si>
    <t>Anos</t>
  </si>
  <si>
    <t>Valor de Aquisição Atual</t>
  </si>
  <si>
    <t>Valor Residual Atual</t>
  </si>
  <si>
    <t>ANÁLISE</t>
  </si>
  <si>
    <t>ATUAL</t>
  </si>
  <si>
    <t>NOVO</t>
  </si>
  <si>
    <t>PARÂMETROS</t>
  </si>
  <si>
    <t>Custos Totais - Atual</t>
  </si>
  <si>
    <t>Custos Totais - Novo</t>
  </si>
  <si>
    <t>Gráficos</t>
  </si>
  <si>
    <t>Beta</t>
  </si>
  <si>
    <t>Tempo Total</t>
  </si>
  <si>
    <t>Custo de Manut. Total</t>
  </si>
  <si>
    <t>CUSTO HORA EQUIPAMENTO</t>
  </si>
  <si>
    <t>Custo Anuais Equivalentes - Atual</t>
  </si>
  <si>
    <t>Custos Anuais Equivalentes - Novo</t>
  </si>
  <si>
    <t>BRU008</t>
  </si>
  <si>
    <t>BRU009</t>
  </si>
  <si>
    <t>BRU010</t>
  </si>
  <si>
    <t>BRU011</t>
  </si>
  <si>
    <t>BRU012</t>
  </si>
  <si>
    <t>BRU014</t>
  </si>
  <si>
    <t>BRU019</t>
  </si>
  <si>
    <t>BRU020</t>
  </si>
  <si>
    <t>BRU024</t>
  </si>
  <si>
    <t>BRU025</t>
  </si>
  <si>
    <t>BRU026</t>
  </si>
  <si>
    <t>BRU027</t>
  </si>
  <si>
    <t>BRU029</t>
  </si>
  <si>
    <t>BRU030</t>
  </si>
  <si>
    <t>BRU031</t>
  </si>
  <si>
    <t>BRU032</t>
  </si>
  <si>
    <t>BRU033</t>
  </si>
  <si>
    <t>BRU036</t>
  </si>
  <si>
    <t>BRU037</t>
  </si>
  <si>
    <t>BRU038</t>
  </si>
  <si>
    <t>BRU040</t>
  </si>
  <si>
    <t>BRU041</t>
  </si>
  <si>
    <t>BRU043</t>
  </si>
  <si>
    <t>BRU045</t>
  </si>
  <si>
    <t>BRU047</t>
  </si>
  <si>
    <t>BRU050</t>
  </si>
  <si>
    <t>BRU051</t>
  </si>
  <si>
    <t>BRU052</t>
  </si>
  <si>
    <t>BRU053</t>
  </si>
  <si>
    <t>BRU054</t>
  </si>
  <si>
    <t>BRU055</t>
  </si>
  <si>
    <t>BRU008-BRUNIDORA</t>
  </si>
  <si>
    <t>BRU009-BRUNIDORA</t>
  </si>
  <si>
    <t>BRU010-BRUNIDORA</t>
  </si>
  <si>
    <t>BRU011-BRUNIDORA</t>
  </si>
  <si>
    <t>BRU012-BRUNIDORA</t>
  </si>
  <si>
    <t>BRU014-BRUNIDORA</t>
  </si>
  <si>
    <t>BRU024-BRUNIDORA</t>
  </si>
  <si>
    <t>BRU025-BRUNIDORA</t>
  </si>
  <si>
    <t>BRU026-BRUNIDORA</t>
  </si>
  <si>
    <t>BRU027-BRUNIDORA</t>
  </si>
  <si>
    <t>BRU029-BRUNIDORA</t>
  </si>
  <si>
    <t>BRU030-BRUNIDORA</t>
  </si>
  <si>
    <t>BRU031-BRUNIDORA</t>
  </si>
  <si>
    <t>BRU032-BRUNIDORA</t>
  </si>
  <si>
    <t>BRU033-BRUNIDORA</t>
  </si>
  <si>
    <t>BRU036-BRUNIDORA</t>
  </si>
  <si>
    <t>BRU037-BRUNIDORA</t>
  </si>
  <si>
    <t>BRU038-BRUNIDORA</t>
  </si>
  <si>
    <t>BRU040-BRUNIDORA</t>
  </si>
  <si>
    <t>BRU043-BRUNIDORA</t>
  </si>
  <si>
    <t>BRU045-BRUNIDORA</t>
  </si>
  <si>
    <t>BRU047-BRUNIDORA</t>
  </si>
  <si>
    <t>BRU050-BRUNIDORA</t>
  </si>
  <si>
    <t>BRU051-BRUNIDORA</t>
  </si>
  <si>
    <t>BRU052-BRUNIDORA</t>
  </si>
  <si>
    <t>BRU053-BRUNIDORA</t>
  </si>
  <si>
    <t>BRU054-BRUNIDORA</t>
  </si>
  <si>
    <t>BRU055-BRUNIDORA</t>
  </si>
  <si>
    <t>TRO011</t>
  </si>
  <si>
    <t>TRO011-TROVALIZADOR</t>
  </si>
  <si>
    <t>FOR015</t>
  </si>
  <si>
    <t>FOR015-FORNO BANHO DE SAL</t>
  </si>
  <si>
    <t>SOL009</t>
  </si>
  <si>
    <t>SOL009-SOLDADORA FRICÇÃO</t>
  </si>
  <si>
    <t>JAT003</t>
  </si>
  <si>
    <t>JAT003-JATO DE GRANALHA</t>
  </si>
  <si>
    <t>CEN010</t>
  </si>
  <si>
    <t>CEN010-CENTRO DE USINAGEM</t>
  </si>
  <si>
    <t>PRE024</t>
  </si>
  <si>
    <t>PRE024-PRENSA</t>
  </si>
  <si>
    <t>BRU041-BRUNIDORA</t>
  </si>
  <si>
    <t>BRU002</t>
  </si>
  <si>
    <t>BRU002-BRUNIDORA</t>
  </si>
  <si>
    <t>CAB033</t>
  </si>
  <si>
    <t>CAB033-CABINE DE RESFRIAMENTO</t>
  </si>
  <si>
    <t>CEN052</t>
  </si>
  <si>
    <t>CEN052-CENTRO USINAGEM</t>
  </si>
  <si>
    <t>CEN065</t>
  </si>
  <si>
    <t>CEN065-CENTRO DE USINAGEM</t>
  </si>
  <si>
    <t>CEN061</t>
  </si>
  <si>
    <t>CEN061-CENTRO DE USINAGEM</t>
  </si>
  <si>
    <t>CEN062</t>
  </si>
  <si>
    <t>CEN062-CENTRO USINAGEM</t>
  </si>
  <si>
    <t>PRE046</t>
  </si>
  <si>
    <t>PRE046-PRENSA</t>
  </si>
  <si>
    <t>INJ041</t>
  </si>
  <si>
    <t>INJ041-INJETORA DE PLÁSTICO</t>
  </si>
  <si>
    <t>INJ040</t>
  </si>
  <si>
    <t>INJ040-INJETORA DE PLÁSTICO</t>
  </si>
  <si>
    <t>TOR027</t>
  </si>
  <si>
    <t>TOR027-TORNO</t>
  </si>
  <si>
    <t>RET026</t>
  </si>
  <si>
    <t>RET026- RETÍFICA</t>
  </si>
  <si>
    <t>FOR044</t>
  </si>
  <si>
    <t>FOR044-FORNO ALÍVIO DE TENSÕES</t>
  </si>
  <si>
    <t>PRE032</t>
  </si>
  <si>
    <t>PRE032-PRENSA</t>
  </si>
  <si>
    <t>TOR024</t>
  </si>
  <si>
    <t>TOR024-TORNO</t>
  </si>
  <si>
    <t>FOR045</t>
  </si>
  <si>
    <t>FOR045-FORNO DE REFUSÃO</t>
  </si>
  <si>
    <t>TOR025</t>
  </si>
  <si>
    <t>TOR025-TORNO</t>
  </si>
  <si>
    <t>ROB046</t>
  </si>
  <si>
    <t>ROB046-ROBÔ</t>
  </si>
  <si>
    <t>PRE054</t>
  </si>
  <si>
    <t>PRE054-PRENSA</t>
  </si>
  <si>
    <t>JAT023</t>
  </si>
  <si>
    <t>JAT023-JATO DE GRANALHA</t>
  </si>
  <si>
    <t>CEN087</t>
  </si>
  <si>
    <t>CEN087-CENTRO DE USINAGEM</t>
  </si>
  <si>
    <t>RET024</t>
  </si>
  <si>
    <t>RET024-RETÍFICA DE ROSCAS</t>
  </si>
  <si>
    <t>CEN091</t>
  </si>
  <si>
    <t>CEN091-CENTRO DE USINAGEM</t>
  </si>
  <si>
    <t>ROB045</t>
  </si>
  <si>
    <t>ROB045-ROBÔ</t>
  </si>
  <si>
    <t>PRE047</t>
  </si>
  <si>
    <t>PRE047-PRENSA HIDRÁULICA</t>
  </si>
  <si>
    <t>BRU003</t>
  </si>
  <si>
    <t>BRU003-BRUNIDORA</t>
  </si>
  <si>
    <t>LAS007</t>
  </si>
  <si>
    <t>LAS007-MÁQUINA LASER DE CORTE DE STELLIT</t>
  </si>
  <si>
    <t>FOR039</t>
  </si>
  <si>
    <t>FOR039-FORNO DE REFUSÃO</t>
  </si>
  <si>
    <t>FOR071</t>
  </si>
  <si>
    <t>FOR071-FORNO</t>
  </si>
  <si>
    <t>PRE019</t>
  </si>
  <si>
    <t>PRE019-PRENSA FKL FECHAMENTO</t>
  </si>
  <si>
    <t>PRE031</t>
  </si>
  <si>
    <t>PRE031-PRENSA</t>
  </si>
  <si>
    <t>FOR092</t>
  </si>
  <si>
    <t>FOR092-FORNO ELÉTRICO</t>
  </si>
  <si>
    <t>RET038</t>
  </si>
  <si>
    <t>RET038-RETIFICA ZEMA</t>
  </si>
  <si>
    <t>FOR042</t>
  </si>
  <si>
    <t>FOR042-FORNO ALIVIO DE TENSÕES</t>
  </si>
  <si>
    <t>ROB068</t>
  </si>
  <si>
    <t>ROB068-ROBÔ</t>
  </si>
  <si>
    <t>PRE053</t>
  </si>
  <si>
    <t>PRE053-PRENSA</t>
  </si>
  <si>
    <t>FOR014</t>
  </si>
  <si>
    <t>FOR014-FORNO PRÉ-AQUECIMENTO</t>
  </si>
  <si>
    <t>FOR063</t>
  </si>
  <si>
    <t>FOR063-FORNO</t>
  </si>
  <si>
    <t>RET020</t>
  </si>
  <si>
    <t>RET020-RETÍFICA</t>
  </si>
  <si>
    <t>ROB047</t>
  </si>
  <si>
    <t>ROB047-ROBÔ</t>
  </si>
  <si>
    <t>FOR091</t>
  </si>
  <si>
    <t>FOR091-FORNO CONTÍNUO</t>
  </si>
  <si>
    <t>RET039</t>
  </si>
  <si>
    <t>RET039-RETIFICA ZEMA</t>
  </si>
  <si>
    <t>LAS006</t>
  </si>
  <si>
    <t>LAS006-MÁQUINA LASER DE GRAVAÇÃO</t>
  </si>
  <si>
    <t>JAT025</t>
  </si>
  <si>
    <t>JAT025-JATO DE GRANALHA</t>
  </si>
  <si>
    <t>ROB059</t>
  </si>
  <si>
    <t>ROB059-ROBÔ</t>
  </si>
  <si>
    <t>FOR090</t>
  </si>
  <si>
    <t>FOR090-FORNO CONTÍNUO</t>
  </si>
  <si>
    <t>FOR038</t>
  </si>
  <si>
    <t>FOR038-FORNO</t>
  </si>
  <si>
    <t>ROB067</t>
  </si>
  <si>
    <t>ROB067-ROBÔ</t>
  </si>
  <si>
    <t>CEN092</t>
  </si>
  <si>
    <t>CEN092-CENTRO DE USINAGEM</t>
  </si>
  <si>
    <t>JAT019</t>
  </si>
  <si>
    <t>JAT019-JATO DE GRANALHA</t>
  </si>
  <si>
    <t>ROB061</t>
  </si>
  <si>
    <t>ROB061-ROBÔ</t>
  </si>
  <si>
    <t>FOR067</t>
  </si>
  <si>
    <t>FOR067-FORNO TRAT. TÉRMICO</t>
  </si>
  <si>
    <t>CEN093</t>
  </si>
  <si>
    <t>CEN093-CENTRO DE USINAGEM</t>
  </si>
  <si>
    <t>ROB048</t>
  </si>
  <si>
    <t>ROB048-ROBÔ</t>
  </si>
  <si>
    <t>FOR099</t>
  </si>
  <si>
    <t>FOR099-FORNO ELÉTRICO</t>
  </si>
  <si>
    <t>LAS008</t>
  </si>
  <si>
    <t>LAS008-MÁQUINA LASER DE GRAVAÇÃO</t>
  </si>
  <si>
    <t>RET023</t>
  </si>
  <si>
    <t>RET023-RETÍFICA  CILINDRICA MELLO</t>
  </si>
  <si>
    <t>PRE048</t>
  </si>
  <si>
    <t>PRE048-PRENSA</t>
  </si>
  <si>
    <t>FOR083</t>
  </si>
  <si>
    <t>FOR083-FORNO CONTÍNUO</t>
  </si>
  <si>
    <t>Rótulos de Linha</t>
  </si>
  <si>
    <t>Total Geral</t>
  </si>
  <si>
    <t>Soma de ID</t>
  </si>
  <si>
    <t>Reforma/Melhoria</t>
  </si>
  <si>
    <t>0 - Atual</t>
  </si>
  <si>
    <t>0 - Novo</t>
  </si>
  <si>
    <t>Acréscimo Aquisição</t>
  </si>
  <si>
    <t>Red. Custo Manut.</t>
  </si>
  <si>
    <t>POTENCIAL GANHO</t>
  </si>
  <si>
    <t>Atual</t>
  </si>
  <si>
    <t>Novo</t>
  </si>
  <si>
    <t>Custo Esperado Atual</t>
  </si>
  <si>
    <t>Custo Esperado Novo</t>
  </si>
  <si>
    <t>Potencial Ganho (7 Anos)</t>
  </si>
  <si>
    <t>Profit</t>
  </si>
  <si>
    <t>Fase</t>
  </si>
  <si>
    <t>VPL (ATUAL)</t>
  </si>
  <si>
    <t>VPL (NOVO)</t>
  </si>
  <si>
    <t>Comportamento das Falhas</t>
  </si>
  <si>
    <t>Mini Fábrica</t>
  </si>
  <si>
    <t>Obsolescência</t>
  </si>
  <si>
    <t>Em análise</t>
  </si>
  <si>
    <t>Total</t>
  </si>
  <si>
    <t>Parcial</t>
  </si>
  <si>
    <t>Não há</t>
  </si>
  <si>
    <t>VPL NOVO - ATUAL (META) - POTENCIAL DE GANHO</t>
  </si>
  <si>
    <t>RET032-RETIFICA RANHURA</t>
  </si>
  <si>
    <t>TOR021-TORNO</t>
  </si>
  <si>
    <t>BAL003</t>
  </si>
  <si>
    <t>BAL003-BALANCEADORA</t>
  </si>
  <si>
    <t>BAL004</t>
  </si>
  <si>
    <t>BAL004-BALANCEADORA</t>
  </si>
  <si>
    <t>BAL006</t>
  </si>
  <si>
    <t>BAL006-BALANCEADORA</t>
  </si>
  <si>
    <t>CAB004</t>
  </si>
  <si>
    <t>CAB004-CABINE DE PINTURA</t>
  </si>
  <si>
    <t>CAB018</t>
  </si>
  <si>
    <t>CAB018-CABINE DE PINTURA</t>
  </si>
  <si>
    <t>CAB029</t>
  </si>
  <si>
    <t>CAB029-CABINE DE INSPEÇÃO</t>
  </si>
  <si>
    <t>CAB030</t>
  </si>
  <si>
    <t>CAB030-CABINE DE CURA UV</t>
  </si>
  <si>
    <t>CAB031</t>
  </si>
  <si>
    <t>CAB031-CABINE DE FLAMBAGEM</t>
  </si>
  <si>
    <t>CEN094</t>
  </si>
  <si>
    <t>CEN094-CENTRO DE USINAGEM</t>
  </si>
  <si>
    <t>CEN095</t>
  </si>
  <si>
    <t>CEN095-CENTRO DE USINAGEM</t>
  </si>
  <si>
    <t>CEN096</t>
  </si>
  <si>
    <t>CEN096-CENTRO DE USINAGEM</t>
  </si>
  <si>
    <t>CEN097</t>
  </si>
  <si>
    <t>CEN097-CENTRO DE USINAGEM</t>
  </si>
  <si>
    <t>CEN098</t>
  </si>
  <si>
    <t>CEN098-CENTRO USINAGEM</t>
  </si>
  <si>
    <t>CEN099</t>
  </si>
  <si>
    <t>CEN099-CENTRO USINAGEM</t>
  </si>
  <si>
    <t>COQ003</t>
  </si>
  <si>
    <t>COQ003-COQUILHADEIRA</t>
  </si>
  <si>
    <t>COQ004</t>
  </si>
  <si>
    <t>COQ004-COQUILHADEIRA</t>
  </si>
  <si>
    <t>COQ005</t>
  </si>
  <si>
    <t>COQ005-COQUILHADEIRA</t>
  </si>
  <si>
    <t>COQ006</t>
  </si>
  <si>
    <t>COQ006-COQUILHADEIRA</t>
  </si>
  <si>
    <t>COQ007</t>
  </si>
  <si>
    <t>COQ007-COQUILHADEIRA</t>
  </si>
  <si>
    <t>COQ008</t>
  </si>
  <si>
    <t>COQ008-COQUILHADEIRA</t>
  </si>
  <si>
    <t>COQ009</t>
  </si>
  <si>
    <t>COQ009-COQUILHADEIRA</t>
  </si>
  <si>
    <t>COQ010</t>
  </si>
  <si>
    <t>COQ010-COQUILHADEIRA</t>
  </si>
  <si>
    <t>FIL007</t>
  </si>
  <si>
    <t>FIL007-FILTRO ALUVIÃO</t>
  </si>
  <si>
    <t>FIL024</t>
  </si>
  <si>
    <t>FIL024-FILTRO FLUÍDO DE CORTE</t>
  </si>
  <si>
    <t>FIL042</t>
  </si>
  <si>
    <t>FIL042-FILTRO FLUÍDO DE CORTE</t>
  </si>
  <si>
    <t>FIL058</t>
  </si>
  <si>
    <t>FIL058-FILTRO ALUVIÃO</t>
  </si>
  <si>
    <t>FOR098</t>
  </si>
  <si>
    <t>FOR098-FORNO DE REFUSÃO</t>
  </si>
  <si>
    <t>FOR101</t>
  </si>
  <si>
    <t>FOR101-FORNO DE REFUSÃO</t>
  </si>
  <si>
    <t>FRE020</t>
  </si>
  <si>
    <t>FRE020-FRESADORA VERTICAL PINNACLE</t>
  </si>
  <si>
    <t>FRE021</t>
  </si>
  <si>
    <t>FRE021-FRESADORA EMATIC</t>
  </si>
  <si>
    <t>INJ068</t>
  </si>
  <si>
    <t>INJ068-INJETORA DE ALUMÍNIO</t>
  </si>
  <si>
    <t>JAT033</t>
  </si>
  <si>
    <t>JAT033-JATO DE GRANALHA</t>
  </si>
  <si>
    <t>LAS009</t>
  </si>
  <si>
    <t>LAS009-MÁQUINA LASER DE GRAVAÇÃO</t>
  </si>
  <si>
    <t>MOD009</t>
  </si>
  <si>
    <t>MOD009-MONTADORA</t>
  </si>
  <si>
    <t>MOD012</t>
  </si>
  <si>
    <t>MOD012-MONTADORA</t>
  </si>
  <si>
    <t>MOD014</t>
  </si>
  <si>
    <t>MOD014-MONTADORA</t>
  </si>
  <si>
    <t>MOD015</t>
  </si>
  <si>
    <t>MOD015-MONTADORA</t>
  </si>
  <si>
    <t>MOD017</t>
  </si>
  <si>
    <t>MOD017-MONTADORA</t>
  </si>
  <si>
    <t>MOD021</t>
  </si>
  <si>
    <t>MOD021-MONTADORA</t>
  </si>
  <si>
    <t>MOD023</t>
  </si>
  <si>
    <t>MOD023-MONTADORA DE BUJÃO</t>
  </si>
  <si>
    <t>PRE038</t>
  </si>
  <si>
    <t>PRE038-PRENSA</t>
  </si>
  <si>
    <t>REB007</t>
  </si>
  <si>
    <t>REB007-REBARBAÇÃO ELETROQUÍMICA</t>
  </si>
  <si>
    <t>REB008</t>
  </si>
  <si>
    <t>REB008-REBARBAÇÃO ELETROQUÍMICA</t>
  </si>
  <si>
    <t>REB009</t>
  </si>
  <si>
    <t>REB009-REBARBAÇÃO ELETROQUÍMICA</t>
  </si>
  <si>
    <t>REB011</t>
  </si>
  <si>
    <t>REB011-REBARBAÇÃO ELETROQUÍMICA</t>
  </si>
  <si>
    <t>RET003</t>
  </si>
  <si>
    <t>RET003-RETÍFICA</t>
  </si>
  <si>
    <t>RET031</t>
  </si>
  <si>
    <t>RET031-RETIFICA</t>
  </si>
  <si>
    <t>ROB062</t>
  </si>
  <si>
    <t>ROB062-ROBÔ</t>
  </si>
  <si>
    <t>ROB069</t>
  </si>
  <si>
    <t>ROB069-ROBÔ</t>
  </si>
  <si>
    <t>ROB070</t>
  </si>
  <si>
    <t>ROB070-ROBÔ</t>
  </si>
  <si>
    <t>ROB072</t>
  </si>
  <si>
    <t>ROB072-ROBO</t>
  </si>
  <si>
    <t>ROB073</t>
  </si>
  <si>
    <t>ROB073-ROBO</t>
  </si>
  <si>
    <t>ROB074</t>
  </si>
  <si>
    <t>ROB074-ROBO</t>
  </si>
  <si>
    <t>ROB075</t>
  </si>
  <si>
    <t>ROB075-ROBO</t>
  </si>
  <si>
    <t>ROB076</t>
  </si>
  <si>
    <t>ROB076-ROBO</t>
  </si>
  <si>
    <t>ROB077</t>
  </si>
  <si>
    <t>ROB077-ROBO</t>
  </si>
  <si>
    <t>ROB085</t>
  </si>
  <si>
    <t>ROB085-ROBÔ</t>
  </si>
  <si>
    <t>SOP002</t>
  </si>
  <si>
    <t>SOP002-SOPRADOR DE MACHO DE AREIA</t>
  </si>
  <si>
    <t>SOP003</t>
  </si>
  <si>
    <t>SOP003-SOPRADOR DE MACHO DE AREIA</t>
  </si>
  <si>
    <t>SOP004</t>
  </si>
  <si>
    <t>SOP004-SOPRADOR DE MACHO DE AREIA</t>
  </si>
  <si>
    <t>SOP005</t>
  </si>
  <si>
    <t>SOP005-SOPRADOR DE MACHO DE AREIA</t>
  </si>
  <si>
    <t>SOP007</t>
  </si>
  <si>
    <t>SOP007-SOPRADOR DE MACHO DE AREIA</t>
  </si>
  <si>
    <t>SOP008</t>
  </si>
  <si>
    <t>SOP008-SOPRADOR DE MACHO DE AREIA</t>
  </si>
  <si>
    <t>SRG004</t>
  </si>
  <si>
    <t>SRG004-SERIGRAFIA</t>
  </si>
  <si>
    <t>Qtd Falhas Totais</t>
  </si>
  <si>
    <t>Falha Ano 1</t>
  </si>
  <si>
    <t>Falha Ano 2</t>
  </si>
  <si>
    <t>Falha Ano 3</t>
  </si>
  <si>
    <t>Falha Ano 4</t>
  </si>
  <si>
    <t>Falha Ano 5</t>
  </si>
  <si>
    <t>Falha Ano 6</t>
  </si>
  <si>
    <t>Falha Ano 7</t>
  </si>
  <si>
    <t>Não encontrado</t>
  </si>
  <si>
    <t>Mini Fab</t>
  </si>
  <si>
    <t>INJ004</t>
  </si>
  <si>
    <t>INJ004-INJETORA DE MAGNÉSIO</t>
  </si>
  <si>
    <t>Tempo de Missão (Horas Trab Ano)</t>
  </si>
  <si>
    <t>APL001</t>
  </si>
  <si>
    <t>APL001-APLAINADORA MAXITEC</t>
  </si>
  <si>
    <t>BAL008</t>
  </si>
  <si>
    <t>BAL008-BALANCEADORA</t>
  </si>
  <si>
    <t>BAL009</t>
  </si>
  <si>
    <t>BAL009-BALANCEADORA</t>
  </si>
  <si>
    <t>BRU056</t>
  </si>
  <si>
    <t>BRU056-BRUNIDORA</t>
  </si>
  <si>
    <t>BRU057</t>
  </si>
  <si>
    <t>BRU057-BRUNIDORA</t>
  </si>
  <si>
    <t>BRU058</t>
  </si>
  <si>
    <t>BRU058-BRUNIDORA</t>
  </si>
  <si>
    <t>BRU059</t>
  </si>
  <si>
    <t>BRU059-BRUNIDORA</t>
  </si>
  <si>
    <t>BRU060</t>
  </si>
  <si>
    <t>BRU060-BRUNIDORA</t>
  </si>
  <si>
    <t>BRU061</t>
  </si>
  <si>
    <t>BRU061-BRUNIDORA</t>
  </si>
  <si>
    <t>BRU062</t>
  </si>
  <si>
    <t>BRU062-BRUNIDORA</t>
  </si>
  <si>
    <t>BRU063</t>
  </si>
  <si>
    <t>BRU063-BRUNIDORA</t>
  </si>
  <si>
    <t>BRU064</t>
  </si>
  <si>
    <t>BRU064-BRUNIDORA</t>
  </si>
  <si>
    <t>BRU065</t>
  </si>
  <si>
    <t>BRU065-BRUNIDORA</t>
  </si>
  <si>
    <t>BRU066</t>
  </si>
  <si>
    <t>BRU066-BRUNIDORA</t>
  </si>
  <si>
    <t>BRU067</t>
  </si>
  <si>
    <t>BRU067-BRUNIDORA</t>
  </si>
  <si>
    <t>BRU068</t>
  </si>
  <si>
    <t>BRU068-BRUNIDORA</t>
  </si>
  <si>
    <t>BRU069</t>
  </si>
  <si>
    <t>BRU069-BRUNIDORA</t>
  </si>
  <si>
    <t>BRU070</t>
  </si>
  <si>
    <t>BRU070-BRUNIDORA</t>
  </si>
  <si>
    <t>BRU071</t>
  </si>
  <si>
    <t>BRU071-BRUNIDORA</t>
  </si>
  <si>
    <t>BRU072</t>
  </si>
  <si>
    <t>BRU072-BRUNIDORA</t>
  </si>
  <si>
    <t>CAB028</t>
  </si>
  <si>
    <t>CAB028-CABINE DE INSPEÇÃO DE TINTA</t>
  </si>
  <si>
    <t>CAB107</t>
  </si>
  <si>
    <t>CAB107-CABINE DE TESTE</t>
  </si>
  <si>
    <t>CAB108</t>
  </si>
  <si>
    <t>CAB108-CABINE DE TESTE</t>
  </si>
  <si>
    <t>CAB110</t>
  </si>
  <si>
    <t>CAB110-CABINE DE ESTANQUEIDADE</t>
  </si>
  <si>
    <t>CAB115</t>
  </si>
  <si>
    <t>CAB115-CABINE DE TESTE</t>
  </si>
  <si>
    <t>CAB116</t>
  </si>
  <si>
    <t>CAB116-CABINE DE TESTE</t>
  </si>
  <si>
    <t>CAB117</t>
  </si>
  <si>
    <t>CAB117-CABINE DE REGULAGEM</t>
  </si>
  <si>
    <t>CAB118</t>
  </si>
  <si>
    <t>CAB118-CABINE DE REGULAGEM</t>
  </si>
  <si>
    <t>CAB119</t>
  </si>
  <si>
    <t>CAB119-CABINE DE REGULAGEM</t>
  </si>
  <si>
    <t>CAB120</t>
  </si>
  <si>
    <t>CAB120-CABINE DE REGULAGEM</t>
  </si>
  <si>
    <t>CAB121</t>
  </si>
  <si>
    <t>CAB121-CABINE DE TESTE</t>
  </si>
  <si>
    <t>CAB122</t>
  </si>
  <si>
    <t>CAB122 CABINE DE REGULAGEM E TESTE</t>
  </si>
  <si>
    <t>CAB124</t>
  </si>
  <si>
    <t>CAB124-CABINE DE REGULAGEM</t>
  </si>
  <si>
    <t>CAB125</t>
  </si>
  <si>
    <t>CAB125-CABINE DE REGULAGEM</t>
  </si>
  <si>
    <t>CAB126</t>
  </si>
  <si>
    <t>CAB126-CABINE DE REGULAGEM</t>
  </si>
  <si>
    <t>CAB127</t>
  </si>
  <si>
    <t>CAB127-CABINE DE REGULAGEM</t>
  </si>
  <si>
    <t>CAB128</t>
  </si>
  <si>
    <t>CAB128-CABINE DE REGULAGEM</t>
  </si>
  <si>
    <t>CAB129</t>
  </si>
  <si>
    <t>CAB129-CABINE DE REGULAGEM</t>
  </si>
  <si>
    <t>CAR006</t>
  </si>
  <si>
    <t>CAR006-CARRO TRANSPORTADOR</t>
  </si>
  <si>
    <t>CEN100</t>
  </si>
  <si>
    <t>CEN100-CENTRO DE USINAGEM</t>
  </si>
  <si>
    <t>CEN101</t>
  </si>
  <si>
    <t>CEN101-CENTRO DE USINAGEM</t>
  </si>
  <si>
    <t>CEN102</t>
  </si>
  <si>
    <t>CEN102-CENTRO USINAGEM</t>
  </si>
  <si>
    <t>CEN103</t>
  </si>
  <si>
    <t>CEN103-CENTRO USINAGEM</t>
  </si>
  <si>
    <t>CEN104</t>
  </si>
  <si>
    <t>CEN104-CENTRO USINAGEM</t>
  </si>
  <si>
    <t>CEN105</t>
  </si>
  <si>
    <t>CEN105-CENTRO USINAGEM</t>
  </si>
  <si>
    <t>CEN106</t>
  </si>
  <si>
    <t>CEN106-CENTRO USINAGEM</t>
  </si>
  <si>
    <t>CEN107</t>
  </si>
  <si>
    <t>CEN107-CENTRO USINAGEM</t>
  </si>
  <si>
    <t>CEN108</t>
  </si>
  <si>
    <t>CEN108-CENTRO USINAGEM</t>
  </si>
  <si>
    <t>CEN109</t>
  </si>
  <si>
    <t>CEN109-CENTRO USINAGEM</t>
  </si>
  <si>
    <t>CEN110</t>
  </si>
  <si>
    <t>CEN110-CENTRO USINAGEM</t>
  </si>
  <si>
    <t>CEN111</t>
  </si>
  <si>
    <t>CEN111-CENTRO USINAGEM</t>
  </si>
  <si>
    <t>CEN112</t>
  </si>
  <si>
    <t>CEN112-CENTRO USINAGEM</t>
  </si>
  <si>
    <t>CEN113</t>
  </si>
  <si>
    <t>CEN113-CENTRO USINAGEM</t>
  </si>
  <si>
    <t>CEN114</t>
  </si>
  <si>
    <t>CEN114-CENTRO USINAGEM</t>
  </si>
  <si>
    <t>CEN115</t>
  </si>
  <si>
    <t>CEN115-CENTRO USINAGEM</t>
  </si>
  <si>
    <t>CEN116</t>
  </si>
  <si>
    <t>CEN116-CENTRO USINAGEM</t>
  </si>
  <si>
    <t>CEN140</t>
  </si>
  <si>
    <t>CEN140-CENTRO DE USINAGEM 5 EIXOS HERMLE</t>
  </si>
  <si>
    <t>COL003</t>
  </si>
  <si>
    <t>COL003-MÁQUINA DE COLA QUENTE</t>
  </si>
  <si>
    <t>COR001</t>
  </si>
  <si>
    <t>COR001-CORRENTE TRANSPORTE DE PEÇAS</t>
  </si>
  <si>
    <t>DES002</t>
  </si>
  <si>
    <t>DES002-DESBOBINADOR</t>
  </si>
  <si>
    <t>ELE008</t>
  </si>
  <si>
    <t>ELE008-ELETROEROSÃO A FIO FANUC</t>
  </si>
  <si>
    <t>ELE013</t>
  </si>
  <si>
    <t>ELE013-ELETROEROSÃO A FIO FANUC</t>
  </si>
  <si>
    <t>ELE014</t>
  </si>
  <si>
    <t>ELE014-ELETROEROSÃO PENETRAÇÃO SP3 EDM</t>
  </si>
  <si>
    <t>ELE015</t>
  </si>
  <si>
    <t>ELE015-ELETROEROSÃO PENETRAÇÃO EDM SP3</t>
  </si>
  <si>
    <t>ELE016</t>
  </si>
  <si>
    <t>ELE016-ELETROEROSÃO PENETRAÇÃO EDM SP3</t>
  </si>
  <si>
    <t>ELE017</t>
  </si>
  <si>
    <t>ELE017-ELETROEROSÃO PENETR FORM 3000HP</t>
  </si>
  <si>
    <t>ELE018</t>
  </si>
  <si>
    <t>ELE018-ELETROEROSÃO DRILL 20</t>
  </si>
  <si>
    <t>ELE019</t>
  </si>
  <si>
    <t>ELE019-ELETROEROSÃO CHARMILIES CUTE600</t>
  </si>
  <si>
    <t>EMP019</t>
  </si>
  <si>
    <t>EMP019-EMPILHADEIRA COMBUSTÃO</t>
  </si>
  <si>
    <t>EMP109</t>
  </si>
  <si>
    <t>EMP109-EMPILHADEIRA COMBUSTÃO</t>
  </si>
  <si>
    <t>EMP122</t>
  </si>
  <si>
    <t>EMP122-EMPILHADEIRA COMBUSTÃO</t>
  </si>
  <si>
    <t>EST127</t>
  </si>
  <si>
    <t>EST127-ESTUFA DE CURA E SECAGEM</t>
  </si>
  <si>
    <t>FOR002</t>
  </si>
  <si>
    <t>FOR002-FORNO CAMARA</t>
  </si>
  <si>
    <t>FOR102</t>
  </si>
  <si>
    <t>FOR102-FORNO DE PRE-AQUECIMENTO</t>
  </si>
  <si>
    <t>FOR103</t>
  </si>
  <si>
    <t>FOR103-FORNO DE SOLUBILIZAÇÃO</t>
  </si>
  <si>
    <t>FOR106</t>
  </si>
  <si>
    <t>FOR106-FORNO A GÁS</t>
  </si>
  <si>
    <t>FOR109</t>
  </si>
  <si>
    <t>FOR109-FORNO DE SOLUBILIZAÇÃO</t>
  </si>
  <si>
    <t>FOR110</t>
  </si>
  <si>
    <t>FOR110-FORNO DE SOLUBILIZAÇÃO</t>
  </si>
  <si>
    <t>FRE025</t>
  </si>
  <si>
    <t>FRE025-FRESADORA UNIVERSAL FU 360</t>
  </si>
  <si>
    <t>GRV008</t>
  </si>
  <si>
    <t>GRV008-GRAVADOR</t>
  </si>
  <si>
    <t>GRV009</t>
  </si>
  <si>
    <t>GRV009-GRAVADOR</t>
  </si>
  <si>
    <t>GRV012</t>
  </si>
  <si>
    <t>GRV012-GRAVADOR</t>
  </si>
  <si>
    <t>GRV014</t>
  </si>
  <si>
    <t>GRV014-GRAVADOR</t>
  </si>
  <si>
    <t>GRV015</t>
  </si>
  <si>
    <t>GRV015-GRAVADOR</t>
  </si>
  <si>
    <t>GRV016</t>
  </si>
  <si>
    <t>GRV016-GRAVADOR</t>
  </si>
  <si>
    <t>GRV017</t>
  </si>
  <si>
    <t>GRV017-GRAVADOR</t>
  </si>
  <si>
    <t>IMP001</t>
  </si>
  <si>
    <t>IMP001-IMPRESSORA DE ETIQUETAS</t>
  </si>
  <si>
    <t>INJ043</t>
  </si>
  <si>
    <t>INJ043-INJETORA DE PLÁSTICO</t>
  </si>
  <si>
    <t>INJ044</t>
  </si>
  <si>
    <t>INJ044-INJETORA DE PLÁSTICO</t>
  </si>
  <si>
    <t>INJ045</t>
  </si>
  <si>
    <t>INJ045-INJETORA DE PLÁSTICO</t>
  </si>
  <si>
    <t>INJ070</t>
  </si>
  <si>
    <t>INJ070-INJETORA DE ALUMÍNIO</t>
  </si>
  <si>
    <t>INJ072</t>
  </si>
  <si>
    <t>INJ072-INJETORA DE ALUMÍNIO</t>
  </si>
  <si>
    <t>JAT016</t>
  </si>
  <si>
    <t>JAT016-JATO DE GRANALHA</t>
  </si>
  <si>
    <t>JAT021</t>
  </si>
  <si>
    <t>JAT021-JATO DE GRANALHA</t>
  </si>
  <si>
    <t>LAV015</t>
  </si>
  <si>
    <t>LAV015-LAVADORA DE PEÇAS</t>
  </si>
  <si>
    <t>LAV018</t>
  </si>
  <si>
    <t>LAV018-LAVADORA PEÇAS</t>
  </si>
  <si>
    <t>LAV035</t>
  </si>
  <si>
    <t>LAV035-LAVADORA DE SABRES</t>
  </si>
  <si>
    <t>LAV040</t>
  </si>
  <si>
    <t>LAV040-LAVADORA DE PEÇAS</t>
  </si>
  <si>
    <t>LAV041</t>
  </si>
  <si>
    <t>LAV041-LAVADORA DE PEÇAS</t>
  </si>
  <si>
    <t>LAV055</t>
  </si>
  <si>
    <t>LAV055-LAVADORA MOLDES ULTRASSOM</t>
  </si>
  <si>
    <t>LAV087</t>
  </si>
  <si>
    <t>LAV087-LAVADORA DE MOLDES</t>
  </si>
  <si>
    <t>LIX005</t>
  </si>
  <si>
    <t>LIX005-LIXADEIRA</t>
  </si>
  <si>
    <t>LUB006</t>
  </si>
  <si>
    <t>LUB006-LUBRIFICADORA</t>
  </si>
  <si>
    <t>MAC001</t>
  </si>
  <si>
    <t>MAC001-MÁQUINA DE COLA</t>
  </si>
  <si>
    <t>MAC002</t>
  </si>
  <si>
    <t>MAC002-MÁQUINA DE COLA</t>
  </si>
  <si>
    <t>MAC004</t>
  </si>
  <si>
    <t>MAC004-MÁQUINA DE COLA</t>
  </si>
  <si>
    <t>MAC007</t>
  </si>
  <si>
    <t>MAC007-MÁQUINA DE COLA</t>
  </si>
  <si>
    <t>MAC008</t>
  </si>
  <si>
    <t>MAC008-MÁQUINA DE COLA</t>
  </si>
  <si>
    <t>MAC010</t>
  </si>
  <si>
    <t>MAC010-MÁQUINA DE COLA</t>
  </si>
  <si>
    <t>MAC011</t>
  </si>
  <si>
    <t>MAC011-MÁQUINA DE COLA</t>
  </si>
  <si>
    <t>MAG002</t>
  </si>
  <si>
    <t>MAG002-MAGNETIZADORA</t>
  </si>
  <si>
    <t>MAG004</t>
  </si>
  <si>
    <t>MAG004-MAGNETIZADORA</t>
  </si>
  <si>
    <t>MAQ159</t>
  </si>
  <si>
    <t>MAQ159-MÁQUINA MONTAGEM TUBO</t>
  </si>
  <si>
    <t>MAQ240</t>
  </si>
  <si>
    <t>MAQ240-MÁQUINA DE CORTE E USINAGEM</t>
  </si>
  <si>
    <t>MAQ243</t>
  </si>
  <si>
    <t>MAQ243-MÁQUINA DE CORTE E USINAGEM</t>
  </si>
  <si>
    <t>MAQ252</t>
  </si>
  <si>
    <t>MAQ252-MÁQUINA DE CORTE E USINAGEM</t>
  </si>
  <si>
    <t>MAQ254</t>
  </si>
  <si>
    <t>MAQ254-MÁQUINA DE CORTE E USINAGEM</t>
  </si>
  <si>
    <t>MOC011</t>
  </si>
  <si>
    <t>MOC011-MONTA CARGA</t>
  </si>
  <si>
    <t>MOC012</t>
  </si>
  <si>
    <t>MOC012-MONTA CARGA</t>
  </si>
  <si>
    <t>MOC013</t>
  </si>
  <si>
    <t>MOC013-MONTA CARGA</t>
  </si>
  <si>
    <t>MOD004</t>
  </si>
  <si>
    <t>MOD004-MONTADORA</t>
  </si>
  <si>
    <t>MOD024</t>
  </si>
  <si>
    <t>MOD024-MÁQUINA APLICADORA DIRKO</t>
  </si>
  <si>
    <t>PON005</t>
  </si>
  <si>
    <t>PON005-PONTE ROLANTE</t>
  </si>
  <si>
    <t>PON008</t>
  </si>
  <si>
    <t>PON008-PONTE ROLANTE</t>
  </si>
  <si>
    <t>PON010</t>
  </si>
  <si>
    <t>PON010-PONTE ROLANTE</t>
  </si>
  <si>
    <t>PON016</t>
  </si>
  <si>
    <t>PON016-PONTE ROLANTE</t>
  </si>
  <si>
    <t>PRE010</t>
  </si>
  <si>
    <t>PRE010-PRENSA HIDRÁULICA</t>
  </si>
  <si>
    <t>RBT001</t>
  </si>
  <si>
    <t>RBT001-REBITADEIRA</t>
  </si>
  <si>
    <t>REB001</t>
  </si>
  <si>
    <t>REB001-REBARBADORA</t>
  </si>
  <si>
    <t>REB010</t>
  </si>
  <si>
    <t>REB010-REBARBADORA</t>
  </si>
  <si>
    <t>RET019</t>
  </si>
  <si>
    <t>RET019-RETIFICA PLANA SULMECÂNICA</t>
  </si>
  <si>
    <t>RET041</t>
  </si>
  <si>
    <t>RET041-RETIFICA PLANA TANGECIAL</t>
  </si>
  <si>
    <t>ROB060</t>
  </si>
  <si>
    <t>ROB060-ROBÔ</t>
  </si>
  <si>
    <t>ROB071</t>
  </si>
  <si>
    <t>ROB071-ROBÔ</t>
  </si>
  <si>
    <t>ROB078</t>
  </si>
  <si>
    <t>ROB078-ROBÔ</t>
  </si>
  <si>
    <t>ROB079</t>
  </si>
  <si>
    <t>ROB079-ROBÔ</t>
  </si>
  <si>
    <t>ROB080</t>
  </si>
  <si>
    <t>ROB080-ROBÔ</t>
  </si>
  <si>
    <t>ROB081</t>
  </si>
  <si>
    <t>ROB081-ROBÔ</t>
  </si>
  <si>
    <t>ROB082</t>
  </si>
  <si>
    <t>ROB082-ROBÔ</t>
  </si>
  <si>
    <t>ROB083</t>
  </si>
  <si>
    <t>ROB083-ROBÔ</t>
  </si>
  <si>
    <t>ROB084</t>
  </si>
  <si>
    <t>ROB084-ROBÔ</t>
  </si>
  <si>
    <t>ROB086</t>
  </si>
  <si>
    <t>ROB086-ROBÔ</t>
  </si>
  <si>
    <t>ROB087</t>
  </si>
  <si>
    <t>ROB087-ROBÔ</t>
  </si>
  <si>
    <t>ROB088</t>
  </si>
  <si>
    <t>ROB088-ROBÔ</t>
  </si>
  <si>
    <t>ROB090</t>
  </si>
  <si>
    <t>ROB090-ROBO SACA PEÇA</t>
  </si>
  <si>
    <t>ROB091</t>
  </si>
  <si>
    <t>ROB091-ROBO PULVERIZADOR</t>
  </si>
  <si>
    <t>ROB092</t>
  </si>
  <si>
    <t>ROB092-ROBO REBARBADOR</t>
  </si>
  <si>
    <t>ROB093</t>
  </si>
  <si>
    <t>ROB093-ROBO SACA PEÇA</t>
  </si>
  <si>
    <t>ROB094</t>
  </si>
  <si>
    <t>ROB094-ROBO PULVERIZADOR</t>
  </si>
  <si>
    <t>ROB095</t>
  </si>
  <si>
    <t>ROB095-ROBO REBARBADOR</t>
  </si>
  <si>
    <t>ROB100</t>
  </si>
  <si>
    <t>ROB100-ROBO MANIPULADOR</t>
  </si>
  <si>
    <t>ROB101</t>
  </si>
  <si>
    <t>ROB101-ROBO MANIPULADOR</t>
  </si>
  <si>
    <t>ROB120</t>
  </si>
  <si>
    <t>ROB120-ROBÔ FANUC</t>
  </si>
  <si>
    <t>ROB121</t>
  </si>
  <si>
    <t>ROB121-ROBÔ FANUC</t>
  </si>
  <si>
    <t>ROB122</t>
  </si>
  <si>
    <t>ROB122-ROBÔ FANUC</t>
  </si>
  <si>
    <t>ROL001</t>
  </si>
  <si>
    <t>ROL001-ROLIERMASCHINE</t>
  </si>
  <si>
    <t>SOL001</t>
  </si>
  <si>
    <t>SOL001-SOLDA PONTO</t>
  </si>
  <si>
    <t>SOL007</t>
  </si>
  <si>
    <t>SOL007-SOLDADORA FRICÇÃO</t>
  </si>
  <si>
    <t>SOL011</t>
  </si>
  <si>
    <t>SOL011-SOLDADORA FRICÇÃO</t>
  </si>
  <si>
    <t>SOL013-SOLDADORA DE GÁS QUENTE</t>
  </si>
  <si>
    <t>SOP009</t>
  </si>
  <si>
    <t>SOP009-SOPRADOR DE MACHO DE AREIA</t>
  </si>
  <si>
    <t>TAN042</t>
  </si>
  <si>
    <t>TAN042-TANQUE</t>
  </si>
  <si>
    <t>TAN636</t>
  </si>
  <si>
    <t>TAN636-TANQUE DE SOLUBILIZAÇÃO</t>
  </si>
  <si>
    <t>TOR019</t>
  </si>
  <si>
    <t>TOR019-TORNO ROMI TORMAX 30</t>
  </si>
  <si>
    <t>TOR040</t>
  </si>
  <si>
    <t>TOR040-TORNO UNIVERSAL VEKER</t>
  </si>
  <si>
    <t>TOR042</t>
  </si>
  <si>
    <t>TOR042-TORNO MAZAK VOLANTES</t>
  </si>
  <si>
    <t>TOR043</t>
  </si>
  <si>
    <t>TOR043-TORNO MAZAK VOLANTES</t>
  </si>
  <si>
    <t>TRO001</t>
  </si>
  <si>
    <t>TRO001-TROVALIZADOR</t>
  </si>
  <si>
    <t>TRO002</t>
  </si>
  <si>
    <t>TRO002-TROVALIZADOR</t>
  </si>
  <si>
    <t>TRO003</t>
  </si>
  <si>
    <t>TRO003-TROVALIZADOR</t>
  </si>
  <si>
    <t>TRO004</t>
  </si>
  <si>
    <t>TRO004-TROVALIZADOR</t>
  </si>
  <si>
    <t>TRP027</t>
  </si>
  <si>
    <t>TRP027-TRANSPORTADOR DE SABRES</t>
  </si>
  <si>
    <t/>
  </si>
  <si>
    <t>X</t>
  </si>
  <si>
    <t>BR01-MOT-SAB-TRTTRM-APL001</t>
  </si>
  <si>
    <t>BR01-CIL-UCI-VOLANT-BAL003</t>
  </si>
  <si>
    <t>BR01-CIL-UCI-VOLANT-BAL004</t>
  </si>
  <si>
    <t>BAL007-BALANCEADORA</t>
  </si>
  <si>
    <t>BR01-CIL-UCI-VOLANT-BAL007</t>
  </si>
  <si>
    <t>BR01-CIL-UCI-VOLANT-BAL008</t>
  </si>
  <si>
    <t>BR01-MOT-UMG-MISCEL-BAL009</t>
  </si>
  <si>
    <t>BR01-MOT-VIR-USIDUR-BRU002</t>
  </si>
  <si>
    <t>BR01-MOT-VIR-LBIELA-BRU003</t>
  </si>
  <si>
    <t>BR01-MOT-VIR-LBIELA-BRU004</t>
  </si>
  <si>
    <t>BR01-CIL-UCI-BRUNI1-BRUC02</t>
  </si>
  <si>
    <t>BR01-CIL-UCI-BRUNI1-BRUC14</t>
  </si>
  <si>
    <t>BR01-CIL-UCI-BRUNI2-BRUC12</t>
  </si>
  <si>
    <t>BR01-CIL-UCI-BRUNI1-BRUC05</t>
  </si>
  <si>
    <t>BR01-CIL-UCI-BRUNI1-BRUC04</t>
  </si>
  <si>
    <t>BR01-CIL-UCI-BRUNI1-BRUC03</t>
  </si>
  <si>
    <t>BR01-CIL-UCI-BRUNI1-BRUC01</t>
  </si>
  <si>
    <t>BR01-CIL-UCI-BRUNI1-BRUC08</t>
  </si>
  <si>
    <t>BR01-CIL-UCI-BRUNI1-BRUC10</t>
  </si>
  <si>
    <t>BR01-CIL-UCI-BRUNI1-BRUC13</t>
  </si>
  <si>
    <t>BR01-CIL-UCI-BRUNI1-BRUC06</t>
  </si>
  <si>
    <t>BR01-CIL-UCI-BRUNI2-BRUC15</t>
  </si>
  <si>
    <t>BR01-CIL-UCI-BRUNI2-BRUC16</t>
  </si>
  <si>
    <t>BR01-CIL-UCI-BRUNI2-BRUC17</t>
  </si>
  <si>
    <t>BR01-MOT-VIR-LBIELA-BRU041</t>
  </si>
  <si>
    <t>BR01-CIL-UCI-BRUNI2-BRUC18</t>
  </si>
  <si>
    <t>BR01-CIL-UCI-BRUNI2-BRUC19</t>
  </si>
  <si>
    <t>BR01-CIL-UCI-BRUNI2-BRUC20</t>
  </si>
  <si>
    <t>BR01-CIL-UCI-BRUNI2-BRUC21</t>
  </si>
  <si>
    <t>BR01-CIL-UCI-BRUNI2-BRUC22</t>
  </si>
  <si>
    <t>BR01-CIL-UCI-BRUNI1-BRUC23</t>
  </si>
  <si>
    <t>BR01-CIL-UCI-BRUNI2-BRUC24</t>
  </si>
  <si>
    <t>BR01-CIL-UCI-BRUNI2-BRUC25</t>
  </si>
  <si>
    <t>BR01-CIL-UCI-BRUNI2-BRUC26</t>
  </si>
  <si>
    <t>BR01-CIL-UCI-BRUNI1-BRUC11</t>
  </si>
  <si>
    <t>BR01-CIL-UCI-BRUNI1-BRUC28</t>
  </si>
  <si>
    <t>BR01-CIL-UCI-BRUNI2-BRUC29</t>
  </si>
  <si>
    <t>BR01-CIL-UCI-BRUNI2-BRUC30</t>
  </si>
  <si>
    <t>BR01-CIL-UCI-BRUNI1-BRUC31</t>
  </si>
  <si>
    <t>BR01-CIL-UCI-BRUNI1-BRUC32</t>
  </si>
  <si>
    <t>BR01-MOT-UMG-PINTUR-CAB018</t>
  </si>
  <si>
    <t>BR01-MOT-SAB-FINALL-CAB028</t>
  </si>
  <si>
    <t>BR01-MOT-SAB-FINALL-CAB029</t>
  </si>
  <si>
    <t>BR01-MOT-SAB-FINALL-CAB030</t>
  </si>
  <si>
    <t>BR01-MOT-SAB-FINALL-CAB031</t>
  </si>
  <si>
    <t>BR01-MOT-SAB-FINALL-CAB032</t>
  </si>
  <si>
    <t>BR01-MOT-SAB-FINALL-CAB033</t>
  </si>
  <si>
    <t>BR01-MOT-MON-LINHA1</t>
  </si>
  <si>
    <t>BR01-MOT-MON-LINHA3</t>
  </si>
  <si>
    <t>BR01-MOT-MON-LINHA2</t>
  </si>
  <si>
    <t>BR01-MOT-MON-LINHA5</t>
  </si>
  <si>
    <t>BR01-MOT-MON-LINHA4</t>
  </si>
  <si>
    <t>BR01-MOT-VIR-TRTTRM-CAR006</t>
  </si>
  <si>
    <t>BR01-CIL-FER-FABMOL</t>
  </si>
  <si>
    <t>BR01-MOT-UMG-CARTER-CEN010</t>
  </si>
  <si>
    <t>BR01-CIL-UCI-USINA1-CEN017</t>
  </si>
  <si>
    <t>BR01-CIL-UCI-USINA1-CEN018</t>
  </si>
  <si>
    <t>BR01-CIL-UCI-USINA1-CEN019</t>
  </si>
  <si>
    <t>BR01-MOT-UMG-CARTER-CEN021</t>
  </si>
  <si>
    <t>BR01-CIL-UCI-USINA1-CEN022</t>
  </si>
  <si>
    <t>BR01-CIL-UCI-USINA1-CEN023</t>
  </si>
  <si>
    <t>BR01-CIL-UCI-USINA1-CEN024</t>
  </si>
  <si>
    <t>BR01-CIL-UCI-USINA1-CEN025</t>
  </si>
  <si>
    <t>BR01-CIL-UCI-USINA1-CEN026</t>
  </si>
  <si>
    <t>BR01-CIL-UCI-USINA1-CEN027</t>
  </si>
  <si>
    <t>BR01-CIL-UCI-USINA1-CEN028</t>
  </si>
  <si>
    <t>BR01-CIL-UCI-USINA1-CEN029</t>
  </si>
  <si>
    <t>BR01-CIL-UCI-USINA1-CEN030</t>
  </si>
  <si>
    <t>BR01-CIL-UCI-USINA1-CEN031</t>
  </si>
  <si>
    <t>BR01-CIL-UCI-USINA1-CEN032</t>
  </si>
  <si>
    <t>BR01-CIL-UCI-USINA1-CEN033</t>
  </si>
  <si>
    <t>BR01-CIL-UCI-USINA1-CEN034</t>
  </si>
  <si>
    <t>BR01-CIL-UCI-USINA1-CEN035</t>
  </si>
  <si>
    <t>BR01-CIL-UCI-USINA1-CEN036</t>
  </si>
  <si>
    <t>BR01-CIL-UCI-USINA1-CEN037</t>
  </si>
  <si>
    <t>BR01-CIL-UCI-USINA1-CEN038</t>
  </si>
  <si>
    <t>BR01-CIL-UCI-USINA1-CEN039</t>
  </si>
  <si>
    <t>BR01-CIL-UCI-USINA1-CEN040</t>
  </si>
  <si>
    <t>BR01-CIL-UCI-USINA1-CEN041</t>
  </si>
  <si>
    <t>BR01-CIL-UCI-USINA1-CEN042</t>
  </si>
  <si>
    <t>BR01-CIL-UCI-USINA2-CEN043</t>
  </si>
  <si>
    <t>BR01-CIL-UCI-USINA2-CEN044</t>
  </si>
  <si>
    <t>BR01-CIL-UCI-USINA2-CEN045</t>
  </si>
  <si>
    <t>BR01-CIL-UCI-USINA2-CEN046</t>
  </si>
  <si>
    <t>BR01-CIL-UCI-USINA2-CEN047</t>
  </si>
  <si>
    <t>BR01-CIL-UCI-USINA2-CEN048</t>
  </si>
  <si>
    <t>BR01-CIL-UCI-USINA2-CEN049</t>
  </si>
  <si>
    <t>BR01-MOT-UMG-MISCEL-CEN050</t>
  </si>
  <si>
    <t>BR01-MOT-UMG-CARTER-CEN051</t>
  </si>
  <si>
    <t>BR01-MOT-SAB-FINALL-CEN052</t>
  </si>
  <si>
    <t>BR01-MOT-UMG-CARTER-CEN053</t>
  </si>
  <si>
    <t>BR01-MOT-UMG-CARTER-CEN054</t>
  </si>
  <si>
    <t>BR01-MOT-UMG-MISCEL-CEN055</t>
  </si>
  <si>
    <t>BR01-MOT-VIR-LBIELA-CEN056</t>
  </si>
  <si>
    <t>BR01-MOT-VIR-LBIELA-CEN057</t>
  </si>
  <si>
    <t>BR01-MOT-UMG-CARTER-CEN059</t>
  </si>
  <si>
    <t>BR01-MOT-UMG-CARTER-CEN061</t>
  </si>
  <si>
    <t>BR01-MOT-SAB-FINALL-CEN062</t>
  </si>
  <si>
    <t>BR01-CIL-FER-MANMOL</t>
  </si>
  <si>
    <t>BR01-MOT-SAB-LFACAS-CEN065</t>
  </si>
  <si>
    <t>BR01-CIL-UCI-USINA2-CEN069</t>
  </si>
  <si>
    <t>BR01-CIL-UCI-USINA2-CEN070</t>
  </si>
  <si>
    <t>BR01-CIL-UCI-USINA2-CEN071</t>
  </si>
  <si>
    <t>BR01-CIL-UCI-USINA2-CEN072</t>
  </si>
  <si>
    <t>BR01-CIL-UCI-USINA2-CEN073</t>
  </si>
  <si>
    <t>BR01-CIL-UCI-USINA2-CEN074</t>
  </si>
  <si>
    <t>BR01-CIL-UCI-USINA2-CEN075</t>
  </si>
  <si>
    <t>BR01-CIL-UCI-USINA2-CEN076</t>
  </si>
  <si>
    <t>BR01-CIL-UCI-USINA2-CEN077</t>
  </si>
  <si>
    <t>BR01-CIL-UCI-USINA2-CEN078</t>
  </si>
  <si>
    <t>BR01-CIL-UCI-USINA2-CEN079</t>
  </si>
  <si>
    <t>BR01-CIL-UCI-USINA2-CEN080</t>
  </si>
  <si>
    <t>BR01-CIL-UCI-USINA2-CEN081</t>
  </si>
  <si>
    <t>BR01-CIL-UCI-USINA2-CEN082</t>
  </si>
  <si>
    <t>BR01-MOT-VIR-USIMOL-CEN084</t>
  </si>
  <si>
    <t>BR01-CIL-UCI-USINA2-CEN085</t>
  </si>
  <si>
    <t>BR01-CIL-UCI-USINA2-CEN086</t>
  </si>
  <si>
    <t>BR01-MOT-SAB-LFACAS-CEN087</t>
  </si>
  <si>
    <t>BR01-MOT-VIR-USIMOL-CEN088</t>
  </si>
  <si>
    <t>BR01-CIL-UCI-USINA2-CEN089</t>
  </si>
  <si>
    <t>BR01-CIL-UCI-USINA2-CEN090</t>
  </si>
  <si>
    <t>BR01-MOT-UMG-CARTL4-CEN092</t>
  </si>
  <si>
    <t>BR01-MOT-UMG-CARTL4-CEN094</t>
  </si>
  <si>
    <t>BR01-MOT-UMG-CARTL4-CEN095</t>
  </si>
  <si>
    <t>BR01-MOT-UMG-CARTL4-CEN096</t>
  </si>
  <si>
    <t>BR01-MOT-UMG-CARTL4-CEN097</t>
  </si>
  <si>
    <t>BR01-CIL-UCI-USINA2-CEN098</t>
  </si>
  <si>
    <t>BR01-CIL-UCI-USINA2-CEN099</t>
  </si>
  <si>
    <t>BR01-CIL-UCI-USINA1-CEN100</t>
  </si>
  <si>
    <t>BR01-CIL-UCI-USINA1-CEN101</t>
  </si>
  <si>
    <t>BR01-CIL-UCI-USINA2-CEN102</t>
  </si>
  <si>
    <t>BR01-CIL-UCI-USINA2-CEN103</t>
  </si>
  <si>
    <t>BR01-CIL-UCI-USINA2-CEN104</t>
  </si>
  <si>
    <t>BR01-CIL-UCI-USINA2-CEN105</t>
  </si>
  <si>
    <t>BR01-CIL-UCI-USINA2-CEN106</t>
  </si>
  <si>
    <t>BR01-CIL-UCI-USINA2-CEN107</t>
  </si>
  <si>
    <t>BR01-CIL-UCI-USINA2-CEN108</t>
  </si>
  <si>
    <t>BR01-CIL-UCI-USINA2-CEN109</t>
  </si>
  <si>
    <t>BR01-CIL-UCI-USINA2-CEN110</t>
  </si>
  <si>
    <t>BR01-CIL-UCI-USINA2-CEN111</t>
  </si>
  <si>
    <t>BR01-CIL-UCI-USINA2-CEN112</t>
  </si>
  <si>
    <t>BR01-CIL-UCI-USINA2-CEN113</t>
  </si>
  <si>
    <t>BR01-CIL-UCI-USINA2-CEN114</t>
  </si>
  <si>
    <t>BR01-CIL-UCI-USINA2-CEN115</t>
  </si>
  <si>
    <t>BR01-CIL-UCI-USINA2-CEN116</t>
  </si>
  <si>
    <t>BR01-MOT-SAB-FINALL-EMB004</t>
  </si>
  <si>
    <t>BR01-CIL-FGR-VAZAM1-COQC02</t>
  </si>
  <si>
    <t>BR01-CIL-FGR-VAZAM1-COQC03</t>
  </si>
  <si>
    <t>BR01-CIL-FGR-VAZAM1-COQC04</t>
  </si>
  <si>
    <t>BR01-CIL-FGR-VAZAM1-COQC05</t>
  </si>
  <si>
    <t>BR01-MOT-UMG-PINTUR-COR001</t>
  </si>
  <si>
    <t>BR01-MOT-SAB-TRTTRM-DES002</t>
  </si>
  <si>
    <t>BR01-MOT-UMG-DECPIN-EST127</t>
  </si>
  <si>
    <t>BR01-MOT-SAB-RETIFC-FIL001</t>
  </si>
  <si>
    <t>BR01-CIL-UCI-BRUNI1-FIL007</t>
  </si>
  <si>
    <t>BR01-CIL-UCI-BRUNI2-FIL023</t>
  </si>
  <si>
    <t>BR01-CIL-UCI-USINA2-FIL024</t>
  </si>
  <si>
    <t>BR01-CIL-UCI-USINA2-FIL042</t>
  </si>
  <si>
    <t>BR01-CIL-UCI-BRUNI1-FIL058</t>
  </si>
  <si>
    <t>BR01-MOT-VIR-TRTTRM-FOR001</t>
  </si>
  <si>
    <t>BR01-MOT-VIR-TRTTRM-FOR002</t>
  </si>
  <si>
    <t>BR01-MOT-SAB-TRTTRM-FOR014</t>
  </si>
  <si>
    <t>BR01-MOT-SAB-TRTTRM-FOR015</t>
  </si>
  <si>
    <t>BR01-MOT-SAB-TRTTRM-FOR016</t>
  </si>
  <si>
    <t>BR01-MOT-SAB-TRTTRM-FOR017</t>
  </si>
  <si>
    <t>BR01-MOT-SAB-TRTTRM-FOR020</t>
  </si>
  <si>
    <t>BR01-CIL-FGR-REFUSA-FOR039</t>
  </si>
  <si>
    <t>BR01-MOT-SAB-TRTIND-FOR042</t>
  </si>
  <si>
    <t>BR01-MOT-SAB-LASERS-FOR044</t>
  </si>
  <si>
    <t>BR01-CIL-FGR-REFUSA-FOR045</t>
  </si>
  <si>
    <t>BR01-CIL-FCI-REFUS2-FOR052</t>
  </si>
  <si>
    <t>BR01-MOT-SAB-TRTTRM-FOR062</t>
  </si>
  <si>
    <t>BR01-CIL-FGR-TRTTRM-FOR063</t>
  </si>
  <si>
    <t>BR01-CIL-FGR-TRTTRM-FOR071</t>
  </si>
  <si>
    <t>BR01-MOT-VIR-TRTTRM-FOR088</t>
  </si>
  <si>
    <t>BR01-CIL-FCI-REFUS1-FOR089</t>
  </si>
  <si>
    <t>BR01-CIL-UCI-BRUNI2-MACC04</t>
  </si>
  <si>
    <t>BR01-MOT-VIR-TRTTRM-FOR092</t>
  </si>
  <si>
    <t>BR01-MOT-VIR-TRTTRM-FOR099</t>
  </si>
  <si>
    <t>BR01-CIL-FCI-REFUS2-FOR101</t>
  </si>
  <si>
    <t>BR01-CIL-FCI-REFUS2-FOR102</t>
  </si>
  <si>
    <t>BR01-CIL-FGR-TRTTRM-FOR103</t>
  </si>
  <si>
    <t>BR01-MOT-VIR-TRTTRM-FOR106</t>
  </si>
  <si>
    <t>BR01-CIL-FGR-TRTTRM-FOR109</t>
  </si>
  <si>
    <t>BR01-CIL-FGR-TRTTRM-FOR110</t>
  </si>
  <si>
    <t>BR01-MOT-SAB-FINALL-FRE021</t>
  </si>
  <si>
    <t>BR01-MOT-VIR-TRTTRM-GRV016</t>
  </si>
  <si>
    <t>BR01-MOT-VIR-TRTTRM-GRV017</t>
  </si>
  <si>
    <t>BR01-IES-P01-SALA29</t>
  </si>
  <si>
    <t>BR01-MOT-FMG-INJEC1-INJ001</t>
  </si>
  <si>
    <t>BR01-MOT-FMG-INJEC2-INJ002</t>
  </si>
  <si>
    <t>BR01-MOT-FMG-INJEC1-INJ003</t>
  </si>
  <si>
    <t>BR01-MOT-FMG-INJEC2-INJ004</t>
  </si>
  <si>
    <t>BR01-MOT-FMG-INJEC1-INJ005</t>
  </si>
  <si>
    <t>BR01-MOT-FMG-INJEC2-INJ006</t>
  </si>
  <si>
    <t>BR01-MOT-FMG-INJEC2-INJ007</t>
  </si>
  <si>
    <t>BR01-MOT-PLA-INJEC1-INJ010</t>
  </si>
  <si>
    <t>BR01-CIL-FCI-INJEC1-INJ011</t>
  </si>
  <si>
    <t>BR01-CIL-FCI-INJEC2-INJ012</t>
  </si>
  <si>
    <t>BR01-CIL-FCI-INJEC1-INJ015</t>
  </si>
  <si>
    <t>BR01-MOT-PLA-INJEC1-INJ016</t>
  </si>
  <si>
    <t>BR01-MOT-PLA-INJEC1-INJ017</t>
  </si>
  <si>
    <t>BR01-CIL-FCI-INJEC1-INJ018</t>
  </si>
  <si>
    <t>BR01-MOT-PLA-INJEC1-INJ019</t>
  </si>
  <si>
    <t>BR01-CIL-FCI-INJEC1-INJ027</t>
  </si>
  <si>
    <t>BR01-CIL-FCI-INJEC1-INJ029</t>
  </si>
  <si>
    <t>BR01-CIL-FCI-INJEC1-INJ030</t>
  </si>
  <si>
    <t>BR01-MOT-PLA-INJEC1-INJ031</t>
  </si>
  <si>
    <t>BR01-MOT-PLA-INJEC1-INJ032</t>
  </si>
  <si>
    <t>BR01-CIL-FCI-INJEC1-INJ033</t>
  </si>
  <si>
    <t>BR01-MOT-PLA-INJEC1-INJ034</t>
  </si>
  <si>
    <t>BR01-MOT-SAB-FINALL-INJ035</t>
  </si>
  <si>
    <t>BR01-MOT-PLA-INJEC1-INJ036</t>
  </si>
  <si>
    <t>BR01-MOT-PLA-INJEC1-INJ037</t>
  </si>
  <si>
    <t>BR01-MOT-PLA-INJEC1-INJ038</t>
  </si>
  <si>
    <t>BR01-MOT-PLA-INJEC1-INJ039</t>
  </si>
  <si>
    <t>BR01-MOT-PLA-INJEC1-INJ040</t>
  </si>
  <si>
    <t>BR01-MOT-PLA-INJEC1-INJ041</t>
  </si>
  <si>
    <t>BR01-MOT-PLA-INJEC1-INJ042</t>
  </si>
  <si>
    <t>BR01-MOT-PLA-INJEC1-INJ043</t>
  </si>
  <si>
    <t>BR01-MOT-PLA-INJEC1-INJ044</t>
  </si>
  <si>
    <t>BR01-MOT-PLA-INJEC1-INJ045</t>
  </si>
  <si>
    <t>BR01-CIL-FCI-INJEC2-INJ061</t>
  </si>
  <si>
    <t>BR01-CIL-FCI-INJEC2-INJ062</t>
  </si>
  <si>
    <t>BR01-CIL-FCI-INJEC2-INJ063</t>
  </si>
  <si>
    <t>BR01-CIL-FCI-INJEC2-INJ064</t>
  </si>
  <si>
    <t>BR01-CIL-FCI-INJEC2-INJ065</t>
  </si>
  <si>
    <t>BR01-CIL-FCI-INJEC2-INJ066</t>
  </si>
  <si>
    <t>BR01-CIL-FCI-INJEC2-INJ067</t>
  </si>
  <si>
    <t>BR01-CIL-FCI-INJEC2-INJ068</t>
  </si>
  <si>
    <t>BR01-CIL-FCI-INJEC2-INJ070</t>
  </si>
  <si>
    <t>BR01-CIL-FCI-INJEC2-INJ072</t>
  </si>
  <si>
    <t>BR01-MOT-VIR-TRTTRM-JAT003</t>
  </si>
  <si>
    <t>BR01-CIL-FCI-JATEA1-JAT012</t>
  </si>
  <si>
    <t>BR01-CIL-FCI-JATEA1-JAT014</t>
  </si>
  <si>
    <t>BR01-CIL-FGR-JATEAM-JAT016</t>
  </si>
  <si>
    <t>BR01-CIL-FGR-JATEAM-JAT019</t>
  </si>
  <si>
    <t>BR01-CIL-FGR-PINTUR-JAT021</t>
  </si>
  <si>
    <t>BR01-CIL-FGR-PINTUR-JAT023</t>
  </si>
  <si>
    <t>BR01-CIL-FGR-PINTUR-JAT024</t>
  </si>
  <si>
    <t>BR01-CIL-FGR-JATEAM-JAT025</t>
  </si>
  <si>
    <t>BR01-CIL-FGR-JATEAM-JAT028</t>
  </si>
  <si>
    <t>BR01-MOT-SAB-LFACAS-JAT029</t>
  </si>
  <si>
    <t>BR01-CIL-FCI-JATEA2-JAT033</t>
  </si>
  <si>
    <t>BR01-MOT-SAB-LASERS-LAS001</t>
  </si>
  <si>
    <t>BR01-MOT-SAB-LASERS-LAS003</t>
  </si>
  <si>
    <t>BR01-MOT-SAB-LFACAS-LAS004</t>
  </si>
  <si>
    <t>BR01-MOT-SAB-LASERS-LAS005</t>
  </si>
  <si>
    <t>BR01-MOT-SAB-LASERS-LAS007</t>
  </si>
  <si>
    <t>BR01-MOT-SAB-FINALL-LAS009</t>
  </si>
  <si>
    <t>BR01-MOT-VIR-LBIELA-LAV015</t>
  </si>
  <si>
    <t>BR01-MOT-SAB-LFACAS-LAV018</t>
  </si>
  <si>
    <t>BR01-MOT-SAB-FINALL-LAV035</t>
  </si>
  <si>
    <t>BR01-MOT-VIR-USIDUR-LAV040</t>
  </si>
  <si>
    <t>BR01-MOT-VIR-USIDUR-LAV041</t>
  </si>
  <si>
    <t>BR01-CIL-FER-MANMOL-DEPMOL</t>
  </si>
  <si>
    <t>BR01-MOT-SAB-LASERS-LIX005</t>
  </si>
  <si>
    <t>BR01-MOT-SAB-FINALL-LUB006</t>
  </si>
  <si>
    <t>BR01-CIL-UCI-BRUNI1-MACC01</t>
  </si>
  <si>
    <t>BR01-CIL-UCI-BRUNI1-MACC02</t>
  </si>
  <si>
    <t>BR01-CIL-UCI-BRUNI2-MACC02</t>
  </si>
  <si>
    <t>BR01-CIL-UCI-BRUNI2-MACC01</t>
  </si>
  <si>
    <t>BR01-CIL-UCI-BRUNI1-MACC03</t>
  </si>
  <si>
    <t>BR01-CIL-UCI-VOLANT-MAG002</t>
  </si>
  <si>
    <t>BR01-CIL-UCI-VOLANT-MAG003</t>
  </si>
  <si>
    <t>BR01-CIL-UCI-VOLAN4-MAG004</t>
  </si>
  <si>
    <t>BR01-CIL-UCI-USINA1-MAN010</t>
  </si>
  <si>
    <t>BR01-MOT-VIR-TRTTRM-MAQ021</t>
  </si>
  <si>
    <t>BR01-CIL-CRO-LINHA3-MOC011</t>
  </si>
  <si>
    <t>BR01-CIL-CRO-LINHA2-MOC012</t>
  </si>
  <si>
    <t>BR01-CIL-CRO-LINHA2-MOC013</t>
  </si>
  <si>
    <t>BR01-CIL-UCI-BRUNI1-MOD004</t>
  </si>
  <si>
    <t>BR01-CIL-UCI-BRUNI1-MOD009</t>
  </si>
  <si>
    <t>BR01-CIL-UCI-BRUNI1-MOD015</t>
  </si>
  <si>
    <t>BR01-CIL-UCI-USINA2-MOD017</t>
  </si>
  <si>
    <t>BR01-CIL-UCI-BRUNI2-MOD020</t>
  </si>
  <si>
    <t>BR01-CIL-UCI-USINA2-MOD021</t>
  </si>
  <si>
    <t>BR01-CIL-UCI-BRUNI2-MOD022</t>
  </si>
  <si>
    <t>BR01-CIL-UCI-BRUNI2-PRE045</t>
  </si>
  <si>
    <t>BR01-CIL-UCI-BRUNI1-MACC04</t>
  </si>
  <si>
    <t>BR01-MOT-SAB-TRTTRM-MON001</t>
  </si>
  <si>
    <t>BR01-UTL-PON</t>
  </si>
  <si>
    <t>BR01-MOT-SAB-TRTTRM-PRE024</t>
  </si>
  <si>
    <t>BR01-MOT-VIR-USIDUR-PRE031</t>
  </si>
  <si>
    <t>BR01-MOT-VIR-USIDUR-PRE032</t>
  </si>
  <si>
    <t>BR01-CIL-UCI-BRUNI1-PRE038</t>
  </si>
  <si>
    <t>BR01-MOT-VIR-USIDUR-PRE046</t>
  </si>
  <si>
    <t>BR01-CIL-UCI-USINA1-PRE048</t>
  </si>
  <si>
    <t>BR01-CIL-UCI-USINA1-PRE053</t>
  </si>
  <si>
    <t>BR01-CIL-UCI-USINA1-PRE054</t>
  </si>
  <si>
    <t>BR01-MOT-SAB-MONCAB-RBT001</t>
  </si>
  <si>
    <t>BR01-MOT-SAB-FINALL-REB001</t>
  </si>
  <si>
    <t>BR01-CIL-CRO-REBAR1-REB002</t>
  </si>
  <si>
    <t>BR01-CIL-CRO-REBAR1-REB003</t>
  </si>
  <si>
    <t>BR01-CIL-CRO-REBAR2-REB004</t>
  </si>
  <si>
    <t>BR01-CIL-CRO-REBAR2-REB007</t>
  </si>
  <si>
    <t>BR01-CIL-CRO-REBAR1-REB008</t>
  </si>
  <si>
    <t>BR01-CIL-CRO-REBAR1-REB009</t>
  </si>
  <si>
    <t>BR01-MOT-VIR-USIDUR-REB010</t>
  </si>
  <si>
    <t>BR01-CIL-CRO-REBAR2-REB011</t>
  </si>
  <si>
    <t>BR01-MOT-VIR-USIDUR-RET002</t>
  </si>
  <si>
    <t>BR01-MOT-VIR-USIDUR-RET004</t>
  </si>
  <si>
    <t>BR01-MOT-VIR-USIDUR-RET006</t>
  </si>
  <si>
    <t>BR01-MOT-SAB-RETIFC-RET012</t>
  </si>
  <si>
    <t>BR01-MOT-SAB-RETIFC-RET013</t>
  </si>
  <si>
    <t>BR01-MOT-SAB-RETIFC-RET014</t>
  </si>
  <si>
    <t>BR01-MOT-SAB-RETIFC-RET015</t>
  </si>
  <si>
    <t>BR01-MOT-SAB-RETIFC-RET016</t>
  </si>
  <si>
    <t>BR01-MOT-SAB-RETIFC-RET017</t>
  </si>
  <si>
    <t>BR01-MOT-SAB-TRTIND-RET020</t>
  </si>
  <si>
    <t>BR01-MOT-VIR-USIDUR-RET024</t>
  </si>
  <si>
    <t>BR01-MOT-VIR-USIDUR-RET026</t>
  </si>
  <si>
    <t>BR01-MOT-VIR-LBIELA-RET030</t>
  </si>
  <si>
    <t>BR01-MOT-VIR-USIDUR-RET031</t>
  </si>
  <si>
    <t>BR01-MOT-SAB-RETIFC-RET032</t>
  </si>
  <si>
    <t>BR01-MOT-VIR-LBIELA-RET033</t>
  </si>
  <si>
    <t>BR01-MOT-VIR-USIDUR-RET038</t>
  </si>
  <si>
    <t>BR01-MOT-VIR-USIDUR-RET039</t>
  </si>
  <si>
    <t>BR01-UTL-OFC-ROB</t>
  </si>
  <si>
    <t>BR01-CIL-FGR-SOPRO1-ROB023</t>
  </si>
  <si>
    <t>BR01-MOT-VIR-USIDUR-TOR020</t>
  </si>
  <si>
    <t>BR01-MOT-SAB-FINALL-ROB044</t>
  </si>
  <si>
    <t>BR01-CIL-UCI-BRUNI1-MODC01</t>
  </si>
  <si>
    <t>BR01-MOT-VIR-USIDUR-TOR024</t>
  </si>
  <si>
    <t>BR01-MOT-SAB-TRTIND-ROL001</t>
  </si>
  <si>
    <t>BR01-MOT-SAB-MONCAB-SOL001</t>
  </si>
  <si>
    <t>BR01-MOT-PLA-SOLDAG-SOL007</t>
  </si>
  <si>
    <t>BR01-MOT-PLA-SOLDAG-SOL009</t>
  </si>
  <si>
    <t>BR01-MOT-PLA-SOLDAG-SOL011</t>
  </si>
  <si>
    <t>BR01-MOT-PLA-SOLDAG-SOL013</t>
  </si>
  <si>
    <t>BR01-CIL-FGR-SOPRO1-SOP002</t>
  </si>
  <si>
    <t>BR01-CIL-FGR-SOPRO1-SOP003</t>
  </si>
  <si>
    <t>BR01-CIL-FGR-SOPRO1-SOP004</t>
  </si>
  <si>
    <t>BR01-CIL-FGR-SOPRO1-SOP005</t>
  </si>
  <si>
    <t>BR01-CIL-FGR-SOPRO1-SOP007</t>
  </si>
  <si>
    <t>BR01-CIL-FGR-SOPRO1-SOP008</t>
  </si>
  <si>
    <t>BR01-CIL-FGR-SOPRO1-SOP009</t>
  </si>
  <si>
    <t>BR01-MOT-SAB-FINALL-SRG004</t>
  </si>
  <si>
    <t>BR01-CIL-FGR-TRTTRM-TAN042</t>
  </si>
  <si>
    <t>BR01-CIL-FGR-TRTTRM-TAN636</t>
  </si>
  <si>
    <t>BR01-MOT-SAB-TRTIND-TEM002</t>
  </si>
  <si>
    <t>BR01-CIL-UCI-VOLANT-TOR021</t>
  </si>
  <si>
    <t>BR01-CIL-UCI-USINA1-TOR022</t>
  </si>
  <si>
    <t>BR01-MOT-UMG-MISCEL-TOR025</t>
  </si>
  <si>
    <t>BR01-CIL-UCI-USINA1-TOR026</t>
  </si>
  <si>
    <t>BR01-MOT-VIR-USIDUR-TOR027</t>
  </si>
  <si>
    <t>BR01-CIL-UCI-VOLANT-TOR028</t>
  </si>
  <si>
    <t>BR01-CIL-UCI-USINA2-TOR030</t>
  </si>
  <si>
    <t>BR01-CIL-UCI-USINA2-TOR033</t>
  </si>
  <si>
    <t>BR01-CIL-UCI-VOLAN4-TOR042</t>
  </si>
  <si>
    <t>BR01-CIL-UCI-VOLAN4-TOR043</t>
  </si>
  <si>
    <t>BR01-MOT-UMG-TROVAL-TRO001</t>
  </si>
  <si>
    <t>BR01-MOT-UMG-TROVAL-TRO002</t>
  </si>
  <si>
    <t>BR01-MOT-UMG-TROVAL-TRO003</t>
  </si>
  <si>
    <t>BR01-MOT-UMG-TROVAL-TRO004</t>
  </si>
  <si>
    <t>BR01-MOT-VIR-LBIELA-TRO011</t>
  </si>
  <si>
    <t>BR01-MOT-SAB-FINALL-TRP027</t>
  </si>
  <si>
    <t>ZCR</t>
  </si>
  <si>
    <t>ZFA</t>
  </si>
  <si>
    <t>ZFW</t>
  </si>
  <si>
    <t>ZFG</t>
  </si>
  <si>
    <t>ZCP</t>
  </si>
  <si>
    <t>ZCH</t>
  </si>
  <si>
    <t>LOG</t>
  </si>
  <si>
    <t>UMO</t>
  </si>
  <si>
    <t>UMF</t>
  </si>
  <si>
    <t>UMP</t>
  </si>
  <si>
    <t>UMC</t>
  </si>
  <si>
    <t>UMG</t>
  </si>
  <si>
    <t>UMV</t>
  </si>
  <si>
    <t>EQUIP</t>
  </si>
  <si>
    <t>DIAS</t>
  </si>
  <si>
    <t>HORAS DIÁRIAS</t>
  </si>
  <si>
    <t>PRE083-PRENSA</t>
  </si>
  <si>
    <t>PRE083</t>
  </si>
  <si>
    <t>TOR038-TORNO MAZAK</t>
  </si>
  <si>
    <t>TOR039-TORNO MAZAK</t>
  </si>
  <si>
    <t>TOR041-TORNO HORIZONTAL MAZAK</t>
  </si>
  <si>
    <t>TOR038</t>
  </si>
  <si>
    <t>TOR039</t>
  </si>
  <si>
    <t>TOR041</t>
  </si>
  <si>
    <t>OK</t>
  </si>
  <si>
    <t>RISK MANAGEMENT</t>
  </si>
  <si>
    <t>Priorizar</t>
  </si>
  <si>
    <t>inflação</t>
  </si>
  <si>
    <t> IPC Brasil 2021</t>
  </si>
  <si>
    <t> IPC Brasil 2020</t>
  </si>
  <si>
    <t> IPC Brasil 2019</t>
  </si>
  <si>
    <t> IPC Brasil 2018</t>
  </si>
  <si>
    <t> IPC Brasil 2017</t>
  </si>
  <si>
    <t> IPC Brasil 2016</t>
  </si>
  <si>
    <t> IPC Brasil 2015</t>
  </si>
  <si>
    <t> IPC Brasil 2014</t>
  </si>
  <si>
    <t> IPC Brasil 2013</t>
  </si>
  <si>
    <t> inflação anual (Dez. a Dez.)</t>
  </si>
  <si>
    <t>IPC Brasil 2000</t>
  </si>
  <si>
    <t>IPC Brasil 1999</t>
  </si>
  <si>
    <t>IPC Brasil 1998</t>
  </si>
  <si>
    <t>IPC Brasil 1997</t>
  </si>
  <si>
    <t>IPC Brasil 1996</t>
  </si>
  <si>
    <t> IPC Brasil 2012</t>
  </si>
  <si>
    <t> IPC Brasil 2011</t>
  </si>
  <si>
    <t> IPC Brasil 2010</t>
  </si>
  <si>
    <t> IPC Brasil 2009</t>
  </si>
  <si>
    <t> IPC Brasil 2008</t>
  </si>
  <si>
    <t> IPC Brasil 2007</t>
  </si>
  <si>
    <t> IPC Brasil 2006</t>
  </si>
  <si>
    <t> IPC Brasil 2005</t>
  </si>
  <si>
    <t> IPC Brasil 2004</t>
  </si>
  <si>
    <t> IPC Brasil 2003</t>
  </si>
  <si>
    <t> IPC Brasil 2002</t>
  </si>
  <si>
    <t> IPC Brasil 2001</t>
  </si>
  <si>
    <t>Ano Equipamento</t>
  </si>
  <si>
    <t>Idade</t>
  </si>
  <si>
    <t>%</t>
  </si>
  <si>
    <t>fator</t>
  </si>
  <si>
    <t>ano</t>
  </si>
  <si>
    <t>valor</t>
  </si>
  <si>
    <t>valor atualizado</t>
  </si>
  <si>
    <t>ex.</t>
  </si>
  <si>
    <t>Tx. Acr. Inflação</t>
  </si>
  <si>
    <t>BRU073-BRUNIDORA</t>
  </si>
  <si>
    <t>LOCAL</t>
  </si>
  <si>
    <t>TEMPO MISSÃO ANUAL</t>
  </si>
  <si>
    <t>EC 3500 DM44</t>
  </si>
  <si>
    <t>EC 3500 DMI</t>
  </si>
  <si>
    <t>KGM 1000 NTE S2</t>
  </si>
  <si>
    <t>ML 5000 DMI</t>
  </si>
  <si>
    <t>SV1015</t>
  </si>
  <si>
    <t>ML 5000 - DMI - ST</t>
  </si>
  <si>
    <t>SV-1015</t>
  </si>
  <si>
    <t>ML 5000 - DMIST</t>
  </si>
  <si>
    <t>ML-5000-DMIST</t>
  </si>
  <si>
    <t>SV-20152-313</t>
  </si>
  <si>
    <t>SV-2015-2-8-328</t>
  </si>
  <si>
    <t>SV-2D15ST</t>
  </si>
  <si>
    <t>SH-4000</t>
  </si>
  <si>
    <t>SV-2015-2-8-367</t>
  </si>
  <si>
    <t>SH-4000-ST</t>
  </si>
  <si>
    <t>SV-2015-2-8-409</t>
  </si>
  <si>
    <t>SH-6000-ST</t>
  </si>
  <si>
    <t>-</t>
  </si>
  <si>
    <t>BAL007</t>
  </si>
  <si>
    <t>Custos Projetados</t>
  </si>
  <si>
    <t>(7 anos)</t>
  </si>
  <si>
    <t>Situação</t>
  </si>
  <si>
    <t>BR01-CIL-UCI-VOLANT-BAL006</t>
  </si>
  <si>
    <t>BR01-MOT-VIR-USIDUR-PRE083</t>
  </si>
  <si>
    <t>BR01-MOT-VIR-USIDUR-TOR038</t>
  </si>
  <si>
    <t>BR01-MOT-VIR-USIMOL-TOR039</t>
  </si>
  <si>
    <t>BR01-MOT-VIR-USIDUR-TOR041</t>
  </si>
  <si>
    <t>BRU090-BRUNIDORA SUNNEN SV - 2015 - 2</t>
  </si>
  <si>
    <t>BRU091-BRUNIDORA SUNNEN SV - 2015 - 3</t>
  </si>
  <si>
    <t>CAB109-CABINE DE TESTE</t>
  </si>
  <si>
    <t>CAB111-CABINE DE MONTAGEM</t>
  </si>
  <si>
    <t>CAB112-CABINE DE MONTAGEM</t>
  </si>
  <si>
    <t>CAB114-CABINE DE MONTAGEM</t>
  </si>
  <si>
    <t>CAB131-CABINE DE TESTE DE ESTANQUIEDADE</t>
  </si>
  <si>
    <t>CAB132-CABINE DE REGULAGEM</t>
  </si>
  <si>
    <t>CAB133-CABINE PRÉ MONTAR PISTÃO</t>
  </si>
  <si>
    <t>CAB134-CABINE PRÉ MONTAR ARRANQUE</t>
  </si>
  <si>
    <t>CAB135-ESTAÇÃO MONTAGEM VIRABREQUIM</t>
  </si>
  <si>
    <t>CAB136-ESTAÇÃO PARAFUSAMENTO CILINDROS</t>
  </si>
  <si>
    <t>CAR007-CARRO TRANSPORTADOR</t>
  </si>
  <si>
    <t>CEN117- CENTRO DE USINAGEM</t>
  </si>
  <si>
    <t>CEN118- CENTRO DE USINAGEM</t>
  </si>
  <si>
    <t>CEN130-CENTRO DE USINAGEM</t>
  </si>
  <si>
    <t>CEN131-CENTRO DE USINAGEM</t>
  </si>
  <si>
    <t>CEN132-CENTRO DE USINAGEM</t>
  </si>
  <si>
    <t>CEN133-CENTRO DE USINAGEM</t>
  </si>
  <si>
    <t>CEN134-CENTRO DE USINAGEM</t>
  </si>
  <si>
    <t>CEN135-CENTRO DE USINAGEM</t>
  </si>
  <si>
    <t>CEN136-CENTRO DE USINAGEM</t>
  </si>
  <si>
    <t>EMP128-EMPILHADEIRA COMBUSTÃO</t>
  </si>
  <si>
    <t>EMP132-EMPILHADEIRA COMBUSTÃO</t>
  </si>
  <si>
    <t>FOR072-FORNO CONTÍNUO</t>
  </si>
  <si>
    <t>FOR112-FORNO PRÉ AQUECIMENTO VOLANTES</t>
  </si>
  <si>
    <t>FOR115-FORNO DE REFUSÃO STRIKO</t>
  </si>
  <si>
    <t>FOR121-FORNO A GÁS</t>
  </si>
  <si>
    <t>FOR131-FORNO CONTÍNUO</t>
  </si>
  <si>
    <t>GRV020-GRAVADORA DATAMATRIX</t>
  </si>
  <si>
    <t>INJ079-INJETORA DE ALUMÍNIO</t>
  </si>
  <si>
    <t>INJ101-INJETORA DE ALUMÍNIO</t>
  </si>
  <si>
    <t>INJ102-INJETORA DE ALUMÍNIO</t>
  </si>
  <si>
    <t>JAT034-JATO DE GRANALHA</t>
  </si>
  <si>
    <t>LAS010-MÁQUINA LASER GRAVAÇÃO</t>
  </si>
  <si>
    <t>LAS011-MÁQUINA DE CORTE À LASER</t>
  </si>
  <si>
    <t>LAS012-MÁQUINA LASER DE GRAVAÇÃO</t>
  </si>
  <si>
    <t>LAV078-LAVADORA FLEXICLEAN EKFE 2</t>
  </si>
  <si>
    <t>LAV079-LAVADORA FLEXICLEAN EKFE 4</t>
  </si>
  <si>
    <t>LAV081-LAVADORA DE PEÇAS</t>
  </si>
  <si>
    <t>LAV082-LAVADORA DE PEÇAS</t>
  </si>
  <si>
    <t>LAV083-LAVADORA DE PEÇAS</t>
  </si>
  <si>
    <t>LAV084-LAVADORA DE PEÇAS</t>
  </si>
  <si>
    <t>LAV085-LAVADORA DE PEÇAS</t>
  </si>
  <si>
    <t>LAV073-LAVADORA DE PEÇAS</t>
  </si>
  <si>
    <t>MAC005-MÁQUINA DE COLA</t>
  </si>
  <si>
    <t>MAQ201-MAQUINA MEDIÇÃO COORD DURAMAX</t>
  </si>
  <si>
    <t>MAQ248-MÁQUINA DE ESCOVAR</t>
  </si>
  <si>
    <t>MAQ288-MÁQUINA DE CORTE E USINAGEM</t>
  </si>
  <si>
    <t>MAQ289-MÁQUINA DE PREPARAÇÃO SUPERFÍCIE</t>
  </si>
  <si>
    <t>MOC014-MONTA CARGA DESPLAQUE</t>
  </si>
  <si>
    <t>MOD025-MONTADORA TÉRMICA DE BUCHAS</t>
  </si>
  <si>
    <t>MON028-MONOVIA</t>
  </si>
  <si>
    <t>PON025-PONTE ROLANTE</t>
  </si>
  <si>
    <t>REB012-REBARBAÇÃO ELETROQUÍMICA</t>
  </si>
  <si>
    <t>RET042-RETIFICA ZEMA</t>
  </si>
  <si>
    <t>RET043-RETIFICA CILINDRICA CNC INTERNO</t>
  </si>
  <si>
    <t>RET044-RETIFICA CILINDRICA EXTERNA ZEMA</t>
  </si>
  <si>
    <t>ROB123-ROBÔ FANUC</t>
  </si>
  <si>
    <t>ROB125-ROBÔ</t>
  </si>
  <si>
    <t>ROB126-ROBÔ</t>
  </si>
  <si>
    <t>ROB127-ROBÔ</t>
  </si>
  <si>
    <t>ROB128-ROBÔ</t>
  </si>
  <si>
    <t>ROB129-ROBÔ</t>
  </si>
  <si>
    <t>ROB130-ROBÔ</t>
  </si>
  <si>
    <t>ROB131-ROBÔ</t>
  </si>
  <si>
    <t>ROB132-ROBÔ</t>
  </si>
  <si>
    <t>ROB133-ROBÔ</t>
  </si>
  <si>
    <t>ROB134-ROBÔ</t>
  </si>
  <si>
    <t>ROB135-ROBÔ</t>
  </si>
  <si>
    <t>ROB136-ROBÔ</t>
  </si>
  <si>
    <t>ROB137-ROBÔ SCARA</t>
  </si>
  <si>
    <t>ROB138-ROBÔ INSPEÇÃO FINAL</t>
  </si>
  <si>
    <t>ROB139-ROBÔ FANUC</t>
  </si>
  <si>
    <t>ROB150-ROBÔ COLABORATIVO ABB</t>
  </si>
  <si>
    <t>ROB201-ROBO MANIPULADOR</t>
  </si>
  <si>
    <t>ROB202-ROBÔ SEMI-AUTOMÁTICO</t>
  </si>
  <si>
    <t>ROB203 - ROBÔ SEMI-AUTOMÁTICO</t>
  </si>
  <si>
    <t>TAN637-TANQUE DE LAVAGEM</t>
  </si>
  <si>
    <t>TOR044 - TORNO HORIZONTAL MAZAK</t>
  </si>
  <si>
    <t>TOR045 - TORNO MAZAK</t>
  </si>
  <si>
    <t>TOR046 - TORNO MAZAK</t>
  </si>
  <si>
    <t>TOR047-TORNO MAZAK VOLANTES</t>
  </si>
  <si>
    <t>BR01-MOT-VIR-LBIELA-BRU090</t>
  </si>
  <si>
    <t>BR01-MOT-VIR-LBIELA-BRU091</t>
  </si>
  <si>
    <t>BR01-MOT-MON-LINHA1-LMB01</t>
  </si>
  <si>
    <t>BR01-MOT-VIR-TRTTRM-CAR007</t>
  </si>
  <si>
    <t>BR01-CIL-UCI-USINA1-CEN117</t>
  </si>
  <si>
    <t>BR01-CIL-UCI-USINA1-CEN118</t>
  </si>
  <si>
    <t>BR01-MOT-UMG-CARTL4-CEN130</t>
  </si>
  <si>
    <t>BR01-MOT-UMG-CARTL4-CEN131</t>
  </si>
  <si>
    <t>BR01-MOT-UMG-CARTL4-CEN132</t>
  </si>
  <si>
    <t>BR01-MOT-UMG-CARTL4-CEN133</t>
  </si>
  <si>
    <t>BR01-MOT-UMG-CARTL4-CEN134</t>
  </si>
  <si>
    <t>BR01-MOT-UMG-CARTL4-CEN135</t>
  </si>
  <si>
    <t>BR01-MOT-UMG-CARTL4-CEN136</t>
  </si>
  <si>
    <t>BR01-CIL-FGR-TRTTRM-FOR038</t>
  </si>
  <si>
    <t>BR01-CIL-UCI-BRUNI2-MACC05</t>
  </si>
  <si>
    <t>BR01-CIL-FCI-REFUS1-FOR115</t>
  </si>
  <si>
    <t>BR01-MOT-VIR-TRTTRM-FOR121</t>
  </si>
  <si>
    <t>BR01-CIL-FCI-INJEC2-INJ079</t>
  </si>
  <si>
    <t>BR01-CIL-FCI-INJEC1-INJ101</t>
  </si>
  <si>
    <t>BR01-CIL-FCI-INJEC1-INJ102</t>
  </si>
  <si>
    <t>BR01-CIL-FCI-JATEA2-JAT034</t>
  </si>
  <si>
    <t>BR01-MOT-SAB-LASERS-LAS011</t>
  </si>
  <si>
    <t>BR01-MOT-VIR-TRTTRM-LAV078</t>
  </si>
  <si>
    <t>BR01-MOT-VIR-TRTTRM-LAV079</t>
  </si>
  <si>
    <t>BR01-CIL-UCI-USINA2-MAQ201</t>
  </si>
  <si>
    <t>BR01-MOT-VIR-USIDUR-RET042</t>
  </si>
  <si>
    <t>BR01-CIL-FGR-CORTE</t>
  </si>
  <si>
    <t>BR01-MOT-UMG-DECPIN-MAQ289</t>
  </si>
  <si>
    <t>BR01-CIL-CRO-PORAO3-MOC014</t>
  </si>
  <si>
    <t>BR01-CIL-UCI-USINA2-MOD025</t>
  </si>
  <si>
    <t>BR01-MOT-UMG-DECPIN-MON028</t>
  </si>
  <si>
    <t>BR01-OFC-PON</t>
  </si>
  <si>
    <t>BR01-CIL-CRO-REBAR2-REB012</t>
  </si>
  <si>
    <t>BR01-MOT-VIR-LBIELA-RET043</t>
  </si>
  <si>
    <t>BR01-MOT-VIR-USIDUR-RET044</t>
  </si>
  <si>
    <t>BR01-MOT-MON-LINHA7</t>
  </si>
  <si>
    <t>BR01-FRO-LOG</t>
  </si>
  <si>
    <t>BR01-FRO-EXP</t>
  </si>
  <si>
    <t>BR01-MOT-SAB-TRTTRM-TAN637</t>
  </si>
  <si>
    <t>BR01-MOT-VIR-USIDUR-TOR044</t>
  </si>
  <si>
    <t>BR01-CIL-UCI-USINA1-TOR045</t>
  </si>
  <si>
    <t>BR01-CIL-UCI-USINA1-TOR046</t>
  </si>
  <si>
    <t>BR01-CIL-UCI-VOLAN4-TOR047</t>
  </si>
  <si>
    <t>CFW</t>
  </si>
  <si>
    <t>TOTAL</t>
  </si>
  <si>
    <t>AUMENTO</t>
  </si>
  <si>
    <t>TOR047</t>
  </si>
  <si>
    <t>BRU073</t>
  </si>
  <si>
    <t>BRU090</t>
  </si>
  <si>
    <t>BRU091</t>
  </si>
  <si>
    <t>CAB109</t>
  </si>
  <si>
    <t>CAB111</t>
  </si>
  <si>
    <t>CAB112</t>
  </si>
  <si>
    <t>CAB114</t>
  </si>
  <si>
    <t>CAB131</t>
  </si>
  <si>
    <t>CAB132</t>
  </si>
  <si>
    <t>CAB133</t>
  </si>
  <si>
    <t>CAB134</t>
  </si>
  <si>
    <t>CAB135</t>
  </si>
  <si>
    <t>CAB136</t>
  </si>
  <si>
    <t>CAR007</t>
  </si>
  <si>
    <t>CEN117</t>
  </si>
  <si>
    <t>CEN118</t>
  </si>
  <si>
    <t>CEN130</t>
  </si>
  <si>
    <t>CEN131</t>
  </si>
  <si>
    <t>CEN132</t>
  </si>
  <si>
    <t>CEN133</t>
  </si>
  <si>
    <t>CEN134</t>
  </si>
  <si>
    <t>CEN135</t>
  </si>
  <si>
    <t>CEN136</t>
  </si>
  <si>
    <t>EMP128</t>
  </si>
  <si>
    <t>EMP132</t>
  </si>
  <si>
    <t>FOR072</t>
  </si>
  <si>
    <t>FOR112</t>
  </si>
  <si>
    <t>FOR115</t>
  </si>
  <si>
    <t>FOR121</t>
  </si>
  <si>
    <t>FOR131</t>
  </si>
  <si>
    <t>GRV020</t>
  </si>
  <si>
    <t>INJ079</t>
  </si>
  <si>
    <t>INJ101</t>
  </si>
  <si>
    <t>INJ102</t>
  </si>
  <si>
    <t>JAT034</t>
  </si>
  <si>
    <t>LAS010</t>
  </si>
  <si>
    <t>LAS011</t>
  </si>
  <si>
    <t>LAS012</t>
  </si>
  <si>
    <t>LAV073</t>
  </si>
  <si>
    <t>LAV078</t>
  </si>
  <si>
    <t>LAV079</t>
  </si>
  <si>
    <t>LAV081</t>
  </si>
  <si>
    <t>LAV082</t>
  </si>
  <si>
    <t>LAV083</t>
  </si>
  <si>
    <t>LAV084</t>
  </si>
  <si>
    <t>LAV085</t>
  </si>
  <si>
    <t>MAC005</t>
  </si>
  <si>
    <t>MAQ201</t>
  </si>
  <si>
    <t>MAQ248</t>
  </si>
  <si>
    <t>MAQ288</t>
  </si>
  <si>
    <t>MAQ289</t>
  </si>
  <si>
    <t>MOC014</t>
  </si>
  <si>
    <t>MOD025</t>
  </si>
  <si>
    <t>MON028</t>
  </si>
  <si>
    <t>PON025</t>
  </si>
  <si>
    <t>REB012</t>
  </si>
  <si>
    <t>RET042</t>
  </si>
  <si>
    <t>RET043</t>
  </si>
  <si>
    <t>RET044</t>
  </si>
  <si>
    <t>ROB123</t>
  </si>
  <si>
    <t>ROB125</t>
  </si>
  <si>
    <t>ROB126</t>
  </si>
  <si>
    <t>ROB127</t>
  </si>
  <si>
    <t>ROB128</t>
  </si>
  <si>
    <t>ROB129</t>
  </si>
  <si>
    <t>ROB130</t>
  </si>
  <si>
    <t>ROB131</t>
  </si>
  <si>
    <t>ROB132</t>
  </si>
  <si>
    <t>ROB133</t>
  </si>
  <si>
    <t>ROB134</t>
  </si>
  <si>
    <t>ROB135</t>
  </si>
  <si>
    <t>ROB136</t>
  </si>
  <si>
    <t>ROB137</t>
  </si>
  <si>
    <t>ROB138</t>
  </si>
  <si>
    <t>ROB139</t>
  </si>
  <si>
    <t>ROB150</t>
  </si>
  <si>
    <t>ROB201</t>
  </si>
  <si>
    <t>ROB202</t>
  </si>
  <si>
    <t>ROB203</t>
  </si>
  <si>
    <t>SOL013</t>
  </si>
  <si>
    <t>TAN637</t>
  </si>
  <si>
    <t>TOR044</t>
  </si>
  <si>
    <t>TOR045</t>
  </si>
  <si>
    <t>TOR046</t>
  </si>
  <si>
    <t>1</t>
  </si>
  <si>
    <t>2</t>
  </si>
  <si>
    <t>3</t>
  </si>
  <si>
    <t>4</t>
  </si>
  <si>
    <t>5</t>
  </si>
  <si>
    <t>6</t>
  </si>
  <si>
    <t>7</t>
  </si>
  <si>
    <t>12</t>
  </si>
  <si>
    <t>23</t>
  </si>
  <si>
    <t>34</t>
  </si>
  <si>
    <t>45</t>
  </si>
  <si>
    <t>56</t>
  </si>
  <si>
    <t>67</t>
  </si>
  <si>
    <t>78</t>
  </si>
  <si>
    <t>Realizado LCC</t>
  </si>
  <si>
    <t>CAR010-CARRO TRANSPORTADOR</t>
  </si>
  <si>
    <t>CAR011-CARRO TRANSPORTADOR</t>
  </si>
  <si>
    <t>CAR012-CARRO TRANSPORTADOR</t>
  </si>
  <si>
    <t>CAR013-CARRO TRANSPORTADOR</t>
  </si>
  <si>
    <t>CAR014-CARRO TRANSPORTADOR</t>
  </si>
  <si>
    <t>CAR018-CARRO TRANSPORTADOR</t>
  </si>
  <si>
    <t>CAR019-CARRO TRANSPORTADOR</t>
  </si>
  <si>
    <t>CAR020-CARRO TRANSPORTADOR</t>
  </si>
  <si>
    <t>CAR021-CARRO TRANSPORTADOR</t>
  </si>
  <si>
    <t>CAR022-CARRO TRANSPORTADOR</t>
  </si>
  <si>
    <t>CAR023-CARRO TRANSPORTADOR</t>
  </si>
  <si>
    <t>CAR024-CARRO TRANSPORTADOR</t>
  </si>
  <si>
    <t>CAR025-CARRO TRANSPORTADOR</t>
  </si>
  <si>
    <t>CAR026-CARRO TRANSPORTADOR</t>
  </si>
  <si>
    <t>CAR027-CARRO TRANSPORTADOR</t>
  </si>
  <si>
    <t>CAR030-CARRO TRANSFERIDOR</t>
  </si>
  <si>
    <t>CAR031-CARRO TRANSFERIDOR</t>
  </si>
  <si>
    <t>CAR032-CARRO TRANSFERIDOR</t>
  </si>
  <si>
    <t>CAR033-CARRO TRANSPORTADOR</t>
  </si>
  <si>
    <t>CAR034-CARRO TRANSPORTADOR</t>
  </si>
  <si>
    <t>EMP055-EMPILHADEIRA COMBUSTÃO</t>
  </si>
  <si>
    <t>EMP119-EMPILHADEIRA ELÉTRICA</t>
  </si>
  <si>
    <t>EMP024-EMPILHADEIRA ELÉTRICA</t>
  </si>
  <si>
    <t>EMP040-EMPILHADEIRA ELÉTRICA</t>
  </si>
  <si>
    <t>EMP044-EMPILHADEIRA COMBUSTÃO</t>
  </si>
  <si>
    <t>EMP048-EMPILHADEIRA COMBUSTÃO</t>
  </si>
  <si>
    <t>EMP054-EMPILHADEIRA ELÉTRICA</t>
  </si>
  <si>
    <t>EMP056-EMPILHADEIRA ELÉTRICA</t>
  </si>
  <si>
    <t>EMP057-EMPILHADEIRA ELÉTRICA</t>
  </si>
  <si>
    <t>EMP063-EMPILHADEIRA ELÉTRICA</t>
  </si>
  <si>
    <t>EMP074-EMPILHADEIRA ELÉTRICA</t>
  </si>
  <si>
    <t>EMP077-EMPILHADEIRA ELÉTRICA</t>
  </si>
  <si>
    <t>EMP078-EMPILHADEIRA ELÉTRICA</t>
  </si>
  <si>
    <t>EMP079-EMPILHADEIRA ELÉTRICA</t>
  </si>
  <si>
    <t>EMP091-EMPILHADEIRA ELÉTRICA</t>
  </si>
  <si>
    <t>EMP092-EMPILHADEIRA ELÉTRICA</t>
  </si>
  <si>
    <t>EMP093-EMPILHADEIRA ELÉTRICA</t>
  </si>
  <si>
    <t>EMP096-EMPILHADEIRA ELÉTRICA</t>
  </si>
  <si>
    <t>EMP097-EMPILHADEIRA ELÉTRICA</t>
  </si>
  <si>
    <t>EMP100-EMPILHADEIRA ELÉTRICA</t>
  </si>
  <si>
    <t>EMP115-EMPILHADEIRA ELÉTRICA</t>
  </si>
  <si>
    <t>EMP116-EMPILHADEIRA ELÉTRICA</t>
  </si>
  <si>
    <t>EMP117-EMPILHADEIRA ELÉTRICA</t>
  </si>
  <si>
    <t>EMP118-EMPILHADEIRA ELÉTRICA 5 TON</t>
  </si>
  <si>
    <t>EMP121-TRANSPALETEIRA PANTOGRAFICA</t>
  </si>
  <si>
    <t>EMP125-EMPILHADEIRA ELÉTRICA</t>
  </si>
  <si>
    <t>EMP127-EMPILHADEIRA ELÉTRICA</t>
  </si>
  <si>
    <t>EMP131-EMPILHADEIRA SELECION. PEDIDOS</t>
  </si>
  <si>
    <t>EMP069-EMPILHADEIRA ELÉTRICA</t>
  </si>
  <si>
    <t>EMP098-TRANSPALETEIRA ELÉTRICA</t>
  </si>
  <si>
    <t>EMP099-TRANSPALETEIRA MANUAL</t>
  </si>
  <si>
    <t>EMP110-TRANSPALETEIRA PANTOGRAFICA</t>
  </si>
  <si>
    <t>EMP111-TRANSPALETEIRA PANTOGRAFICA</t>
  </si>
  <si>
    <t>EMP113-EMPILHADEIRA ELETRICA</t>
  </si>
  <si>
    <t>EMP114-EMPILHADEIRA ELETRICA</t>
  </si>
  <si>
    <t>EMP120-EMPILHADEIRA ELÉTRICA</t>
  </si>
  <si>
    <t>EMP126-TRANSPALETEIRA PANTOGRAFICA</t>
  </si>
  <si>
    <t>EMP129-TRANSPALETEIRA PANTOGRAFICA</t>
  </si>
  <si>
    <t>EMP130-TRANSPALETEIRA PANTOGRAFICA</t>
  </si>
  <si>
    <t>EMP102-TRANSPALETEIRA SEMI-ELÉTRICA</t>
  </si>
  <si>
    <t>EMP032 EMPILHADEIRA PNEUMÁTICA</t>
  </si>
  <si>
    <t>EMP123-EMPILHADEIRA HIDRÁULICA MANUAL</t>
  </si>
  <si>
    <t>EMP133-EMPILHADEIRA ELÉTRICA</t>
  </si>
  <si>
    <t>EMP036-EMPILHADEIRA COMBUSTÃO</t>
  </si>
  <si>
    <t>EMP044</t>
  </si>
  <si>
    <t>EMP048</t>
  </si>
  <si>
    <t>EMP055</t>
  </si>
  <si>
    <t>EMP063</t>
  </si>
  <si>
    <t>EMP091</t>
  </si>
  <si>
    <t>EMP092</t>
  </si>
  <si>
    <t>EMP093</t>
  </si>
  <si>
    <t>EMP096</t>
  </si>
  <si>
    <t>EMP097</t>
  </si>
  <si>
    <t>EMP098</t>
  </si>
  <si>
    <t>EMP099</t>
  </si>
  <si>
    <t>EMP100</t>
  </si>
  <si>
    <t>EMP102</t>
  </si>
  <si>
    <t>EMP110</t>
  </si>
  <si>
    <t>EMP111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</si>
  <si>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</si>
  <si>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</si>
  <si>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</si>
  <si>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</si>
  <si>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</si>
  <si>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</si>
  <si>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</si>
  <si>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</si>
  <si>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</si>
  <si>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EMP123</t>
  </si>
  <si>
    <t>EMP125</t>
  </si>
  <si>
    <t>EMP126</t>
  </si>
  <si>
    <t>EMP127</t>
  </si>
  <si>
    <t>EMP131</t>
  </si>
  <si>
    <t>EMP133</t>
  </si>
  <si>
    <t>EMP074</t>
  </si>
  <si>
    <t>CAR010</t>
  </si>
  <si>
    <t>CAR011</t>
  </si>
  <si>
    <t>CAR012</t>
  </si>
  <si>
    <t>CAR013</t>
  </si>
  <si>
    <t>CAR014</t>
  </si>
  <si>
    <t>CAR018</t>
  </si>
  <si>
    <t>CAR019</t>
  </si>
  <si>
    <t>CAR020</t>
  </si>
  <si>
    <t>CAR021</t>
  </si>
  <si>
    <t>CAR022</t>
  </si>
  <si>
    <t>CAR023</t>
  </si>
  <si>
    <t>CAR024</t>
  </si>
  <si>
    <t>CAR025</t>
  </si>
  <si>
    <t>CAR026</t>
  </si>
  <si>
    <t>CAR027</t>
  </si>
  <si>
    <t>CAR030</t>
  </si>
  <si>
    <t>CAR031</t>
  </si>
  <si>
    <t>CAR032</t>
  </si>
  <si>
    <t>CAR033</t>
  </si>
  <si>
    <t>CAR034</t>
  </si>
  <si>
    <t>EMP024</t>
  </si>
  <si>
    <t>EMP032</t>
  </si>
  <si>
    <t>EMP036</t>
  </si>
  <si>
    <t>EMP040</t>
  </si>
  <si>
    <t>EMP054</t>
  </si>
  <si>
    <t>EMP056</t>
  </si>
  <si>
    <t>EMP057</t>
  </si>
  <si>
    <t>EMP069</t>
  </si>
  <si>
    <t>EMP077</t>
  </si>
  <si>
    <t>EMP078</t>
  </si>
  <si>
    <t>EMP079</t>
  </si>
  <si>
    <t>EMP129</t>
  </si>
  <si>
    <t>EMP130</t>
  </si>
  <si>
    <t>OBS</t>
  </si>
  <si>
    <t>Local Instalação</t>
  </si>
  <si>
    <t>BR01-CIL-CRO-LINHA2-CAR010</t>
  </si>
  <si>
    <t>BR01-CIL-CRO-LINHA2-CAR011</t>
  </si>
  <si>
    <t>BR01-CIL-CRO-LINHA2-CAR012</t>
  </si>
  <si>
    <t>BR01-CIL-CRO-LINHA2-CAR013</t>
  </si>
  <si>
    <t>BR01-CIL-CRO-LINHA2-CAR014</t>
  </si>
  <si>
    <t>BR01-CIL-CRO-LINHA3-CAR018</t>
  </si>
  <si>
    <t>BR01-CIL-CRO-LINHA3-CAR019</t>
  </si>
  <si>
    <t>BR01-CIL-CRO-LINHA3-CAR020</t>
  </si>
  <si>
    <t>BR01-CIL-CRO-LINHA3-CAR021</t>
  </si>
  <si>
    <t>BR01-CIL-CRO-LINHA3-CAR022</t>
  </si>
  <si>
    <t>BR01-CIL-CRO-LINHA3-CAR023</t>
  </si>
  <si>
    <t>BR01-CIL-CRO-LINHA3-CAR024</t>
  </si>
  <si>
    <t>BR01-CIL-CRO-LINHA3-CAR025</t>
  </si>
  <si>
    <t>BR01-CIL-CRO-LINHA3-CAR026</t>
  </si>
  <si>
    <t>BR01-CIL-CRO-LINHA3-CAR027</t>
  </si>
  <si>
    <t>BR01-CIL-CRO-LINHA3-CAR030</t>
  </si>
  <si>
    <t>BR01-CIL-CRO-LINHA3-CAR031</t>
  </si>
  <si>
    <t>BR01-CIL-CRO-LINHA3-CAR032</t>
  </si>
  <si>
    <t>BR01-CIL-CRO-LINHA3-CAR033</t>
  </si>
  <si>
    <t>BR01-CIL-CRO-LINHA3-CAR034</t>
  </si>
  <si>
    <t>BR01-FRO-FCI</t>
  </si>
  <si>
    <t>BR01-FRO-MON</t>
  </si>
  <si>
    <t>BR01-FRO-FGR</t>
  </si>
  <si>
    <t>BR01-FRO-CRE</t>
  </si>
  <si>
    <t>BR01-FRO-FMG</t>
  </si>
  <si>
    <t>BR01-MOT-VIR-USIDUR-RET003</t>
  </si>
  <si>
    <t> IPC Brasil 2022</t>
  </si>
  <si>
    <t>BRUC02</t>
  </si>
  <si>
    <t>COQC02</t>
  </si>
  <si>
    <t>LINHA3</t>
  </si>
  <si>
    <t>BRUC14</t>
  </si>
  <si>
    <t>BRUC12</t>
  </si>
  <si>
    <t>FABMOL</t>
  </si>
  <si>
    <t>COQC03</t>
  </si>
  <si>
    <t>BRUC05</t>
  </si>
  <si>
    <t>BRUC04</t>
  </si>
  <si>
    <t>MANMOL</t>
  </si>
  <si>
    <t>BRUC01</t>
  </si>
  <si>
    <t>LINHA5</t>
  </si>
  <si>
    <t>BRUC08</t>
  </si>
  <si>
    <t>BRUC10</t>
  </si>
  <si>
    <t>COQC04</t>
  </si>
  <si>
    <t>LINHA4</t>
  </si>
  <si>
    <t>BRUC13</t>
  </si>
  <si>
    <t>BRUC06</t>
  </si>
  <si>
    <t>BRUC15</t>
  </si>
  <si>
    <t>BRUC16</t>
  </si>
  <si>
    <t>COQC05</t>
  </si>
  <si>
    <t>BRUC17</t>
  </si>
  <si>
    <t>BRUC18</t>
  </si>
  <si>
    <t>LINHA1</t>
  </si>
  <si>
    <t>LINHA2</t>
  </si>
  <si>
    <t>BRUC19</t>
  </si>
  <si>
    <t>BRUC20</t>
  </si>
  <si>
    <t>BRUC21</t>
  </si>
  <si>
    <t>BRUC22</t>
  </si>
  <si>
    <t>BRUC23</t>
  </si>
  <si>
    <t>BRUC24</t>
  </si>
  <si>
    <t>BRUC25</t>
  </si>
  <si>
    <t>BRUC26</t>
  </si>
  <si>
    <t>BRUC28</t>
  </si>
  <si>
    <t>BRUC29</t>
  </si>
  <si>
    <t>BRUC30</t>
  </si>
  <si>
    <t>BRUC31</t>
  </si>
  <si>
    <t>BRUC32</t>
  </si>
  <si>
    <t>MACC04</t>
  </si>
  <si>
    <t>MACC01</t>
  </si>
  <si>
    <t>MACC02</t>
  </si>
  <si>
    <t>MACC03</t>
  </si>
  <si>
    <t>DEPMOL</t>
  </si>
  <si>
    <t>MODC01</t>
  </si>
  <si>
    <t>MOC011-MONTA CARGA L3 B</t>
  </si>
  <si>
    <t>MOC012-MONTA CARGA L2 I</t>
  </si>
  <si>
    <t>MOC013-MONTA CARGA L2 II</t>
  </si>
  <si>
    <t>FROTA</t>
  </si>
  <si>
    <t>OFC</t>
  </si>
  <si>
    <t>CORTE</t>
  </si>
  <si>
    <t>PONTES</t>
  </si>
  <si>
    <t>MB01</t>
  </si>
  <si>
    <t>CR2</t>
  </si>
  <si>
    <t>CR3</t>
  </si>
  <si>
    <t>REBAR1</t>
  </si>
  <si>
    <t>REBAR2</t>
  </si>
  <si>
    <t>JATEA1</t>
  </si>
  <si>
    <t>JATEA2</t>
  </si>
  <si>
    <t>REFUS1</t>
  </si>
  <si>
    <t>REFUS2</t>
  </si>
  <si>
    <t>JATEAM</t>
  </si>
  <si>
    <t>PINTUR</t>
  </si>
  <si>
    <t>VOLANT</t>
  </si>
  <si>
    <t>USIDUR</t>
  </si>
  <si>
    <t>Célula</t>
  </si>
  <si>
    <t>TRTTRM</t>
  </si>
  <si>
    <t>MISCEL</t>
  </si>
  <si>
    <t>LBIELA</t>
  </si>
  <si>
    <t>BRUC27</t>
  </si>
  <si>
    <t>FINALL</t>
  </si>
  <si>
    <t>PARAF4</t>
  </si>
  <si>
    <t>CARTER</t>
  </si>
  <si>
    <t>LFACAS</t>
  </si>
  <si>
    <t>USIMOL</t>
  </si>
  <si>
    <t>CARTL4</t>
  </si>
  <si>
    <t>DECPIN</t>
  </si>
  <si>
    <t>RETIFC</t>
  </si>
  <si>
    <t>BRUNI1</t>
  </si>
  <si>
    <t>BRUNI2</t>
  </si>
  <si>
    <t>USINA2</t>
  </si>
  <si>
    <t>REFUSA</t>
  </si>
  <si>
    <t>TRTIND</t>
  </si>
  <si>
    <t>LASERS</t>
  </si>
  <si>
    <t>MACC05</t>
  </si>
  <si>
    <t>IES-P01-SALA29</t>
  </si>
  <si>
    <t>MONCAB</t>
  </si>
  <si>
    <t>SOPRO1</t>
  </si>
  <si>
    <t>LINHA7</t>
  </si>
  <si>
    <t>TROVAL</t>
  </si>
  <si>
    <t>BR01-MOT-SAB-LFACAS-CAB004</t>
  </si>
  <si>
    <r>
      <rPr>
        <b/>
        <sz val="12"/>
        <color theme="1"/>
        <rFont val="STIHL Contraface Text"/>
        <family val="2"/>
      </rPr>
      <t>β</t>
    </r>
    <r>
      <rPr>
        <b/>
        <sz val="11"/>
        <color theme="1"/>
        <rFont val="STIHL Contraface Text"/>
        <family val="2"/>
      </rPr>
      <t xml:space="preserve"> (2022)</t>
    </r>
  </si>
  <si>
    <r>
      <rPr>
        <b/>
        <sz val="12"/>
        <color theme="1"/>
        <rFont val="STIHL Contraface Text"/>
        <family val="2"/>
      </rPr>
      <t>β</t>
    </r>
    <r>
      <rPr>
        <b/>
        <sz val="11"/>
        <color theme="1"/>
        <rFont val="STIHL Contraface Text"/>
        <family val="2"/>
      </rPr>
      <t xml:space="preserve"> (atual)</t>
    </r>
  </si>
  <si>
    <t>Simulação</t>
  </si>
  <si>
    <t>Machine?</t>
  </si>
  <si>
    <t>ORIGINAL</t>
  </si>
  <si>
    <t>(Equipamento Selecionado)</t>
  </si>
  <si>
    <t xml:space="preserve"> </t>
  </si>
  <si>
    <t>&gt;&gt;&gt;&gt;&gt;</t>
  </si>
  <si>
    <t>maior</t>
  </si>
  <si>
    <t>média</t>
  </si>
  <si>
    <t>dif</t>
  </si>
  <si>
    <t>menor</t>
  </si>
  <si>
    <t>CHIRONS NOVAS</t>
  </si>
  <si>
    <t>CHIRONS MAIS ANTIGAS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</si>
</sst>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"/>
    <numFmt numFmtId="165" formatCode="&quot;R$&quot;\ #,##0.00"/>
    <numFmt numFmtId="166" formatCode="#,##0.0"/>
    <numFmt numFmtId="167" formatCode="dd/mm/yy"/>
    <numFmt numFmtId="168" formatCode="0.0%"/>
    <numFmt numFmtId="169" formatCode="&quot;R$&quot;\ #,##0"/>
    <numFmt numFmtId="170" formatCode="[&lt;999950]#,###,\ &quot;K&quot;;[&lt;999950000]#,###,\ &quot;M&quot;;#,###,\ &quot;B&quot;"/>
    <numFmt numFmtId="171" formatCode="0.0000000000"/>
    <numFmt numFmtId="172" formatCode="[&lt;999950]#,###,&quot;K&quot;;[&lt;999950000]#,###,&quot;M&quot;;#,###,&quot;B&quot;"/>
    <numFmt numFmtId="173" formatCode="0.000000"/>
    <numFmt numFmtId="174" formatCode="#,##0.000"/>
  </numFmts>
  <fonts count="4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rgb="FFFF0000"/>
      <name val="Segoe UI"/>
      <family val="2"/>
    </font>
    <font>
      <b/>
      <sz val="10"/>
      <name val="Segoe UI"/>
      <family val="2"/>
    </font>
    <font>
      <b/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0"/>
      <name val="Segoe UI"/>
      <family val="2"/>
    </font>
    <font>
      <b/>
      <sz val="10"/>
      <color indexed="8"/>
      <name val="Segoe UI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20"/>
      <color rgb="FF000000"/>
      <name val="Arial"/>
      <family val="2"/>
    </font>
    <font>
      <sz val="8"/>
      <color theme="1"/>
      <name val="Tahoma"/>
      <family val="2"/>
    </font>
    <font>
      <sz val="10"/>
      <color theme="0"/>
      <name val="Segoe UI"/>
      <family val="2"/>
    </font>
    <font>
      <sz val="10"/>
      <color indexed="8"/>
      <name val="Segoe UI"/>
      <family val="2"/>
    </font>
    <font>
      <sz val="10"/>
      <color rgb="FFFF0000"/>
      <name val="Segoe UI"/>
      <family val="2"/>
    </font>
    <font>
      <sz val="11"/>
      <color indexed="8"/>
      <name val="Segoe UI"/>
      <family val="2"/>
    </font>
    <font>
      <sz val="8"/>
      <name val="Tahoma"/>
      <family val="2"/>
    </font>
    <font>
      <b/>
      <sz val="12"/>
      <color theme="1"/>
      <name val="Segoe UI"/>
      <family val="2"/>
    </font>
    <font>
      <b/>
      <sz val="12"/>
      <color rgb="FF13A54E"/>
      <name val="Segoe UI"/>
      <family val="2"/>
    </font>
    <font>
      <b/>
      <sz val="8"/>
      <color theme="1"/>
      <name val="Tahoma"/>
      <family val="2"/>
    </font>
    <font>
      <b/>
      <sz val="11"/>
      <color rgb="FFC00000"/>
      <name val="Arial"/>
      <family val="2"/>
    </font>
    <font>
      <b/>
      <sz val="11"/>
      <color rgb="FF0070C0"/>
      <name val="Arial"/>
      <family val="2"/>
    </font>
    <font>
      <sz val="8"/>
      <color theme="1"/>
      <name val="Tahoma"/>
      <family val="2"/>
    </font>
    <font>
      <sz val="8"/>
      <name val="Tahoma"/>
      <family val="2"/>
    </font>
    <font>
      <b/>
      <sz val="11"/>
      <color theme="0"/>
      <name val="STIHL Contraface Text"/>
      <family val="2"/>
    </font>
    <font>
      <b/>
      <sz val="11"/>
      <color theme="1"/>
      <name val="STIHL Contraface Text"/>
      <family val="2"/>
    </font>
    <font>
      <b/>
      <sz val="11"/>
      <name val="STIHL Contraface Text"/>
      <family val="2"/>
    </font>
    <font>
      <b/>
      <sz val="12"/>
      <color theme="1"/>
      <name val="STIHL Contraface Text"/>
      <family val="2"/>
    </font>
    <font>
      <sz val="11"/>
      <color theme="1"/>
      <name val="STIHL Contraface Text"/>
      <family val="2"/>
    </font>
    <font>
      <b/>
      <sz val="11"/>
      <color rgb="FFC00000"/>
      <name val="STIHL Contraface Text"/>
      <family val="2"/>
    </font>
    <font>
      <b/>
      <sz val="20"/>
      <color rgb="FF000000"/>
      <name val="STIHL Contraface Text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9" fontId="1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7">
    <xf numFmtId="0" fontId="0" fillId="0" borderId="0" xfId="0"/>
    <xf numFmtId="0" fontId="0" fillId="0" borderId="0" xfId="0" applyAlignment="1">
      <alignment horizontal="center" vertical="center"/>
    </xf>
    <xf numFmtId="0" fontId="5" fillId="0" borderId="10" xfId="0" applyFont="1" applyBorder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7" fillId="0" borderId="0" xfId="1" applyFont="1" applyBorder="1" applyAlignment="1">
      <alignment horizontal="center" vertical="center"/>
    </xf>
    <xf numFmtId="8" fontId="14" fillId="0" borderId="0" xfId="0" applyNumberFormat="1" applyFont="1" applyAlignment="1">
      <alignment horizontal="center" vertical="center"/>
    </xf>
    <xf numFmtId="9" fontId="7" fillId="0" borderId="0" xfId="2" applyFont="1" applyBorder="1" applyAlignment="1">
      <alignment horizontal="center" vertical="center"/>
    </xf>
    <xf numFmtId="6" fontId="7" fillId="0" borderId="0" xfId="1" applyNumberFormat="1" applyFont="1" applyBorder="1" applyAlignment="1">
      <alignment horizontal="center" vertical="center"/>
    </xf>
    <xf numFmtId="6" fontId="7" fillId="0" borderId="8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6" fontId="7" fillId="0" borderId="6" xfId="1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4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4" fontId="22" fillId="0" borderId="0" xfId="0" applyNumberFormat="1" applyFont="1" applyAlignment="1">
      <alignment horizontal="right" vertical="center"/>
    </xf>
    <xf numFmtId="6" fontId="7" fillId="0" borderId="7" xfId="1" applyNumberFormat="1" applyFont="1" applyBorder="1" applyAlignment="1">
      <alignment horizontal="center" vertical="center"/>
    </xf>
    <xf numFmtId="6" fontId="7" fillId="0" borderId="9" xfId="1" applyNumberFormat="1" applyFont="1" applyBorder="1" applyAlignment="1">
      <alignment horizontal="center" vertical="center"/>
    </xf>
    <xf numFmtId="6" fontId="7" fillId="0" borderId="10" xfId="1" applyNumberFormat="1" applyFont="1" applyBorder="1" applyAlignment="1">
      <alignment horizontal="center" vertical="center"/>
    </xf>
    <xf numFmtId="169" fontId="6" fillId="0" borderId="5" xfId="0" applyNumberFormat="1" applyFont="1" applyBorder="1" applyAlignment="1">
      <alignment horizontal="center" vertical="center"/>
    </xf>
    <xf numFmtId="6" fontId="7" fillId="0" borderId="40" xfId="1" applyNumberFormat="1" applyFont="1" applyBorder="1" applyAlignment="1">
      <alignment horizontal="center" vertical="center"/>
    </xf>
    <xf numFmtId="6" fontId="7" fillId="0" borderId="41" xfId="1" applyNumberFormat="1" applyFont="1" applyBorder="1" applyAlignment="1">
      <alignment horizontal="center" vertical="center"/>
    </xf>
    <xf numFmtId="6" fontId="7" fillId="0" borderId="42" xfId="1" applyNumberFormat="1" applyFont="1" applyBorder="1" applyAlignment="1">
      <alignment horizontal="center" vertical="center"/>
    </xf>
    <xf numFmtId="169" fontId="6" fillId="0" borderId="39" xfId="0" applyNumberFormat="1" applyFont="1" applyBorder="1" applyAlignment="1">
      <alignment horizontal="center" vertical="center"/>
    </xf>
    <xf numFmtId="169" fontId="6" fillId="0" borderId="43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169" fontId="6" fillId="0" borderId="35" xfId="0" applyNumberFormat="1" applyFont="1" applyBorder="1" applyAlignment="1">
      <alignment horizontal="center" vertical="center"/>
    </xf>
    <xf numFmtId="169" fontId="6" fillId="0" borderId="36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9" fontId="6" fillId="0" borderId="0" xfId="0" applyNumberFormat="1" applyFont="1" applyAlignment="1">
      <alignment horizontal="center" vertical="center"/>
    </xf>
    <xf numFmtId="0" fontId="10" fillId="0" borderId="18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26" xfId="3" applyFont="1" applyBorder="1" applyAlignment="1">
      <alignment vertical="center"/>
    </xf>
    <xf numFmtId="0" fontId="10" fillId="0" borderId="11" xfId="3" applyFont="1" applyBorder="1" applyAlignment="1">
      <alignment vertical="center"/>
    </xf>
    <xf numFmtId="166" fontId="10" fillId="0" borderId="11" xfId="3" applyNumberFormat="1" applyFont="1" applyBorder="1" applyAlignment="1">
      <alignment horizontal="centerContinuous" vertical="center"/>
    </xf>
    <xf numFmtId="0" fontId="10" fillId="0" borderId="10" xfId="3" applyFont="1" applyBorder="1" applyAlignment="1">
      <alignment vertical="center"/>
    </xf>
    <xf numFmtId="0" fontId="8" fillId="0" borderId="19" xfId="3" applyFont="1" applyBorder="1" applyAlignment="1">
      <alignment vertical="center"/>
    </xf>
    <xf numFmtId="166" fontId="10" fillId="0" borderId="11" xfId="3" applyNumberFormat="1" applyFont="1" applyBorder="1" applyAlignment="1">
      <alignment vertical="center"/>
    </xf>
    <xf numFmtId="6" fontId="7" fillId="0" borderId="0" xfId="0" applyNumberFormat="1" applyFont="1" applyAlignment="1">
      <alignment horizontal="center" vertical="center"/>
    </xf>
    <xf numFmtId="166" fontId="10" fillId="0" borderId="12" xfId="3" applyNumberFormat="1" applyFont="1" applyBorder="1" applyAlignment="1">
      <alignment vertical="center"/>
    </xf>
    <xf numFmtId="0" fontId="10" fillId="0" borderId="28" xfId="3" applyFont="1" applyBorder="1" applyAlignment="1">
      <alignment vertical="center"/>
    </xf>
    <xf numFmtId="0" fontId="10" fillId="0" borderId="12" xfId="3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0" fontId="10" fillId="0" borderId="13" xfId="3" applyFont="1" applyBorder="1" applyAlignment="1">
      <alignment vertical="center"/>
    </xf>
    <xf numFmtId="0" fontId="10" fillId="0" borderId="11" xfId="3" applyFont="1" applyBorder="1" applyAlignment="1">
      <alignment horizontal="left" vertical="center"/>
    </xf>
    <xf numFmtId="0" fontId="10" fillId="0" borderId="18" xfId="3" applyFont="1" applyBorder="1"/>
    <xf numFmtId="0" fontId="10" fillId="0" borderId="0" xfId="3" applyFont="1"/>
    <xf numFmtId="0" fontId="10" fillId="0" borderId="10" xfId="3" applyFont="1" applyBorder="1"/>
    <xf numFmtId="0" fontId="8" fillId="0" borderId="15" xfId="3" applyFont="1" applyBorder="1"/>
    <xf numFmtId="0" fontId="8" fillId="0" borderId="16" xfId="3" applyFont="1" applyBorder="1"/>
    <xf numFmtId="166" fontId="8" fillId="0" borderId="16" xfId="3" applyNumberFormat="1" applyFont="1" applyBorder="1"/>
    <xf numFmtId="0" fontId="8" fillId="0" borderId="17" xfId="3" applyFont="1" applyBorder="1"/>
    <xf numFmtId="166" fontId="10" fillId="0" borderId="16" xfId="3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0" fontId="10" fillId="0" borderId="18" xfId="3" applyFont="1" applyBorder="1" applyAlignment="1">
      <alignment horizontal="left"/>
    </xf>
    <xf numFmtId="0" fontId="8" fillId="0" borderId="0" xfId="3" applyFont="1" applyAlignment="1">
      <alignment horizontal="left"/>
    </xf>
    <xf numFmtId="166" fontId="10" fillId="0" borderId="0" xfId="3" applyNumberFormat="1" applyFont="1" applyAlignment="1">
      <alignment horizontal="left"/>
    </xf>
    <xf numFmtId="166" fontId="8" fillId="0" borderId="0" xfId="3" applyNumberFormat="1" applyFont="1" applyAlignment="1">
      <alignment horizontal="left"/>
    </xf>
    <xf numFmtId="0" fontId="8" fillId="0" borderId="19" xfId="3" applyFont="1" applyBorder="1" applyAlignment="1">
      <alignment horizontal="left"/>
    </xf>
    <xf numFmtId="0" fontId="8" fillId="0" borderId="20" xfId="3" applyFont="1" applyBorder="1"/>
    <xf numFmtId="0" fontId="8" fillId="0" borderId="21" xfId="3" applyFont="1" applyBorder="1"/>
    <xf numFmtId="166" fontId="8" fillId="0" borderId="21" xfId="3" applyNumberFormat="1" applyFont="1" applyBorder="1"/>
    <xf numFmtId="0" fontId="8" fillId="0" borderId="22" xfId="3" applyFont="1" applyBorder="1"/>
    <xf numFmtId="0" fontId="8" fillId="0" borderId="18" xfId="3" applyFont="1" applyBorder="1"/>
    <xf numFmtId="0" fontId="8" fillId="0" borderId="0" xfId="3" applyFont="1"/>
    <xf numFmtId="166" fontId="8" fillId="0" borderId="0" xfId="3" applyNumberFormat="1" applyFont="1"/>
    <xf numFmtId="0" fontId="8" fillId="0" borderId="19" xfId="3" applyFont="1" applyBorder="1"/>
    <xf numFmtId="167" fontId="8" fillId="0" borderId="19" xfId="3" applyNumberFormat="1" applyFont="1" applyBorder="1"/>
    <xf numFmtId="0" fontId="6" fillId="0" borderId="0" xfId="0" applyFont="1" applyAlignment="1">
      <alignment vertical="center"/>
    </xf>
    <xf numFmtId="0" fontId="8" fillId="0" borderId="10" xfId="3" applyFont="1" applyBorder="1"/>
    <xf numFmtId="166" fontId="8" fillId="0" borderId="0" xfId="3" applyNumberFormat="1" applyFont="1" applyAlignment="1">
      <alignment horizontal="center"/>
    </xf>
    <xf numFmtId="0" fontId="8" fillId="0" borderId="19" xfId="3" applyFont="1" applyBorder="1" applyAlignment="1">
      <alignment horizontal="center"/>
    </xf>
    <xf numFmtId="166" fontId="8" fillId="0" borderId="0" xfId="3" applyNumberFormat="1" applyFont="1" applyAlignment="1">
      <alignment vertical="center"/>
    </xf>
    <xf numFmtId="0" fontId="8" fillId="0" borderId="0" xfId="3" applyFont="1" applyAlignment="1">
      <alignment vertical="center"/>
    </xf>
    <xf numFmtId="0" fontId="8" fillId="0" borderId="10" xfId="3" applyFont="1" applyBorder="1" applyAlignment="1">
      <alignment vertical="center"/>
    </xf>
    <xf numFmtId="166" fontId="8" fillId="0" borderId="0" xfId="3" applyNumberFormat="1" applyFont="1" applyAlignment="1">
      <alignment horizontal="center" vertical="center"/>
    </xf>
    <xf numFmtId="166" fontId="8" fillId="0" borderId="19" xfId="3" applyNumberFormat="1" applyFont="1" applyBorder="1" applyAlignment="1">
      <alignment horizontal="center" vertical="center"/>
    </xf>
    <xf numFmtId="166" fontId="9" fillId="0" borderId="0" xfId="3" quotePrefix="1" applyNumberFormat="1" applyFont="1" applyAlignment="1">
      <alignment horizontal="center"/>
    </xf>
    <xf numFmtId="166" fontId="9" fillId="0" borderId="10" xfId="3" quotePrefix="1" applyNumberFormat="1" applyFont="1" applyBorder="1" applyAlignment="1">
      <alignment horizontal="center"/>
    </xf>
    <xf numFmtId="166" fontId="10" fillId="0" borderId="0" xfId="3" quotePrefix="1" applyNumberFormat="1" applyFont="1" applyAlignment="1">
      <alignment horizontal="center"/>
    </xf>
    <xf numFmtId="166" fontId="8" fillId="0" borderId="19" xfId="3" applyNumberFormat="1" applyFont="1" applyBorder="1"/>
    <xf numFmtId="0" fontId="8" fillId="0" borderId="0" xfId="3" quotePrefix="1" applyFont="1"/>
    <xf numFmtId="9" fontId="9" fillId="0" borderId="10" xfId="5" applyFont="1" applyFill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169" fontId="7" fillId="0" borderId="0" xfId="0" applyNumberFormat="1" applyFont="1"/>
    <xf numFmtId="166" fontId="8" fillId="0" borderId="11" xfId="3" applyNumberFormat="1" applyFont="1" applyBorder="1"/>
    <xf numFmtId="166" fontId="10" fillId="0" borderId="19" xfId="3" applyNumberFormat="1" applyFont="1" applyBorder="1"/>
    <xf numFmtId="166" fontId="9" fillId="0" borderId="0" xfId="3" applyNumberFormat="1" applyFont="1"/>
    <xf numFmtId="166" fontId="10" fillId="0" borderId="0" xfId="3" applyNumberFormat="1" applyFont="1"/>
    <xf numFmtId="0" fontId="8" fillId="0" borderId="26" xfId="3" applyFont="1" applyBorder="1"/>
    <xf numFmtId="0" fontId="8" fillId="0" borderId="11" xfId="3" applyFont="1" applyBorder="1"/>
    <xf numFmtId="0" fontId="8" fillId="0" borderId="13" xfId="3" applyFont="1" applyBorder="1"/>
    <xf numFmtId="0" fontId="8" fillId="0" borderId="27" xfId="3" applyFont="1" applyBorder="1"/>
    <xf numFmtId="3" fontId="8" fillId="0" borderId="13" xfId="3" applyNumberFormat="1" applyFont="1" applyBorder="1" applyAlignment="1">
      <alignment vertical="center"/>
    </xf>
    <xf numFmtId="0" fontId="8" fillId="0" borderId="13" xfId="3" applyFont="1" applyBorder="1" applyAlignment="1">
      <alignment horizontal="centerContinuous" vertical="center"/>
    </xf>
    <xf numFmtId="0" fontId="8" fillId="0" borderId="27" xfId="3" applyFont="1" applyBorder="1" applyAlignment="1">
      <alignment horizontal="centerContinuous" vertical="center"/>
    </xf>
    <xf numFmtId="166" fontId="8" fillId="0" borderId="0" xfId="3" applyNumberFormat="1" applyFont="1" applyAlignment="1">
      <alignment horizontal="right" vertical="center"/>
    </xf>
    <xf numFmtId="0" fontId="8" fillId="0" borderId="10" xfId="3" applyFont="1" applyBorder="1" applyAlignment="1">
      <alignment horizontal="right"/>
    </xf>
    <xf numFmtId="0" fontId="8" fillId="0" borderId="10" xfId="3" applyFont="1" applyBorder="1" applyAlignment="1">
      <alignment horizontal="right" vertical="center"/>
    </xf>
    <xf numFmtId="164" fontId="8" fillId="0" borderId="19" xfId="3" quotePrefix="1" applyNumberFormat="1" applyFont="1" applyBorder="1"/>
    <xf numFmtId="0" fontId="23" fillId="0" borderId="10" xfId="3" applyFont="1" applyBorder="1"/>
    <xf numFmtId="0" fontId="23" fillId="0" borderId="19" xfId="4" applyFont="1" applyBorder="1"/>
    <xf numFmtId="164" fontId="8" fillId="0" borderId="19" xfId="3" applyNumberFormat="1" applyFont="1" applyBorder="1"/>
    <xf numFmtId="0" fontId="8" fillId="0" borderId="26" xfId="3" applyFont="1" applyBorder="1" applyAlignment="1">
      <alignment vertical="center"/>
    </xf>
    <xf numFmtId="0" fontId="8" fillId="0" borderId="11" xfId="3" applyFont="1" applyBorder="1" applyAlignment="1">
      <alignment vertical="center"/>
    </xf>
    <xf numFmtId="0" fontId="8" fillId="0" borderId="13" xfId="3" applyFont="1" applyBorder="1" applyAlignment="1">
      <alignment vertical="center"/>
    </xf>
    <xf numFmtId="0" fontId="8" fillId="0" borderId="27" xfId="3" applyFont="1" applyBorder="1" applyAlignment="1">
      <alignment vertical="center"/>
    </xf>
    <xf numFmtId="0" fontId="8" fillId="0" borderId="18" xfId="3" applyFont="1" applyBorder="1" applyAlignment="1">
      <alignment vertical="center"/>
    </xf>
    <xf numFmtId="166" fontId="8" fillId="0" borderId="0" xfId="4" applyNumberFormat="1" applyFont="1"/>
    <xf numFmtId="0" fontId="8" fillId="0" borderId="28" xfId="3" applyFont="1" applyBorder="1" applyAlignment="1">
      <alignment vertical="center"/>
    </xf>
    <xf numFmtId="0" fontId="8" fillId="0" borderId="12" xfId="3" applyFont="1" applyBorder="1" applyAlignment="1">
      <alignment vertical="center"/>
    </xf>
    <xf numFmtId="0" fontId="8" fillId="0" borderId="3" xfId="3" applyFont="1" applyBorder="1" applyAlignment="1">
      <alignment vertical="center"/>
    </xf>
    <xf numFmtId="0" fontId="8" fillId="0" borderId="29" xfId="3" applyFont="1" applyBorder="1" applyAlignment="1">
      <alignment vertical="center"/>
    </xf>
    <xf numFmtId="2" fontId="8" fillId="0" borderId="0" xfId="3" applyNumberFormat="1" applyFont="1"/>
    <xf numFmtId="166" fontId="8" fillId="0" borderId="12" xfId="3" applyNumberFormat="1" applyFont="1" applyBorder="1" applyAlignment="1">
      <alignment vertical="center"/>
    </xf>
    <xf numFmtId="166" fontId="8" fillId="0" borderId="11" xfId="3" applyNumberFormat="1" applyFont="1" applyBorder="1" applyAlignment="1">
      <alignment vertical="center"/>
    </xf>
    <xf numFmtId="0" fontId="8" fillId="0" borderId="0" xfId="3" quotePrefix="1" applyFont="1" applyAlignment="1">
      <alignment horizontal="left"/>
    </xf>
    <xf numFmtId="166" fontId="10" fillId="0" borderId="11" xfId="3" applyNumberFormat="1" applyFont="1" applyBorder="1"/>
    <xf numFmtId="168" fontId="10" fillId="0" borderId="0" xfId="3" applyNumberFormat="1" applyFont="1"/>
    <xf numFmtId="0" fontId="8" fillId="0" borderId="30" xfId="3" applyFont="1" applyBorder="1"/>
    <xf numFmtId="166" fontId="10" fillId="0" borderId="20" xfId="4" applyNumberFormat="1" applyFont="1" applyBorder="1" applyAlignment="1">
      <alignment horizontal="left"/>
    </xf>
    <xf numFmtId="0" fontId="10" fillId="0" borderId="22" xfId="4" applyFont="1" applyBorder="1"/>
    <xf numFmtId="0" fontId="21" fillId="0" borderId="10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0" xfId="0" applyFont="1"/>
    <xf numFmtId="0" fontId="5" fillId="0" borderId="8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11" xfId="0" applyFont="1" applyBorder="1"/>
    <xf numFmtId="4" fontId="7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8" fontId="5" fillId="0" borderId="0" xfId="1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13" xfId="0" applyFont="1" applyBorder="1"/>
    <xf numFmtId="4" fontId="2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9" fontId="5" fillId="0" borderId="0" xfId="2" applyFont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" fontId="7" fillId="0" borderId="0" xfId="0" applyNumberFormat="1" applyFont="1"/>
    <xf numFmtId="1" fontId="7" fillId="0" borderId="0" xfId="0" applyNumberFormat="1" applyFont="1" applyAlignment="1">
      <alignment horizontal="center" vertical="center"/>
    </xf>
    <xf numFmtId="11" fontId="7" fillId="0" borderId="0" xfId="0" applyNumberFormat="1" applyFont="1"/>
    <xf numFmtId="9" fontId="7" fillId="0" borderId="0" xfId="2" applyFont="1"/>
    <xf numFmtId="170" fontId="7" fillId="0" borderId="0" xfId="0" applyNumberFormat="1" applyFont="1"/>
    <xf numFmtId="1" fontId="7" fillId="0" borderId="0" xfId="2" applyNumberFormat="1" applyFont="1" applyAlignment="1">
      <alignment horizontal="center"/>
    </xf>
    <xf numFmtId="171" fontId="7" fillId="0" borderId="0" xfId="0" applyNumberFormat="1" applyFont="1"/>
    <xf numFmtId="172" fontId="7" fillId="0" borderId="0" xfId="0" applyNumberFormat="1" applyFont="1"/>
    <xf numFmtId="44" fontId="20" fillId="0" borderId="1" xfId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5" borderId="1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7" fillId="0" borderId="0" xfId="0" applyNumberFormat="1" applyFont="1"/>
    <xf numFmtId="168" fontId="0" fillId="0" borderId="1" xfId="2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3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6" fontId="21" fillId="0" borderId="0" xfId="1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8" fontId="7" fillId="0" borderId="0" xfId="0" applyNumberFormat="1" applyFont="1"/>
    <xf numFmtId="2" fontId="0" fillId="0" borderId="1" xfId="0" applyNumberFormat="1" applyBorder="1" applyAlignment="1">
      <alignment horizontal="center" vertical="center"/>
    </xf>
    <xf numFmtId="168" fontId="7" fillId="0" borderId="0" xfId="2" applyNumberFormat="1" applyFont="1"/>
    <xf numFmtId="4" fontId="8" fillId="0" borderId="0" xfId="3" applyNumberFormat="1" applyFont="1"/>
    <xf numFmtId="174" fontId="8" fillId="0" borderId="0" xfId="3" applyNumberFormat="1" applyFont="1"/>
    <xf numFmtId="4" fontId="10" fillId="0" borderId="11" xfId="3" applyNumberFormat="1" applyFont="1" applyBorder="1" applyAlignment="1">
      <alignment vertical="center"/>
    </xf>
    <xf numFmtId="4" fontId="10" fillId="0" borderId="13" xfId="3" applyNumberFormat="1" applyFont="1" applyBorder="1" applyAlignment="1">
      <alignment vertical="center"/>
    </xf>
    <xf numFmtId="174" fontId="10" fillId="0" borderId="12" xfId="3" applyNumberFormat="1" applyFont="1" applyBorder="1" applyAlignment="1">
      <alignment vertical="center"/>
    </xf>
    <xf numFmtId="174" fontId="7" fillId="0" borderId="0" xfId="0" applyNumberFormat="1" applyFont="1"/>
    <xf numFmtId="0" fontId="19" fillId="3" borderId="1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44" fontId="25" fillId="0" borderId="1" xfId="1" applyFont="1" applyFill="1" applyBorder="1" applyAlignment="1">
      <alignment horizontal="center" vertical="center"/>
    </xf>
    <xf numFmtId="9" fontId="20" fillId="0" borderId="1" xfId="2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44" fontId="20" fillId="0" borderId="1" xfId="0" applyNumberFormat="1" applyFont="1" applyBorder="1" applyAlignment="1">
      <alignment horizontal="center" vertical="center"/>
    </xf>
    <xf numFmtId="8" fontId="20" fillId="0" borderId="1" xfId="1" applyNumberFormat="1" applyFont="1" applyFill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/>
    </xf>
    <xf numFmtId="168" fontId="20" fillId="0" borderId="1" xfId="2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1" fontId="20" fillId="0" borderId="1" xfId="1" applyNumberFormat="1" applyFont="1" applyFill="1" applyBorder="1" applyAlignment="1">
      <alignment horizontal="center" vertical="center" wrapText="1"/>
    </xf>
    <xf numFmtId="165" fontId="20" fillId="0" borderId="1" xfId="1" applyNumberFormat="1" applyFont="1" applyFill="1" applyBorder="1" applyAlignment="1">
      <alignment horizontal="center" vertical="center" wrapText="1"/>
    </xf>
    <xf numFmtId="165" fontId="20" fillId="0" borderId="1" xfId="1" applyNumberFormat="1" applyFont="1" applyFill="1" applyBorder="1" applyAlignment="1">
      <alignment horizontal="center" vertical="center"/>
    </xf>
    <xf numFmtId="2" fontId="20" fillId="0" borderId="1" xfId="1" applyNumberFormat="1" applyFont="1" applyFill="1" applyBorder="1" applyAlignment="1">
      <alignment horizontal="center" vertical="center" wrapText="1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165" fontId="25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10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10" borderId="0" xfId="0" applyFill="1" applyAlignment="1">
      <alignment vertical="center"/>
    </xf>
    <xf numFmtId="0" fontId="19" fillId="11" borderId="1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0" fontId="0" fillId="10" borderId="0" xfId="2" applyNumberFormat="1" applyFont="1" applyFill="1"/>
    <xf numFmtId="0" fontId="0" fillId="10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4" fontId="0" fillId="8" borderId="0" xfId="0" applyNumberFormat="1" applyFill="1" applyAlignment="1">
      <alignment horizontal="center"/>
    </xf>
    <xf numFmtId="0" fontId="15" fillId="0" borderId="0" xfId="0" applyFont="1"/>
    <xf numFmtId="0" fontId="15" fillId="8" borderId="0" xfId="0" applyFont="1" applyFill="1" applyAlignment="1">
      <alignment horizontal="center"/>
    </xf>
    <xf numFmtId="4" fontId="15" fillId="10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9" fontId="20" fillId="10" borderId="1" xfId="2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65" fontId="20" fillId="0" borderId="0" xfId="0" applyNumberFormat="1" applyFont="1" applyAlignment="1">
      <alignment horizontal="center" vertical="center"/>
    </xf>
    <xf numFmtId="9" fontId="20" fillId="0" borderId="0" xfId="2" applyFont="1" applyAlignment="1">
      <alignment horizontal="left" vertical="center"/>
    </xf>
    <xf numFmtId="165" fontId="0" fillId="0" borderId="1" xfId="1" applyNumberFormat="1" applyFont="1" applyFill="1" applyBorder="1" applyAlignment="1">
      <alignment horizontal="center" vertical="center"/>
    </xf>
    <xf numFmtId="168" fontId="0" fillId="0" borderId="1" xfId="2" applyNumberFormat="1" applyFont="1" applyFill="1" applyBorder="1" applyAlignment="1">
      <alignment horizontal="center" vertical="center"/>
    </xf>
    <xf numFmtId="0" fontId="18" fillId="0" borderId="44" xfId="0" applyFont="1" applyBorder="1" applyAlignment="1">
      <alignment horizontal="left" vertical="center"/>
    </xf>
    <xf numFmtId="2" fontId="0" fillId="0" borderId="44" xfId="0" applyNumberForma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" fontId="25" fillId="0" borderId="1" xfId="1" applyNumberFormat="1" applyFont="1" applyFill="1" applyBorder="1" applyAlignment="1">
      <alignment horizontal="center" vertical="center" wrapText="1"/>
    </xf>
    <xf numFmtId="9" fontId="25" fillId="0" borderId="1" xfId="2" applyFont="1" applyFill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/>
    </xf>
    <xf numFmtId="44" fontId="25" fillId="0" borderId="1" xfId="0" applyNumberFormat="1" applyFont="1" applyBorder="1" applyAlignment="1">
      <alignment horizontal="center" vertical="center"/>
    </xf>
    <xf numFmtId="8" fontId="25" fillId="0" borderId="1" xfId="1" applyNumberFormat="1" applyFont="1" applyFill="1" applyBorder="1" applyAlignment="1">
      <alignment horizontal="center" vertical="center" wrapText="1"/>
    </xf>
    <xf numFmtId="44" fontId="25" fillId="0" borderId="1" xfId="1" applyFont="1" applyFill="1" applyBorder="1" applyAlignment="1">
      <alignment horizontal="center" vertical="center" wrapText="1"/>
    </xf>
    <xf numFmtId="168" fontId="25" fillId="0" borderId="1" xfId="2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3" xfId="0" applyFont="1" applyBorder="1" applyAlignment="1">
      <alignment horizontal="center" vertical="center" wrapText="1"/>
    </xf>
    <xf numFmtId="165" fontId="25" fillId="0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9" fontId="20" fillId="0" borderId="0" xfId="2" applyFont="1" applyFill="1" applyAlignment="1">
      <alignment horizontal="center" vertical="center"/>
    </xf>
    <xf numFmtId="165" fontId="20" fillId="0" borderId="2" xfId="1" applyNumberFormat="1" applyFont="1" applyFill="1" applyBorder="1" applyAlignment="1">
      <alignment horizontal="center" vertical="center" wrapText="1"/>
    </xf>
    <xf numFmtId="165" fontId="25" fillId="0" borderId="2" xfId="1" applyNumberFormat="1" applyFont="1" applyFill="1" applyBorder="1" applyAlignment="1">
      <alignment horizontal="center" vertical="center"/>
    </xf>
    <xf numFmtId="165" fontId="20" fillId="0" borderId="2" xfId="1" applyNumberFormat="1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65" fontId="20" fillId="0" borderId="14" xfId="0" applyNumberFormat="1" applyFont="1" applyBorder="1" applyAlignment="1">
      <alignment horizontal="center" vertical="center"/>
    </xf>
    <xf numFmtId="165" fontId="20" fillId="0" borderId="14" xfId="1" applyNumberFormat="1" applyFont="1" applyFill="1" applyBorder="1" applyAlignment="1">
      <alignment horizontal="center" vertical="center"/>
    </xf>
    <xf numFmtId="44" fontId="20" fillId="0" borderId="14" xfId="1" applyFont="1" applyFill="1" applyBorder="1" applyAlignment="1">
      <alignment horizontal="center" vertical="center" wrapText="1"/>
    </xf>
    <xf numFmtId="2" fontId="20" fillId="0" borderId="14" xfId="0" applyNumberFormat="1" applyFont="1" applyBorder="1" applyAlignment="1">
      <alignment horizontal="center" vertical="center"/>
    </xf>
    <xf numFmtId="1" fontId="20" fillId="0" borderId="14" xfId="1" applyNumberFormat="1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9" fontId="20" fillId="0" borderId="14" xfId="2" applyFont="1" applyFill="1" applyBorder="1" applyAlignment="1">
      <alignment horizontal="center" vertical="center" wrapText="1"/>
    </xf>
    <xf numFmtId="44" fontId="25" fillId="0" borderId="14" xfId="1" applyFont="1" applyFill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44" fontId="20" fillId="0" borderId="14" xfId="0" applyNumberFormat="1" applyFont="1" applyBorder="1" applyAlignment="1">
      <alignment horizontal="center" vertical="center"/>
    </xf>
    <xf numFmtId="8" fontId="20" fillId="0" borderId="14" xfId="1" applyNumberFormat="1" applyFont="1" applyFill="1" applyBorder="1" applyAlignment="1">
      <alignment horizontal="center" vertical="center" wrapText="1"/>
    </xf>
    <xf numFmtId="168" fontId="20" fillId="0" borderId="14" xfId="2" applyNumberFormat="1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164" fontId="20" fillId="0" borderId="5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9" fontId="15" fillId="12" borderId="0" xfId="2" applyFont="1" applyFill="1" applyAlignment="1">
      <alignment horizontal="center" vertical="center"/>
    </xf>
    <xf numFmtId="0" fontId="20" fillId="0" borderId="14" xfId="0" applyFont="1" applyBorder="1" applyAlignment="1">
      <alignment vertical="center"/>
    </xf>
    <xf numFmtId="0" fontId="20" fillId="13" borderId="3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vertical="center"/>
    </xf>
    <xf numFmtId="0" fontId="25" fillId="13" borderId="3" xfId="0" applyFont="1" applyFill="1" applyBorder="1" applyAlignment="1">
      <alignment horizontal="center" vertical="center"/>
    </xf>
    <xf numFmtId="165" fontId="25" fillId="13" borderId="1" xfId="0" applyNumberFormat="1" applyFont="1" applyFill="1" applyBorder="1" applyAlignment="1">
      <alignment horizontal="center" vertical="center"/>
    </xf>
    <xf numFmtId="165" fontId="25" fillId="13" borderId="1" xfId="1" applyNumberFormat="1" applyFont="1" applyFill="1" applyBorder="1" applyAlignment="1">
      <alignment horizontal="center" vertical="center"/>
    </xf>
    <xf numFmtId="44" fontId="25" fillId="13" borderId="1" xfId="1" applyFont="1" applyFill="1" applyBorder="1" applyAlignment="1">
      <alignment horizontal="center" vertical="center" wrapText="1"/>
    </xf>
    <xf numFmtId="2" fontId="25" fillId="13" borderId="1" xfId="0" applyNumberFormat="1" applyFont="1" applyFill="1" applyBorder="1" applyAlignment="1">
      <alignment horizontal="center" vertical="center"/>
    </xf>
    <xf numFmtId="1" fontId="25" fillId="13" borderId="1" xfId="1" applyNumberFormat="1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9" fontId="25" fillId="13" borderId="1" xfId="2" applyFont="1" applyFill="1" applyBorder="1" applyAlignment="1">
      <alignment horizontal="center" vertical="center" wrapText="1"/>
    </xf>
    <xf numFmtId="44" fontId="25" fillId="13" borderId="1" xfId="1" applyFont="1" applyFill="1" applyBorder="1" applyAlignment="1">
      <alignment horizontal="center" vertical="center"/>
    </xf>
    <xf numFmtId="1" fontId="25" fillId="13" borderId="1" xfId="0" applyNumberFormat="1" applyFont="1" applyFill="1" applyBorder="1" applyAlignment="1">
      <alignment horizontal="center" vertical="center"/>
    </xf>
    <xf numFmtId="44" fontId="25" fillId="13" borderId="1" xfId="0" applyNumberFormat="1" applyFont="1" applyFill="1" applyBorder="1" applyAlignment="1">
      <alignment horizontal="center" vertical="center"/>
    </xf>
    <xf numFmtId="8" fontId="25" fillId="13" borderId="1" xfId="1" applyNumberFormat="1" applyFont="1" applyFill="1" applyBorder="1" applyAlignment="1">
      <alignment horizontal="center" vertical="center" wrapText="1"/>
    </xf>
    <xf numFmtId="168" fontId="25" fillId="13" borderId="1" xfId="2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165" fontId="20" fillId="13" borderId="2" xfId="1" applyNumberFormat="1" applyFont="1" applyFill="1" applyBorder="1" applyAlignment="1">
      <alignment horizontal="center" vertical="center" wrapText="1"/>
    </xf>
    <xf numFmtId="173" fontId="20" fillId="9" borderId="5" xfId="0" applyNumberFormat="1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vertical="center"/>
    </xf>
    <xf numFmtId="2" fontId="20" fillId="13" borderId="1" xfId="0" applyNumberFormat="1" applyFont="1" applyFill="1" applyBorder="1" applyAlignment="1">
      <alignment horizontal="center" vertical="center"/>
    </xf>
    <xf numFmtId="1" fontId="20" fillId="13" borderId="1" xfId="1" applyNumberFormat="1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9" fontId="20" fillId="13" borderId="1" xfId="2" applyFont="1" applyFill="1" applyBorder="1" applyAlignment="1">
      <alignment horizontal="center" vertical="center" wrapText="1"/>
    </xf>
    <xf numFmtId="1" fontId="20" fillId="13" borderId="1" xfId="0" applyNumberFormat="1" applyFont="1" applyFill="1" applyBorder="1" applyAlignment="1">
      <alignment horizontal="center" vertical="center"/>
    </xf>
    <xf numFmtId="44" fontId="20" fillId="13" borderId="1" xfId="0" applyNumberFormat="1" applyFont="1" applyFill="1" applyBorder="1" applyAlignment="1">
      <alignment horizontal="center" vertical="center"/>
    </xf>
    <xf numFmtId="8" fontId="20" fillId="13" borderId="1" xfId="1" applyNumberFormat="1" applyFont="1" applyFill="1" applyBorder="1" applyAlignment="1">
      <alignment horizontal="center" vertical="center" wrapText="1"/>
    </xf>
    <xf numFmtId="44" fontId="20" fillId="13" borderId="1" xfId="1" applyFont="1" applyFill="1" applyBorder="1" applyAlignment="1">
      <alignment horizontal="center" vertical="center" wrapText="1"/>
    </xf>
    <xf numFmtId="168" fontId="20" fillId="13" borderId="1" xfId="2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vertical="center" wrapText="1"/>
    </xf>
    <xf numFmtId="165" fontId="20" fillId="13" borderId="1" xfId="0" applyNumberFormat="1" applyFont="1" applyFill="1" applyBorder="1" applyAlignment="1">
      <alignment horizontal="center" vertical="center"/>
    </xf>
    <xf numFmtId="165" fontId="20" fillId="13" borderId="1" xfId="1" applyNumberFormat="1" applyFont="1" applyFill="1" applyBorder="1" applyAlignment="1">
      <alignment horizontal="center" vertical="center"/>
    </xf>
    <xf numFmtId="1" fontId="20" fillId="13" borderId="1" xfId="0" applyNumberFormat="1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165" fontId="20" fillId="13" borderId="1" xfId="1" applyNumberFormat="1" applyFont="1" applyFill="1" applyBorder="1" applyAlignment="1">
      <alignment horizontal="center" vertical="center" wrapText="1"/>
    </xf>
    <xf numFmtId="1" fontId="25" fillId="14" borderId="1" xfId="1" applyNumberFormat="1" applyFont="1" applyFill="1" applyBorder="1" applyAlignment="1">
      <alignment horizontal="center" vertical="center" wrapText="1"/>
    </xf>
    <xf numFmtId="165" fontId="25" fillId="13" borderId="14" xfId="1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2" fontId="0" fillId="13" borderId="1" xfId="0" applyNumberFormat="1" applyFill="1" applyBorder="1" applyAlignment="1">
      <alignment horizontal="center" vertical="center"/>
    </xf>
    <xf numFmtId="2" fontId="30" fillId="13" borderId="1" xfId="0" applyNumberFormat="1" applyFont="1" applyFill="1" applyBorder="1" applyAlignment="1">
      <alignment horizontal="center" vertical="center"/>
    </xf>
    <xf numFmtId="165" fontId="0" fillId="13" borderId="1" xfId="1" applyNumberFormat="1" applyFont="1" applyFill="1" applyBorder="1" applyAlignment="1">
      <alignment horizontal="center" vertical="center"/>
    </xf>
    <xf numFmtId="168" fontId="0" fillId="13" borderId="1" xfId="2" applyNumberFormat="1" applyFont="1" applyFill="1" applyBorder="1" applyAlignment="1">
      <alignment horizontal="center" vertical="center"/>
    </xf>
    <xf numFmtId="0" fontId="19" fillId="15" borderId="1" xfId="2" applyNumberFormat="1" applyFont="1" applyFill="1" applyBorder="1" applyAlignment="1">
      <alignment horizontal="center" vertical="center"/>
    </xf>
    <xf numFmtId="2" fontId="15" fillId="13" borderId="1" xfId="0" applyNumberFormat="1" applyFont="1" applyFill="1" applyBorder="1" applyAlignment="1">
      <alignment horizontal="center" vertical="center"/>
    </xf>
    <xf numFmtId="2" fontId="29" fillId="13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20" fillId="13" borderId="1" xfId="1" applyNumberFormat="1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vertical="center"/>
    </xf>
    <xf numFmtId="0" fontId="25" fillId="7" borderId="3" xfId="0" applyFont="1" applyFill="1" applyBorder="1" applyAlignment="1">
      <alignment horizontal="center" vertical="center"/>
    </xf>
    <xf numFmtId="165" fontId="25" fillId="7" borderId="1" xfId="0" applyNumberFormat="1" applyFont="1" applyFill="1" applyBorder="1" applyAlignment="1">
      <alignment horizontal="center" vertical="center"/>
    </xf>
    <xf numFmtId="165" fontId="25" fillId="7" borderId="1" xfId="1" applyNumberFormat="1" applyFont="1" applyFill="1" applyBorder="1" applyAlignment="1">
      <alignment horizontal="center" vertical="center"/>
    </xf>
    <xf numFmtId="44" fontId="25" fillId="7" borderId="1" xfId="1" applyFont="1" applyFill="1" applyBorder="1" applyAlignment="1">
      <alignment horizontal="center" vertical="center" wrapText="1"/>
    </xf>
    <xf numFmtId="2" fontId="25" fillId="7" borderId="1" xfId="0" applyNumberFormat="1" applyFont="1" applyFill="1" applyBorder="1" applyAlignment="1">
      <alignment horizontal="center" vertical="center"/>
    </xf>
    <xf numFmtId="1" fontId="25" fillId="7" borderId="1" xfId="1" applyNumberFormat="1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9" fontId="25" fillId="7" borderId="1" xfId="2" applyFont="1" applyFill="1" applyBorder="1" applyAlignment="1">
      <alignment horizontal="center" vertical="center" wrapText="1"/>
    </xf>
    <xf numFmtId="44" fontId="25" fillId="7" borderId="1" xfId="1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/>
    </xf>
    <xf numFmtId="44" fontId="25" fillId="7" borderId="1" xfId="0" applyNumberFormat="1" applyFont="1" applyFill="1" applyBorder="1" applyAlignment="1">
      <alignment horizontal="center" vertical="center"/>
    </xf>
    <xf numFmtId="8" fontId="25" fillId="7" borderId="1" xfId="1" applyNumberFormat="1" applyFont="1" applyFill="1" applyBorder="1" applyAlignment="1">
      <alignment horizontal="center" vertical="center" wrapText="1"/>
    </xf>
    <xf numFmtId="168" fontId="25" fillId="7" borderId="1" xfId="2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" fontId="20" fillId="7" borderId="1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9" fontId="0" fillId="0" borderId="0" xfId="2" applyFont="1"/>
    <xf numFmtId="1" fontId="20" fillId="0" borderId="5" xfId="0" applyNumberFormat="1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165" fontId="31" fillId="0" borderId="1" xfId="1" applyNumberFormat="1" applyFont="1" applyFill="1" applyBorder="1" applyAlignment="1">
      <alignment horizontal="center" vertical="center"/>
    </xf>
    <xf numFmtId="44" fontId="31" fillId="0" borderId="1" xfId="1" applyFont="1" applyFill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/>
    </xf>
    <xf numFmtId="1" fontId="31" fillId="0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165" fontId="32" fillId="0" borderId="1" xfId="1" applyNumberFormat="1" applyFont="1" applyFill="1" applyBorder="1" applyAlignment="1">
      <alignment horizontal="center" vertical="center"/>
    </xf>
    <xf numFmtId="9" fontId="31" fillId="0" borderId="1" xfId="2" applyFont="1" applyFill="1" applyBorder="1" applyAlignment="1">
      <alignment horizontal="center" vertical="center" wrapText="1"/>
    </xf>
    <xf numFmtId="44" fontId="31" fillId="0" borderId="1" xfId="0" applyNumberFormat="1" applyFont="1" applyBorder="1" applyAlignment="1">
      <alignment horizontal="center" vertical="center"/>
    </xf>
    <xf numFmtId="8" fontId="31" fillId="0" borderId="1" xfId="1" applyNumberFormat="1" applyFont="1" applyFill="1" applyBorder="1" applyAlignment="1">
      <alignment horizontal="center" vertical="center" wrapText="1"/>
    </xf>
    <xf numFmtId="168" fontId="31" fillId="0" borderId="1" xfId="2" applyNumberFormat="1" applyFont="1" applyFill="1" applyBorder="1" applyAlignment="1">
      <alignment horizontal="center" vertical="center"/>
    </xf>
    <xf numFmtId="165" fontId="31" fillId="0" borderId="2" xfId="1" applyNumberFormat="1" applyFont="1" applyFill="1" applyBorder="1" applyAlignment="1">
      <alignment horizontal="center" vertical="center"/>
    </xf>
    <xf numFmtId="4" fontId="31" fillId="0" borderId="1" xfId="0" applyNumberFormat="1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165" fontId="37" fillId="0" borderId="1" xfId="1" applyNumberFormat="1" applyFont="1" applyBorder="1" applyAlignment="1">
      <alignment horizontal="center" vertical="center"/>
    </xf>
    <xf numFmtId="168" fontId="37" fillId="0" borderId="1" xfId="2" applyNumberFormat="1" applyFont="1" applyBorder="1" applyAlignment="1">
      <alignment horizontal="center" vertical="center"/>
    </xf>
    <xf numFmtId="0" fontId="39" fillId="3" borderId="1" xfId="2" applyNumberFormat="1" applyFont="1" applyFill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0" fontId="34" fillId="4" borderId="1" xfId="0" applyFont="1" applyFill="1" applyBorder="1" applyAlignment="1">
      <alignment vertical="center" wrapText="1"/>
    </xf>
    <xf numFmtId="0" fontId="34" fillId="4" borderId="1" xfId="0" applyFont="1" applyFill="1" applyBorder="1" applyAlignment="1">
      <alignment horizontal="right" vertical="center" wrapText="1"/>
    </xf>
    <xf numFmtId="0" fontId="35" fillId="4" borderId="1" xfId="0" applyFont="1" applyFill="1" applyBorder="1" applyAlignment="1">
      <alignment vertical="center"/>
    </xf>
    <xf numFmtId="0" fontId="35" fillId="4" borderId="1" xfId="0" applyFont="1" applyFill="1" applyBorder="1" applyAlignment="1">
      <alignment horizontal="center" vertical="center"/>
    </xf>
    <xf numFmtId="169" fontId="6" fillId="0" borderId="49" xfId="0" applyNumberFormat="1" applyFont="1" applyBorder="1" applyAlignment="1">
      <alignment horizontal="center" vertical="center"/>
    </xf>
    <xf numFmtId="0" fontId="7" fillId="0" borderId="42" xfId="0" applyFont="1" applyBorder="1"/>
    <xf numFmtId="169" fontId="6" fillId="0" borderId="50" xfId="0" applyNumberFormat="1" applyFont="1" applyBorder="1" applyAlignment="1">
      <alignment horizontal="center" vertical="center"/>
    </xf>
    <xf numFmtId="169" fontId="6" fillId="0" borderId="13" xfId="0" applyNumberFormat="1" applyFont="1" applyBorder="1" applyAlignment="1">
      <alignment horizontal="center" vertical="center"/>
    </xf>
    <xf numFmtId="169" fontId="6" fillId="0" borderId="51" xfId="0" applyNumberFormat="1" applyFont="1" applyBorder="1" applyAlignment="1">
      <alignment horizontal="center" vertical="center"/>
    </xf>
    <xf numFmtId="6" fontId="7" fillId="10" borderId="0" xfId="1" applyNumberFormat="1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7" fillId="0" borderId="53" xfId="0" applyFont="1" applyBorder="1" applyAlignment="1">
      <alignment horizontal="left" vertical="center"/>
    </xf>
    <xf numFmtId="0" fontId="9" fillId="10" borderId="53" xfId="0" applyFont="1" applyFill="1" applyBorder="1" applyAlignment="1">
      <alignment horizontal="left" vertical="center"/>
    </xf>
    <xf numFmtId="6" fontId="7" fillId="0" borderId="54" xfId="1" applyNumberFormat="1" applyFont="1" applyBorder="1" applyAlignment="1">
      <alignment horizontal="center" vertical="center"/>
    </xf>
    <xf numFmtId="0" fontId="9" fillId="10" borderId="55" xfId="0" applyFont="1" applyFill="1" applyBorder="1" applyAlignment="1">
      <alignment horizontal="left" vertical="center"/>
    </xf>
    <xf numFmtId="6" fontId="7" fillId="10" borderId="24" xfId="1" applyNumberFormat="1" applyFont="1" applyFill="1" applyBorder="1" applyAlignment="1">
      <alignment horizontal="center" vertical="center"/>
    </xf>
    <xf numFmtId="6" fontId="7" fillId="0" borderId="24" xfId="1" applyNumberFormat="1" applyFont="1" applyBorder="1" applyAlignment="1">
      <alignment horizontal="center" vertical="center"/>
    </xf>
    <xf numFmtId="6" fontId="7" fillId="0" borderId="56" xfId="1" applyNumberFormat="1" applyFont="1" applyBorder="1" applyAlignment="1">
      <alignment horizontal="center" vertical="center"/>
    </xf>
    <xf numFmtId="0" fontId="10" fillId="0" borderId="57" xfId="0" applyFont="1" applyBorder="1" applyAlignment="1">
      <alignment horizontal="left" vertical="center"/>
    </xf>
    <xf numFmtId="169" fontId="6" fillId="0" borderId="10" xfId="0" applyNumberFormat="1" applyFont="1" applyBorder="1" applyAlignment="1">
      <alignment horizontal="center" vertical="center"/>
    </xf>
    <xf numFmtId="169" fontId="6" fillId="0" borderId="48" xfId="0" applyNumberFormat="1" applyFont="1" applyBorder="1" applyAlignment="1">
      <alignment horizontal="center" vertical="center"/>
    </xf>
    <xf numFmtId="169" fontId="6" fillId="0" borderId="58" xfId="0" applyNumberFormat="1" applyFont="1" applyBorder="1" applyAlignment="1">
      <alignment horizontal="center" vertical="center"/>
    </xf>
    <xf numFmtId="6" fontId="23" fillId="0" borderId="6" xfId="1" applyNumberFormat="1" applyFont="1" applyBorder="1" applyAlignment="1">
      <alignment horizontal="center" vertical="center"/>
    </xf>
    <xf numFmtId="0" fontId="7" fillId="0" borderId="7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13" xfId="0" applyFont="1" applyBorder="1"/>
    <xf numFmtId="6" fontId="23" fillId="0" borderId="8" xfId="1" applyNumberFormat="1" applyFont="1" applyBorder="1" applyAlignment="1">
      <alignment horizontal="center" vertical="center"/>
    </xf>
    <xf numFmtId="174" fontId="8" fillId="0" borderId="0" xfId="3" applyNumberFormat="1" applyFont="1" applyAlignment="1">
      <alignment horizontal="center"/>
    </xf>
    <xf numFmtId="166" fontId="8" fillId="0" borderId="19" xfId="3" applyNumberFormat="1" applyFont="1" applyBorder="1" applyAlignment="1">
      <alignment horizontal="center"/>
    </xf>
    <xf numFmtId="166" fontId="8" fillId="0" borderId="11" xfId="3" applyNumberFormat="1" applyFont="1" applyBorder="1" applyAlignment="1">
      <alignment horizontal="center"/>
    </xf>
    <xf numFmtId="166" fontId="10" fillId="0" borderId="19" xfId="3" applyNumberFormat="1" applyFont="1" applyBorder="1" applyAlignment="1">
      <alignment horizontal="center"/>
    </xf>
    <xf numFmtId="166" fontId="10" fillId="0" borderId="0" xfId="3" applyNumberFormat="1" applyFont="1" applyAlignment="1">
      <alignment horizontal="center"/>
    </xf>
    <xf numFmtId="0" fontId="8" fillId="0" borderId="27" xfId="3" applyFont="1" applyBorder="1" applyAlignment="1">
      <alignment horizontal="center"/>
    </xf>
    <xf numFmtId="0" fontId="8" fillId="0" borderId="10" xfId="3" applyFont="1" applyBorder="1" applyAlignment="1">
      <alignment horizontal="center"/>
    </xf>
    <xf numFmtId="4" fontId="8" fillId="0" borderId="0" xfId="3" applyNumberFormat="1" applyFont="1" applyAlignment="1">
      <alignment horizontal="center"/>
    </xf>
    <xf numFmtId="4" fontId="10" fillId="0" borderId="11" xfId="3" applyNumberFormat="1" applyFont="1" applyBorder="1" applyAlignment="1">
      <alignment horizontal="center" vertical="center"/>
    </xf>
    <xf numFmtId="4" fontId="10" fillId="0" borderId="13" xfId="3" applyNumberFormat="1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166" fontId="8" fillId="0" borderId="0" xfId="4" applyNumberFormat="1" applyFont="1" applyAlignment="1">
      <alignment horizontal="center"/>
    </xf>
    <xf numFmtId="166" fontId="10" fillId="0" borderId="12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174" fontId="10" fillId="0" borderId="12" xfId="3" applyNumberFormat="1" applyFont="1" applyBorder="1" applyAlignment="1">
      <alignment horizontal="center" vertical="center"/>
    </xf>
    <xf numFmtId="166" fontId="10" fillId="0" borderId="11" xfId="3" applyNumberFormat="1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2" fontId="8" fillId="0" borderId="0" xfId="3" applyNumberFormat="1" applyFont="1" applyAlignment="1">
      <alignment horizontal="center"/>
    </xf>
    <xf numFmtId="166" fontId="8" fillId="0" borderId="12" xfId="3" applyNumberFormat="1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166" fontId="8" fillId="0" borderId="11" xfId="3" applyNumberFormat="1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" fillId="0" borderId="0" xfId="3" applyFont="1" applyAlignment="1">
      <alignment horizontal="center"/>
    </xf>
    <xf numFmtId="166" fontId="10" fillId="0" borderId="11" xfId="3" applyNumberFormat="1" applyFont="1" applyBorder="1" applyAlignment="1">
      <alignment horizontal="center"/>
    </xf>
    <xf numFmtId="168" fontId="10" fillId="0" borderId="0" xfId="3" applyNumberFormat="1" applyFont="1" applyAlignment="1">
      <alignment horizontal="center"/>
    </xf>
    <xf numFmtId="166" fontId="8" fillId="0" borderId="21" xfId="3" applyNumberFormat="1" applyFont="1" applyBorder="1" applyAlignment="1">
      <alignment horizontal="center"/>
    </xf>
    <xf numFmtId="0" fontId="8" fillId="0" borderId="18" xfId="3" applyFont="1" applyBorder="1" applyAlignment="1">
      <alignment horizontal="right"/>
    </xf>
    <xf numFmtId="0" fontId="10" fillId="0" borderId="18" xfId="3" applyFont="1" applyBorder="1" applyAlignment="1">
      <alignment horizontal="right" vertical="center"/>
    </xf>
    <xf numFmtId="0" fontId="8" fillId="0" borderId="26" xfId="3" applyFont="1" applyBorder="1" applyAlignment="1">
      <alignment horizontal="right"/>
    </xf>
    <xf numFmtId="0" fontId="10" fillId="0" borderId="26" xfId="3" applyFont="1" applyBorder="1" applyAlignment="1">
      <alignment horizontal="right" vertical="center"/>
    </xf>
    <xf numFmtId="0" fontId="8" fillId="0" borderId="26" xfId="3" applyFont="1" applyBorder="1" applyAlignment="1">
      <alignment horizontal="right" vertical="center"/>
    </xf>
    <xf numFmtId="0" fontId="8" fillId="0" borderId="18" xfId="3" applyFont="1" applyBorder="1" applyAlignment="1">
      <alignment horizontal="right" vertical="center"/>
    </xf>
    <xf numFmtId="0" fontId="8" fillId="0" borderId="28" xfId="3" applyFont="1" applyBorder="1" applyAlignment="1">
      <alignment horizontal="right" vertical="center"/>
    </xf>
    <xf numFmtId="0" fontId="10" fillId="0" borderId="28" xfId="3" applyFont="1" applyBorder="1" applyAlignment="1">
      <alignment horizontal="right" vertical="center"/>
    </xf>
    <xf numFmtId="0" fontId="10" fillId="0" borderId="18" xfId="3" applyFont="1" applyBorder="1" applyAlignment="1">
      <alignment horizontal="right"/>
    </xf>
    <xf numFmtId="0" fontId="8" fillId="0" borderId="20" xfId="3" applyFont="1" applyBorder="1" applyAlignment="1">
      <alignment horizontal="right"/>
    </xf>
    <xf numFmtId="166" fontId="8" fillId="0" borderId="8" xfId="3" applyNumberFormat="1" applyFont="1" applyBorder="1" applyAlignment="1">
      <alignment horizontal="center"/>
    </xf>
    <xf numFmtId="6" fontId="23" fillId="0" borderId="4" xfId="1" applyNumberFormat="1" applyFont="1" applyBorder="1" applyAlignment="1">
      <alignment horizontal="center" vertical="center"/>
    </xf>
    <xf numFmtId="6" fontId="7" fillId="0" borderId="0" xfId="2" applyNumberFormat="1" applyFont="1"/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/>
    </xf>
    <xf numFmtId="3" fontId="0" fillId="0" borderId="0" xfId="0" applyNumberForma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center"/>
    </xf>
    <xf numFmtId="0" fontId="6" fillId="10" borderId="0" xfId="0" applyFont="1" applyFill="1" applyAlignment="1">
      <alignment horizontal="center"/>
    </xf>
    <xf numFmtId="3" fontId="6" fillId="10" borderId="0" xfId="0" applyNumberFormat="1" applyFont="1" applyFill="1"/>
    <xf numFmtId="3" fontId="6" fillId="10" borderId="0" xfId="0" applyNumberFormat="1" applyFont="1" applyFill="1" applyAlignment="1">
      <alignment horizontal="center"/>
    </xf>
    <xf numFmtId="165" fontId="25" fillId="16" borderId="1" xfId="1" applyNumberFormat="1" applyFont="1" applyFill="1" applyBorder="1" applyAlignment="1">
      <alignment horizontal="center" vertical="center"/>
    </xf>
    <xf numFmtId="1" fontId="20" fillId="16" borderId="1" xfId="1" applyNumberFormat="1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1" fontId="20" fillId="16" borderId="1" xfId="0" applyNumberFormat="1" applyFont="1" applyFill="1" applyBorder="1" applyAlignment="1">
      <alignment horizontal="center" vertical="center" wrapText="1"/>
    </xf>
    <xf numFmtId="44" fontId="20" fillId="16" borderId="1" xfId="1" applyFont="1" applyFill="1" applyBorder="1" applyAlignment="1">
      <alignment horizontal="center" vertical="center" wrapText="1"/>
    </xf>
    <xf numFmtId="2" fontId="20" fillId="16" borderId="1" xfId="1" applyNumberFormat="1" applyFont="1" applyFill="1" applyBorder="1" applyAlignment="1">
      <alignment horizontal="center" vertical="center" wrapText="1"/>
    </xf>
    <xf numFmtId="166" fontId="8" fillId="0" borderId="18" xfId="4" applyNumberFormat="1" applyFont="1" applyBorder="1" applyAlignment="1">
      <alignment horizontal="center"/>
    </xf>
    <xf numFmtId="166" fontId="8" fillId="0" borderId="19" xfId="4" applyNumberFormat="1" applyFont="1" applyBorder="1" applyAlignment="1">
      <alignment horizontal="center"/>
    </xf>
    <xf numFmtId="0" fontId="10" fillId="0" borderId="18" xfId="3" applyFont="1" applyBorder="1" applyAlignment="1">
      <alignment horizontal="center" wrapText="1"/>
    </xf>
    <xf numFmtId="0" fontId="10" fillId="0" borderId="0" xfId="3" applyFont="1" applyAlignment="1">
      <alignment horizontal="center" wrapText="1"/>
    </xf>
    <xf numFmtId="0" fontId="10" fillId="0" borderId="19" xfId="3" applyFont="1" applyBorder="1" applyAlignment="1">
      <alignment horizontal="center" wrapText="1"/>
    </xf>
    <xf numFmtId="0" fontId="10" fillId="0" borderId="23" xfId="3" applyFont="1" applyBorder="1" applyAlignment="1">
      <alignment horizontal="center"/>
    </xf>
    <xf numFmtId="0" fontId="10" fillId="0" borderId="24" xfId="3" applyFont="1" applyBorder="1" applyAlignment="1">
      <alignment horizontal="center"/>
    </xf>
    <xf numFmtId="0" fontId="10" fillId="0" borderId="25" xfId="3" applyFont="1" applyBorder="1" applyAlignment="1">
      <alignment horizontal="center"/>
    </xf>
    <xf numFmtId="0" fontId="18" fillId="5" borderId="31" xfId="0" applyFont="1" applyFill="1" applyBorder="1" applyAlignment="1">
      <alignment horizontal="center" vertical="center"/>
    </xf>
    <xf numFmtId="0" fontId="33" fillId="5" borderId="32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33" fillId="5" borderId="3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8" fontId="27" fillId="0" borderId="14" xfId="1" applyNumberFormat="1" applyFont="1" applyFill="1" applyBorder="1" applyAlignment="1">
      <alignment horizontal="center" vertical="center"/>
    </xf>
    <xf numFmtId="8" fontId="27" fillId="0" borderId="5" xfId="1" applyNumberFormat="1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</cellXfs>
  <cellStyles count="11">
    <cellStyle name="Moeda" xfId="1" builtinId="4"/>
    <cellStyle name="Moeda 2" xfId="6" xr:uid="{00000000-0005-0000-0000-000001000000}"/>
    <cellStyle name="Moeda 2 2" xfId="9" xr:uid="{00000000-0005-0000-0000-000002000000}"/>
    <cellStyle name="Moeda 3" xfId="7" xr:uid="{00000000-0005-0000-0000-000003000000}"/>
    <cellStyle name="Moeda 3 2" xfId="10" xr:uid="{00000000-0005-0000-0000-000004000000}"/>
    <cellStyle name="Moeda 4" xfId="8" xr:uid="{00000000-0005-0000-0000-000005000000}"/>
    <cellStyle name="Normal" xfId="0" builtinId="0"/>
    <cellStyle name="Normal_Virabrequim 4244 _MoB and ROI_2011_03_17" xfId="3" xr:uid="{00000000-0005-0000-0000-000007000000}"/>
    <cellStyle name="Porcentagem" xfId="2" builtinId="5"/>
    <cellStyle name="Porcentagem 4 3" xfId="5" xr:uid="{00000000-0005-0000-0000-000009000000}"/>
    <cellStyle name="Standard_WRFORM USD" xfId="4" xr:uid="{00000000-0005-0000-0000-00000A000000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13A54E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8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3A54E"/>
      <color rgb="FFFFB9BB"/>
      <color rgb="FFFA9294"/>
      <color rgb="FFFEA4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53</xdr:col>
      <xdr:colOff>393542</xdr:colOff>
      <xdr:row>1</xdr:row>
      <xdr:rowOff>0</xdr:rowOff>
    </xdr:from>
    <xdr:to>
      <xdr:col>56</xdr:col>
      <xdr:colOff>135859</xdr:colOff>
      <xdr:row>686</xdr:row>
      <xdr:rowOff>20354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ini Fab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i Fa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86450" y="360293"/>
              <a:ext cx="1846262" cy="1323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53</xdr:col>
      <xdr:colOff>431642</xdr:colOff>
      <xdr:row>686</xdr:row>
      <xdr:rowOff>60131</xdr:rowOff>
    </xdr:from>
    <xdr:to>
      <xdr:col>56</xdr:col>
      <xdr:colOff>178087</xdr:colOff>
      <xdr:row>692</xdr:row>
      <xdr:rowOff>101711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OK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24550" y="1731892"/>
              <a:ext cx="1828800" cy="1030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66675</xdr:colOff>
      <xdr:row>0</xdr:row>
      <xdr:rowOff>133350</xdr:rowOff>
    </xdr:from>
    <xdr:to>
      <xdr:col>31</xdr:col>
      <xdr:colOff>365125</xdr:colOff>
      <xdr:row>0</xdr:row>
      <xdr:rowOff>403225</xdr:rowOff>
    </xdr:to>
    <xdr:pic>
      <xdr:nvPicPr>
        <xdr:cNvPr id="4" name="Bild 1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33350"/>
          <a:ext cx="979170" cy="2571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461959</xdr:colOff>
      <xdr:row>72</xdr:row>
      <xdr:rowOff>116606</xdr:rowOff>
    </xdr:from>
    <xdr:to>
      <xdr:col>11</xdr:col>
      <xdr:colOff>1967300</xdr:colOff>
      <xdr:row>95</xdr:row>
      <xdr:rowOff>175595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AG 1">
              <a:extLst>
                <a:ext uri="{FF2B5EF4-FFF2-40B4-BE49-F238E27FC236}">
                  <a16:creationId xmlns:a16="http://schemas.microsoft.com/office/drawing/2014/main" id="{00000000-0008-0000-0B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93194" y="14404106"/>
              <a:ext cx="3278187" cy="4431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519546</xdr:colOff>
      <xdr:row>11</xdr:row>
      <xdr:rowOff>155863</xdr:rowOff>
    </xdr:from>
    <xdr:to>
      <xdr:col>16</xdr:col>
      <xdr:colOff>99148</xdr:colOff>
      <xdr:row>14</xdr:row>
      <xdr:rowOff>23554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06364" y="2736272"/>
          <a:ext cx="1142857" cy="4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23813</xdr:colOff>
      <xdr:row>1</xdr:row>
      <xdr:rowOff>23811</xdr:rowOff>
    </xdr:from>
    <xdr:ext cx="1785680" cy="46434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40" t="11628" b="9302"/>
        <a:stretch/>
      </xdr:blipFill>
      <xdr:spPr>
        <a:xfrm>
          <a:off x="690563" y="204786"/>
          <a:ext cx="1785680" cy="464345"/>
        </a:xfrm>
        <a:prstGeom prst="rect">
          <a:avLst/>
        </a:prstGeom>
      </xdr:spPr>
    </xdr:pic>
    <xdr:clientData/>
  </xdr:oneCellAnchor>
  <xdr:twoCellAnchor editAs="oneCell">
    <xdr:from>
      <xdr:col>15</xdr:col>
      <xdr:colOff>505629</xdr:colOff>
      <xdr:row>1</xdr:row>
      <xdr:rowOff>54427</xdr:rowOff>
    </xdr:from>
    <xdr:to>
      <xdr:col>18</xdr:col>
      <xdr:colOff>325519</xdr:colOff>
      <xdr:row>31</xdr:row>
      <xdr:rowOff>149677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AG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7129" y="260802"/>
              <a:ext cx="1820140" cy="635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1</xdr:row>
      <xdr:rowOff>180975</xdr:rowOff>
    </xdr:from>
    <xdr:to>
      <xdr:col>17</xdr:col>
      <xdr:colOff>662941</xdr:colOff>
      <xdr:row>14</xdr:row>
      <xdr:rowOff>179705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AG 2">
              <a:extLst>
                <a:ext uri="{FF2B5EF4-FFF2-40B4-BE49-F238E27FC236}">
                  <a16:creationId xmlns:a16="http://schemas.microsoft.com/office/drawing/2014/main" id="{00000000-0008-0000-0C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8575" y="361950"/>
              <a:ext cx="174307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66675</xdr:colOff>
      <xdr:row>32</xdr:row>
      <xdr:rowOff>133350</xdr:rowOff>
    </xdr:from>
    <xdr:to>
      <xdr:col>1</xdr:col>
      <xdr:colOff>1044575</xdr:colOff>
      <xdr:row>34</xdr:row>
      <xdr:rowOff>27305</xdr:rowOff>
    </xdr:to>
    <xdr:pic>
      <xdr:nvPicPr>
        <xdr:cNvPr id="3" name="Bild 1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33350"/>
          <a:ext cx="975360" cy="25717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Jahrplan\2006\JP2006%20-%2012%20Kalkulations&#252;bersic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mail.terra.com.br/cgi-bin/webmail.exe/Industrial/Planejamento/Planejamento%20Capacidades/Cargas%20M&#225;quina%20Brasil/Cargas/2004/10%20-%20Carga%20OR&#199;AMENTO2004_22-Jun-04%20295.000%20motores%20-%20REVIS&#195;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01srvcol001r1\stihl\Diretoria%20Geral\Supply%20Chain\Planejamento\Master%20de%20Produtos\Fabricados\Motores\2009\18%20-%20Previsto%20Motores%202009_Em_andament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mail.terra.com.br/GRUPOS/ING/IEQ/CIFRAS/CILINDR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IS\STIHL\Materiais\Planejamento\Profit\Material%20Apresenta&#231;&#227;o%20PROFIT\Gr&#225;ficos\efequ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IS\STIHL\Materiais\Planejamento\Profit\Material%20Apresenta&#231;&#227;o%20PROFIT\Gr&#225;ficos\Pontuacao%202o.%20Semest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00srvcol001r1\stihl\Industrial\Planejamento\Profit\Apresenta&#231;&#227;o\Teste%20Banco%20de%20dado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Industrial\Planejamento\Planejamento%20Capacidades\Cargas%20M&#225;quina%20Brasil\Cargas\2004\10%20-%20Carga%20OR&#199;AMENTO2004_22-Jun-04%20295.000%20motores%20-%20REVIS&#195;O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bmagripe/Desktop/LCC/2022/3%20-%20BD_LCC/v026%20-%20DASHBOARD%20LCC%202022%20(Reuni&#227;o%20-%2013.06.22).xlsx" TargetMode="External"/><Relationship Id="rId1" Type="http://schemas.openxmlformats.org/officeDocument/2006/relationships/externalLinkPath" Target="/Users/bmagripe/Desktop/LCC/2022/3%20-%20BD_LCC/v026%20-%20DASHBOARD%20LCC%202022%20(Reuni&#227;o%20-%2013.06.22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agripe\Desktop\LCC\2023\3%20-%20BD_LCC\CUSTOS%20TOTAIS%20MANUT.xlsx" TargetMode="External"/><Relationship Id="rId1" Type="http://schemas.openxmlformats.org/officeDocument/2006/relationships/externalLinkPath" Target="3%20-%20BD_LCC/CUSTOS%20TOTAIS%20MAN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samtkalkulation"/>
      <sheetName val="Kalkulation Sägeketten"/>
      <sheetName val="Kalkulation HS-Messer"/>
      <sheetName val="Verlauf HKvoll"/>
      <sheetName val="Break Even Grafik"/>
      <sheetName val="Zuschlagsätze"/>
      <sheetName val="Drop down List"/>
      <sheetName val="Tabelle2"/>
    </sheetNames>
    <sheetDataSet>
      <sheetData sheetId="0" refreshError="1">
        <row r="1">
          <cell r="B1" t="str">
            <v>Jahresplanung 2006</v>
          </cell>
        </row>
        <row r="50">
          <cell r="M50">
            <v>0</v>
          </cell>
          <cell r="N50">
            <v>212456.40000000002</v>
          </cell>
        </row>
        <row r="52">
          <cell r="M52">
            <v>65703.500000000015</v>
          </cell>
          <cell r="N52">
            <v>65703.500000000015</v>
          </cell>
        </row>
        <row r="54">
          <cell r="M54">
            <v>65703.500000000015</v>
          </cell>
          <cell r="N54">
            <v>168556.4</v>
          </cell>
        </row>
      </sheetData>
      <sheetData sheetId="1"/>
      <sheetData sheetId="2"/>
      <sheetData sheetId="3"/>
      <sheetData sheetId="4">
        <row r="1">
          <cell r="C1" t="str">
            <v>Jahresplanung 2006</v>
          </cell>
        </row>
      </sheetData>
      <sheetData sheetId="5">
        <row r="1">
          <cell r="B1" t="str">
            <v>Jahresplanung 2006</v>
          </cell>
        </row>
      </sheetData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s Disponíveis"/>
      <sheetName val="Mão de Obra Direta"/>
      <sheetName val="Ocupação Máquina"/>
      <sheetName val="Alteração de pessoal"/>
      <sheetName val="Diretos por Posição"/>
      <sheetName val="CARGA ORÇAMENTO"/>
      <sheetName val="Sobreposição"/>
      <sheetName val="Motores"/>
      <sheetName val="Cilindro"/>
      <sheetName val="Sabres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OP_EE"/>
      <sheetName val="S&amp;OP_4119"/>
      <sheetName val="MASTER 2009"/>
      <sheetName val="ESTOQUE"/>
      <sheetName val="Média Diária"/>
      <sheetName val="Produção Motores"/>
      <sheetName val="Dados"/>
      <sheetName val="Dados 2"/>
      <sheetName val="GRAF MASTER PLAN"/>
      <sheetName val="MASTER 2010"/>
      <sheetName val="APO"/>
      <sheetName val="APO2010"/>
      <sheetName val="Macro"/>
      <sheetName val="Módulo3"/>
      <sheetName val="Módulo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LINDRO"/>
      <sheetName val="grafanalise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ódulo1"/>
      <sheetName val="FUNDIÇÃO COMPONENTES"/>
      <sheetName val="USINAGEM COMPONENTES"/>
      <sheetName val="VIRABREQUIM"/>
      <sheetName val="PLÁSTICO"/>
      <sheetName val="CJ. CORTE"/>
      <sheetName val="MONTAGEM"/>
      <sheetName val="FUNDIÇÃO CILINDRO"/>
      <sheetName val="USINAGEM CILINDRO"/>
      <sheetName val="listas"/>
      <sheetName val="Plano de ação"/>
      <sheetName val="Projetos"/>
      <sheetName val="PREV x REAL"/>
      <sheetName val="CURVA SAVING GERAL"/>
      <sheetName val="Planilha4"/>
      <sheetName val="SR"/>
      <sheetName val="CURVA SAVING POR PROJETO"/>
      <sheetName val="0_GERAL "/>
      <sheetName val="CURVA DESEMBOLSO"/>
      <sheetName val="% CONCLUSÃO e SINALEIRAS"/>
      <sheetName val="Cronograma"/>
    </sheetNames>
    <sheetDataSet>
      <sheetData sheetId="0"/>
      <sheetData sheetId="1"/>
      <sheetData sheetId="2" refreshError="1">
        <row r="1">
          <cell r="R1">
            <v>12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ódulo1"/>
      <sheetName val="FUNDIÇÃO COMPONENTES"/>
      <sheetName val="USINAGEM COMPONENTES"/>
      <sheetName val="VIRABREQUIM"/>
      <sheetName val="PLÁSTICO"/>
      <sheetName val="CJ CORTE"/>
      <sheetName val="MONTAGEM"/>
      <sheetName val="FUNDIÇÃO CILINDRO"/>
      <sheetName val="USINAGEM CILINDRO"/>
      <sheetName val="FERRAMENTARIA"/>
    </sheetNames>
    <sheetDataSet>
      <sheetData sheetId="0" refreshError="1"/>
      <sheetData sheetId="1" refreshError="1">
        <row r="1">
          <cell r="R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Teste Banco de dados"/>
    </sheetNames>
    <definedNames>
      <definedName name="retornoHelp"/>
    </defined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s Disponíveis"/>
      <sheetName val="Mão de Obra Direta"/>
      <sheetName val="Ocupação Máquina"/>
      <sheetName val="Alteração de pessoal"/>
      <sheetName val="Diretos por Posição"/>
      <sheetName val="CARGA ORÇAMENTO"/>
      <sheetName val="Sobreposição"/>
      <sheetName val="Motores"/>
      <sheetName val="Cilindro"/>
      <sheetName val="Sabres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riz_2021"/>
      <sheetName val="MATRIZ"/>
      <sheetName val="Planilha1"/>
      <sheetName val="Lista de Equipamentos"/>
      <sheetName val="Dados"/>
      <sheetName val="inflação"/>
      <sheetName val="Bruta"/>
      <sheetName val="BASE_2021"/>
      <sheetName val="Tecnica"/>
      <sheetName val="Tempo_Missão"/>
      <sheetName val="info"/>
      <sheetName val="Fórmulas"/>
    </sheetNames>
    <sheetDataSet>
      <sheetData sheetId="0"/>
      <sheetData sheetId="1"/>
      <sheetData sheetId="2"/>
      <sheetData sheetId="3"/>
      <sheetData sheetId="4">
        <row r="1">
          <cell r="B1" t="str">
            <v>TAG</v>
          </cell>
          <cell r="C1" t="str">
            <v>Denominação</v>
          </cell>
        </row>
        <row r="2">
          <cell r="B2" t="str">
            <v>APL001</v>
          </cell>
          <cell r="C2" t="str">
            <v>APL001-APLAINADORA MAXITEC</v>
          </cell>
        </row>
        <row r="3">
          <cell r="B3" t="str">
            <v>BAL003</v>
          </cell>
          <cell r="C3" t="str">
            <v>BAL003-BALANCEADORA</v>
          </cell>
        </row>
        <row r="4">
          <cell r="B4" t="str">
            <v>BAL004</v>
          </cell>
          <cell r="C4" t="str">
            <v>BAL004-BALANCEADORA</v>
          </cell>
        </row>
        <row r="5">
          <cell r="B5" t="str">
            <v>BAL006</v>
          </cell>
          <cell r="C5" t="str">
            <v>BAL006-BALANCEADORA</v>
          </cell>
        </row>
        <row r="6">
          <cell r="B6" t="str">
            <v>BAL007</v>
          </cell>
          <cell r="C6" t="str">
            <v>BAL007-BALANCEADORA</v>
          </cell>
        </row>
        <row r="7">
          <cell r="B7" t="str">
            <v>BAL008</v>
          </cell>
          <cell r="C7" t="str">
            <v>BAL008-BALANCEADORA</v>
          </cell>
        </row>
        <row r="8">
          <cell r="B8" t="str">
            <v>BAL009</v>
          </cell>
          <cell r="C8" t="str">
            <v>BAL009-BALANCEADORA</v>
          </cell>
        </row>
        <row r="9">
          <cell r="B9" t="str">
            <v>BRU002</v>
          </cell>
          <cell r="C9" t="str">
            <v>BRU002-BRUNIDORA</v>
          </cell>
        </row>
        <row r="10">
          <cell r="B10" t="str">
            <v>BRU003</v>
          </cell>
          <cell r="C10" t="str">
            <v>BRU003-BRUNIDORA</v>
          </cell>
        </row>
        <row r="11">
          <cell r="B11" t="str">
            <v>BRU004</v>
          </cell>
          <cell r="C11" t="str">
            <v>BRU004-BRUNIDORA</v>
          </cell>
        </row>
        <row r="12">
          <cell r="B12" t="str">
            <v>BRU008</v>
          </cell>
          <cell r="C12" t="str">
            <v>BRU008-BRUNIDORA</v>
          </cell>
        </row>
        <row r="13">
          <cell r="B13" t="str">
            <v>BRU009</v>
          </cell>
          <cell r="C13" t="str">
            <v>BRU009-BRUNIDORA</v>
          </cell>
        </row>
        <row r="14">
          <cell r="B14" t="str">
            <v>BRU010</v>
          </cell>
          <cell r="C14" t="str">
            <v>BRU010-BRUNIDORA</v>
          </cell>
        </row>
        <row r="15">
          <cell r="B15" t="str">
            <v>BRU011</v>
          </cell>
          <cell r="C15" t="str">
            <v>BRU011-BRUNIDORA</v>
          </cell>
        </row>
        <row r="16">
          <cell r="B16" t="str">
            <v>BRU012</v>
          </cell>
          <cell r="C16" t="str">
            <v>BRU012-BRUNIDORA</v>
          </cell>
        </row>
        <row r="17">
          <cell r="B17" t="str">
            <v>BRU014</v>
          </cell>
          <cell r="C17" t="str">
            <v>BRU014-BRUNIDORA</v>
          </cell>
        </row>
        <row r="18">
          <cell r="B18" t="str">
            <v>BRU022</v>
          </cell>
          <cell r="C18" t="str">
            <v>BRU022-BRUNIDORA</v>
          </cell>
        </row>
        <row r="19">
          <cell r="B19" t="str">
            <v>BRU023</v>
          </cell>
          <cell r="C19" t="str">
            <v>BRU023-BRUNIDORA</v>
          </cell>
        </row>
        <row r="20">
          <cell r="B20" t="str">
            <v>BRU024</v>
          </cell>
          <cell r="C20" t="str">
            <v>BRU024-BRUNIDORA</v>
          </cell>
        </row>
        <row r="21">
          <cell r="B21" t="str">
            <v>BRU025</v>
          </cell>
          <cell r="C21" t="str">
            <v>BRU025-BRUNIDORA</v>
          </cell>
        </row>
        <row r="22">
          <cell r="B22" t="str">
            <v>BRU026</v>
          </cell>
          <cell r="C22" t="str">
            <v>BRU026-BRUNIDORA</v>
          </cell>
        </row>
        <row r="23">
          <cell r="B23" t="str">
            <v>BRU027</v>
          </cell>
          <cell r="C23" t="str">
            <v>BRU027-BRUNIDORA</v>
          </cell>
        </row>
        <row r="24">
          <cell r="B24" t="str">
            <v>BRU028</v>
          </cell>
          <cell r="C24" t="str">
            <v>BRU028-BRUNIDORA</v>
          </cell>
        </row>
        <row r="25">
          <cell r="B25" t="str">
            <v>BRU029</v>
          </cell>
          <cell r="C25" t="str">
            <v>BRU029-BRUNIDORA</v>
          </cell>
        </row>
        <row r="26">
          <cell r="B26" t="str">
            <v>BRU030</v>
          </cell>
          <cell r="C26" t="str">
            <v>BRU030-BRUNIDORA</v>
          </cell>
        </row>
        <row r="27">
          <cell r="B27" t="str">
            <v>BRU031</v>
          </cell>
          <cell r="C27" t="str">
            <v>BRU031-BRUNIDORA</v>
          </cell>
        </row>
        <row r="28">
          <cell r="B28" t="str">
            <v>BRU032</v>
          </cell>
          <cell r="C28" t="str">
            <v>BRU032-BRUNIDORA</v>
          </cell>
        </row>
        <row r="29">
          <cell r="B29" t="str">
            <v>BRU033</v>
          </cell>
          <cell r="C29" t="str">
            <v>BRU033-BRUNIDORA</v>
          </cell>
        </row>
        <row r="30">
          <cell r="B30" t="str">
            <v>BRU034</v>
          </cell>
          <cell r="C30" t="str">
            <v>BRU034-BRUNIDORA</v>
          </cell>
        </row>
        <row r="31">
          <cell r="B31" t="str">
            <v>BRU035</v>
          </cell>
          <cell r="C31" t="str">
            <v>BRU035-BRUNIDORA</v>
          </cell>
        </row>
        <row r="32">
          <cell r="B32" t="str">
            <v>BRU036</v>
          </cell>
          <cell r="C32" t="str">
            <v>BRU036-BRUNIDORA</v>
          </cell>
        </row>
        <row r="33">
          <cell r="B33" t="str">
            <v>BRU037</v>
          </cell>
          <cell r="C33" t="str">
            <v>BRU037-BRUNIDORA</v>
          </cell>
        </row>
        <row r="34">
          <cell r="B34" t="str">
            <v>BRU038</v>
          </cell>
          <cell r="C34" t="str">
            <v>BRU038-BRUNIDORA</v>
          </cell>
        </row>
        <row r="35">
          <cell r="B35" t="str">
            <v>BRU039</v>
          </cell>
          <cell r="C35" t="str">
            <v>BRU039-BRUNIDORA</v>
          </cell>
        </row>
        <row r="36">
          <cell r="B36" t="str">
            <v>BRU040</v>
          </cell>
          <cell r="C36" t="str">
            <v>BRU040-BRUNIDORA</v>
          </cell>
        </row>
        <row r="37">
          <cell r="B37" t="str">
            <v>BRU041</v>
          </cell>
          <cell r="C37" t="str">
            <v>BRU041-BRUNIDORA</v>
          </cell>
        </row>
        <row r="38">
          <cell r="B38" t="str">
            <v>BRU042</v>
          </cell>
          <cell r="C38" t="str">
            <v>BRU042-BRUNIDORA</v>
          </cell>
        </row>
        <row r="39">
          <cell r="B39" t="str">
            <v>BRU043</v>
          </cell>
          <cell r="C39" t="str">
            <v>BRU043-BRUNIDORA</v>
          </cell>
        </row>
        <row r="40">
          <cell r="B40" t="str">
            <v>BRU044</v>
          </cell>
          <cell r="C40" t="str">
            <v>BRU044-BRUNIDORA</v>
          </cell>
        </row>
        <row r="41">
          <cell r="B41" t="str">
            <v>BRU045</v>
          </cell>
          <cell r="C41" t="str">
            <v>BRU045-BRUNIDORA</v>
          </cell>
        </row>
        <row r="42">
          <cell r="B42" t="str">
            <v>BRU046</v>
          </cell>
          <cell r="C42" t="str">
            <v>BRU046-BRUNIDORA</v>
          </cell>
        </row>
        <row r="43">
          <cell r="B43" t="str">
            <v>BRU047</v>
          </cell>
          <cell r="C43" t="str">
            <v>BRU047-BRUNIDORA</v>
          </cell>
        </row>
        <row r="44">
          <cell r="B44" t="str">
            <v>BRU048</v>
          </cell>
          <cell r="C44" t="str">
            <v>BRU048-BRUNIDORA</v>
          </cell>
        </row>
        <row r="45">
          <cell r="B45" t="str">
            <v>BRU049</v>
          </cell>
          <cell r="C45" t="str">
            <v>BRU049-BRUNIDORA</v>
          </cell>
        </row>
        <row r="46">
          <cell r="B46" t="str">
            <v>BRU050</v>
          </cell>
          <cell r="C46" t="str">
            <v>BRU050-BRUNIDORA</v>
          </cell>
        </row>
        <row r="47">
          <cell r="B47" t="str">
            <v>BRU051</v>
          </cell>
          <cell r="C47" t="str">
            <v>BRU051-BRUNIDORA</v>
          </cell>
        </row>
        <row r="48">
          <cell r="B48" t="str">
            <v>BRU052</v>
          </cell>
          <cell r="C48" t="str">
            <v>BRU052-BRUNIDORA</v>
          </cell>
        </row>
        <row r="49">
          <cell r="B49" t="str">
            <v>BRU053</v>
          </cell>
          <cell r="C49" t="str">
            <v>BRU053-BRUNIDORA</v>
          </cell>
        </row>
        <row r="50">
          <cell r="B50" t="str">
            <v>BRU054</v>
          </cell>
          <cell r="C50" t="str">
            <v>BRU054-BRUNIDORA</v>
          </cell>
        </row>
        <row r="51">
          <cell r="B51" t="str">
            <v>BRU055</v>
          </cell>
          <cell r="C51" t="str">
            <v>BRU055-BRUNIDORA</v>
          </cell>
        </row>
        <row r="52">
          <cell r="B52" t="str">
            <v>BRU056</v>
          </cell>
          <cell r="C52" t="str">
            <v>BRU056-BRUNIDORA</v>
          </cell>
        </row>
        <row r="53">
          <cell r="B53" t="str">
            <v>BRU057</v>
          </cell>
          <cell r="C53" t="str">
            <v>BRU057-BRUNIDORA</v>
          </cell>
        </row>
        <row r="54">
          <cell r="B54" t="str">
            <v>BRU058</v>
          </cell>
          <cell r="C54" t="str">
            <v>BRU058-BRUNIDORA</v>
          </cell>
        </row>
        <row r="55">
          <cell r="B55" t="str">
            <v>BRU059</v>
          </cell>
          <cell r="C55" t="str">
            <v>BRU059-BRUNIDORA</v>
          </cell>
        </row>
        <row r="56">
          <cell r="B56" t="str">
            <v>BRU060</v>
          </cell>
          <cell r="C56" t="str">
            <v>BRU060-BRUNIDORA</v>
          </cell>
        </row>
        <row r="57">
          <cell r="B57" t="str">
            <v>BRU061</v>
          </cell>
          <cell r="C57" t="str">
            <v>BRU061-BRUNIDORA</v>
          </cell>
        </row>
        <row r="58">
          <cell r="B58" t="str">
            <v>BRU062</v>
          </cell>
          <cell r="C58" t="str">
            <v>BRU062-BRUNIDORA</v>
          </cell>
        </row>
        <row r="59">
          <cell r="B59" t="str">
            <v>BRU063</v>
          </cell>
          <cell r="C59" t="str">
            <v>BRU063-BRUNIDORA</v>
          </cell>
        </row>
        <row r="60">
          <cell r="B60" t="str">
            <v>BRU064</v>
          </cell>
          <cell r="C60" t="str">
            <v>BRU064-BRUNIDORA</v>
          </cell>
        </row>
        <row r="61">
          <cell r="B61" t="str">
            <v>BRU065</v>
          </cell>
          <cell r="C61" t="str">
            <v>BRU065-BRUNIDORA</v>
          </cell>
        </row>
        <row r="62">
          <cell r="B62" t="str">
            <v>BRU066</v>
          </cell>
          <cell r="C62" t="str">
            <v>BRU066-BRUNIDORA</v>
          </cell>
        </row>
        <row r="63">
          <cell r="B63" t="str">
            <v>BRU067</v>
          </cell>
          <cell r="C63" t="str">
            <v>BRU067-BRUNIDORA</v>
          </cell>
        </row>
        <row r="64">
          <cell r="B64" t="str">
            <v>BRU068</v>
          </cell>
          <cell r="C64" t="str">
            <v>BRU068-BRUNIDORA</v>
          </cell>
        </row>
        <row r="65">
          <cell r="B65" t="str">
            <v>BRU069</v>
          </cell>
          <cell r="C65" t="str">
            <v>BRU069-BRUNIDORA</v>
          </cell>
        </row>
        <row r="66">
          <cell r="B66" t="str">
            <v>BRU070</v>
          </cell>
          <cell r="C66" t="str">
            <v>BRU070-BRUNIDORA</v>
          </cell>
        </row>
        <row r="67">
          <cell r="B67" t="str">
            <v>BRU071</v>
          </cell>
          <cell r="C67" t="str">
            <v>BRU071-BRUNIDORA</v>
          </cell>
        </row>
        <row r="68">
          <cell r="B68" t="str">
            <v>BRU072</v>
          </cell>
          <cell r="C68" t="str">
            <v>BRU072-BRUNIDORA</v>
          </cell>
        </row>
        <row r="69">
          <cell r="B69" t="str">
            <v>CAB018</v>
          </cell>
          <cell r="C69" t="str">
            <v>CAB018-CABINE DE PINTURA</v>
          </cell>
        </row>
        <row r="70">
          <cell r="B70" t="str">
            <v>CAB028</v>
          </cell>
          <cell r="C70" t="str">
            <v>CAB028-CABINE DE INSPEÇÃO DE TINTA</v>
          </cell>
        </row>
        <row r="71">
          <cell r="B71" t="str">
            <v>CAB029</v>
          </cell>
          <cell r="C71" t="str">
            <v>CAB029-CABINE DE INSPEÇÃO</v>
          </cell>
        </row>
        <row r="72">
          <cell r="B72" t="str">
            <v>CAB030</v>
          </cell>
          <cell r="C72" t="str">
            <v>CAB030-CABINE DE CURA UV</v>
          </cell>
        </row>
        <row r="73">
          <cell r="B73" t="str">
            <v>CAB031</v>
          </cell>
          <cell r="C73" t="str">
            <v>CAB031-CABINE DE FLAMBAGEM</v>
          </cell>
        </row>
        <row r="74">
          <cell r="B74" t="str">
            <v>CAB032</v>
          </cell>
          <cell r="C74" t="str">
            <v>CAB032-CABINE DE SECAGEM</v>
          </cell>
        </row>
        <row r="75">
          <cell r="B75" t="str">
            <v>CAB033</v>
          </cell>
          <cell r="C75" t="str">
            <v>CAB033-CABINE DE RESFRIAMENTO</v>
          </cell>
        </row>
        <row r="76">
          <cell r="B76" t="str">
            <v>CAB107</v>
          </cell>
          <cell r="C76" t="str">
            <v>CAB107-CABINE DE TESTE</v>
          </cell>
        </row>
        <row r="77">
          <cell r="B77" t="str">
            <v>CAB108</v>
          </cell>
          <cell r="C77" t="str">
            <v>CAB108-CABINE DE TESTE</v>
          </cell>
        </row>
        <row r="78">
          <cell r="B78" t="str">
            <v>CAB110</v>
          </cell>
          <cell r="C78" t="str">
            <v>CAB110-CABINE DE ESTANQUEIDADE</v>
          </cell>
        </row>
        <row r="79">
          <cell r="B79" t="str">
            <v>CAB115</v>
          </cell>
          <cell r="C79" t="str">
            <v>CAB115-CABINE DE TESTE</v>
          </cell>
        </row>
        <row r="80">
          <cell r="B80" t="str">
            <v>CAB116</v>
          </cell>
          <cell r="C80" t="str">
            <v>CAB116-CABINE DE TESTE</v>
          </cell>
        </row>
        <row r="81">
          <cell r="B81" t="str">
            <v>CAB117</v>
          </cell>
          <cell r="C81" t="str">
            <v>CAB117-CABINE DE REGULAGEM</v>
          </cell>
        </row>
        <row r="82">
          <cell r="B82" t="str">
            <v>CAB118</v>
          </cell>
          <cell r="C82" t="str">
            <v>CAB118-CABINE DE REGULAGEM</v>
          </cell>
        </row>
        <row r="83">
          <cell r="B83" t="str">
            <v>CAB119</v>
          </cell>
          <cell r="C83" t="str">
            <v>CAB119-CABINE DE REGULAGEM</v>
          </cell>
        </row>
        <row r="84">
          <cell r="B84" t="str">
            <v>CAB120</v>
          </cell>
          <cell r="C84" t="str">
            <v>CAB120-CABINE DE REGULAGEM</v>
          </cell>
        </row>
        <row r="85">
          <cell r="B85" t="str">
            <v>CAB121</v>
          </cell>
          <cell r="C85" t="str">
            <v>CAB121-CABINE DE TESTE</v>
          </cell>
        </row>
        <row r="86">
          <cell r="B86" t="str">
            <v>CAB122</v>
          </cell>
          <cell r="C86" t="str">
            <v>CAB122 CABINE DE REGULAGEM E TESTE</v>
          </cell>
        </row>
        <row r="87">
          <cell r="B87" t="str">
            <v>CAB124</v>
          </cell>
          <cell r="C87" t="str">
            <v>CAB124-CABINE DE REGULAGEM</v>
          </cell>
        </row>
        <row r="88">
          <cell r="B88" t="str">
            <v>CAB125</v>
          </cell>
          <cell r="C88" t="str">
            <v>CAB125-CABINE DE REGULAGEM</v>
          </cell>
        </row>
        <row r="89">
          <cell r="B89" t="str">
            <v>CAB126</v>
          </cell>
          <cell r="C89" t="str">
            <v>CAB126-CABINE DE REGULAGEM</v>
          </cell>
        </row>
        <row r="90">
          <cell r="B90" t="str">
            <v>CAB127</v>
          </cell>
          <cell r="C90" t="str">
            <v>CAB127-CABINE DE REGULAGEM</v>
          </cell>
        </row>
        <row r="91">
          <cell r="B91" t="str">
            <v>CAB128</v>
          </cell>
          <cell r="C91" t="str">
            <v>CAB128-CABINE DE REGULAGEM</v>
          </cell>
        </row>
        <row r="92">
          <cell r="B92" t="str">
            <v>CAB129</v>
          </cell>
          <cell r="C92" t="str">
            <v>CAB129-CABINE DE REGULAGEM</v>
          </cell>
        </row>
        <row r="93">
          <cell r="B93" t="str">
            <v>CAR006</v>
          </cell>
          <cell r="C93" t="str">
            <v>CAR006-CARRO TRANSPORTADOR</v>
          </cell>
        </row>
        <row r="94">
          <cell r="B94" t="str">
            <v>CEN004</v>
          </cell>
          <cell r="C94" t="str">
            <v>CEN004-CENTRO DE USINAGEM MIKRON VCP800</v>
          </cell>
        </row>
        <row r="95">
          <cell r="B95" t="str">
            <v>CEN010</v>
          </cell>
          <cell r="C95" t="str">
            <v>CEN010-CENTRO DE USINAGEM</v>
          </cell>
        </row>
        <row r="96">
          <cell r="B96" t="str">
            <v>CEN017</v>
          </cell>
          <cell r="C96" t="str">
            <v>CEN017-CENTRO DE USINAGEM</v>
          </cell>
        </row>
        <row r="97">
          <cell r="B97" t="str">
            <v>CEN018</v>
          </cell>
          <cell r="C97" t="str">
            <v>CEN018-CENTRO DE USINAGEM</v>
          </cell>
        </row>
        <row r="98">
          <cell r="B98" t="str">
            <v>CEN019</v>
          </cell>
          <cell r="C98" t="str">
            <v>CEN019-CENTRO DE USINAGEM</v>
          </cell>
        </row>
        <row r="99">
          <cell r="B99" t="str">
            <v>CEN021</v>
          </cell>
          <cell r="C99" t="str">
            <v>CEN021-CENTRO DE USINAGEM</v>
          </cell>
        </row>
        <row r="100">
          <cell r="B100" t="str">
            <v>CEN022</v>
          </cell>
          <cell r="C100" t="str">
            <v>CEN022-CENTRO DE USINAGEM</v>
          </cell>
        </row>
        <row r="101">
          <cell r="B101" t="str">
            <v>CEN023</v>
          </cell>
          <cell r="C101" t="str">
            <v>CEN023-CENTRO DE USINAGEM</v>
          </cell>
        </row>
        <row r="102">
          <cell r="B102" t="str">
            <v>CEN024</v>
          </cell>
          <cell r="C102" t="str">
            <v>CEN024-CENTRO DE USINAGEM</v>
          </cell>
        </row>
        <row r="103">
          <cell r="B103" t="str">
            <v>CEN025</v>
          </cell>
          <cell r="C103" t="str">
            <v>CEN025-CENTRO DE USINAGEM</v>
          </cell>
        </row>
        <row r="104">
          <cell r="B104" t="str">
            <v>CEN026</v>
          </cell>
          <cell r="C104" t="str">
            <v>CEN026-CENTRO DE USINAGEM</v>
          </cell>
        </row>
        <row r="105">
          <cell r="B105" t="str">
            <v>CEN027</v>
          </cell>
          <cell r="C105" t="str">
            <v>CEN027-CENTRO DE USINAGEM</v>
          </cell>
        </row>
        <row r="106">
          <cell r="B106" t="str">
            <v>CEN028</v>
          </cell>
          <cell r="C106" t="str">
            <v>CEN028-CENTRO DE USINAGEM</v>
          </cell>
        </row>
        <row r="107">
          <cell r="B107" t="str">
            <v>CEN029</v>
          </cell>
          <cell r="C107" t="str">
            <v>CEN029-CENTRO DE USINAGEM</v>
          </cell>
        </row>
        <row r="108">
          <cell r="B108" t="str">
            <v>CEN030</v>
          </cell>
          <cell r="C108" t="str">
            <v>CEN030-CENTRO DE USINAGEM</v>
          </cell>
        </row>
        <row r="109">
          <cell r="B109" t="str">
            <v>CEN031</v>
          </cell>
          <cell r="C109" t="str">
            <v>CEN031-CENTRO DE USINAGEM</v>
          </cell>
        </row>
        <row r="110">
          <cell r="B110" t="str">
            <v>CEN032</v>
          </cell>
          <cell r="C110" t="str">
            <v>CEN032-CENTRO DE USINAGEM</v>
          </cell>
        </row>
        <row r="111">
          <cell r="B111" t="str">
            <v>CEN033</v>
          </cell>
          <cell r="C111" t="str">
            <v>CEN033-CENTRO DE USINAGEM</v>
          </cell>
        </row>
        <row r="112">
          <cell r="B112" t="str">
            <v>CEN034</v>
          </cell>
          <cell r="C112" t="str">
            <v>CEN034-CENTRO DE USINAGEM</v>
          </cell>
        </row>
        <row r="113">
          <cell r="B113" t="str">
            <v>CEN035</v>
          </cell>
          <cell r="C113" t="str">
            <v>CEN035-CENTRO DE USINAGEM</v>
          </cell>
        </row>
        <row r="114">
          <cell r="B114" t="str">
            <v>CEN036</v>
          </cell>
          <cell r="C114" t="str">
            <v>CEN036-CENTRO DE USINAGEM</v>
          </cell>
        </row>
        <row r="115">
          <cell r="B115" t="str">
            <v>CEN037</v>
          </cell>
          <cell r="C115" t="str">
            <v>CEN037-CENTRO DE USINAGEM</v>
          </cell>
        </row>
        <row r="116">
          <cell r="B116" t="str">
            <v>CEN038</v>
          </cell>
          <cell r="C116" t="str">
            <v>CEN038-CENTRO DE USINAGEM</v>
          </cell>
        </row>
        <row r="117">
          <cell r="B117" t="str">
            <v>CEN039</v>
          </cell>
          <cell r="C117" t="str">
            <v>CEN039-CENTRO DE USINAGEM</v>
          </cell>
        </row>
        <row r="118">
          <cell r="B118" t="str">
            <v>CEN040</v>
          </cell>
          <cell r="C118" t="str">
            <v>CEN040-CENTRO DE USINAGEM</v>
          </cell>
        </row>
        <row r="119">
          <cell r="B119" t="str">
            <v>CEN041</v>
          </cell>
          <cell r="C119" t="str">
            <v>CEN041-CENTRO DE USINAGEM</v>
          </cell>
        </row>
        <row r="120">
          <cell r="B120" t="str">
            <v>CEN042</v>
          </cell>
          <cell r="C120" t="str">
            <v>CEN042-CENTRO DE USINAGEM</v>
          </cell>
        </row>
        <row r="121">
          <cell r="B121" t="str">
            <v>CEN043</v>
          </cell>
          <cell r="C121" t="str">
            <v>CEN043-CENTRO DE USINAGEM</v>
          </cell>
        </row>
        <row r="122">
          <cell r="B122" t="str">
            <v>CEN044</v>
          </cell>
          <cell r="C122" t="str">
            <v>CEN044-CENTRO DE USINAGEM</v>
          </cell>
        </row>
        <row r="123">
          <cell r="B123" t="str">
            <v>CEN045</v>
          </cell>
          <cell r="C123" t="str">
            <v>CEN045-CENTRO DE USINAGEM</v>
          </cell>
        </row>
        <row r="124">
          <cell r="B124" t="str">
            <v>CEN046</v>
          </cell>
          <cell r="C124" t="str">
            <v>CEN046-CENTRO DE USINAGEM</v>
          </cell>
        </row>
        <row r="125">
          <cell r="B125" t="str">
            <v>CEN047</v>
          </cell>
          <cell r="C125" t="str">
            <v>CEN047-CENTRO DE USINAGEM</v>
          </cell>
        </row>
        <row r="126">
          <cell r="B126" t="str">
            <v>CEN048</v>
          </cell>
          <cell r="C126" t="str">
            <v>CEN048-CENTRO DE USINAGEM</v>
          </cell>
        </row>
        <row r="127">
          <cell r="B127" t="str">
            <v>CEN049</v>
          </cell>
          <cell r="C127" t="str">
            <v>CEN049-CENTRO DE USINAGEM</v>
          </cell>
        </row>
        <row r="128">
          <cell r="B128" t="str">
            <v>CEN050</v>
          </cell>
          <cell r="C128" t="str">
            <v>CEN050-CENTRO USINAGEM</v>
          </cell>
        </row>
        <row r="129">
          <cell r="B129" t="str">
            <v>CEN051</v>
          </cell>
          <cell r="C129" t="str">
            <v>CEN051-CENTRO DE USINAGEM</v>
          </cell>
        </row>
        <row r="130">
          <cell r="B130" t="str">
            <v>CEN052</v>
          </cell>
          <cell r="C130" t="str">
            <v>CEN052-CENTRO USINAGEM</v>
          </cell>
        </row>
        <row r="131">
          <cell r="B131" t="str">
            <v>CEN053</v>
          </cell>
          <cell r="C131" t="str">
            <v>CEN053-CENTRO DE USINAGEM</v>
          </cell>
        </row>
        <row r="132">
          <cell r="B132" t="str">
            <v>CEN054</v>
          </cell>
          <cell r="C132" t="str">
            <v>CEN054-CENTRO DE USINAGEM</v>
          </cell>
        </row>
        <row r="133">
          <cell r="B133" t="str">
            <v>CEN055</v>
          </cell>
          <cell r="C133" t="str">
            <v>CEN055-CENTRO USINAGEM</v>
          </cell>
        </row>
        <row r="134">
          <cell r="B134" t="str">
            <v>CEN056</v>
          </cell>
          <cell r="C134" t="str">
            <v>CEN056-CENTRO DE USINAGEM</v>
          </cell>
        </row>
        <row r="135">
          <cell r="B135" t="str">
            <v>CEN057</v>
          </cell>
          <cell r="C135" t="str">
            <v>CEN057-CENTRO DE USINAGEM</v>
          </cell>
        </row>
        <row r="136">
          <cell r="B136" t="str">
            <v>CEN058</v>
          </cell>
          <cell r="C136" t="str">
            <v>CEN058-CENTRO DE USINAGEM MIKRON VCE800</v>
          </cell>
        </row>
        <row r="137">
          <cell r="B137" t="str">
            <v>CEN059</v>
          </cell>
          <cell r="C137" t="str">
            <v>CEN059-CENTRO DE USINAGEM</v>
          </cell>
        </row>
        <row r="138">
          <cell r="B138" t="str">
            <v>CEN060</v>
          </cell>
          <cell r="C138" t="str">
            <v>CEN060-CENTRO DE USINAGEM DECKEL MAHO</v>
          </cell>
        </row>
        <row r="139">
          <cell r="B139" t="str">
            <v>CEN061</v>
          </cell>
          <cell r="C139" t="str">
            <v>CEN061-CENTRO DE USINAGEM</v>
          </cell>
        </row>
        <row r="140">
          <cell r="B140" t="str">
            <v>CEN062</v>
          </cell>
          <cell r="C140" t="str">
            <v>CEN062-CENTRO USINAGEM</v>
          </cell>
        </row>
        <row r="141">
          <cell r="B141" t="str">
            <v>CEN064</v>
          </cell>
          <cell r="C141" t="str">
            <v>CEN064-CENTRO DE USINAGEM DECKEL MAHO</v>
          </cell>
        </row>
        <row r="142">
          <cell r="B142" t="str">
            <v>CEN065</v>
          </cell>
          <cell r="C142" t="str">
            <v>CEN065-CENTRO DE USINAGEM</v>
          </cell>
        </row>
        <row r="143">
          <cell r="B143" t="str">
            <v>CEN067</v>
          </cell>
          <cell r="C143" t="str">
            <v>CEN067-CENTRO USINAGEM MIKRON VCE800 PRO</v>
          </cell>
        </row>
        <row r="144">
          <cell r="B144" t="str">
            <v>CEN068</v>
          </cell>
          <cell r="C144" t="str">
            <v>CEN068-CENTRO USINAGEM MIKRON VCE800 PRO</v>
          </cell>
        </row>
        <row r="145">
          <cell r="B145" t="str">
            <v>CEN069</v>
          </cell>
          <cell r="C145" t="str">
            <v>CEN069-CENTRO DE USINAGEM</v>
          </cell>
        </row>
        <row r="146">
          <cell r="B146" t="str">
            <v>CEN070</v>
          </cell>
          <cell r="C146" t="str">
            <v>CEN070-CENTRO DE USINAGEM</v>
          </cell>
        </row>
        <row r="147">
          <cell r="B147" t="str">
            <v>CEN071</v>
          </cell>
          <cell r="C147" t="str">
            <v>CEN071-CENTRO DE USINAGEM</v>
          </cell>
        </row>
        <row r="148">
          <cell r="B148" t="str">
            <v>CEN072</v>
          </cell>
          <cell r="C148" t="str">
            <v>CEN072-CENTRO USINAGEM</v>
          </cell>
        </row>
        <row r="149">
          <cell r="B149" t="str">
            <v>CEN073</v>
          </cell>
          <cell r="C149" t="str">
            <v>CEN073-CENTRO USINAGEM</v>
          </cell>
        </row>
        <row r="150">
          <cell r="B150" t="str">
            <v>CEN074</v>
          </cell>
          <cell r="C150" t="str">
            <v>CEN074-CENTRO USINAGEM</v>
          </cell>
        </row>
        <row r="151">
          <cell r="B151" t="str">
            <v>CEN075</v>
          </cell>
          <cell r="C151" t="str">
            <v>CEN075-CENTRO USINAGEM</v>
          </cell>
        </row>
        <row r="152">
          <cell r="B152" t="str">
            <v>CEN076</v>
          </cell>
          <cell r="C152" t="str">
            <v>CEN076-CENTRO USINAGEM</v>
          </cell>
        </row>
        <row r="153">
          <cell r="B153" t="str">
            <v>CEN077</v>
          </cell>
          <cell r="C153" t="str">
            <v>CEN077-CENTRO USINAGEM</v>
          </cell>
        </row>
        <row r="154">
          <cell r="B154" t="str">
            <v>CEN078</v>
          </cell>
          <cell r="C154" t="str">
            <v>CEN078-CENTRO USINAGEM</v>
          </cell>
        </row>
        <row r="155">
          <cell r="B155" t="str">
            <v>CEN079</v>
          </cell>
          <cell r="C155" t="str">
            <v>CEN079-CENTRO USINAGEM</v>
          </cell>
        </row>
        <row r="156">
          <cell r="B156" t="str">
            <v>CEN080</v>
          </cell>
          <cell r="C156" t="str">
            <v>CEN080-CENTRO USINAGEM</v>
          </cell>
        </row>
        <row r="157">
          <cell r="B157" t="str">
            <v>CEN081</v>
          </cell>
          <cell r="C157" t="str">
            <v>CEN081-CENTRO USINAGEM</v>
          </cell>
        </row>
        <row r="158">
          <cell r="B158" t="str">
            <v>CEN082</v>
          </cell>
          <cell r="C158" t="str">
            <v>CEN082-CENTRO USINAGEM</v>
          </cell>
        </row>
        <row r="159">
          <cell r="B159" t="str">
            <v>CEN083</v>
          </cell>
          <cell r="C159" t="str">
            <v>CEN083-CENTRO DE USINAGEM</v>
          </cell>
        </row>
        <row r="160">
          <cell r="B160" t="str">
            <v>CEN084</v>
          </cell>
          <cell r="C160" t="str">
            <v>CEN084-CENTRO DE USINAGEM DMG</v>
          </cell>
        </row>
        <row r="161">
          <cell r="B161" t="str">
            <v>CEN085</v>
          </cell>
          <cell r="C161" t="str">
            <v>CEN085-CENTRO USINAGEM</v>
          </cell>
        </row>
        <row r="162">
          <cell r="B162" t="str">
            <v>CEN086</v>
          </cell>
          <cell r="C162" t="str">
            <v>CEN086-CENTRO USINAGEM</v>
          </cell>
        </row>
        <row r="163">
          <cell r="B163" t="str">
            <v>CEN087</v>
          </cell>
          <cell r="C163" t="str">
            <v>CEN087-CENTRO DE USINAGEM</v>
          </cell>
        </row>
        <row r="164">
          <cell r="B164" t="str">
            <v>CEN088</v>
          </cell>
          <cell r="C164" t="str">
            <v>CEN088-CENTRO DE USINAGEM DMG</v>
          </cell>
        </row>
        <row r="165">
          <cell r="B165" t="str">
            <v>CEN089</v>
          </cell>
          <cell r="C165" t="str">
            <v>CEN089-CENTRO USINAGEM</v>
          </cell>
        </row>
        <row r="166">
          <cell r="B166" t="str">
            <v>CEN090</v>
          </cell>
          <cell r="C166" t="str">
            <v>CEN090-CENTRO USINAGEM</v>
          </cell>
        </row>
        <row r="167">
          <cell r="B167" t="str">
            <v>CEN091</v>
          </cell>
          <cell r="C167" t="str">
            <v>CEN091-CENTRO DE USINAGEM</v>
          </cell>
        </row>
        <row r="168">
          <cell r="B168" t="str">
            <v>CEN092</v>
          </cell>
          <cell r="C168" t="str">
            <v>CEN092-CENTRO DE USINAGEM</v>
          </cell>
        </row>
        <row r="169">
          <cell r="B169" t="str">
            <v>CEN093</v>
          </cell>
          <cell r="C169" t="str">
            <v>CEN093-CENTRO DE USINAGEM</v>
          </cell>
        </row>
        <row r="170">
          <cell r="B170" t="str">
            <v>CEN094</v>
          </cell>
          <cell r="C170" t="str">
            <v>CEN094-CENTRO DE USINAGEM</v>
          </cell>
        </row>
        <row r="171">
          <cell r="B171" t="str">
            <v>CEN095</v>
          </cell>
          <cell r="C171" t="str">
            <v>CEN095-CENTRO DE USINAGEM</v>
          </cell>
        </row>
        <row r="172">
          <cell r="B172" t="str">
            <v>CEN096</v>
          </cell>
          <cell r="C172" t="str">
            <v>CEN096-CENTRO DE USINAGEM</v>
          </cell>
        </row>
        <row r="173">
          <cell r="B173" t="str">
            <v>CEN097</v>
          </cell>
          <cell r="C173" t="str">
            <v>CEN097-CENTRO DE USINAGEM</v>
          </cell>
        </row>
        <row r="174">
          <cell r="B174" t="str">
            <v>CEN098</v>
          </cell>
          <cell r="C174" t="str">
            <v>CEN098-CENTRO USINAGEM</v>
          </cell>
        </row>
        <row r="175">
          <cell r="B175" t="str">
            <v>CEN099</v>
          </cell>
          <cell r="C175" t="str">
            <v>CEN099-CENTRO USINAGEM</v>
          </cell>
        </row>
        <row r="176">
          <cell r="B176" t="str">
            <v>CEN100</v>
          </cell>
          <cell r="C176" t="str">
            <v>CEN100-CENTRO DE USINAGEM</v>
          </cell>
        </row>
        <row r="177">
          <cell r="B177" t="str">
            <v>CEN101</v>
          </cell>
          <cell r="C177" t="str">
            <v>CEN101-CENTRO DE USINAGEM</v>
          </cell>
        </row>
        <row r="178">
          <cell r="B178" t="str">
            <v>CEN102</v>
          </cell>
          <cell r="C178" t="str">
            <v>CEN102-CENTRO USINAGEM</v>
          </cell>
        </row>
        <row r="179">
          <cell r="B179" t="str">
            <v>CEN103</v>
          </cell>
          <cell r="C179" t="str">
            <v>CEN103-CENTRO USINAGEM</v>
          </cell>
        </row>
        <row r="180">
          <cell r="B180" t="str">
            <v>CEN104</v>
          </cell>
          <cell r="C180" t="str">
            <v>CEN104-CENTRO USINAGEM</v>
          </cell>
        </row>
        <row r="181">
          <cell r="B181" t="str">
            <v>CEN105</v>
          </cell>
          <cell r="C181" t="str">
            <v>CEN105-CENTRO USINAGEM</v>
          </cell>
        </row>
        <row r="182">
          <cell r="B182" t="str">
            <v>CEN106</v>
          </cell>
          <cell r="C182" t="str">
            <v>CEN106-CENTRO USINAGEM</v>
          </cell>
        </row>
        <row r="183">
          <cell r="B183" t="str">
            <v>CEN107</v>
          </cell>
          <cell r="C183" t="str">
            <v>CEN107-CENTRO USINAGEM</v>
          </cell>
        </row>
        <row r="184">
          <cell r="B184" t="str">
            <v>CEN108</v>
          </cell>
          <cell r="C184" t="str">
            <v>CEN108-CENTRO USINAGEM</v>
          </cell>
        </row>
        <row r="185">
          <cell r="B185" t="str">
            <v>CEN109</v>
          </cell>
          <cell r="C185" t="str">
            <v>CEN109-CENTRO USINAGEM</v>
          </cell>
        </row>
        <row r="186">
          <cell r="B186" t="str">
            <v>CEN110</v>
          </cell>
          <cell r="C186" t="str">
            <v>CEN110-CENTRO USINAGEM</v>
          </cell>
        </row>
        <row r="187">
          <cell r="B187" t="str">
            <v>CEN111</v>
          </cell>
          <cell r="C187" t="str">
            <v>CEN111-CENTRO USINAGEM</v>
          </cell>
        </row>
        <row r="188">
          <cell r="B188" t="str">
            <v>CEN112</v>
          </cell>
          <cell r="C188" t="str">
            <v>CEN112-CENTRO USINAGEM</v>
          </cell>
        </row>
        <row r="189">
          <cell r="B189" t="str">
            <v>CEN113</v>
          </cell>
          <cell r="C189" t="str">
            <v>CEN113-CENTRO USINAGEM</v>
          </cell>
        </row>
        <row r="190">
          <cell r="B190" t="str">
            <v>CEN114</v>
          </cell>
          <cell r="C190" t="str">
            <v>CEN114-CENTRO USINAGEM</v>
          </cell>
        </row>
        <row r="191">
          <cell r="B191" t="str">
            <v>CEN115</v>
          </cell>
          <cell r="C191" t="str">
            <v>CEN115-CENTRO USINAGEM</v>
          </cell>
        </row>
        <row r="192">
          <cell r="B192" t="str">
            <v>CEN116</v>
          </cell>
          <cell r="C192" t="str">
            <v>CEN116-CENTRO USINAGEM</v>
          </cell>
        </row>
        <row r="193">
          <cell r="B193" t="str">
            <v>CEN140</v>
          </cell>
          <cell r="C193" t="str">
            <v>CEN140-CENTRO DE USINAGEM 5 EIXOS HERMLE</v>
          </cell>
        </row>
        <row r="194">
          <cell r="B194" t="str">
            <v>COL003</v>
          </cell>
          <cell r="C194" t="str">
            <v>COL003-MÁQUINA DE COLA QUENTE</v>
          </cell>
        </row>
        <row r="195">
          <cell r="B195" t="str">
            <v>COQ003</v>
          </cell>
          <cell r="C195" t="str">
            <v>COQ003-COQUILHADEIRA</v>
          </cell>
        </row>
        <row r="196">
          <cell r="B196" t="str">
            <v>COQ004</v>
          </cell>
          <cell r="C196" t="str">
            <v>COQ004-COQUILHADEIRA</v>
          </cell>
        </row>
        <row r="197">
          <cell r="B197" t="str">
            <v>COQ005</v>
          </cell>
          <cell r="C197" t="str">
            <v>COQ005-COQUILHADEIRA</v>
          </cell>
        </row>
        <row r="198">
          <cell r="B198" t="str">
            <v>COQ006</v>
          </cell>
          <cell r="C198" t="str">
            <v>COQ006-COQUILHADEIRA</v>
          </cell>
        </row>
        <row r="199">
          <cell r="B199" t="str">
            <v>COQ007</v>
          </cell>
          <cell r="C199" t="str">
            <v>COQ007-COQUILHADEIRA</v>
          </cell>
        </row>
        <row r="200">
          <cell r="B200" t="str">
            <v>COQ008</v>
          </cell>
          <cell r="C200" t="str">
            <v>COQ008-COQUILHADEIRA</v>
          </cell>
        </row>
        <row r="201">
          <cell r="B201" t="str">
            <v>COQ009</v>
          </cell>
          <cell r="C201" t="str">
            <v>COQ009-COQUILHADEIRA</v>
          </cell>
        </row>
        <row r="202">
          <cell r="B202" t="str">
            <v>COQ010</v>
          </cell>
          <cell r="C202" t="str">
            <v>COQ010-COQUILHADEIRA</v>
          </cell>
        </row>
        <row r="203">
          <cell r="B203" t="str">
            <v>COR001</v>
          </cell>
          <cell r="C203" t="str">
            <v>COR001-CORRENTE TRANSPORTE DE PEÇAS</v>
          </cell>
        </row>
        <row r="204">
          <cell r="B204" t="str">
            <v>DES002</v>
          </cell>
          <cell r="C204" t="str">
            <v>DES002-DESBOBINADOR</v>
          </cell>
        </row>
        <row r="205">
          <cell r="B205" t="str">
            <v>ELE008</v>
          </cell>
          <cell r="C205" t="str">
            <v>ELE008-ELETROEROSÃO A FIO FANUC</v>
          </cell>
        </row>
        <row r="206">
          <cell r="B206" t="str">
            <v>ELE013</v>
          </cell>
          <cell r="C206" t="str">
            <v>ELE013-ELETROEROSÃO A FIO FANUC</v>
          </cell>
        </row>
        <row r="207">
          <cell r="B207" t="str">
            <v>ELE014</v>
          </cell>
          <cell r="C207" t="str">
            <v>ELE014-ELETROEROSÃO PENETRAÇÃO SP3 EDM</v>
          </cell>
        </row>
        <row r="208">
          <cell r="B208" t="str">
            <v>ELE015</v>
          </cell>
          <cell r="C208" t="str">
            <v>ELE015-ELETROEROSÃO PENETRAÇÃO EDM SP3</v>
          </cell>
        </row>
        <row r="209">
          <cell r="B209" t="str">
            <v>ELE016</v>
          </cell>
          <cell r="C209" t="str">
            <v>ELE016-ELETROEROSÃO PENETRAÇÃO EDM SP3</v>
          </cell>
        </row>
        <row r="210">
          <cell r="B210" t="str">
            <v>ELE017</v>
          </cell>
          <cell r="C210" t="str">
            <v>ELE017-ELETROEROSÃO PENETR FORM 3000HP</v>
          </cell>
        </row>
        <row r="211">
          <cell r="B211" t="str">
            <v>ELE018</v>
          </cell>
          <cell r="C211" t="str">
            <v>ELE018-ELETROEROSÃO DRILL 20</v>
          </cell>
        </row>
        <row r="212">
          <cell r="B212" t="str">
            <v>ELE019</v>
          </cell>
          <cell r="C212" t="str">
            <v>ELE019-ELETROEROSÃO CHARMILIES CUTE600</v>
          </cell>
        </row>
        <row r="213">
          <cell r="B213" t="str">
            <v>EMP019</v>
          </cell>
          <cell r="C213" t="str">
            <v>EMP019-EMPILHADEIRA COMBUSTÃO</v>
          </cell>
        </row>
        <row r="214">
          <cell r="B214" t="str">
            <v>EMP109</v>
          </cell>
          <cell r="C214" t="str">
            <v>EMP109-EMPILHADEIRA COMBUSTÃO</v>
          </cell>
        </row>
        <row r="215">
          <cell r="B215" t="str">
            <v>EMP122</v>
          </cell>
          <cell r="C215" t="str">
            <v>EMP122-EMPILHADEIRA COMBUSTÃO</v>
          </cell>
        </row>
        <row r="216">
          <cell r="B216" t="str">
            <v>EST127</v>
          </cell>
          <cell r="C216" t="str">
            <v>EST127-ESTUFA DE CURA E SECAGEM</v>
          </cell>
        </row>
        <row r="217">
          <cell r="B217" t="str">
            <v>FIL001</v>
          </cell>
          <cell r="C217" t="str">
            <v>FIL001-FILTRO OLEO DE CORTE</v>
          </cell>
        </row>
        <row r="218">
          <cell r="B218" t="str">
            <v>FIL007</v>
          </cell>
          <cell r="C218" t="str">
            <v>FIL007-FILTRO ALUVIÃO</v>
          </cell>
        </row>
        <row r="219">
          <cell r="B219" t="str">
            <v>FIL023</v>
          </cell>
          <cell r="C219" t="str">
            <v>FIL023-FILTRO ALUVIÃO</v>
          </cell>
        </row>
        <row r="220">
          <cell r="B220" t="str">
            <v>FIL024</v>
          </cell>
          <cell r="C220" t="str">
            <v>FIL024-FILTRO FLUÍDO DE CORTE</v>
          </cell>
        </row>
        <row r="221">
          <cell r="B221" t="str">
            <v>FIL042</v>
          </cell>
          <cell r="C221" t="str">
            <v>FIL042-FILTRO FLUÍDO DE CORTE</v>
          </cell>
        </row>
        <row r="222">
          <cell r="B222" t="str">
            <v>FIL058</v>
          </cell>
          <cell r="C222" t="str">
            <v>FIL058-FILTRO ALUVIÃO</v>
          </cell>
        </row>
        <row r="223">
          <cell r="B223" t="str">
            <v>FOR001</v>
          </cell>
          <cell r="C223" t="str">
            <v>FOR001-FORNO CAMARA</v>
          </cell>
        </row>
        <row r="224">
          <cell r="B224" t="str">
            <v>FOR002</v>
          </cell>
          <cell r="C224" t="str">
            <v>FOR002-FORNO CAMARA</v>
          </cell>
        </row>
        <row r="225">
          <cell r="B225" t="str">
            <v>FOR014</v>
          </cell>
          <cell r="C225" t="str">
            <v>FOR014-FORNO PRÉ-AQUECIMENTO</v>
          </cell>
        </row>
        <row r="226">
          <cell r="B226" t="str">
            <v>FOR015</v>
          </cell>
          <cell r="C226" t="str">
            <v>FOR015-FORNO BANHO DE SAL</v>
          </cell>
        </row>
        <row r="227">
          <cell r="B227" t="str">
            <v>FOR016</v>
          </cell>
          <cell r="C227" t="str">
            <v>FOR016-FORNO DE REVENIMENTO</v>
          </cell>
        </row>
        <row r="228">
          <cell r="B228" t="str">
            <v>FOR017</v>
          </cell>
          <cell r="C228" t="str">
            <v>FOR017-FORNO DE REVENIMENTO</v>
          </cell>
        </row>
        <row r="229">
          <cell r="B229" t="str">
            <v>FOR020</v>
          </cell>
          <cell r="C229" t="str">
            <v>FOR020-FORNO AUSTEMPERA</v>
          </cell>
        </row>
        <row r="230">
          <cell r="B230" t="str">
            <v>FOR039</v>
          </cell>
          <cell r="C230" t="str">
            <v>FOR039-FORNO DE REFUSÃO</v>
          </cell>
        </row>
        <row r="231">
          <cell r="B231" t="str">
            <v>FOR042</v>
          </cell>
          <cell r="C231" t="str">
            <v>FOR042-FORNO ALIVIO DE TENSÕES</v>
          </cell>
        </row>
        <row r="232">
          <cell r="B232" t="str">
            <v>FOR044</v>
          </cell>
          <cell r="C232" t="str">
            <v>FOR044-FORNO ALÍVIO DE TENSÕES</v>
          </cell>
        </row>
        <row r="233">
          <cell r="B233" t="str">
            <v>FOR045</v>
          </cell>
          <cell r="C233" t="str">
            <v>FOR045-FORNO DE REFUSÃO</v>
          </cell>
        </row>
        <row r="234">
          <cell r="B234" t="str">
            <v>FOR052</v>
          </cell>
          <cell r="C234" t="str">
            <v>FOR052-FORNO DE REFUSÃO</v>
          </cell>
        </row>
        <row r="235">
          <cell r="B235" t="str">
            <v>FOR062</v>
          </cell>
          <cell r="C235" t="str">
            <v>FOR062-FORNO BANHO DE SAL</v>
          </cell>
        </row>
        <row r="236">
          <cell r="B236" t="str">
            <v>FOR063</v>
          </cell>
          <cell r="C236" t="str">
            <v>FOR063-FORNO</v>
          </cell>
        </row>
        <row r="237">
          <cell r="B237" t="str">
            <v>FOR067</v>
          </cell>
          <cell r="C237" t="str">
            <v>FOR067-FORNO TRAT. TÉRMICO</v>
          </cell>
        </row>
        <row r="238">
          <cell r="B238" t="str">
            <v>FOR071</v>
          </cell>
          <cell r="C238" t="str">
            <v>FOR071-FORNO</v>
          </cell>
        </row>
        <row r="239">
          <cell r="B239" t="str">
            <v>FOR083</v>
          </cell>
          <cell r="C239" t="str">
            <v>FOR083-FORNO CONTÍNUO</v>
          </cell>
        </row>
        <row r="240">
          <cell r="B240" t="str">
            <v>FOR088</v>
          </cell>
          <cell r="C240" t="str">
            <v>FOR088-FORNO A GÁS</v>
          </cell>
        </row>
        <row r="241">
          <cell r="B241" t="str">
            <v>FOR089</v>
          </cell>
          <cell r="C241" t="str">
            <v>FOR089-FORNO DE REFUSÃO</v>
          </cell>
        </row>
        <row r="242">
          <cell r="B242" t="str">
            <v>FOR090</v>
          </cell>
          <cell r="C242" t="str">
            <v>FOR090-FORNO CONTÍNUO</v>
          </cell>
        </row>
        <row r="243">
          <cell r="B243" t="str">
            <v>FOR091</v>
          </cell>
          <cell r="C243" t="str">
            <v>FOR091-FORNO CONTÍNUO</v>
          </cell>
        </row>
        <row r="244">
          <cell r="B244" t="str">
            <v>FOR092</v>
          </cell>
          <cell r="C244" t="str">
            <v>FOR092-FORNO ELÉTRICO</v>
          </cell>
        </row>
        <row r="245">
          <cell r="B245" t="str">
            <v>FOR098</v>
          </cell>
          <cell r="C245" t="str">
            <v>FOR098-FORNO DE REFUSÃO</v>
          </cell>
        </row>
        <row r="246">
          <cell r="B246" t="str">
            <v>FOR099</v>
          </cell>
          <cell r="C246" t="str">
            <v>FOR099-FORNO ELÉTRICO</v>
          </cell>
        </row>
        <row r="247">
          <cell r="B247" t="str">
            <v>FOR101</v>
          </cell>
          <cell r="C247" t="str">
            <v>FOR101-FORNO DE REFUSÃO</v>
          </cell>
        </row>
        <row r="248">
          <cell r="B248" t="str">
            <v>FOR102</v>
          </cell>
          <cell r="C248" t="str">
            <v>FOR102-FORNO DE PRE-AQUECIMENTO</v>
          </cell>
        </row>
        <row r="249">
          <cell r="B249" t="str">
            <v>FOR103</v>
          </cell>
          <cell r="C249" t="str">
            <v>FOR103-FORNO DE SOLUBILIZAÇÃO</v>
          </cell>
        </row>
        <row r="250">
          <cell r="B250" t="str">
            <v>FOR106</v>
          </cell>
          <cell r="C250" t="str">
            <v>FOR106-FORNO A GÁS</v>
          </cell>
        </row>
        <row r="251">
          <cell r="B251" t="str">
            <v>FOR109</v>
          </cell>
          <cell r="C251" t="str">
            <v>FOR109-FORNO DE SOLUBILIZAÇÃO</v>
          </cell>
        </row>
        <row r="252">
          <cell r="B252" t="str">
            <v>FOR110</v>
          </cell>
          <cell r="C252" t="str">
            <v>FOR110-FORNO DE SOLUBILIZAÇÃO</v>
          </cell>
        </row>
        <row r="253">
          <cell r="B253" t="str">
            <v>FRE020</v>
          </cell>
          <cell r="C253" t="str">
            <v>FRE020-FRESADORA VERTICAL PINNACLE</v>
          </cell>
        </row>
        <row r="254">
          <cell r="B254" t="str">
            <v>FRE021</v>
          </cell>
          <cell r="C254" t="str">
            <v>FRE021-FRESADORA EMATIC</v>
          </cell>
        </row>
        <row r="255">
          <cell r="B255" t="str">
            <v>FRE025</v>
          </cell>
          <cell r="C255" t="str">
            <v>FRE025-FRESADORA UNIVERSAL FU 360</v>
          </cell>
        </row>
        <row r="256">
          <cell r="B256" t="str">
            <v>GRV008</v>
          </cell>
          <cell r="C256" t="str">
            <v>GRV008-GRAVADOR</v>
          </cell>
        </row>
        <row r="257">
          <cell r="B257" t="str">
            <v>GRV009</v>
          </cell>
          <cell r="C257" t="str">
            <v>GRV009-GRAVADOR</v>
          </cell>
        </row>
        <row r="258">
          <cell r="B258" t="str">
            <v>GRV012</v>
          </cell>
          <cell r="C258" t="str">
            <v>GRV012-GRAVADOR</v>
          </cell>
        </row>
        <row r="259">
          <cell r="B259" t="str">
            <v>GRV014</v>
          </cell>
          <cell r="C259" t="str">
            <v>GRV014-GRAVADOR</v>
          </cell>
        </row>
        <row r="260">
          <cell r="B260" t="str">
            <v>GRV015</v>
          </cell>
          <cell r="C260" t="str">
            <v>GRV015-GRAVADOR</v>
          </cell>
        </row>
        <row r="261">
          <cell r="B261" t="str">
            <v>GRV016</v>
          </cell>
          <cell r="C261" t="str">
            <v>GRV016-GRAVADOR</v>
          </cell>
        </row>
        <row r="262">
          <cell r="B262" t="str">
            <v>GRV017</v>
          </cell>
          <cell r="C262" t="str">
            <v>GRV017-GRAVADOR</v>
          </cell>
        </row>
        <row r="263">
          <cell r="B263" t="str">
            <v>IMP001</v>
          </cell>
          <cell r="C263" t="str">
            <v>IMP001-IMPRESSORA DE ETIQUETAS</v>
          </cell>
        </row>
        <row r="264">
          <cell r="B264" t="str">
            <v>INJ001</v>
          </cell>
          <cell r="C264" t="str">
            <v>INJ001-INJETORA DE MAGNÉSIO</v>
          </cell>
        </row>
        <row r="265">
          <cell r="B265" t="str">
            <v>INJ002</v>
          </cell>
          <cell r="C265" t="str">
            <v>INJ002-INJETORA DE MAGNÉSIO</v>
          </cell>
        </row>
        <row r="266">
          <cell r="B266" t="str">
            <v>INJ003</v>
          </cell>
          <cell r="C266" t="str">
            <v>INJ003-INJETORA DE MAGNÉSIO</v>
          </cell>
        </row>
        <row r="267">
          <cell r="B267" t="str">
            <v>INJ004</v>
          </cell>
          <cell r="C267" t="str">
            <v>INJ004-INJETORA DE MAGNÉSIO</v>
          </cell>
        </row>
        <row r="268">
          <cell r="B268" t="str">
            <v>INJ005</v>
          </cell>
          <cell r="C268" t="str">
            <v>INJ005-INJETORA DE ALUMÍNIO</v>
          </cell>
        </row>
        <row r="269">
          <cell r="B269" t="str">
            <v>INJ006</v>
          </cell>
          <cell r="C269" t="str">
            <v>INJ006-INJETORA DE MAGNÉSIO</v>
          </cell>
        </row>
        <row r="270">
          <cell r="B270" t="str">
            <v>INJ007</v>
          </cell>
          <cell r="C270" t="str">
            <v>INJ007-INJETORA DE MAGNÉSIO</v>
          </cell>
        </row>
        <row r="271">
          <cell r="B271" t="str">
            <v>INJ010</v>
          </cell>
          <cell r="C271" t="str">
            <v>INJ010-INJETORA DE PLÁSTICO</v>
          </cell>
        </row>
        <row r="272">
          <cell r="B272" t="str">
            <v>INJ011</v>
          </cell>
          <cell r="C272" t="str">
            <v>INJ011-INJETORA DE ALUMÍNIO</v>
          </cell>
        </row>
        <row r="273">
          <cell r="B273" t="str">
            <v>INJ012</v>
          </cell>
          <cell r="C273" t="str">
            <v>INJ012-INJETORA DE ALUMÍNIO</v>
          </cell>
        </row>
        <row r="274">
          <cell r="B274" t="str">
            <v>INJ015</v>
          </cell>
          <cell r="C274" t="str">
            <v>INJ015-INJETORA DE ALUMÍNIO</v>
          </cell>
        </row>
        <row r="275">
          <cell r="B275" t="str">
            <v>INJ016</v>
          </cell>
          <cell r="C275" t="str">
            <v>INJ016-INJETORA DE PLÁSTICO</v>
          </cell>
        </row>
        <row r="276">
          <cell r="B276" t="str">
            <v>INJ017</v>
          </cell>
          <cell r="C276" t="str">
            <v>INJ017-INJETORA DE PLÁSTICO</v>
          </cell>
        </row>
        <row r="277">
          <cell r="B277" t="str">
            <v>INJ018</v>
          </cell>
          <cell r="C277" t="str">
            <v>INJ018-INJETORA DE ALUMÍNIO</v>
          </cell>
        </row>
        <row r="278">
          <cell r="B278" t="str">
            <v>INJ019</v>
          </cell>
          <cell r="C278" t="str">
            <v>INJ019-INJETORA DE PLÁSTICO</v>
          </cell>
        </row>
        <row r="279">
          <cell r="B279" t="str">
            <v>INJ027</v>
          </cell>
          <cell r="C279" t="str">
            <v>INJ027-INJETORA DE ALUMÍNIO</v>
          </cell>
        </row>
        <row r="280">
          <cell r="B280" t="str">
            <v>INJ028</v>
          </cell>
          <cell r="C280" t="str">
            <v>INJ028-INJETORA DE ALUMÍNIO</v>
          </cell>
        </row>
        <row r="281">
          <cell r="B281" t="str">
            <v>INJ029</v>
          </cell>
          <cell r="C281" t="str">
            <v>INJ029-INJETORA DE ALUMÍNIO</v>
          </cell>
        </row>
        <row r="282">
          <cell r="B282" t="str">
            <v>INJ030</v>
          </cell>
          <cell r="C282" t="str">
            <v>INJ030-INJETORA DE ALUMÍNIO</v>
          </cell>
        </row>
        <row r="283">
          <cell r="B283" t="str">
            <v>INJ031</v>
          </cell>
          <cell r="C283" t="str">
            <v>INJ031-INJETORA DE PLÁSTICO</v>
          </cell>
        </row>
        <row r="284">
          <cell r="B284" t="str">
            <v>INJ032</v>
          </cell>
          <cell r="C284" t="str">
            <v>INJ032-INJETORA DE PLÁSTICO</v>
          </cell>
        </row>
        <row r="285">
          <cell r="B285" t="str">
            <v>INJ033</v>
          </cell>
          <cell r="C285" t="str">
            <v>INJ033-INJETORA DE ALUMÍNIO</v>
          </cell>
        </row>
        <row r="286">
          <cell r="B286" t="str">
            <v>INJ034</v>
          </cell>
          <cell r="C286" t="str">
            <v>INJ034-INJETORA DE PLÁSTICO</v>
          </cell>
        </row>
        <row r="287">
          <cell r="B287" t="str">
            <v>INJ035</v>
          </cell>
          <cell r="C287" t="str">
            <v>INJ035-INJETORA DE EMATIC</v>
          </cell>
        </row>
        <row r="288">
          <cell r="B288" t="str">
            <v>INJ036</v>
          </cell>
          <cell r="C288" t="str">
            <v>INJ036-INJETORA DE PLÁSTICO</v>
          </cell>
        </row>
        <row r="289">
          <cell r="B289" t="str">
            <v>INJ037</v>
          </cell>
          <cell r="C289" t="str">
            <v>INJ037-INJETORA DE PLÁSTICO</v>
          </cell>
        </row>
        <row r="290">
          <cell r="B290" t="str">
            <v>INJ038</v>
          </cell>
          <cell r="C290" t="str">
            <v>INJ038-INJETORA DE PLÁSTICO</v>
          </cell>
        </row>
        <row r="291">
          <cell r="B291" t="str">
            <v>INJ039</v>
          </cell>
          <cell r="C291" t="str">
            <v>INJ039-INJETORA DE PLÁSTICO</v>
          </cell>
        </row>
        <row r="292">
          <cell r="B292" t="str">
            <v>INJ040</v>
          </cell>
          <cell r="C292" t="str">
            <v>INJ040-INJETORA DE PLÁSTICO</v>
          </cell>
        </row>
        <row r="293">
          <cell r="B293" t="str">
            <v>INJ041</v>
          </cell>
          <cell r="C293" t="str">
            <v>INJ041-INJETORA DE PLÁSTICO</v>
          </cell>
        </row>
        <row r="294">
          <cell r="B294" t="str">
            <v>INJ042</v>
          </cell>
          <cell r="C294" t="str">
            <v>INJ042-INJETORA DE PLÁSTICO</v>
          </cell>
        </row>
        <row r="295">
          <cell r="B295" t="str">
            <v>INJ043</v>
          </cell>
          <cell r="C295" t="str">
            <v>INJ043-INJETORA DE PLÁSTICO</v>
          </cell>
        </row>
        <row r="296">
          <cell r="B296" t="str">
            <v>INJ044</v>
          </cell>
          <cell r="C296" t="str">
            <v>INJ044-INJETORA DE PLÁSTICO</v>
          </cell>
        </row>
        <row r="297">
          <cell r="B297" t="str">
            <v>INJ045</v>
          </cell>
          <cell r="C297" t="str">
            <v>INJ045-INJETORA DE PLÁSTICO</v>
          </cell>
        </row>
        <row r="298">
          <cell r="B298" t="str">
            <v>INJ061</v>
          </cell>
          <cell r="C298" t="str">
            <v>INJ061-INJETORA DE ALUMÍNIO</v>
          </cell>
        </row>
        <row r="299">
          <cell r="B299" t="str">
            <v>INJ062</v>
          </cell>
          <cell r="C299" t="str">
            <v>INJ062-INJETORA DE ALUMÍNIO</v>
          </cell>
        </row>
        <row r="300">
          <cell r="B300" t="str">
            <v>INJ063</v>
          </cell>
          <cell r="C300" t="str">
            <v>INJ063-INJETORA DE ALUMÍNIO</v>
          </cell>
        </row>
        <row r="301">
          <cell r="B301" t="str">
            <v>INJ064</v>
          </cell>
          <cell r="C301" t="str">
            <v>INJ064-INJETORA DE ALUMÍNIO</v>
          </cell>
        </row>
        <row r="302">
          <cell r="B302" t="str">
            <v>INJ065</v>
          </cell>
          <cell r="C302" t="str">
            <v>INJ065-INJETORA DE ALUMÍNIO</v>
          </cell>
        </row>
        <row r="303">
          <cell r="B303" t="str">
            <v>INJ066</v>
          </cell>
          <cell r="C303" t="str">
            <v>INJ066-INJETORA DE ALUMÍNIO</v>
          </cell>
        </row>
        <row r="304">
          <cell r="B304" t="str">
            <v>INJ067</v>
          </cell>
          <cell r="C304" t="str">
            <v>INJ067-INJETORA DE ALUMÍNIO</v>
          </cell>
        </row>
        <row r="305">
          <cell r="B305" t="str">
            <v>INJ068</v>
          </cell>
          <cell r="C305" t="str">
            <v>INJ068-INJETORA DE ALUMÍNIO</v>
          </cell>
        </row>
        <row r="306">
          <cell r="B306" t="str">
            <v>INJ070</v>
          </cell>
          <cell r="C306" t="str">
            <v>INJ070-INJETORA DE ALUMÍNIO</v>
          </cell>
        </row>
        <row r="307">
          <cell r="B307" t="str">
            <v>INJ072</v>
          </cell>
          <cell r="C307" t="str">
            <v>INJ072-INJETORA DE ALUMÍNIO</v>
          </cell>
        </row>
        <row r="308">
          <cell r="B308" t="str">
            <v>JAT003</v>
          </cell>
          <cell r="C308" t="str">
            <v>JAT003-JATO DE GRANALHA</v>
          </cell>
        </row>
        <row r="309">
          <cell r="B309" t="str">
            <v>JAT012</v>
          </cell>
          <cell r="C309" t="str">
            <v>JAT012-JATO DE GRANALHA</v>
          </cell>
        </row>
        <row r="310">
          <cell r="B310" t="str">
            <v>JAT014</v>
          </cell>
          <cell r="C310" t="str">
            <v>JAT014-JATO DE GRANALHA</v>
          </cell>
        </row>
        <row r="311">
          <cell r="B311" t="str">
            <v>JAT016</v>
          </cell>
          <cell r="C311" t="str">
            <v>JAT016-JATO DE GRANALHA</v>
          </cell>
        </row>
        <row r="312">
          <cell r="B312" t="str">
            <v>JAT019</v>
          </cell>
          <cell r="C312" t="str">
            <v>JAT019-JATO DE GRANALHA</v>
          </cell>
        </row>
        <row r="313">
          <cell r="B313" t="str">
            <v>JAT021</v>
          </cell>
          <cell r="C313" t="str">
            <v>JAT021-JATO DE GRANALHA</v>
          </cell>
        </row>
        <row r="314">
          <cell r="B314" t="str">
            <v>JAT023</v>
          </cell>
          <cell r="C314" t="str">
            <v>JAT023-JATO DE GRANALHA</v>
          </cell>
        </row>
        <row r="315">
          <cell r="B315" t="str">
            <v>JAT024</v>
          </cell>
          <cell r="C315" t="str">
            <v>JAT024-JATO DE GRANALHA</v>
          </cell>
        </row>
        <row r="316">
          <cell r="B316" t="str">
            <v>JAT025</v>
          </cell>
          <cell r="C316" t="str">
            <v>JAT025-JATO DE GRANALHA</v>
          </cell>
        </row>
        <row r="317">
          <cell r="B317" t="str">
            <v>JAT028</v>
          </cell>
          <cell r="C317" t="str">
            <v>JAT028-JATO DE GRANALHA</v>
          </cell>
        </row>
        <row r="318">
          <cell r="B318" t="str">
            <v>JAT029</v>
          </cell>
          <cell r="C318" t="str">
            <v>JAT029-JATO DE GRANALHA</v>
          </cell>
        </row>
        <row r="319">
          <cell r="B319" t="str">
            <v>JAT033</v>
          </cell>
          <cell r="C319" t="str">
            <v>JAT033-JATO DE GRANALHA</v>
          </cell>
        </row>
        <row r="320">
          <cell r="B320" t="str">
            <v>LAS001</v>
          </cell>
          <cell r="C320" t="str">
            <v>LAS001-MÁQUINA LASER DE CORTE E SOLDA</v>
          </cell>
        </row>
        <row r="321">
          <cell r="B321" t="str">
            <v>LAS003</v>
          </cell>
          <cell r="C321" t="str">
            <v>LAS003-MÁQUINA LASER DE CORTE</v>
          </cell>
        </row>
        <row r="322">
          <cell r="B322" t="str">
            <v>LAS005</v>
          </cell>
          <cell r="C322" t="str">
            <v>LAS005-MÁQUINA LASER DE SOLDA</v>
          </cell>
        </row>
        <row r="323">
          <cell r="B323" t="str">
            <v>LAS006</v>
          </cell>
          <cell r="C323" t="str">
            <v>LAS006-MÁQUINA LASER DE GRAVAÇÃO</v>
          </cell>
        </row>
        <row r="324">
          <cell r="B324" t="str">
            <v>LAS007</v>
          </cell>
          <cell r="C324" t="str">
            <v>LAS007-MÁQUINA LASER DE CORTE DE STELLIT</v>
          </cell>
        </row>
        <row r="325">
          <cell r="B325" t="str">
            <v>LAS008</v>
          </cell>
          <cell r="C325" t="str">
            <v>LAS008-MÁQUINA LASER DE GRAVAÇÃO</v>
          </cell>
        </row>
        <row r="326">
          <cell r="B326" t="str">
            <v>LAS009</v>
          </cell>
          <cell r="C326" t="str">
            <v>LAS009-MÁQUINA LASER DE GRAVAÇÃO</v>
          </cell>
        </row>
        <row r="327">
          <cell r="B327" t="str">
            <v>LAV015</v>
          </cell>
          <cell r="C327" t="str">
            <v>LAV015-LAVADORA DE PEÇAS</v>
          </cell>
        </row>
        <row r="328">
          <cell r="B328" t="str">
            <v>LAV018</v>
          </cell>
          <cell r="C328" t="str">
            <v>LAV018-LAVADORA PEÇAS</v>
          </cell>
        </row>
        <row r="329">
          <cell r="B329" t="str">
            <v>LAV035</v>
          </cell>
          <cell r="C329" t="str">
            <v>LAV035-LAVADORA DE SABRES</v>
          </cell>
        </row>
        <row r="330">
          <cell r="B330" t="str">
            <v>LAV040</v>
          </cell>
          <cell r="C330" t="str">
            <v>LAV040-LAVADORA DE PEÇAS</v>
          </cell>
        </row>
        <row r="331">
          <cell r="B331" t="str">
            <v>LAV041</v>
          </cell>
          <cell r="C331" t="str">
            <v>LAV041-LAVADORA DE PEÇAS</v>
          </cell>
        </row>
        <row r="332">
          <cell r="B332" t="str">
            <v>LAV055</v>
          </cell>
          <cell r="C332" t="str">
            <v>LAV055-LAVADORA MOLDES ULTRASSOM</v>
          </cell>
        </row>
        <row r="333">
          <cell r="B333" t="str">
            <v>LAV087</v>
          </cell>
          <cell r="C333" t="str">
            <v>LAV087-LAVADORA DE MOLDES</v>
          </cell>
        </row>
        <row r="334">
          <cell r="B334" t="str">
            <v>LIX005</v>
          </cell>
          <cell r="C334" t="str">
            <v>LIX005-LIXADEIRA</v>
          </cell>
        </row>
        <row r="335">
          <cell r="B335" t="str">
            <v>LUB006</v>
          </cell>
          <cell r="C335" t="str">
            <v>LUB006-LUBRIFICADORA</v>
          </cell>
        </row>
        <row r="336">
          <cell r="B336" t="str">
            <v>MAC001</v>
          </cell>
          <cell r="C336" t="str">
            <v>MAC001-MÁQUINA DE COLA</v>
          </cell>
        </row>
        <row r="337">
          <cell r="B337" t="str">
            <v>MAC002</v>
          </cell>
          <cell r="C337" t="str">
            <v>MAC002-MÁQUINA DE COLA</v>
          </cell>
        </row>
        <row r="338">
          <cell r="B338" t="str">
            <v>MAC004</v>
          </cell>
          <cell r="C338" t="str">
            <v>MAC004-MÁQUINA DE COLA</v>
          </cell>
        </row>
        <row r="339">
          <cell r="B339" t="str">
            <v>MAC007</v>
          </cell>
          <cell r="C339" t="str">
            <v>MAC007-MÁQUINA DE COLA</v>
          </cell>
        </row>
        <row r="340">
          <cell r="B340" t="str">
            <v>MAC008</v>
          </cell>
          <cell r="C340" t="str">
            <v>MAC008-MÁQUINA DE COLA</v>
          </cell>
        </row>
        <row r="341">
          <cell r="B341" t="str">
            <v>MAC010</v>
          </cell>
          <cell r="C341" t="str">
            <v>MAC010-MÁQUINA DE COLA</v>
          </cell>
        </row>
        <row r="342">
          <cell r="B342" t="str">
            <v>MAC011</v>
          </cell>
          <cell r="C342" t="str">
            <v>MAC011-MÁQUINA DE COLA</v>
          </cell>
        </row>
        <row r="343">
          <cell r="B343" t="str">
            <v>MAG002</v>
          </cell>
          <cell r="C343" t="str">
            <v>MAG002-MAGNETIZADORA</v>
          </cell>
        </row>
        <row r="344">
          <cell r="B344" t="str">
            <v>MAG003</v>
          </cell>
          <cell r="C344" t="str">
            <v>MAG003-MAGNETIZADORA</v>
          </cell>
        </row>
        <row r="345">
          <cell r="B345" t="str">
            <v>MAG004</v>
          </cell>
          <cell r="C345" t="str">
            <v>MAG004-MAGNETIZADORA</v>
          </cell>
        </row>
        <row r="346">
          <cell r="B346" t="str">
            <v>MAN010</v>
          </cell>
          <cell r="C346" t="str">
            <v>MAN010-MANDRILADORA</v>
          </cell>
        </row>
        <row r="347">
          <cell r="B347" t="str">
            <v>MAQ021</v>
          </cell>
          <cell r="C347" t="str">
            <v>MAQ021-MÁQUINA APLICAÇÃO ISOLAÇÃO</v>
          </cell>
        </row>
        <row r="348">
          <cell r="B348" t="str">
            <v>MAQ159</v>
          </cell>
          <cell r="C348" t="str">
            <v>MAQ159-MÁQUINA MONTAGEM TUBO</v>
          </cell>
        </row>
        <row r="349">
          <cell r="B349" t="str">
            <v>MAQ240</v>
          </cell>
          <cell r="C349" t="str">
            <v>MAQ240-MÁQUINA DE CORTE E USINAGEM</v>
          </cell>
        </row>
        <row r="350">
          <cell r="B350" t="str">
            <v>MAQ243</v>
          </cell>
          <cell r="C350" t="str">
            <v>MAQ243-MÁQUINA DE CORTE E USINAGEM</v>
          </cell>
        </row>
        <row r="351">
          <cell r="B351" t="str">
            <v>MAQ252</v>
          </cell>
          <cell r="C351" t="str">
            <v>MAQ252-MÁQUINA DE CORTE E USINAGEM</v>
          </cell>
        </row>
        <row r="352">
          <cell r="B352" t="str">
            <v>MAQ254</v>
          </cell>
          <cell r="C352" t="str">
            <v>MAQ254-MÁQUINA DE CORTE E USINAGEM</v>
          </cell>
        </row>
        <row r="353">
          <cell r="B353" t="str">
            <v>MOC011</v>
          </cell>
          <cell r="C353" t="str">
            <v>MOC011-MONTA CARGA</v>
          </cell>
        </row>
        <row r="354">
          <cell r="B354" t="str">
            <v>MOC012</v>
          </cell>
          <cell r="C354" t="str">
            <v>MOC012-MONTA CARGA</v>
          </cell>
        </row>
        <row r="355">
          <cell r="B355" t="str">
            <v>MOC013</v>
          </cell>
          <cell r="C355" t="str">
            <v>MOC013-MONTA CARGA</v>
          </cell>
        </row>
        <row r="356">
          <cell r="B356" t="str">
            <v>MOD004</v>
          </cell>
          <cell r="C356" t="str">
            <v>MOD004-MONTADORA</v>
          </cell>
        </row>
        <row r="357">
          <cell r="B357" t="str">
            <v>MOD009</v>
          </cell>
          <cell r="C357" t="str">
            <v>MOD009-MONTADORA</v>
          </cell>
        </row>
        <row r="358">
          <cell r="B358" t="str">
            <v>MOD012</v>
          </cell>
          <cell r="C358" t="str">
            <v>MOD012-MONTADORA</v>
          </cell>
        </row>
        <row r="359">
          <cell r="B359" t="str">
            <v>MOD013</v>
          </cell>
          <cell r="C359" t="str">
            <v>MOD013-MONTADORA</v>
          </cell>
        </row>
        <row r="360">
          <cell r="B360" t="str">
            <v>MOD014</v>
          </cell>
          <cell r="C360" t="str">
            <v>MOD014-MONTADORA</v>
          </cell>
        </row>
        <row r="361">
          <cell r="B361" t="str">
            <v>MOD015</v>
          </cell>
          <cell r="C361" t="str">
            <v>MOD015-MONTADORA</v>
          </cell>
        </row>
        <row r="362">
          <cell r="B362" t="str">
            <v>MOD017</v>
          </cell>
          <cell r="C362" t="str">
            <v>MOD017-MONTADORA</v>
          </cell>
        </row>
        <row r="363">
          <cell r="B363" t="str">
            <v>MOD020</v>
          </cell>
          <cell r="C363" t="str">
            <v>MOD020-MONTADORA</v>
          </cell>
        </row>
        <row r="364">
          <cell r="B364" t="str">
            <v>MOD021</v>
          </cell>
          <cell r="C364" t="str">
            <v>MOD021-MONTADORA</v>
          </cell>
        </row>
        <row r="365">
          <cell r="B365" t="str">
            <v>MOD022</v>
          </cell>
          <cell r="C365" t="str">
            <v>MOD022-MONTADORA</v>
          </cell>
        </row>
        <row r="366">
          <cell r="B366" t="str">
            <v>MOD023</v>
          </cell>
          <cell r="C366" t="str">
            <v>MOD023-MONTADORA DE BUJÃO</v>
          </cell>
        </row>
        <row r="367">
          <cell r="B367" t="str">
            <v>MOD024</v>
          </cell>
          <cell r="C367" t="str">
            <v>MOD024-MÁQUINA APLICADORA DIRKO</v>
          </cell>
        </row>
        <row r="368">
          <cell r="B368" t="str">
            <v>MON001</v>
          </cell>
          <cell r="C368" t="str">
            <v>MON001-MONOVIA</v>
          </cell>
        </row>
        <row r="369">
          <cell r="B369" t="str">
            <v>PON005</v>
          </cell>
          <cell r="C369" t="str">
            <v>PON005-PONTE ROLANTE</v>
          </cell>
        </row>
        <row r="370">
          <cell r="B370" t="str">
            <v>PON008</v>
          </cell>
          <cell r="C370" t="str">
            <v>PON008-PONTE ROLANTE</v>
          </cell>
        </row>
        <row r="371">
          <cell r="B371" t="str">
            <v>PON010</v>
          </cell>
          <cell r="C371" t="str">
            <v>PON010-PONTE ROLANTE</v>
          </cell>
        </row>
        <row r="372">
          <cell r="B372" t="str">
            <v>PON016</v>
          </cell>
          <cell r="C372" t="str">
            <v>PON016-PONTE ROLANTE</v>
          </cell>
        </row>
        <row r="373">
          <cell r="B373" t="str">
            <v>PRE010</v>
          </cell>
          <cell r="C373" t="str">
            <v>PRE010-PRENSA HIDRÁULICA</v>
          </cell>
        </row>
        <row r="374">
          <cell r="B374" t="str">
            <v>PRE019</v>
          </cell>
          <cell r="C374" t="str">
            <v>PRE019-PRENSA FKL FECHAMENTO</v>
          </cell>
        </row>
        <row r="375">
          <cell r="B375" t="str">
            <v>PRE024</v>
          </cell>
          <cell r="C375" t="str">
            <v>PRE024-PRENSA</v>
          </cell>
        </row>
        <row r="376">
          <cell r="B376" t="str">
            <v>PRE031</v>
          </cell>
          <cell r="C376" t="str">
            <v>PRE031-PRENSA</v>
          </cell>
        </row>
        <row r="377">
          <cell r="B377" t="str">
            <v>PRE032</v>
          </cell>
          <cell r="C377" t="str">
            <v>PRE032-PRENSA</v>
          </cell>
        </row>
        <row r="378">
          <cell r="B378" t="str">
            <v>PRE038</v>
          </cell>
          <cell r="C378" t="str">
            <v>PRE038-PRENSA</v>
          </cell>
        </row>
        <row r="379">
          <cell r="B379" t="str">
            <v>PRE045</v>
          </cell>
          <cell r="C379" t="str">
            <v>PRE045-PRENSA</v>
          </cell>
        </row>
        <row r="380">
          <cell r="B380" t="str">
            <v>PRE046</v>
          </cell>
          <cell r="C380" t="str">
            <v>PRE046-PRENSA</v>
          </cell>
        </row>
        <row r="381">
          <cell r="B381" t="str">
            <v>PRE047</v>
          </cell>
          <cell r="C381" t="str">
            <v>PRE047-PRENSA HIDRÁULICA</v>
          </cell>
        </row>
        <row r="382">
          <cell r="B382" t="str">
            <v>PRE048</v>
          </cell>
          <cell r="C382" t="str">
            <v>PRE048-PRENSA</v>
          </cell>
        </row>
        <row r="383">
          <cell r="B383" t="str">
            <v>PRE053</v>
          </cell>
          <cell r="C383" t="str">
            <v>PRE053-PRENSA</v>
          </cell>
        </row>
        <row r="384">
          <cell r="B384" t="str">
            <v>PRE054</v>
          </cell>
          <cell r="C384" t="str">
            <v>PRE054-PRENSA</v>
          </cell>
        </row>
        <row r="385">
          <cell r="B385" t="str">
            <v>PRE055</v>
          </cell>
          <cell r="C385" t="str">
            <v>PRE055-PRENSA</v>
          </cell>
        </row>
        <row r="386">
          <cell r="B386" t="str">
            <v>PRE083</v>
          </cell>
          <cell r="C386" t="str">
            <v>PRE083-PRENSA</v>
          </cell>
        </row>
        <row r="387">
          <cell r="B387" t="str">
            <v>RBT001</v>
          </cell>
          <cell r="C387" t="str">
            <v>RBT001-REBITADEIRA</v>
          </cell>
        </row>
        <row r="388">
          <cell r="B388" t="str">
            <v>REB001</v>
          </cell>
          <cell r="C388" t="str">
            <v>REB001-REBARBADORA</v>
          </cell>
        </row>
        <row r="389">
          <cell r="B389" t="str">
            <v>REB002</v>
          </cell>
          <cell r="C389" t="str">
            <v>REB002-REBARBAÇÃO ELETROQUÍMICA</v>
          </cell>
        </row>
        <row r="390">
          <cell r="B390" t="str">
            <v>REB003</v>
          </cell>
          <cell r="C390" t="str">
            <v>REB003-REBARBAÇÃO ELETROQUÍMICA</v>
          </cell>
        </row>
        <row r="391">
          <cell r="B391" t="str">
            <v>REB004</v>
          </cell>
          <cell r="C391" t="str">
            <v>REB004-REBARBAÇÃO ELETROQUÍMICA</v>
          </cell>
        </row>
        <row r="392">
          <cell r="B392" t="str">
            <v>REB007</v>
          </cell>
          <cell r="C392" t="str">
            <v>REB007-REBARBAÇÃO ELETROQUÍMICA</v>
          </cell>
        </row>
        <row r="393">
          <cell r="B393" t="str">
            <v>REB008</v>
          </cell>
          <cell r="C393" t="str">
            <v>REB008-REBARBAÇÃO ELETROQUÍMICA</v>
          </cell>
        </row>
        <row r="394">
          <cell r="B394" t="str">
            <v>REB009</v>
          </cell>
          <cell r="C394" t="str">
            <v>REB009-REBARBAÇÃO ELETROQUÍMICA</v>
          </cell>
        </row>
        <row r="395">
          <cell r="B395" t="str">
            <v>REB010</v>
          </cell>
          <cell r="C395" t="str">
            <v>REB010-REBARBADORA</v>
          </cell>
        </row>
        <row r="396">
          <cell r="B396" t="str">
            <v>REB011</v>
          </cell>
          <cell r="C396" t="str">
            <v>REB011-REBARBAÇÃO ELETROQUÍMICA</v>
          </cell>
        </row>
        <row r="397">
          <cell r="B397" t="str">
            <v>RET002</v>
          </cell>
          <cell r="C397" t="str">
            <v>RET002-RETÍFICA</v>
          </cell>
        </row>
        <row r="398">
          <cell r="B398" t="str">
            <v>RET003</v>
          </cell>
          <cell r="C398" t="str">
            <v>RET003-RETÍFICA</v>
          </cell>
        </row>
        <row r="399">
          <cell r="B399" t="str">
            <v>RET004</v>
          </cell>
          <cell r="C399" t="str">
            <v>RET004-RETÍFICA</v>
          </cell>
        </row>
        <row r="400">
          <cell r="B400" t="str">
            <v>RET006</v>
          </cell>
          <cell r="C400" t="str">
            <v>RET006-RETÍFICA</v>
          </cell>
        </row>
        <row r="401">
          <cell r="B401" t="str">
            <v>RET012</v>
          </cell>
          <cell r="C401" t="str">
            <v>RET012-RETÍFICA PLANA</v>
          </cell>
        </row>
        <row r="402">
          <cell r="B402" t="str">
            <v>RET013</v>
          </cell>
          <cell r="C402" t="str">
            <v>RET013-RETÍFICA RANHURA</v>
          </cell>
        </row>
        <row r="403">
          <cell r="B403" t="str">
            <v>RET014</v>
          </cell>
          <cell r="C403" t="str">
            <v>RET014-RETÍFICA RANHURA</v>
          </cell>
        </row>
        <row r="404">
          <cell r="B404" t="str">
            <v>RET015</v>
          </cell>
          <cell r="C404" t="str">
            <v>RET015-RETÍFICA RANHURA</v>
          </cell>
        </row>
        <row r="405">
          <cell r="B405" t="str">
            <v>RET016</v>
          </cell>
          <cell r="C405" t="str">
            <v>RET016-RETÍFICA RANHURA</v>
          </cell>
        </row>
        <row r="406">
          <cell r="B406" t="str">
            <v>RET017</v>
          </cell>
          <cell r="C406" t="str">
            <v>RET017-RETÍFICA RANHURA</v>
          </cell>
        </row>
        <row r="407">
          <cell r="B407" t="str">
            <v>RET019</v>
          </cell>
          <cell r="C407" t="str">
            <v>RET019-RETIFICA PLANA SULMECÂNICA</v>
          </cell>
        </row>
        <row r="408">
          <cell r="B408" t="str">
            <v>RET020</v>
          </cell>
          <cell r="C408" t="str">
            <v>RET020-RETÍFICA</v>
          </cell>
        </row>
        <row r="409">
          <cell r="B409" t="str">
            <v>RET023</v>
          </cell>
          <cell r="C409" t="str">
            <v>RET023-RETÍFICA  CILINDRICA MELLO</v>
          </cell>
        </row>
        <row r="410">
          <cell r="B410" t="str">
            <v>RET024</v>
          </cell>
          <cell r="C410" t="str">
            <v>RET024-RETÍFICA DE ROSCAS</v>
          </cell>
        </row>
        <row r="411">
          <cell r="B411" t="str">
            <v>RET026</v>
          </cell>
          <cell r="C411" t="str">
            <v>RET026- RETÍFICA</v>
          </cell>
        </row>
        <row r="412">
          <cell r="B412" t="str">
            <v>RET030</v>
          </cell>
          <cell r="C412" t="str">
            <v>RET030-RETÍFICA DE BIELAS</v>
          </cell>
        </row>
        <row r="413">
          <cell r="B413" t="str">
            <v>RET031</v>
          </cell>
          <cell r="C413" t="str">
            <v>RET031-RETIFICA</v>
          </cell>
        </row>
        <row r="414">
          <cell r="B414" t="str">
            <v>RET032</v>
          </cell>
          <cell r="C414" t="str">
            <v>RET032-RETIFICA RANHURA</v>
          </cell>
        </row>
        <row r="415">
          <cell r="B415" t="str">
            <v>RET033</v>
          </cell>
          <cell r="C415" t="str">
            <v>RET033-RETÍFICA INTERNA</v>
          </cell>
        </row>
        <row r="416">
          <cell r="B416" t="str">
            <v>RET038</v>
          </cell>
          <cell r="C416" t="str">
            <v>RET038-RETIFICA ZEMA</v>
          </cell>
        </row>
        <row r="417">
          <cell r="B417" t="str">
            <v>RET039</v>
          </cell>
          <cell r="C417" t="str">
            <v>RET039-RETIFICA ZEMA</v>
          </cell>
        </row>
        <row r="418">
          <cell r="B418" t="str">
            <v>RET041</v>
          </cell>
          <cell r="C418" t="str">
            <v>RET041-RETIFICA PLANA TANGECIAL</v>
          </cell>
        </row>
        <row r="419">
          <cell r="B419" t="str">
            <v>ROB003</v>
          </cell>
          <cell r="C419" t="str">
            <v>ROB003-ROBÔ</v>
          </cell>
        </row>
        <row r="420">
          <cell r="B420" t="str">
            <v>ROB004</v>
          </cell>
          <cell r="C420" t="str">
            <v>ROB004-ROBÔ</v>
          </cell>
        </row>
        <row r="421">
          <cell r="B421" t="str">
            <v>ROB005</v>
          </cell>
          <cell r="C421" t="str">
            <v>ROB005-ROBÔ</v>
          </cell>
        </row>
        <row r="422">
          <cell r="B422" t="str">
            <v>ROB006</v>
          </cell>
          <cell r="C422" t="str">
            <v>ROB006-ROBO</v>
          </cell>
        </row>
        <row r="423">
          <cell r="B423" t="str">
            <v>ROB007</v>
          </cell>
          <cell r="C423" t="str">
            <v>ROB007-ROBO</v>
          </cell>
        </row>
        <row r="424">
          <cell r="B424" t="str">
            <v>ROB009</v>
          </cell>
          <cell r="C424" t="str">
            <v>ROB009-ROBO</v>
          </cell>
        </row>
        <row r="425">
          <cell r="B425" t="str">
            <v>ROB010</v>
          </cell>
          <cell r="C425" t="str">
            <v>ROB010-ROBO</v>
          </cell>
        </row>
        <row r="426">
          <cell r="B426" t="str">
            <v>ROB011</v>
          </cell>
          <cell r="C426" t="str">
            <v>ROB011-ROBÔ</v>
          </cell>
        </row>
        <row r="427">
          <cell r="B427" t="str">
            <v>ROB012</v>
          </cell>
          <cell r="C427" t="str">
            <v>ROB012-ROBO</v>
          </cell>
        </row>
        <row r="428">
          <cell r="B428" t="str">
            <v>ROB013</v>
          </cell>
          <cell r="C428" t="str">
            <v>ROB013-ROBO</v>
          </cell>
        </row>
        <row r="429">
          <cell r="B429" t="str">
            <v>ROB014</v>
          </cell>
          <cell r="C429" t="str">
            <v>ROB014-ROBO</v>
          </cell>
        </row>
        <row r="430">
          <cell r="B430" t="str">
            <v>ROB015</v>
          </cell>
          <cell r="C430" t="str">
            <v>ROB015-ROBÔ</v>
          </cell>
        </row>
        <row r="431">
          <cell r="B431" t="str">
            <v>ROB016</v>
          </cell>
          <cell r="C431" t="str">
            <v>ROB016-ROBO</v>
          </cell>
        </row>
        <row r="432">
          <cell r="B432" t="str">
            <v>ROB017</v>
          </cell>
          <cell r="C432" t="str">
            <v>ROB017-ROBO</v>
          </cell>
        </row>
        <row r="433">
          <cell r="B433" t="str">
            <v>ROB021</v>
          </cell>
          <cell r="C433" t="str">
            <v>ROB021-ROBO</v>
          </cell>
        </row>
        <row r="434">
          <cell r="B434" t="str">
            <v>ROB022</v>
          </cell>
          <cell r="C434" t="str">
            <v>ROB022-ROBO</v>
          </cell>
        </row>
        <row r="435">
          <cell r="B435" t="str">
            <v>ROB023</v>
          </cell>
          <cell r="C435" t="str">
            <v>ROB023-ROBÔ</v>
          </cell>
        </row>
        <row r="436">
          <cell r="B436" t="str">
            <v>ROB024</v>
          </cell>
          <cell r="C436" t="str">
            <v>ROB024-ROBO</v>
          </cell>
        </row>
        <row r="437">
          <cell r="B437" t="str">
            <v>ROB025</v>
          </cell>
          <cell r="C437" t="str">
            <v>ROB025-ROBO</v>
          </cell>
        </row>
        <row r="438">
          <cell r="B438" t="str">
            <v>ROB026</v>
          </cell>
          <cell r="C438" t="str">
            <v>ROB026-ROBO</v>
          </cell>
        </row>
        <row r="439">
          <cell r="B439" t="str">
            <v>ROB027</v>
          </cell>
          <cell r="C439" t="str">
            <v>ROB027-ROBO</v>
          </cell>
        </row>
        <row r="440">
          <cell r="B440" t="str">
            <v>ROB028</v>
          </cell>
          <cell r="C440" t="str">
            <v>ROB028-ROBÔ</v>
          </cell>
        </row>
        <row r="441">
          <cell r="B441" t="str">
            <v>ROB031</v>
          </cell>
          <cell r="C441" t="str">
            <v>ROB031-ROBO</v>
          </cell>
        </row>
        <row r="442">
          <cell r="B442" t="str">
            <v>ROB033</v>
          </cell>
          <cell r="C442" t="str">
            <v>ROB033-ROBÔ</v>
          </cell>
        </row>
        <row r="443">
          <cell r="B443" t="str">
            <v>ROB037</v>
          </cell>
          <cell r="C443" t="str">
            <v>ROB037-ROBÔ</v>
          </cell>
        </row>
        <row r="444">
          <cell r="B444" t="str">
            <v>ROB038</v>
          </cell>
          <cell r="C444" t="str">
            <v>ROB038-ROBÔ</v>
          </cell>
        </row>
        <row r="445">
          <cell r="B445" t="str">
            <v>ROB039</v>
          </cell>
          <cell r="C445" t="str">
            <v>ROB039-ROBÔ</v>
          </cell>
        </row>
        <row r="446">
          <cell r="B446" t="str">
            <v>ROB040</v>
          </cell>
          <cell r="C446" t="str">
            <v>ROB040-ROBÔ</v>
          </cell>
        </row>
        <row r="447">
          <cell r="B447" t="str">
            <v>ROB041</v>
          </cell>
          <cell r="C447" t="str">
            <v>ROB041-ROBÔ</v>
          </cell>
        </row>
        <row r="448">
          <cell r="B448" t="str">
            <v>ROB042</v>
          </cell>
          <cell r="C448" t="str">
            <v>ROB042-ROBÔ</v>
          </cell>
        </row>
        <row r="449">
          <cell r="B449" t="str">
            <v>ROB044</v>
          </cell>
          <cell r="C449" t="str">
            <v>ROB044-ROBÔ</v>
          </cell>
        </row>
        <row r="450">
          <cell r="B450" t="str">
            <v>ROB045</v>
          </cell>
          <cell r="C450" t="str">
            <v>ROB045-ROBÔ</v>
          </cell>
        </row>
        <row r="451">
          <cell r="B451" t="str">
            <v>ROB046</v>
          </cell>
          <cell r="C451" t="str">
            <v>ROB046-ROBÔ</v>
          </cell>
        </row>
        <row r="452">
          <cell r="B452" t="str">
            <v>ROB047</v>
          </cell>
          <cell r="C452" t="str">
            <v>ROB047-ROBÔ</v>
          </cell>
        </row>
        <row r="453">
          <cell r="B453" t="str">
            <v>ROB048</v>
          </cell>
          <cell r="C453" t="str">
            <v>ROB048-ROBÔ</v>
          </cell>
        </row>
        <row r="454">
          <cell r="B454" t="str">
            <v>ROB056</v>
          </cell>
          <cell r="C454" t="str">
            <v>ROB056-ROBÔ</v>
          </cell>
        </row>
        <row r="455">
          <cell r="B455" t="str">
            <v>ROB057</v>
          </cell>
          <cell r="C455" t="str">
            <v>ROB057-ROBÔ</v>
          </cell>
        </row>
        <row r="456">
          <cell r="B456" t="str">
            <v>ROB058</v>
          </cell>
          <cell r="C456" t="str">
            <v>ROB058-ROBÔ</v>
          </cell>
        </row>
        <row r="457">
          <cell r="B457" t="str">
            <v>ROB059</v>
          </cell>
          <cell r="C457" t="str">
            <v>ROB059-ROBÔ</v>
          </cell>
        </row>
        <row r="458">
          <cell r="B458" t="str">
            <v>ROB060</v>
          </cell>
          <cell r="C458" t="str">
            <v>ROB060-ROBÔ</v>
          </cell>
        </row>
        <row r="459">
          <cell r="B459" t="str">
            <v>ROB061</v>
          </cell>
          <cell r="C459" t="str">
            <v>ROB061-ROBÔ</v>
          </cell>
        </row>
        <row r="460">
          <cell r="B460" t="str">
            <v>ROB062</v>
          </cell>
          <cell r="C460" t="str">
            <v>ROB062-ROBÔ</v>
          </cell>
        </row>
        <row r="461">
          <cell r="B461" t="str">
            <v>ROB063</v>
          </cell>
          <cell r="C461" t="str">
            <v>ROB063-ROBÔ</v>
          </cell>
        </row>
        <row r="462">
          <cell r="B462" t="str">
            <v>ROB064</v>
          </cell>
          <cell r="C462" t="str">
            <v>ROB064-ROBÔ</v>
          </cell>
        </row>
        <row r="463">
          <cell r="B463" t="str">
            <v>ROB065</v>
          </cell>
          <cell r="C463" t="str">
            <v>ROB065-ROBÔ</v>
          </cell>
        </row>
        <row r="464">
          <cell r="B464" t="str">
            <v>ROB066</v>
          </cell>
          <cell r="C464" t="str">
            <v>ROB066-ROBÔ</v>
          </cell>
        </row>
        <row r="465">
          <cell r="B465" t="str">
            <v>ROB067</v>
          </cell>
          <cell r="C465" t="str">
            <v>ROB067-ROBÔ</v>
          </cell>
        </row>
        <row r="466">
          <cell r="B466" t="str">
            <v>ROB068</v>
          </cell>
          <cell r="C466" t="str">
            <v>ROB068-ROBÔ</v>
          </cell>
        </row>
        <row r="467">
          <cell r="B467" t="str">
            <v>ROB069</v>
          </cell>
          <cell r="C467" t="str">
            <v>ROB069-ROBÔ</v>
          </cell>
        </row>
        <row r="468">
          <cell r="B468" t="str">
            <v>ROB070</v>
          </cell>
          <cell r="C468" t="str">
            <v>ROB070-ROBÔ</v>
          </cell>
        </row>
        <row r="469">
          <cell r="B469" t="str">
            <v>ROB071</v>
          </cell>
          <cell r="C469" t="str">
            <v>ROB071-ROBÔ</v>
          </cell>
        </row>
        <row r="470">
          <cell r="B470" t="str">
            <v>ROB072</v>
          </cell>
          <cell r="C470" t="str">
            <v>ROB072-ROBO</v>
          </cell>
        </row>
        <row r="471">
          <cell r="B471" t="str">
            <v>ROB073</v>
          </cell>
          <cell r="C471" t="str">
            <v>ROB073-ROBO</v>
          </cell>
        </row>
        <row r="472">
          <cell r="B472" t="str">
            <v>ROB074</v>
          </cell>
          <cell r="C472" t="str">
            <v>ROB074-ROBO</v>
          </cell>
        </row>
        <row r="473">
          <cell r="B473" t="str">
            <v>ROB075</v>
          </cell>
          <cell r="C473" t="str">
            <v>ROB075-ROBO</v>
          </cell>
        </row>
        <row r="474">
          <cell r="B474" t="str">
            <v>ROB076</v>
          </cell>
          <cell r="C474" t="str">
            <v>ROB076-ROBO</v>
          </cell>
        </row>
        <row r="475">
          <cell r="B475" t="str">
            <v>ROB077</v>
          </cell>
          <cell r="C475" t="str">
            <v>ROB077-ROBO</v>
          </cell>
        </row>
        <row r="476">
          <cell r="B476" t="str">
            <v>ROB078</v>
          </cell>
          <cell r="C476" t="str">
            <v>ROB078-ROBÔ</v>
          </cell>
        </row>
        <row r="477">
          <cell r="B477" t="str">
            <v>ROB079</v>
          </cell>
          <cell r="C477" t="str">
            <v>ROB079-ROBÔ</v>
          </cell>
        </row>
        <row r="478">
          <cell r="B478" t="str">
            <v>ROB080</v>
          </cell>
          <cell r="C478" t="str">
            <v>ROB080-ROBÔ</v>
          </cell>
        </row>
        <row r="479">
          <cell r="B479" t="str">
            <v>ROB081</v>
          </cell>
          <cell r="C479" t="str">
            <v>ROB081-ROBÔ</v>
          </cell>
        </row>
        <row r="480">
          <cell r="B480" t="str">
            <v>ROB082</v>
          </cell>
          <cell r="C480" t="str">
            <v>ROB082-ROBÔ</v>
          </cell>
        </row>
        <row r="481">
          <cell r="B481" t="str">
            <v>ROB083</v>
          </cell>
          <cell r="C481" t="str">
            <v>ROB083-ROBÔ</v>
          </cell>
        </row>
        <row r="482">
          <cell r="B482" t="str">
            <v>ROB084</v>
          </cell>
          <cell r="C482" t="str">
            <v>ROB084-ROBÔ</v>
          </cell>
        </row>
        <row r="483">
          <cell r="B483" t="str">
            <v>ROB085</v>
          </cell>
          <cell r="C483" t="str">
            <v>ROB085-ROBÔ</v>
          </cell>
        </row>
        <row r="484">
          <cell r="B484" t="str">
            <v>ROB086</v>
          </cell>
          <cell r="C484" t="str">
            <v>ROB086-ROBÔ</v>
          </cell>
        </row>
        <row r="485">
          <cell r="B485" t="str">
            <v>ROB087</v>
          </cell>
          <cell r="C485" t="str">
            <v>ROB087-ROBÔ</v>
          </cell>
        </row>
        <row r="486">
          <cell r="B486" t="str">
            <v>ROB088</v>
          </cell>
          <cell r="C486" t="str">
            <v>ROB088-ROBÔ</v>
          </cell>
        </row>
        <row r="487">
          <cell r="B487" t="str">
            <v>ROB090</v>
          </cell>
          <cell r="C487" t="str">
            <v>ROB090-ROBO SACA PEÇA</v>
          </cell>
        </row>
        <row r="488">
          <cell r="B488" t="str">
            <v>ROB091</v>
          </cell>
          <cell r="C488" t="str">
            <v>ROB091-ROBO PULVERIZADOR</v>
          </cell>
        </row>
        <row r="489">
          <cell r="B489" t="str">
            <v>ROB092</v>
          </cell>
          <cell r="C489" t="str">
            <v>ROB092-ROBO REBARBADOR</v>
          </cell>
        </row>
        <row r="490">
          <cell r="B490" t="str">
            <v>ROB093</v>
          </cell>
          <cell r="C490" t="str">
            <v>ROB093-ROBO SACA PEÇA</v>
          </cell>
        </row>
        <row r="491">
          <cell r="B491" t="str">
            <v>ROB094</v>
          </cell>
          <cell r="C491" t="str">
            <v>ROB094-ROBO PULVERIZADOR</v>
          </cell>
        </row>
        <row r="492">
          <cell r="B492" t="str">
            <v>ROB095</v>
          </cell>
          <cell r="C492" t="str">
            <v>ROB095-ROBO REBARBADOR</v>
          </cell>
        </row>
        <row r="493">
          <cell r="B493" t="str">
            <v>ROB100</v>
          </cell>
          <cell r="C493" t="str">
            <v>ROB100-ROBO MANIPULADOR</v>
          </cell>
        </row>
        <row r="494">
          <cell r="B494" t="str">
            <v>ROB101</v>
          </cell>
          <cell r="C494" t="str">
            <v>ROB101-ROBO MANIPULADOR</v>
          </cell>
        </row>
        <row r="495">
          <cell r="B495" t="str">
            <v>ROB120</v>
          </cell>
          <cell r="C495" t="str">
            <v>ROB120-ROBÔ FANUC</v>
          </cell>
        </row>
        <row r="496">
          <cell r="B496" t="str">
            <v>ROB121</v>
          </cell>
          <cell r="C496" t="str">
            <v>ROB121-ROBÔ FANUC</v>
          </cell>
        </row>
        <row r="497">
          <cell r="B497" t="str">
            <v>ROB122</v>
          </cell>
          <cell r="C497" t="str">
            <v>ROB122-ROBÔ FANUC</v>
          </cell>
        </row>
        <row r="498">
          <cell r="B498" t="str">
            <v>ROL001</v>
          </cell>
          <cell r="C498" t="str">
            <v>ROL001-ROLIERMASCHINE</v>
          </cell>
        </row>
        <row r="499">
          <cell r="B499" t="str">
            <v>SOL001</v>
          </cell>
          <cell r="C499" t="str">
            <v>SOL001-SOLDA PONTO</v>
          </cell>
        </row>
        <row r="500">
          <cell r="B500" t="str">
            <v>SOL007</v>
          </cell>
          <cell r="C500" t="str">
            <v>SOL007-SOLDADORA FRICÇÃO</v>
          </cell>
        </row>
        <row r="501">
          <cell r="B501" t="str">
            <v>SOL009</v>
          </cell>
          <cell r="C501" t="str">
            <v>SOL009-SOLDADORA FRICÇÃO</v>
          </cell>
        </row>
        <row r="502">
          <cell r="B502" t="str">
            <v>SOL011</v>
          </cell>
          <cell r="C502" t="str">
            <v>SOL011-SOLDADORA FRICÇÃO</v>
          </cell>
        </row>
        <row r="503">
          <cell r="B503" t="str">
            <v>SOP002</v>
          </cell>
          <cell r="C503" t="str">
            <v>SOP002-SOPRADOR DE MACHO DE AREIA</v>
          </cell>
        </row>
        <row r="504">
          <cell r="B504" t="str">
            <v>SOP003</v>
          </cell>
          <cell r="C504" t="str">
            <v>SOP003-SOPRADOR DE MACHO DE AREIA</v>
          </cell>
        </row>
        <row r="505">
          <cell r="B505" t="str">
            <v>SOP004</v>
          </cell>
          <cell r="C505" t="str">
            <v>SOP004-SOPRADOR DE MACHO DE AREIA</v>
          </cell>
        </row>
        <row r="506">
          <cell r="B506" t="str">
            <v>SOP005</v>
          </cell>
          <cell r="C506" t="str">
            <v>SOP005-SOPRADOR DE MACHO DE AREIA</v>
          </cell>
        </row>
        <row r="507">
          <cell r="B507" t="str">
            <v>SOP007</v>
          </cell>
          <cell r="C507" t="str">
            <v>SOP007-SOPRADOR DE MACHO DE AREIA</v>
          </cell>
        </row>
        <row r="508">
          <cell r="B508" t="str">
            <v>SOP008</v>
          </cell>
          <cell r="C508" t="str">
            <v>SOP008-SOPRADOR DE MACHO DE AREIA</v>
          </cell>
        </row>
        <row r="509">
          <cell r="B509" t="str">
            <v>SOP009</v>
          </cell>
          <cell r="C509" t="str">
            <v>SOP009-SOPRADOR DE MACHO DE AREIA</v>
          </cell>
        </row>
        <row r="510">
          <cell r="B510" t="str">
            <v>SRG004</v>
          </cell>
          <cell r="C510" t="str">
            <v>SRG004-SERIGRAFIA</v>
          </cell>
        </row>
        <row r="511">
          <cell r="B511" t="str">
            <v>TAN042</v>
          </cell>
          <cell r="C511" t="str">
            <v>TAN042-TANQUE</v>
          </cell>
        </row>
        <row r="512">
          <cell r="B512" t="str">
            <v>TAN636</v>
          </cell>
          <cell r="C512" t="str">
            <v>TAN636-TANQUE DE SOLUBILIZAÇÃO</v>
          </cell>
        </row>
        <row r="513">
          <cell r="B513" t="str">
            <v>TEM002</v>
          </cell>
          <cell r="C513" t="str">
            <v>TEM002-TÊMPERA POR INDUÇÃO</v>
          </cell>
        </row>
        <row r="514">
          <cell r="B514" t="str">
            <v>TOR014</v>
          </cell>
          <cell r="C514" t="str">
            <v>TOR014-TORNO</v>
          </cell>
        </row>
        <row r="515">
          <cell r="B515" t="str">
            <v>TOR019</v>
          </cell>
          <cell r="C515" t="str">
            <v>TOR019-TORNO ROMI TORMAX 30</v>
          </cell>
        </row>
        <row r="516">
          <cell r="B516" t="str">
            <v>TOR020</v>
          </cell>
          <cell r="C516" t="str">
            <v>TOR020-TORNO</v>
          </cell>
        </row>
        <row r="517">
          <cell r="B517" t="str">
            <v>TOR021</v>
          </cell>
          <cell r="C517" t="str">
            <v>TOR021-TORNO</v>
          </cell>
        </row>
        <row r="518">
          <cell r="B518" t="str">
            <v>TOR022</v>
          </cell>
          <cell r="C518" t="str">
            <v>TOR022-TORNO</v>
          </cell>
        </row>
        <row r="519">
          <cell r="B519" t="str">
            <v>TOR024</v>
          </cell>
          <cell r="C519" t="str">
            <v>TOR024-TORNO</v>
          </cell>
        </row>
        <row r="520">
          <cell r="B520" t="str">
            <v>TOR025</v>
          </cell>
          <cell r="C520" t="str">
            <v>TOR025-TORNO</v>
          </cell>
        </row>
        <row r="521">
          <cell r="B521" t="str">
            <v>TOR026</v>
          </cell>
          <cell r="C521" t="str">
            <v>TOR026-TORNO</v>
          </cell>
        </row>
        <row r="522">
          <cell r="B522" t="str">
            <v>TOR027</v>
          </cell>
          <cell r="C522" t="str">
            <v>TOR027-TORNO</v>
          </cell>
        </row>
        <row r="523">
          <cell r="B523" t="str">
            <v>TOR028</v>
          </cell>
          <cell r="C523" t="str">
            <v>TOR028-TORNO</v>
          </cell>
        </row>
        <row r="524">
          <cell r="B524" t="str">
            <v>TOR030</v>
          </cell>
          <cell r="C524" t="str">
            <v>TOR030-TORNO</v>
          </cell>
        </row>
        <row r="525">
          <cell r="B525" t="str">
            <v>TOR033</v>
          </cell>
          <cell r="C525" t="str">
            <v>TOR033-TORNO</v>
          </cell>
        </row>
        <row r="526">
          <cell r="B526" t="str">
            <v>TOR038</v>
          </cell>
          <cell r="C526" t="str">
            <v>TOR038-TORNO MAZAK</v>
          </cell>
        </row>
        <row r="527">
          <cell r="B527" t="str">
            <v>TOR039</v>
          </cell>
          <cell r="C527" t="str">
            <v>TOR039-TORNO MAZAK</v>
          </cell>
        </row>
        <row r="528">
          <cell r="B528" t="str">
            <v>TOR040</v>
          </cell>
          <cell r="C528" t="str">
            <v>TOR040-TORNO UNIVERSAL VEKER</v>
          </cell>
        </row>
        <row r="529">
          <cell r="B529" t="str">
            <v>TOR041</v>
          </cell>
          <cell r="C529" t="str">
            <v>TOR041-TORNO HORIZONTAL MAZAK</v>
          </cell>
        </row>
        <row r="530">
          <cell r="B530" t="str">
            <v>TOR042</v>
          </cell>
          <cell r="C530" t="str">
            <v>TOR042-TORNO MAZAK VOLANTES</v>
          </cell>
        </row>
        <row r="531">
          <cell r="B531" t="str">
            <v>TOR043</v>
          </cell>
          <cell r="C531" t="str">
            <v>TOR043-TORNO MAZAK VOLANTES</v>
          </cell>
        </row>
        <row r="532">
          <cell r="B532" t="str">
            <v>TRO001</v>
          </cell>
          <cell r="C532" t="str">
            <v>TRO001-TROVALIZADOR</v>
          </cell>
        </row>
        <row r="533">
          <cell r="B533" t="str">
            <v>TRO002</v>
          </cell>
          <cell r="C533" t="str">
            <v>TRO002-TROVALIZADOR</v>
          </cell>
        </row>
        <row r="534">
          <cell r="B534" t="str">
            <v>TRO003</v>
          </cell>
          <cell r="C534" t="str">
            <v>TRO003-TROVALIZADOR</v>
          </cell>
        </row>
        <row r="535">
          <cell r="B535" t="str">
            <v>TRO004</v>
          </cell>
          <cell r="C535" t="str">
            <v>TRO004-TROVALIZADOR</v>
          </cell>
        </row>
        <row r="536">
          <cell r="B536" t="str">
            <v>TRO011</v>
          </cell>
          <cell r="C536" t="str">
            <v>TRO011-TROVALIZADOR</v>
          </cell>
        </row>
        <row r="537">
          <cell r="B537" t="str">
            <v>TRP027</v>
          </cell>
          <cell r="C537" t="str">
            <v>TRP027-TRANSPORTADOR DE SABRES</v>
          </cell>
        </row>
        <row r="540">
          <cell r="B540"/>
        </row>
        <row r="541">
          <cell r="B541"/>
        </row>
        <row r="542">
          <cell r="B542"/>
        </row>
        <row r="543">
          <cell r="B543"/>
        </row>
        <row r="544">
          <cell r="B544"/>
        </row>
        <row r="545">
          <cell r="B545"/>
        </row>
        <row r="546">
          <cell r="B546"/>
        </row>
        <row r="547">
          <cell r="B547"/>
        </row>
        <row r="548">
          <cell r="B548"/>
        </row>
        <row r="549">
          <cell r="B549"/>
        </row>
        <row r="550">
          <cell r="B550"/>
        </row>
        <row r="551">
          <cell r="B551"/>
        </row>
        <row r="552">
          <cell r="B552"/>
        </row>
        <row r="553">
          <cell r="B553"/>
        </row>
        <row r="554">
          <cell r="B554"/>
        </row>
        <row r="555">
          <cell r="B555"/>
        </row>
        <row r="556">
          <cell r="B556"/>
        </row>
        <row r="557">
          <cell r="B557"/>
        </row>
        <row r="558">
          <cell r="B558"/>
        </row>
        <row r="559">
          <cell r="B559"/>
        </row>
        <row r="560">
          <cell r="B560"/>
        </row>
        <row r="561">
          <cell r="B561"/>
        </row>
        <row r="562">
          <cell r="B562"/>
        </row>
        <row r="563">
          <cell r="B563"/>
        </row>
        <row r="564">
          <cell r="B564"/>
        </row>
        <row r="565">
          <cell r="B565"/>
        </row>
        <row r="566">
          <cell r="B566"/>
        </row>
        <row r="567">
          <cell r="B567"/>
        </row>
        <row r="568">
          <cell r="B568"/>
        </row>
        <row r="569">
          <cell r="B569"/>
        </row>
        <row r="570">
          <cell r="B570"/>
        </row>
        <row r="571">
          <cell r="B571"/>
        </row>
        <row r="572">
          <cell r="B572"/>
        </row>
        <row r="573">
          <cell r="B573"/>
        </row>
        <row r="574">
          <cell r="B574"/>
        </row>
        <row r="575">
          <cell r="B575"/>
        </row>
        <row r="576">
          <cell r="B576"/>
        </row>
        <row r="577">
          <cell r="B577"/>
        </row>
        <row r="578">
          <cell r="B578"/>
        </row>
        <row r="579">
          <cell r="B579"/>
        </row>
        <row r="580">
          <cell r="B580"/>
        </row>
        <row r="581">
          <cell r="B581"/>
        </row>
        <row r="582">
          <cell r="B582"/>
        </row>
        <row r="583">
          <cell r="B583"/>
        </row>
        <row r="584">
          <cell r="B584"/>
        </row>
        <row r="585">
          <cell r="B585"/>
        </row>
        <row r="586">
          <cell r="B586"/>
        </row>
        <row r="587">
          <cell r="B587"/>
        </row>
        <row r="588">
          <cell r="B588"/>
        </row>
        <row r="589">
          <cell r="B589"/>
        </row>
        <row r="590">
          <cell r="B590"/>
        </row>
        <row r="591">
          <cell r="B591"/>
        </row>
        <row r="592">
          <cell r="B592"/>
        </row>
        <row r="593">
          <cell r="B593"/>
        </row>
        <row r="594">
          <cell r="B594"/>
        </row>
        <row r="595">
          <cell r="B595"/>
        </row>
        <row r="596">
          <cell r="B596"/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Planilha1"/>
    </sheetNames>
    <sheetDataSet>
      <sheetData sheetId="0"/>
      <sheetData sheetId="1">
        <row r="1">
          <cell r="A1" t="str">
            <v>Denominação</v>
          </cell>
          <cell r="B1" t="str">
            <v>CUSTO TOTAL MANUT</v>
          </cell>
        </row>
        <row r="2">
          <cell r="A2" t="str">
            <v>BAL003-BALANCEADORA</v>
          </cell>
          <cell r="B2">
            <v>135505.04</v>
          </cell>
        </row>
        <row r="3">
          <cell r="A3" t="str">
            <v>BAL004-BALANCEADORA</v>
          </cell>
          <cell r="B3">
            <v>284121.64</v>
          </cell>
        </row>
        <row r="4">
          <cell r="A4" t="str">
            <v>BAL006-BALANCEADORA</v>
          </cell>
          <cell r="B4">
            <v>2171.91</v>
          </cell>
        </row>
        <row r="5">
          <cell r="A5" t="str">
            <v>BAL007-BALANCEADORA</v>
          </cell>
          <cell r="B5">
            <v>144168.46999999997</v>
          </cell>
        </row>
        <row r="6">
          <cell r="A6" t="str">
            <v>BAL008-BALANCEADORA</v>
          </cell>
          <cell r="B6">
            <v>11740.330000000002</v>
          </cell>
        </row>
        <row r="7">
          <cell r="A7" t="str">
            <v>MAG002-MAGNETIZADORA</v>
          </cell>
          <cell r="B7">
            <v>89576.959999999948</v>
          </cell>
        </row>
        <row r="8">
          <cell r="A8" t="str">
            <v>MAG003-MAGNETIZADORA</v>
          </cell>
          <cell r="B8">
            <v>356203.62999999971</v>
          </cell>
        </row>
        <row r="9">
          <cell r="A9" t="str">
            <v>MAG004-MAGNETIZADORA</v>
          </cell>
          <cell r="B9">
            <v>20401.070000000003</v>
          </cell>
        </row>
        <row r="10">
          <cell r="A10" t="str">
            <v>DESATIVADO-TOR014-TORNO</v>
          </cell>
          <cell r="B10">
            <v>790615.88000000035</v>
          </cell>
        </row>
        <row r="11">
          <cell r="A11" t="str">
            <v>TOR021-TORNO</v>
          </cell>
          <cell r="B11">
            <v>638465.9799999994</v>
          </cell>
        </row>
        <row r="12">
          <cell r="A12" t="str">
            <v>TOR028-TORNO</v>
          </cell>
          <cell r="B12">
            <v>461826.61999999947</v>
          </cell>
        </row>
        <row r="13">
          <cell r="A13" t="str">
            <v>TOR042-TORNO MAZAK VOLANTES</v>
          </cell>
          <cell r="B13">
            <v>27331.979999999992</v>
          </cell>
        </row>
        <row r="14">
          <cell r="A14" t="str">
            <v>TOR043-TORNO MAZAK VOLANTES</v>
          </cell>
          <cell r="B14">
            <v>40197.229999999989</v>
          </cell>
        </row>
        <row r="15">
          <cell r="A15" t="str">
            <v>EMP078-EMPILHADEIRA ELÉTRICA</v>
          </cell>
          <cell r="B15">
            <v>45614.619999999995</v>
          </cell>
        </row>
        <row r="16">
          <cell r="A16" t="str">
            <v>EMP128-EMPILHADEIRA COMBUSTÃO</v>
          </cell>
          <cell r="B16">
            <v>32008.04</v>
          </cell>
        </row>
        <row r="17">
          <cell r="A17" t="str">
            <v>EMP132-EMPILHADEIRA COMBUSTÃO</v>
          </cell>
          <cell r="B17">
            <v>8190</v>
          </cell>
        </row>
        <row r="18">
          <cell r="A18" t="str">
            <v>ROB202-ROBÔ SEMI-AUTOMÁTICO</v>
          </cell>
          <cell r="B18">
            <v>16616.77</v>
          </cell>
        </row>
        <row r="19">
          <cell r="A19" t="str">
            <v>CAB004-CABINE DE PINTURA</v>
          </cell>
          <cell r="B19">
            <v>323153.05999999953</v>
          </cell>
        </row>
        <row r="20">
          <cell r="A20" t="str">
            <v>CEN065-CENTRO DE USINAGEM</v>
          </cell>
          <cell r="B20">
            <v>483700.99999999907</v>
          </cell>
        </row>
        <row r="21">
          <cell r="A21" t="str">
            <v>CEN087-CENTRO DE USINAGEM</v>
          </cell>
          <cell r="B21">
            <v>194464.28000000006</v>
          </cell>
        </row>
        <row r="22">
          <cell r="A22" t="str">
            <v>JAT029-JATO DE GRANALHA</v>
          </cell>
          <cell r="B22">
            <v>1305617.2100000004</v>
          </cell>
        </row>
        <row r="23">
          <cell r="A23" t="str">
            <v>LAS006-MÁQUINA LASER DE GRAVAÇÃO</v>
          </cell>
          <cell r="B23">
            <v>82284.390000000058</v>
          </cell>
        </row>
        <row r="24">
          <cell r="A24" t="str">
            <v>LAV018-LAVADORA PEÇAS</v>
          </cell>
          <cell r="B24">
            <v>123172.56000000001</v>
          </cell>
        </row>
        <row r="25">
          <cell r="A25" t="str">
            <v>RBT001-REBITADEIRA</v>
          </cell>
          <cell r="B25">
            <v>261050.36999999994</v>
          </cell>
        </row>
        <row r="26">
          <cell r="A26" t="str">
            <v>SOL001-SOLDA PONTO</v>
          </cell>
          <cell r="B26">
            <v>25222.680000000011</v>
          </cell>
        </row>
        <row r="27">
          <cell r="A27" t="str">
            <v>CAB028-CABINE DE INSPEÇÃO DE TINTA</v>
          </cell>
          <cell r="B27">
            <v>28360.949999999986</v>
          </cell>
        </row>
        <row r="28">
          <cell r="A28" t="str">
            <v>CAB029-CABINE DE INSPEÇÃO</v>
          </cell>
          <cell r="B28">
            <v>251642.46000000002</v>
          </cell>
        </row>
        <row r="29">
          <cell r="A29" t="str">
            <v>CAB030-CABINE DE CURA UV</v>
          </cell>
          <cell r="B29">
            <v>260686.56000000003</v>
          </cell>
        </row>
        <row r="30">
          <cell r="A30" t="str">
            <v>CAB031-CABINE DE FLAMBAGEM</v>
          </cell>
          <cell r="B30">
            <v>76068.679999999993</v>
          </cell>
        </row>
        <row r="31">
          <cell r="A31" t="str">
            <v>CAB032-CABINE DE SECAGEM</v>
          </cell>
          <cell r="B31">
            <v>1855986.5199999996</v>
          </cell>
        </row>
        <row r="32">
          <cell r="A32" t="str">
            <v>CAB033-CABINE DE RESFRIAMENTO</v>
          </cell>
          <cell r="B32">
            <v>455992.22999999946</v>
          </cell>
        </row>
        <row r="33">
          <cell r="A33" t="str">
            <v>CEN052-CENTRO USINAGEM</v>
          </cell>
          <cell r="B33">
            <v>590999.61000000022</v>
          </cell>
        </row>
        <row r="34">
          <cell r="A34" t="str">
            <v>CEN062-CENTRO USINAGEM</v>
          </cell>
          <cell r="B34">
            <v>707074.41000000027</v>
          </cell>
        </row>
        <row r="35">
          <cell r="A35" t="str">
            <v>COL003-MÁQUINA DE COLA QUENTE</v>
          </cell>
          <cell r="B35">
            <v>181581.26000000004</v>
          </cell>
        </row>
        <row r="36">
          <cell r="A36" t="str">
            <v>FRE021-FRESADORA EMATIC</v>
          </cell>
          <cell r="B36">
            <v>287050.36999999953</v>
          </cell>
        </row>
        <row r="37">
          <cell r="A37" t="str">
            <v>INJ035-INJETORA DE EMATIC</v>
          </cell>
          <cell r="B37">
            <v>1503701.3400000015</v>
          </cell>
        </row>
        <row r="38">
          <cell r="A38" t="str">
            <v>LAS009-MÁQUINA LASER DE GRAVAÇÃO</v>
          </cell>
          <cell r="B38">
            <v>59931.37000000001</v>
          </cell>
        </row>
        <row r="39">
          <cell r="A39" t="str">
            <v>LAV035-LAVADORA DE SABRES</v>
          </cell>
          <cell r="B39">
            <v>239048.17</v>
          </cell>
        </row>
        <row r="40">
          <cell r="A40" t="str">
            <v>LUB006-LUBRIFICADORA</v>
          </cell>
          <cell r="B40">
            <v>233523.63000000024</v>
          </cell>
        </row>
        <row r="41">
          <cell r="A41" t="str">
            <v>REB001-REBARBADORA</v>
          </cell>
          <cell r="B41">
            <v>232120.25000000003</v>
          </cell>
        </row>
        <row r="42">
          <cell r="A42" t="str">
            <v>ROB044-ROBÔ</v>
          </cell>
          <cell r="B42">
            <v>452872.01999999944</v>
          </cell>
        </row>
        <row r="43">
          <cell r="A43" t="str">
            <v>SRG004-SERIGRAFIA</v>
          </cell>
          <cell r="B43">
            <v>365495.0599999993</v>
          </cell>
        </row>
        <row r="44">
          <cell r="A44" t="str">
            <v>TRP027-TRANSPORTADOR DE SABRES</v>
          </cell>
          <cell r="B44">
            <v>217158.55000000008</v>
          </cell>
        </row>
        <row r="45">
          <cell r="A45" t="str">
            <v>FOR042-FORNO ALIVIO DE TENSÕES</v>
          </cell>
          <cell r="B45">
            <v>336418.22000000026</v>
          </cell>
        </row>
        <row r="46">
          <cell r="A46" t="str">
            <v>RET020-RETÍFICA</v>
          </cell>
          <cell r="B46">
            <v>133617.51</v>
          </cell>
        </row>
        <row r="47">
          <cell r="A47" t="str">
            <v>ROL001-ROLIERMASCHINE</v>
          </cell>
          <cell r="B47">
            <v>650037.09999999974</v>
          </cell>
        </row>
        <row r="48">
          <cell r="A48" t="str">
            <v>TEM002-TÊMPERA POR INDUÇÃO</v>
          </cell>
          <cell r="B48">
            <v>2542725.5399999903</v>
          </cell>
        </row>
        <row r="49">
          <cell r="A49" t="str">
            <v>FOR044-FORNO ALÍVIO DE TENSÕES</v>
          </cell>
          <cell r="B49">
            <v>462308.66999999981</v>
          </cell>
        </row>
        <row r="50">
          <cell r="A50" t="str">
            <v>LAS001-MÁQUINA LASER DE CORTE E SOLDA</v>
          </cell>
          <cell r="B50">
            <v>4717426.110000005</v>
          </cell>
        </row>
        <row r="51">
          <cell r="A51" t="str">
            <v>LAS003-MÁQUINA LASER DE CORTE</v>
          </cell>
          <cell r="B51">
            <v>5301215.5499999886</v>
          </cell>
        </row>
        <row r="52">
          <cell r="A52" t="str">
            <v>LAS005-MÁQUINA LASER DE SOLDA</v>
          </cell>
          <cell r="B52">
            <v>1367549.4799999974</v>
          </cell>
        </row>
        <row r="53">
          <cell r="A53" t="str">
            <v>LAS007-MÁQUINA LASER DE CORTE DE STELLIT</v>
          </cell>
          <cell r="B53">
            <v>843232.5899999995</v>
          </cell>
        </row>
        <row r="54">
          <cell r="A54" t="str">
            <v>LAS011-MÁQUINA DE CORTE À LASER</v>
          </cell>
          <cell r="B54">
            <v>138936.10999999984</v>
          </cell>
        </row>
        <row r="55">
          <cell r="A55" t="str">
            <v>LIX005-LIXADEIRA</v>
          </cell>
          <cell r="B55">
            <v>241471.86000000019</v>
          </cell>
        </row>
        <row r="56">
          <cell r="A56" t="str">
            <v>ROB067-ROBÔ</v>
          </cell>
          <cell r="B56">
            <v>11351.15</v>
          </cell>
        </row>
        <row r="57">
          <cell r="A57" t="str">
            <v>FIL001-FILTRO OLEO DE CORTE</v>
          </cell>
          <cell r="B57">
            <v>2829802.639999989</v>
          </cell>
        </row>
        <row r="58">
          <cell r="A58" t="str">
            <v>RET012-RETÍFICA PLANA</v>
          </cell>
          <cell r="B58">
            <v>2064684.9100000006</v>
          </cell>
        </row>
        <row r="59">
          <cell r="A59" t="str">
            <v>RET013-RETÍFICA RANHURA</v>
          </cell>
          <cell r="B59">
            <v>2190208.1699999943</v>
          </cell>
        </row>
        <row r="60">
          <cell r="A60" t="str">
            <v>RET014-RETÍFICA RANHURA</v>
          </cell>
          <cell r="B60">
            <v>2069959.3099999935</v>
          </cell>
        </row>
        <row r="61">
          <cell r="A61" t="str">
            <v>RET015-RETÍFICA RANHURA</v>
          </cell>
          <cell r="B61">
            <v>2146002.349999995</v>
          </cell>
        </row>
        <row r="62">
          <cell r="A62" t="str">
            <v>RET016-RETÍFICA RANHURA</v>
          </cell>
          <cell r="B62">
            <v>1729322.9999999953</v>
          </cell>
        </row>
        <row r="63">
          <cell r="A63" t="str">
            <v>RET017-RETÍFICA RANHURA</v>
          </cell>
          <cell r="B63">
            <v>2045599.6299999962</v>
          </cell>
        </row>
        <row r="64">
          <cell r="A64" t="str">
            <v>RET032-RETIFICA RANHURA</v>
          </cell>
          <cell r="B64">
            <v>1717433.0499999966</v>
          </cell>
        </row>
        <row r="65">
          <cell r="A65" t="str">
            <v>APL001-APLAINADORA MAXITEC</v>
          </cell>
          <cell r="B65">
            <v>811304.92000000051</v>
          </cell>
        </row>
        <row r="66">
          <cell r="A66" t="str">
            <v>DES002-DESBOBINADOR</v>
          </cell>
          <cell r="B66">
            <v>674056.68999999959</v>
          </cell>
        </row>
        <row r="67">
          <cell r="A67" t="str">
            <v>FOR014-FORNO PRÉ-AQUECIMENTO</v>
          </cell>
          <cell r="B67">
            <v>532183.64999999979</v>
          </cell>
        </row>
        <row r="68">
          <cell r="A68" t="str">
            <v>FOR015-FORNO BANHO DE SAL</v>
          </cell>
          <cell r="B68">
            <v>1584642.3299999991</v>
          </cell>
        </row>
        <row r="69">
          <cell r="A69" t="str">
            <v>FOR016-FORNO DE REVENIMENTO</v>
          </cell>
          <cell r="B69">
            <v>873609.92000000039</v>
          </cell>
        </row>
        <row r="70">
          <cell r="A70" t="str">
            <v>FOR017-FORNO DE REVENIMENTO</v>
          </cell>
          <cell r="B70">
            <v>1077560.1400000004</v>
          </cell>
        </row>
        <row r="71">
          <cell r="A71" t="str">
            <v>FOR020-FORNO AUSTEMPERA</v>
          </cell>
          <cell r="B71">
            <v>1115857.2200000002</v>
          </cell>
        </row>
        <row r="72">
          <cell r="A72" t="str">
            <v>FOR062-FORNO BANHO DE SAL</v>
          </cell>
          <cell r="B72">
            <v>1253041.7100000007</v>
          </cell>
        </row>
        <row r="73">
          <cell r="A73" t="str">
            <v>MON001-MONOVIA</v>
          </cell>
          <cell r="B73">
            <v>1475211.209999999</v>
          </cell>
        </row>
        <row r="74">
          <cell r="A74" t="str">
            <v>PRE024-PRENSA</v>
          </cell>
          <cell r="B74">
            <v>857111.32</v>
          </cell>
        </row>
        <row r="75">
          <cell r="A75" t="str">
            <v>TAN637-TANQUE DE LAVAGEM</v>
          </cell>
          <cell r="B75">
            <v>22083.56</v>
          </cell>
        </row>
        <row r="76">
          <cell r="A76" t="str">
            <v>INJ001-INJETORA DE MAGNÉSIO</v>
          </cell>
          <cell r="B76">
            <v>4004118.7900000298</v>
          </cell>
        </row>
        <row r="77">
          <cell r="A77" t="str">
            <v>INJ002-INJETORA DE MAGNÉSIO</v>
          </cell>
          <cell r="B77">
            <v>4125201.3600000427</v>
          </cell>
        </row>
        <row r="78">
          <cell r="A78" t="str">
            <v>INJ003-INJETORA DE MAGNÉSIO</v>
          </cell>
          <cell r="B78">
            <v>2647473.630000005</v>
          </cell>
        </row>
        <row r="79">
          <cell r="A79" t="str">
            <v>INJ004-INJETORA DE MAGNÉSIO</v>
          </cell>
          <cell r="B79">
            <v>3475709.9699999974</v>
          </cell>
        </row>
        <row r="80">
          <cell r="A80" t="str">
            <v>INJ005-INJETORA DE ALUMÍNIO</v>
          </cell>
          <cell r="B80">
            <v>9019693.1100000925</v>
          </cell>
        </row>
        <row r="81">
          <cell r="A81" t="str">
            <v>INJ006-INJETORA DE MAGNÉSIO</v>
          </cell>
          <cell r="B81">
            <v>3538957.1000000038</v>
          </cell>
        </row>
        <row r="82">
          <cell r="A82" t="str">
            <v>INJ007-INJETORA DE MAGNÉSIO</v>
          </cell>
          <cell r="B82">
            <v>2013252.640000008</v>
          </cell>
        </row>
        <row r="83">
          <cell r="A83" t="str">
            <v>ROB015-ROBÔ</v>
          </cell>
          <cell r="B83">
            <v>126486.54999999999</v>
          </cell>
        </row>
        <row r="84">
          <cell r="A84" t="str">
            <v>ROB033-ROBÔ</v>
          </cell>
          <cell r="B84">
            <v>45592.489999999969</v>
          </cell>
        </row>
        <row r="85">
          <cell r="A85" t="str">
            <v>ROB060-ROBÔ</v>
          </cell>
          <cell r="B85">
            <v>58395.799999999996</v>
          </cell>
        </row>
        <row r="86">
          <cell r="A86" t="str">
            <v>ROB201-ROBO MANIPULADOR</v>
          </cell>
          <cell r="B86">
            <v>5813.1399999999994</v>
          </cell>
        </row>
        <row r="87">
          <cell r="A87" t="str">
            <v>BAL009-BALANCEADORA</v>
          </cell>
          <cell r="B87">
            <v>2960.93</v>
          </cell>
        </row>
        <row r="88">
          <cell r="A88" t="str">
            <v>CAB018-CABINE DE PINTURA</v>
          </cell>
          <cell r="B88">
            <v>202377.44999999998</v>
          </cell>
        </row>
        <row r="89">
          <cell r="A89" t="str">
            <v>CEN010-CENTRO DE USINAGEM</v>
          </cell>
          <cell r="B89">
            <v>497128.1</v>
          </cell>
        </row>
        <row r="90">
          <cell r="A90" t="str">
            <v>CEN021-CENTRO DE USINAGEM</v>
          </cell>
          <cell r="B90">
            <v>1345274.280000001</v>
          </cell>
        </row>
        <row r="91">
          <cell r="A91" t="str">
            <v>CEN050-CENTRO USINAGEM</v>
          </cell>
          <cell r="B91">
            <v>1075929.1700000004</v>
          </cell>
        </row>
        <row r="92">
          <cell r="A92" t="str">
            <v>CEN051-CENTRO DE USINAGEM</v>
          </cell>
          <cell r="B92">
            <v>1321099.7299999974</v>
          </cell>
        </row>
        <row r="93">
          <cell r="A93" t="str">
            <v>CEN053-CENTRO DE USINAGEM</v>
          </cell>
          <cell r="B93">
            <v>1064510.6599999983</v>
          </cell>
        </row>
        <row r="94">
          <cell r="A94" t="str">
            <v>CEN054-CENTRO DE USINAGEM</v>
          </cell>
          <cell r="B94">
            <v>1051073.0599999994</v>
          </cell>
        </row>
        <row r="95">
          <cell r="A95" t="str">
            <v>CEN055-CENTRO USINAGEM</v>
          </cell>
          <cell r="B95">
            <v>1256241.8699999996</v>
          </cell>
        </row>
        <row r="96">
          <cell r="A96" t="str">
            <v>CEN059-CENTRO DE USINAGEM</v>
          </cell>
          <cell r="B96">
            <v>1260195.4700000002</v>
          </cell>
        </row>
        <row r="97">
          <cell r="A97" t="str">
            <v>CEN061-CENTRO DE USINAGEM</v>
          </cell>
          <cell r="B97">
            <v>235299.75</v>
          </cell>
        </row>
        <row r="98">
          <cell r="A98" t="str">
            <v>CEN092-CENTRO DE USINAGEM</v>
          </cell>
          <cell r="B98">
            <v>204918.1599999998</v>
          </cell>
        </row>
        <row r="99">
          <cell r="A99" t="str">
            <v>CEN094-CENTRO DE USINAGEM</v>
          </cell>
          <cell r="B99">
            <v>251674.79999999967</v>
          </cell>
        </row>
        <row r="100">
          <cell r="A100" t="str">
            <v>CEN095-CENTRO DE USINAGEM</v>
          </cell>
          <cell r="B100">
            <v>176670.52000000019</v>
          </cell>
        </row>
        <row r="101">
          <cell r="A101" t="str">
            <v>CEN096-CENTRO DE USINAGEM</v>
          </cell>
          <cell r="B101">
            <v>231945.51999999976</v>
          </cell>
        </row>
        <row r="102">
          <cell r="A102" t="str">
            <v>CEN097-CENTRO DE USINAGEM</v>
          </cell>
          <cell r="B102">
            <v>132380.94</v>
          </cell>
        </row>
        <row r="103">
          <cell r="A103" t="str">
            <v>CEN130-CENTRO DE USINAGEM</v>
          </cell>
          <cell r="B103">
            <v>56968.080000000031</v>
          </cell>
        </row>
        <row r="104">
          <cell r="A104" t="str">
            <v>CEN131-CENTRO DE USINAGEM</v>
          </cell>
          <cell r="B104">
            <v>57090.540000000015</v>
          </cell>
        </row>
        <row r="105">
          <cell r="A105" t="str">
            <v>CEN132-CENTRO DE USINAGEM</v>
          </cell>
          <cell r="B105">
            <v>34798.700000000004</v>
          </cell>
        </row>
        <row r="106">
          <cell r="A106" t="str">
            <v>CEN133-CENTRO DE USINAGEM</v>
          </cell>
          <cell r="B106">
            <v>16866.750000000004</v>
          </cell>
        </row>
        <row r="107">
          <cell r="A107" t="str">
            <v>CEN134-CENTRO DE USINAGEM</v>
          </cell>
          <cell r="B107">
            <v>8844.93</v>
          </cell>
        </row>
        <row r="108">
          <cell r="A108" t="str">
            <v>CEN135-CENTRO DE USINAGEM</v>
          </cell>
          <cell r="B108">
            <v>0</v>
          </cell>
        </row>
        <row r="110">
          <cell r="A110" t="str">
            <v>CEN136-CENTRO DE USINAGEM</v>
          </cell>
          <cell r="B110">
            <v>2322.6</v>
          </cell>
        </row>
        <row r="111">
          <cell r="A111" t="str">
            <v>COR001-CORRENTE TRANSPORTE DE PEÇAS</v>
          </cell>
          <cell r="B111">
            <v>379749.63000000006</v>
          </cell>
        </row>
        <row r="112">
          <cell r="A112" t="str">
            <v>EST127-ESTUFA DE CURA E SECAGEM</v>
          </cell>
          <cell r="B112">
            <v>152070.80000000002</v>
          </cell>
        </row>
        <row r="113">
          <cell r="A113" t="str">
            <v>MAQ289-MÁQUINA DE PREPARAÇÃO SUPERFÍCIE</v>
          </cell>
          <cell r="B113">
            <v>137567.97</v>
          </cell>
        </row>
        <row r="114">
          <cell r="A114" t="str">
            <v>MON028-MONOVIA</v>
          </cell>
          <cell r="B114">
            <v>8017.57</v>
          </cell>
        </row>
        <row r="115">
          <cell r="A115" t="str">
            <v>TOR025-TORNO</v>
          </cell>
          <cell r="B115">
            <v>436417.84999999887</v>
          </cell>
        </row>
        <row r="116">
          <cell r="A116" t="str">
            <v>TRO001-TROVALIZADOR</v>
          </cell>
          <cell r="B116">
            <v>196045.69999999984</v>
          </cell>
        </row>
        <row r="117">
          <cell r="A117" t="str">
            <v>TRO002-TROVALIZADOR</v>
          </cell>
          <cell r="B117">
            <v>143379.6999999999</v>
          </cell>
        </row>
        <row r="118">
          <cell r="A118" t="str">
            <v>TRO003-TROVALIZADOR</v>
          </cell>
          <cell r="B118">
            <v>123450.30999999995</v>
          </cell>
        </row>
        <row r="119">
          <cell r="A119" t="str">
            <v>TRO004-TROVALIZADOR</v>
          </cell>
          <cell r="B119">
            <v>131271.49999999991</v>
          </cell>
        </row>
        <row r="120">
          <cell r="A120" t="str">
            <v>CAB107-CABINE DE TESTE</v>
          </cell>
          <cell r="B120">
            <v>305704.55000000022</v>
          </cell>
        </row>
        <row r="121">
          <cell r="A121" t="str">
            <v>CAB108-CABINE DE TESTE</v>
          </cell>
          <cell r="B121">
            <v>214767.05999999976</v>
          </cell>
        </row>
        <row r="122">
          <cell r="A122" t="str">
            <v>CAB109-CABINE DE TESTE</v>
          </cell>
          <cell r="B122">
            <v>112318.2499999999</v>
          </cell>
        </row>
        <row r="123">
          <cell r="A123" t="str">
            <v>CAB110-CABINE DE ESTANQUEIDADE</v>
          </cell>
          <cell r="B123">
            <v>109194.49999999996</v>
          </cell>
        </row>
        <row r="124">
          <cell r="A124" t="str">
            <v>CAB111-CABINE DE MONTAGEM</v>
          </cell>
          <cell r="B124">
            <v>77727.95</v>
          </cell>
        </row>
        <row r="125">
          <cell r="A125" t="str">
            <v>CAB112-CABINE DE MONTAGEM</v>
          </cell>
          <cell r="B125">
            <v>106169.36000000006</v>
          </cell>
        </row>
        <row r="126">
          <cell r="A126" t="str">
            <v>CAB114-CABINE DE MONTAGEM</v>
          </cell>
          <cell r="B126">
            <v>229737.41999999984</v>
          </cell>
        </row>
        <row r="127">
          <cell r="A127" t="str">
            <v>CAB115-CABINE DE TESTE</v>
          </cell>
          <cell r="B127">
            <v>177850.68000000005</v>
          </cell>
        </row>
        <row r="128">
          <cell r="A128" t="str">
            <v>CAB116-CABINE DE TESTE</v>
          </cell>
          <cell r="B128">
            <v>113622.52000000002</v>
          </cell>
        </row>
        <row r="129">
          <cell r="A129" t="str">
            <v>CAB117-CABINE DE REGULAGEM</v>
          </cell>
          <cell r="B129">
            <v>473760.06999999995</v>
          </cell>
        </row>
        <row r="130">
          <cell r="A130" t="str">
            <v>CAB118-CABINE DE REGULAGEM</v>
          </cell>
          <cell r="B130">
            <v>310092.51000000018</v>
          </cell>
        </row>
        <row r="131">
          <cell r="A131" t="str">
            <v>CAB119-CABINE DE REGULAGEM</v>
          </cell>
          <cell r="B131">
            <v>531143.42999999993</v>
          </cell>
        </row>
        <row r="132">
          <cell r="A132" t="str">
            <v>CAB120-CABINE DE REGULAGEM</v>
          </cell>
          <cell r="B132">
            <v>268944.67999999993</v>
          </cell>
        </row>
        <row r="133">
          <cell r="A133" t="str">
            <v>CAB121-CABINE DE TESTE</v>
          </cell>
          <cell r="B133">
            <v>180353.57000000004</v>
          </cell>
        </row>
        <row r="134">
          <cell r="A134" t="str">
            <v>CAB122 CABINE DE REGULAGEM E TESTE</v>
          </cell>
          <cell r="B134">
            <v>151255.24999999991</v>
          </cell>
        </row>
        <row r="135">
          <cell r="A135" t="str">
            <v>CAB124-CABINE DE REGULAGEM</v>
          </cell>
          <cell r="B135">
            <v>34694.160000000003</v>
          </cell>
        </row>
        <row r="136">
          <cell r="A136" t="str">
            <v>CAB125-CABINE DE REGULAGEM</v>
          </cell>
          <cell r="B136">
            <v>47726.37</v>
          </cell>
        </row>
        <row r="137">
          <cell r="A137" t="str">
            <v>CAB126-CABINE DE REGULAGEM</v>
          </cell>
          <cell r="B137">
            <v>9245.23</v>
          </cell>
        </row>
        <row r="138">
          <cell r="A138" t="str">
            <v>CAB127-CABINE DE REGULAGEM</v>
          </cell>
          <cell r="B138">
            <v>43158.84</v>
          </cell>
        </row>
        <row r="139">
          <cell r="A139" t="str">
            <v>CAB128-CABINE DE REGULAGEM</v>
          </cell>
          <cell r="B139">
            <v>25960.21999999999</v>
          </cell>
        </row>
        <row r="140">
          <cell r="A140" t="str">
            <v>CAB129-CABINE DE REGULAGEM</v>
          </cell>
          <cell r="B140">
            <v>26661.210000000003</v>
          </cell>
        </row>
        <row r="141">
          <cell r="A141" t="str">
            <v>EMP032 EMPILHADEIRA PNEUMÁTICA</v>
          </cell>
          <cell r="B141">
            <v>25289.399999999991</v>
          </cell>
        </row>
        <row r="142">
          <cell r="A142" t="str">
            <v>GRV008-GRAVADOR</v>
          </cell>
          <cell r="B142">
            <v>64530.080000000016</v>
          </cell>
        </row>
        <row r="143">
          <cell r="A143" t="str">
            <v>GRV009-GRAVADOR</v>
          </cell>
          <cell r="B143">
            <v>150828.33999999982</v>
          </cell>
        </row>
        <row r="144">
          <cell r="A144" t="str">
            <v>GRV012-GRAVADOR</v>
          </cell>
          <cell r="B144">
            <v>88873.600000000049</v>
          </cell>
        </row>
        <row r="145">
          <cell r="A145" t="str">
            <v>GRV014-GRAVADOR</v>
          </cell>
          <cell r="B145">
            <v>64150.560000000005</v>
          </cell>
        </row>
        <row r="146">
          <cell r="A146" t="str">
            <v>GRV015-GRAVADOR</v>
          </cell>
          <cell r="B146">
            <v>63345.64</v>
          </cell>
        </row>
        <row r="147">
          <cell r="A147" t="str">
            <v>IMP001-IMPRESSORA DE ETIQUETAS</v>
          </cell>
          <cell r="B147">
            <v>24174.29</v>
          </cell>
        </row>
        <row r="148">
          <cell r="A148" t="str">
            <v>LAS008-MÁQUINA LASER DE GRAVAÇÃO</v>
          </cell>
          <cell r="B148">
            <v>88442.330000000016</v>
          </cell>
        </row>
        <row r="149">
          <cell r="A149" t="str">
            <v>MAC004-MÁQUINA DE COLA</v>
          </cell>
          <cell r="B149">
            <v>48544.19000000001</v>
          </cell>
        </row>
        <row r="150">
          <cell r="A150" t="str">
            <v>MAC005-MÁQUINA DE COLA</v>
          </cell>
          <cell r="B150">
            <v>37454.39</v>
          </cell>
        </row>
        <row r="151">
          <cell r="A151" t="str">
            <v>MAQ159-MÁQUINA MONTAGEM TUBO</v>
          </cell>
          <cell r="B151">
            <v>150149.02999999991</v>
          </cell>
        </row>
        <row r="152">
          <cell r="A152" t="str">
            <v>ROB073-ROBO</v>
          </cell>
          <cell r="B152">
            <v>115555.28999999998</v>
          </cell>
        </row>
        <row r="153">
          <cell r="A153" t="str">
            <v>ROB150-ROBÔ COLABORATIVO ABB</v>
          </cell>
          <cell r="B153">
            <v>0</v>
          </cell>
        </row>
        <row r="154">
          <cell r="A154" t="str">
            <v>CAB130-CABINE DE TESTE DE EXPLOSÃO</v>
          </cell>
          <cell r="B154">
            <v>0</v>
          </cell>
        </row>
        <row r="155">
          <cell r="A155" t="str">
            <v>INJ010-INJETORA DE PLÁSTICO</v>
          </cell>
          <cell r="B155">
            <v>1632116.6299999969</v>
          </cell>
        </row>
        <row r="156">
          <cell r="A156" t="str">
            <v>INJ016-INJETORA DE PLÁSTICO</v>
          </cell>
          <cell r="B156">
            <v>1156636.4799999988</v>
          </cell>
        </row>
        <row r="157">
          <cell r="A157" t="str">
            <v>INJ017-INJETORA DE PLÁSTICO</v>
          </cell>
          <cell r="B157">
            <v>1799426.1200000006</v>
          </cell>
        </row>
        <row r="158">
          <cell r="A158" t="str">
            <v>INJ019-INJETORA DE PLÁSTICO</v>
          </cell>
          <cell r="B158">
            <v>1082818.2099999993</v>
          </cell>
        </row>
        <row r="159">
          <cell r="A159" t="str">
            <v>INJ031-INJETORA DE PLÁSTICO</v>
          </cell>
          <cell r="B159">
            <v>886122.78999999887</v>
          </cell>
        </row>
        <row r="160">
          <cell r="A160" t="str">
            <v>INJ032-INJETORA DE PLÁSTICO</v>
          </cell>
          <cell r="B160">
            <v>1460914.4199999957</v>
          </cell>
        </row>
        <row r="161">
          <cell r="A161" t="str">
            <v>INJ034-INJETORA DE PLÁSTICO</v>
          </cell>
          <cell r="B161">
            <v>1301409.1499999962</v>
          </cell>
        </row>
        <row r="162">
          <cell r="A162" t="str">
            <v>INJ036-INJETORA DE PLÁSTICO</v>
          </cell>
          <cell r="B162">
            <v>1402642.9799999977</v>
          </cell>
        </row>
        <row r="163">
          <cell r="A163" t="str">
            <v>INJ037-INJETORA DE PLÁSTICO</v>
          </cell>
          <cell r="B163">
            <v>599187.65000000119</v>
          </cell>
        </row>
        <row r="164">
          <cell r="A164" t="str">
            <v>INJ038-INJETORA DE PLÁSTICO</v>
          </cell>
          <cell r="B164">
            <v>723761.76999999979</v>
          </cell>
        </row>
        <row r="165">
          <cell r="A165" t="str">
            <v>INJ039-INJETORA DE PLÁSTICO</v>
          </cell>
          <cell r="B165">
            <v>888114.44999999914</v>
          </cell>
        </row>
        <row r="166">
          <cell r="A166" t="str">
            <v>INJ040-INJETORA DE PLÁSTICO</v>
          </cell>
          <cell r="B166">
            <v>666315.1599999998</v>
          </cell>
        </row>
        <row r="167">
          <cell r="A167" t="str">
            <v>INJ041-INJETORA DE PLÁSTICO</v>
          </cell>
          <cell r="B167">
            <v>228912.83</v>
          </cell>
        </row>
        <row r="168">
          <cell r="A168" t="str">
            <v>INJ042-INJETORA DE PLÁSTICO</v>
          </cell>
          <cell r="B168">
            <v>1005323.1400000001</v>
          </cell>
        </row>
        <row r="169">
          <cell r="A169" t="str">
            <v>INJ043-INJETORA DE PLÁSTICO</v>
          </cell>
          <cell r="B169">
            <v>116121.41999999998</v>
          </cell>
        </row>
        <row r="170">
          <cell r="A170" t="str">
            <v>INJ044-INJETORA DE PLÁSTICO</v>
          </cell>
          <cell r="B170">
            <v>145590.41000000003</v>
          </cell>
        </row>
        <row r="171">
          <cell r="A171" t="str">
            <v>INJ045-INJETORA DE PLÁSTICO</v>
          </cell>
          <cell r="B171">
            <v>197012.75</v>
          </cell>
        </row>
        <row r="172">
          <cell r="A172" t="str">
            <v>PON025-PONTE ROLANTE</v>
          </cell>
          <cell r="B172">
            <v>3711.6899999999996</v>
          </cell>
        </row>
        <row r="173">
          <cell r="A173" t="str">
            <v>ROB047-ROBÔ</v>
          </cell>
          <cell r="B173">
            <v>96634.239999999932</v>
          </cell>
        </row>
        <row r="174">
          <cell r="A174" t="str">
            <v>ROB061-ROBÔ</v>
          </cell>
          <cell r="B174">
            <v>15384.150000000003</v>
          </cell>
        </row>
        <row r="175">
          <cell r="A175" t="str">
            <v>ROB071-ROBÔ</v>
          </cell>
          <cell r="B175">
            <v>17869.139999999996</v>
          </cell>
        </row>
        <row r="176">
          <cell r="A176" t="str">
            <v>ROB084-ROBÔ</v>
          </cell>
          <cell r="B176">
            <v>13472.420000000002</v>
          </cell>
        </row>
        <row r="177">
          <cell r="A177" t="str">
            <v>ROB120-ROBÔ FANUC</v>
          </cell>
          <cell r="B177">
            <v>2565.54</v>
          </cell>
        </row>
        <row r="178">
          <cell r="A178" t="str">
            <v>ROB121-ROBÔ FANUC</v>
          </cell>
          <cell r="B178">
            <v>2635.83</v>
          </cell>
        </row>
        <row r="179">
          <cell r="A179" t="str">
            <v>ROB122-ROBÔ FANUC</v>
          </cell>
          <cell r="B179">
            <v>2467.0200000000004</v>
          </cell>
        </row>
        <row r="180">
          <cell r="A180" t="str">
            <v>SOL007-SOLDADORA FRICÇÃO</v>
          </cell>
          <cell r="B180">
            <v>459307.39999999932</v>
          </cell>
        </row>
        <row r="181">
          <cell r="A181" t="str">
            <v>SOL009-SOLDADORA FRICÇÃO</v>
          </cell>
          <cell r="B181">
            <v>527723.91000000027</v>
          </cell>
        </row>
        <row r="182">
          <cell r="A182" t="str">
            <v>SOL011-SOLDADORA FRICÇÃO</v>
          </cell>
          <cell r="B182">
            <v>204035.57</v>
          </cell>
        </row>
        <row r="183">
          <cell r="A183" t="str">
            <v>SOL013-SOLDADORA DE GÁS QUENTE</v>
          </cell>
          <cell r="B183">
            <v>3490.4100000000003</v>
          </cell>
        </row>
        <row r="184">
          <cell r="A184" t="str">
            <v>BRU003-BRUNIDORA</v>
          </cell>
          <cell r="B184">
            <v>276100.32999999984</v>
          </cell>
        </row>
        <row r="185">
          <cell r="A185" t="str">
            <v>BRU004-BRUNIDORA</v>
          </cell>
          <cell r="B185">
            <v>1133969.9099999988</v>
          </cell>
        </row>
        <row r="186">
          <cell r="A186" t="str">
            <v>BRU041-BRUNIDORA</v>
          </cell>
          <cell r="B186">
            <v>301628.56000000006</v>
          </cell>
        </row>
        <row r="187">
          <cell r="A187" t="str">
            <v>CEN056-CENTRO DE USINAGEM</v>
          </cell>
          <cell r="B187">
            <v>1406268.1599999997</v>
          </cell>
        </row>
        <row r="188">
          <cell r="A188" t="str">
            <v>CEN057-CENTRO DE USINAGEM</v>
          </cell>
          <cell r="B188">
            <v>1033536.4599999991</v>
          </cell>
        </row>
        <row r="189">
          <cell r="A189" t="str">
            <v>LAV015-LAVADORA DE PEÇAS</v>
          </cell>
          <cell r="B189">
            <v>81918.679999999935</v>
          </cell>
        </row>
        <row r="190">
          <cell r="A190" t="str">
            <v>RET030-RETÍFICA DE BIELAS</v>
          </cell>
          <cell r="B190">
            <v>1517076.1</v>
          </cell>
        </row>
        <row r="191">
          <cell r="A191" t="str">
            <v>RET033-RETÍFICA INTERNA</v>
          </cell>
          <cell r="B191">
            <v>1590614.3899999997</v>
          </cell>
        </row>
        <row r="192">
          <cell r="A192" t="str">
            <v>TRO011-TROVALIZADOR</v>
          </cell>
          <cell r="B192">
            <v>894391.49999999953</v>
          </cell>
        </row>
        <row r="193">
          <cell r="A193" t="str">
            <v>BRU002-BRUNIDORA</v>
          </cell>
          <cell r="B193">
            <v>252551.51</v>
          </cell>
        </row>
        <row r="194">
          <cell r="A194" t="str">
            <v>LAV040-LAVADORA DE PEÇAS</v>
          </cell>
          <cell r="B194">
            <v>163374.80999999991</v>
          </cell>
        </row>
        <row r="195">
          <cell r="A195" t="str">
            <v>LAV041-LAVADORA DE PEÇAS</v>
          </cell>
          <cell r="B195">
            <v>172581.72000000012</v>
          </cell>
        </row>
        <row r="196">
          <cell r="A196" t="str">
            <v>MAQ248-MÁQUINA DE ESCOVAR</v>
          </cell>
          <cell r="B196">
            <v>0</v>
          </cell>
        </row>
        <row r="197">
          <cell r="A197" t="str">
            <v>PRE031-PRENSA</v>
          </cell>
          <cell r="B197">
            <v>213952.09000000008</v>
          </cell>
        </row>
        <row r="198">
          <cell r="A198" t="str">
            <v>PRE032-PRENSA</v>
          </cell>
          <cell r="B198">
            <v>275834.17999999912</v>
          </cell>
        </row>
        <row r="199">
          <cell r="A199" t="str">
            <v>PRE046-PRENSA</v>
          </cell>
          <cell r="B199">
            <v>185953.83</v>
          </cell>
        </row>
        <row r="200">
          <cell r="A200" t="str">
            <v>PRE083-PRENSA</v>
          </cell>
          <cell r="B200">
            <v>13700.490000000002</v>
          </cell>
        </row>
        <row r="201">
          <cell r="A201" t="str">
            <v>REB010-REBARBADORA</v>
          </cell>
          <cell r="B201">
            <v>93492.020000000062</v>
          </cell>
        </row>
        <row r="202">
          <cell r="A202" t="str">
            <v>RET002-RETÍFICA</v>
          </cell>
          <cell r="B202">
            <v>1593976.0499999998</v>
          </cell>
        </row>
        <row r="203">
          <cell r="A203" t="str">
            <v>RET003-RETÍFICA</v>
          </cell>
          <cell r="B203">
            <v>1205452.4099999988</v>
          </cell>
        </row>
        <row r="204">
          <cell r="A204" t="str">
            <v>RET004-RETÍFICA</v>
          </cell>
          <cell r="B204">
            <v>1571071.1099999994</v>
          </cell>
        </row>
        <row r="205">
          <cell r="A205" t="str">
            <v>RET006-RETÍFICA</v>
          </cell>
          <cell r="B205">
            <v>1000447.4200000003</v>
          </cell>
        </row>
        <row r="206">
          <cell r="A206" t="str">
            <v>RET024-RETÍFICA DE ROSCAS</v>
          </cell>
          <cell r="B206">
            <v>328368.0399999994</v>
          </cell>
        </row>
        <row r="207">
          <cell r="A207" t="str">
            <v>RET026- RETÍFICA</v>
          </cell>
          <cell r="B207">
            <v>600437.08999999892</v>
          </cell>
        </row>
        <row r="208">
          <cell r="A208" t="str">
            <v>RET031-RETIFICA</v>
          </cell>
          <cell r="B208">
            <v>974945.0900000002</v>
          </cell>
        </row>
        <row r="209">
          <cell r="A209" t="str">
            <v>RET038-RETIFICA ZEMA</v>
          </cell>
          <cell r="B209">
            <v>1112346.1500000004</v>
          </cell>
        </row>
        <row r="210">
          <cell r="A210" t="str">
            <v>RET039-RETIFICA ZEMA</v>
          </cell>
          <cell r="B210">
            <v>556985.81000000006</v>
          </cell>
        </row>
        <row r="211">
          <cell r="A211" t="str">
            <v>RET042-RETIFICA ZEMA</v>
          </cell>
          <cell r="B211">
            <v>65458.57999999998</v>
          </cell>
        </row>
        <row r="212">
          <cell r="A212" t="str">
            <v>ROB028-ROBÔ</v>
          </cell>
          <cell r="B212">
            <v>401248.5699999996</v>
          </cell>
        </row>
        <row r="213">
          <cell r="A213" t="str">
            <v>ROB059-ROBÔ</v>
          </cell>
          <cell r="B213">
            <v>55801.569999999992</v>
          </cell>
        </row>
        <row r="214">
          <cell r="A214" t="str">
            <v>ROB072-ROBO</v>
          </cell>
          <cell r="B214">
            <v>41767.429999999957</v>
          </cell>
        </row>
        <row r="215">
          <cell r="A215" t="str">
            <v>TOR020-TORNO</v>
          </cell>
          <cell r="B215">
            <v>735110.06000000087</v>
          </cell>
        </row>
        <row r="216">
          <cell r="A216" t="str">
            <v>TOR024-TORNO</v>
          </cell>
          <cell r="B216">
            <v>536033.42999999912</v>
          </cell>
        </row>
        <row r="217">
          <cell r="A217" t="str">
            <v>TOR027-TORNO</v>
          </cell>
          <cell r="B217">
            <v>388277.7699999992</v>
          </cell>
        </row>
        <row r="218">
          <cell r="A218" t="str">
            <v>TOR038-TORNO MAZAK</v>
          </cell>
          <cell r="B218">
            <v>56721.13</v>
          </cell>
        </row>
        <row r="219">
          <cell r="A219" t="str">
            <v>TOR041-TORNO HORIZONTAL MAZAK</v>
          </cell>
          <cell r="B219">
            <v>4924.3</v>
          </cell>
        </row>
        <row r="220">
          <cell r="A220" t="str">
            <v>TOR044 - TORNO HORIZONTAL MAZAK</v>
          </cell>
          <cell r="B220">
            <v>5052.2299999999996</v>
          </cell>
        </row>
        <row r="221">
          <cell r="A221" t="str">
            <v>CEN084-CENTRO DE USINAGEM DMG</v>
          </cell>
          <cell r="B221">
            <v>3034646.1999999997</v>
          </cell>
        </row>
        <row r="222">
          <cell r="A222" t="str">
            <v>CEN088-CENTRO DE USINAGEM DMG</v>
          </cell>
          <cell r="B222">
            <v>1745936.3399999989</v>
          </cell>
        </row>
        <row r="223">
          <cell r="A223" t="str">
            <v>TOR039-TORNO MAZAK</v>
          </cell>
          <cell r="B223">
            <v>33914.35</v>
          </cell>
        </row>
        <row r="224">
          <cell r="A224" t="str">
            <v>CAR006-CARRO TRANSPORTADOR</v>
          </cell>
          <cell r="B224">
            <v>116440.29000000004</v>
          </cell>
        </row>
        <row r="225">
          <cell r="A225" t="str">
            <v>CAR007-CARRO TRANSPORTADOR</v>
          </cell>
          <cell r="B225">
            <v>40165.06</v>
          </cell>
        </row>
        <row r="226">
          <cell r="A226" t="str">
            <v>FOR001-FORNO CAMARA</v>
          </cell>
          <cell r="B226">
            <v>2171727.7099999981</v>
          </cell>
        </row>
        <row r="227">
          <cell r="A227" t="str">
            <v>FOR002-FORNO CAMARA</v>
          </cell>
          <cell r="B227">
            <v>1855951.6099999971</v>
          </cell>
        </row>
        <row r="228">
          <cell r="A228" t="str">
            <v>FOR088-FORNO A GÁS</v>
          </cell>
          <cell r="B228">
            <v>2787011.1099999966</v>
          </cell>
        </row>
        <row r="229">
          <cell r="A229" t="str">
            <v>FOR092-FORNO ELÉTRICO</v>
          </cell>
          <cell r="B229">
            <v>86296.430000000008</v>
          </cell>
        </row>
        <row r="230">
          <cell r="A230" t="str">
            <v>FOR099-FORNO ELÉTRICO</v>
          </cell>
          <cell r="B230">
            <v>22316.570000000011</v>
          </cell>
        </row>
        <row r="231">
          <cell r="A231" t="str">
            <v>FOR106-FORNO A GÁS</v>
          </cell>
          <cell r="B231">
            <v>694505.8</v>
          </cell>
        </row>
        <row r="232">
          <cell r="A232" t="str">
            <v>FOR121-FORNO A GÁS</v>
          </cell>
          <cell r="B232">
            <v>5712.85</v>
          </cell>
        </row>
        <row r="233">
          <cell r="A233" t="str">
            <v>GRV016-GRAVADOR</v>
          </cell>
          <cell r="B233">
            <v>112364.54999999989</v>
          </cell>
        </row>
        <row r="234">
          <cell r="A234" t="str">
            <v>GRV017-GRAVADOR</v>
          </cell>
          <cell r="B234">
            <v>33433.86</v>
          </cell>
        </row>
        <row r="235">
          <cell r="A235" t="str">
            <v>JAT003-JATO DE GRANALHA</v>
          </cell>
          <cell r="B235">
            <v>514783.08000000007</v>
          </cell>
        </row>
        <row r="236">
          <cell r="A236" t="str">
            <v>LAV078-LAVADORA FLEXICLEAN EKFE 2</v>
          </cell>
          <cell r="B236">
            <v>114950.24000000002</v>
          </cell>
        </row>
        <row r="237">
          <cell r="A237" t="str">
            <v>LAV079-LAVADORA FLEXICLEAN EKFE 4</v>
          </cell>
          <cell r="B237">
            <v>188808.65000000008</v>
          </cell>
        </row>
        <row r="238">
          <cell r="A238" t="str">
            <v>MAQ021-MÁQUINA APLICAÇÃO ISOLAÇÃO</v>
          </cell>
          <cell r="B238">
            <v>393302.68999999872</v>
          </cell>
        </row>
        <row r="239">
          <cell r="A239" t="str">
            <v>CEN017-CENTRO DE USINAGEM</v>
          </cell>
          <cell r="B239">
            <v>2457667.320000011</v>
          </cell>
        </row>
        <row r="240">
          <cell r="A240" t="str">
            <v>CEN018-CENTRO DE USINAGEM</v>
          </cell>
          <cell r="B240">
            <v>2469972.8100000122</v>
          </cell>
        </row>
        <row r="241">
          <cell r="A241" t="str">
            <v>CEN019-CENTRO DE USINAGEM</v>
          </cell>
          <cell r="B241">
            <v>2170090.7500000158</v>
          </cell>
        </row>
        <row r="242">
          <cell r="A242" t="str">
            <v>CEN022-CENTRO DE USINAGEM</v>
          </cell>
          <cell r="B242">
            <v>1910536.0500000038</v>
          </cell>
        </row>
        <row r="243">
          <cell r="A243" t="str">
            <v>CEN023-CENTRO DE USINAGEM</v>
          </cell>
          <cell r="B243">
            <v>1818989.0900000036</v>
          </cell>
        </row>
        <row r="244">
          <cell r="A244" t="str">
            <v>CEN024-CENTRO DE USINAGEM</v>
          </cell>
          <cell r="B244">
            <v>1879770.1399999976</v>
          </cell>
        </row>
        <row r="245">
          <cell r="A245" t="str">
            <v>CEN025-CENTRO DE USINAGEM</v>
          </cell>
          <cell r="B245">
            <v>2099308.7900000028</v>
          </cell>
        </row>
        <row r="246">
          <cell r="A246" t="str">
            <v>CEN026-CENTRO DE USINAGEM</v>
          </cell>
          <cell r="B246">
            <v>2315501.7700000023</v>
          </cell>
        </row>
        <row r="247">
          <cell r="A247" t="str">
            <v>CEN027-CENTRO DE USINAGEM</v>
          </cell>
          <cell r="B247">
            <v>1825612.85</v>
          </cell>
        </row>
        <row r="248">
          <cell r="A248" t="str">
            <v>CEN028-CENTRO DE USINAGEM</v>
          </cell>
          <cell r="B248">
            <v>1955630.9499999983</v>
          </cell>
        </row>
        <row r="249">
          <cell r="A249" t="str">
            <v>CEN029-CENTRO DE USINAGEM</v>
          </cell>
          <cell r="B249">
            <v>1761772.3799999985</v>
          </cell>
        </row>
        <row r="250">
          <cell r="A250" t="str">
            <v>CEN030-CENTRO DE USINAGEM</v>
          </cell>
          <cell r="B250">
            <v>2007905.3599999959</v>
          </cell>
        </row>
        <row r="251">
          <cell r="A251" t="str">
            <v>CEN031-CENTRO DE USINAGEM</v>
          </cell>
          <cell r="B251">
            <v>2237052.7299999981</v>
          </cell>
        </row>
        <row r="252">
          <cell r="A252" t="str">
            <v>CEN032-CENTRO DE USINAGEM</v>
          </cell>
          <cell r="B252">
            <v>1765004.5300000026</v>
          </cell>
        </row>
        <row r="253">
          <cell r="A253" t="str">
            <v>CEN033-CENTRO DE USINAGEM</v>
          </cell>
          <cell r="B253">
            <v>1526171.36</v>
          </cell>
        </row>
        <row r="254">
          <cell r="A254" t="str">
            <v>CEN034-CENTRO DE USINAGEM</v>
          </cell>
          <cell r="B254">
            <v>2148000.6199999982</v>
          </cell>
        </row>
        <row r="255">
          <cell r="A255" t="str">
            <v>CEN035-CENTRO DE USINAGEM</v>
          </cell>
          <cell r="B255">
            <v>2017860.7900000024</v>
          </cell>
        </row>
        <row r="256">
          <cell r="A256" t="str">
            <v>CEN036-CENTRO DE USINAGEM</v>
          </cell>
          <cell r="B256">
            <v>1408269.6500000013</v>
          </cell>
        </row>
        <row r="257">
          <cell r="A257" t="str">
            <v>CEN037-CENTRO DE USINAGEM</v>
          </cell>
          <cell r="B257">
            <v>1667086.5099999993</v>
          </cell>
        </row>
        <row r="258">
          <cell r="A258" t="str">
            <v>CEN038-CENTRO DE USINAGEM</v>
          </cell>
          <cell r="B258">
            <v>2012994.9999999974</v>
          </cell>
        </row>
        <row r="259">
          <cell r="A259" t="str">
            <v>CEN039-CENTRO DE USINAGEM</v>
          </cell>
          <cell r="B259">
            <v>2142149.7799999993</v>
          </cell>
        </row>
        <row r="260">
          <cell r="A260" t="str">
            <v>CEN040-CENTRO DE USINAGEM</v>
          </cell>
          <cell r="B260">
            <v>1524263.9900000046</v>
          </cell>
        </row>
        <row r="261">
          <cell r="A261" t="str">
            <v>CEN041-CENTRO DE USINAGEM</v>
          </cell>
          <cell r="B261">
            <v>1847379.6100000003</v>
          </cell>
        </row>
        <row r="262">
          <cell r="A262" t="str">
            <v>CEN042-CENTRO DE USINAGEM</v>
          </cell>
          <cell r="B262">
            <v>1470998.8500000013</v>
          </cell>
        </row>
        <row r="263">
          <cell r="A263" t="str">
            <v>CEN043-CENTRO DE USINAGEM</v>
          </cell>
          <cell r="B263">
            <v>780071.1099999994</v>
          </cell>
        </row>
        <row r="264">
          <cell r="A264" t="str">
            <v>CEN044-CENTRO DE USINAGEM</v>
          </cell>
          <cell r="B264">
            <v>607632.25000000012</v>
          </cell>
        </row>
        <row r="265">
          <cell r="A265" t="str">
            <v>CEN045-CENTRO DE USINAGEM</v>
          </cell>
          <cell r="B265">
            <v>706637.04000000085</v>
          </cell>
        </row>
        <row r="266">
          <cell r="A266" t="str">
            <v>CEN046-CENTRO DE USINAGEM</v>
          </cell>
          <cell r="B266">
            <v>920557.4599999995</v>
          </cell>
        </row>
        <row r="267">
          <cell r="A267" t="str">
            <v>CEN047-CENTRO DE USINAGEM</v>
          </cell>
          <cell r="B267">
            <v>721288.87</v>
          </cell>
        </row>
        <row r="268">
          <cell r="A268" t="str">
            <v>CEN048-CENTRO DE USINAGEM</v>
          </cell>
          <cell r="B268">
            <v>748247.16999999993</v>
          </cell>
        </row>
        <row r="269">
          <cell r="A269" t="str">
            <v>CEN049-CENTRO DE USINAGEM</v>
          </cell>
          <cell r="B269">
            <v>650735.12000000011</v>
          </cell>
        </row>
        <row r="270">
          <cell r="A270" t="str">
            <v>CEN069-CENTRO DE USINAGEM</v>
          </cell>
          <cell r="B270">
            <v>760274.32999999949</v>
          </cell>
        </row>
        <row r="271">
          <cell r="A271" t="str">
            <v>CEN070-CENTRO DE USINAGEM</v>
          </cell>
          <cell r="B271">
            <v>645255.17999999854</v>
          </cell>
        </row>
        <row r="272">
          <cell r="A272" t="str">
            <v>CEN071-CENTRO DE USINAGEM</v>
          </cell>
          <cell r="B272">
            <v>1179276.8399999999</v>
          </cell>
        </row>
        <row r="273">
          <cell r="A273" t="str">
            <v>CEN072-CENTRO USINAGEM</v>
          </cell>
          <cell r="B273">
            <v>577021.89999999967</v>
          </cell>
        </row>
        <row r="274">
          <cell r="A274" t="str">
            <v>CEN073-CENTRO USINAGEM</v>
          </cell>
          <cell r="B274">
            <v>844335.76000000047</v>
          </cell>
        </row>
        <row r="275">
          <cell r="A275" t="str">
            <v>CEN074-CENTRO USINAGEM</v>
          </cell>
          <cell r="B275">
            <v>512214.0299999995</v>
          </cell>
        </row>
        <row r="276">
          <cell r="A276" t="str">
            <v>CEN075-CENTRO USINAGEM</v>
          </cell>
          <cell r="B276">
            <v>748539.00999999931</v>
          </cell>
        </row>
        <row r="277">
          <cell r="A277" t="str">
            <v>CEN076-CENTRO USINAGEM</v>
          </cell>
          <cell r="B277">
            <v>853598.99000000046</v>
          </cell>
        </row>
        <row r="278">
          <cell r="A278" t="str">
            <v>CEN077-CENTRO USINAGEM</v>
          </cell>
          <cell r="B278">
            <v>545069.4499999996</v>
          </cell>
        </row>
        <row r="279">
          <cell r="A279" t="str">
            <v>CEN078-CENTRO USINAGEM</v>
          </cell>
          <cell r="B279">
            <v>992937.67999999819</v>
          </cell>
        </row>
        <row r="280">
          <cell r="A280" t="str">
            <v>CEN079-CENTRO USINAGEM</v>
          </cell>
          <cell r="B280">
            <v>746514.70999999845</v>
          </cell>
        </row>
        <row r="281">
          <cell r="A281" t="str">
            <v>CEN080-CENTRO USINAGEM</v>
          </cell>
          <cell r="B281">
            <v>908242.97999999905</v>
          </cell>
        </row>
        <row r="282">
          <cell r="A282" t="str">
            <v>CEN081-CENTRO USINAGEM</v>
          </cell>
          <cell r="B282">
            <v>951692.56999999937</v>
          </cell>
        </row>
        <row r="283">
          <cell r="A283" t="str">
            <v>CEN082-CENTRO USINAGEM</v>
          </cell>
          <cell r="B283">
            <v>999023.54999999923</v>
          </cell>
        </row>
        <row r="284">
          <cell r="A284" t="str">
            <v>CEN085-CENTRO USINAGEM</v>
          </cell>
          <cell r="B284">
            <v>1204827.4600000021</v>
          </cell>
        </row>
        <row r="285">
          <cell r="A285" t="str">
            <v>CEN086-CENTRO USINAGEM</v>
          </cell>
          <cell r="B285">
            <v>1900016.920000002</v>
          </cell>
        </row>
        <row r="286">
          <cell r="A286" t="str">
            <v>CEN089-CENTRO USINAGEM</v>
          </cell>
          <cell r="B286">
            <v>1443292.7799999991</v>
          </cell>
        </row>
        <row r="287">
          <cell r="A287" t="str">
            <v>CEN090-CENTRO USINAGEM</v>
          </cell>
          <cell r="B287">
            <v>1079724.6400000011</v>
          </cell>
        </row>
        <row r="288">
          <cell r="A288" t="str">
            <v>CEN098-CENTRO USINAGEM</v>
          </cell>
          <cell r="B288">
            <v>433010.19000000006</v>
          </cell>
        </row>
        <row r="289">
          <cell r="A289" t="str">
            <v>CEN099-CENTRO USINAGEM</v>
          </cell>
          <cell r="B289">
            <v>313859.99999999988</v>
          </cell>
        </row>
        <row r="290">
          <cell r="A290" t="str">
            <v>CEN100-CENTRO DE USINAGEM</v>
          </cell>
          <cell r="B290">
            <v>89138.650000000009</v>
          </cell>
        </row>
        <row r="291">
          <cell r="A291" t="str">
            <v>CEN101-CENTRO DE USINAGEM</v>
          </cell>
          <cell r="B291">
            <v>136190.71</v>
          </cell>
        </row>
        <row r="292">
          <cell r="A292" t="str">
            <v>CEN102-CENTRO USINAGEM</v>
          </cell>
          <cell r="B292">
            <v>100522.27</v>
          </cell>
        </row>
        <row r="293">
          <cell r="A293" t="str">
            <v>CEN103-CENTRO USINAGEM</v>
          </cell>
          <cell r="B293">
            <v>136113.20000000001</v>
          </cell>
        </row>
        <row r="294">
          <cell r="A294" t="str">
            <v>CEN104-CENTRO USINAGEM</v>
          </cell>
          <cell r="B294">
            <v>106586.18999999997</v>
          </cell>
        </row>
        <row r="295">
          <cell r="A295" t="str">
            <v>CEN105-CENTRO USINAGEM</v>
          </cell>
          <cell r="B295">
            <v>50594.80000000001</v>
          </cell>
        </row>
        <row r="296">
          <cell r="A296" t="str">
            <v>CEN106-CENTRO USINAGEM</v>
          </cell>
          <cell r="B296">
            <v>613224.92000000027</v>
          </cell>
        </row>
        <row r="297">
          <cell r="A297" t="str">
            <v>CEN107-CENTRO USINAGEM</v>
          </cell>
          <cell r="B297">
            <v>98617.58</v>
          </cell>
        </row>
        <row r="298">
          <cell r="A298" t="str">
            <v>CEN108-CENTRO USINAGEM</v>
          </cell>
          <cell r="B298">
            <v>146864.24000000002</v>
          </cell>
        </row>
        <row r="299">
          <cell r="A299" t="str">
            <v>CEN109-CENTRO USINAGEM</v>
          </cell>
          <cell r="B299">
            <v>23958.459999999988</v>
          </cell>
        </row>
        <row r="300">
          <cell r="A300" t="str">
            <v>CEN110-CENTRO USINAGEM</v>
          </cell>
          <cell r="B300">
            <v>52906.73</v>
          </cell>
        </row>
        <row r="301">
          <cell r="A301" t="str">
            <v>CEN111-CENTRO USINAGEM</v>
          </cell>
          <cell r="B301">
            <v>8842.619999999999</v>
          </cell>
        </row>
        <row r="302">
          <cell r="A302" t="str">
            <v>CEN112-CENTRO USINAGEM</v>
          </cell>
          <cell r="B302">
            <v>23168.38</v>
          </cell>
        </row>
        <row r="303">
          <cell r="A303" t="str">
            <v>CEN113-CENTRO USINAGEM</v>
          </cell>
          <cell r="B303">
            <v>33992.410000000003</v>
          </cell>
        </row>
        <row r="304">
          <cell r="A304" t="str">
            <v>CEN114-CENTRO USINAGEM</v>
          </cell>
          <cell r="B304">
            <v>17679.82</v>
          </cell>
        </row>
        <row r="305">
          <cell r="A305" t="str">
            <v>CEN115-CENTRO USINAGEM</v>
          </cell>
          <cell r="B305">
            <v>33569.80000000001</v>
          </cell>
        </row>
        <row r="306">
          <cell r="A306" t="str">
            <v>CEN116-CENTRO USINAGEM</v>
          </cell>
          <cell r="B306">
            <v>40689.32</v>
          </cell>
        </row>
        <row r="307">
          <cell r="A307" t="str">
            <v>FIL024-FILTRO FLUÍDO DE CORTE</v>
          </cell>
          <cell r="B307">
            <v>640313.63</v>
          </cell>
        </row>
        <row r="308">
          <cell r="A308" t="str">
            <v>FIL042-FILTRO FLUÍDO DE CORTE</v>
          </cell>
          <cell r="B308">
            <v>388679.87000000017</v>
          </cell>
        </row>
        <row r="309">
          <cell r="A309" t="str">
            <v>MAN010-MANDRILADORA</v>
          </cell>
          <cell r="B309">
            <v>6174713.5200000443</v>
          </cell>
        </row>
        <row r="310">
          <cell r="A310" t="str">
            <v>MAQ201-MAQUINA MEDIÇÃO COORD DURAMAX</v>
          </cell>
          <cell r="B310">
            <v>15971.91</v>
          </cell>
        </row>
        <row r="311">
          <cell r="A311" t="str">
            <v>MOD017-MONTADORA</v>
          </cell>
          <cell r="B311">
            <v>729183.78999999911</v>
          </cell>
        </row>
        <row r="312">
          <cell r="A312" t="str">
            <v>MOD021-MONTADORA</v>
          </cell>
          <cell r="B312">
            <v>926980.62999999931</v>
          </cell>
        </row>
        <row r="313">
          <cell r="A313" t="str">
            <v>MOD025-MONTADORA TÉRMICA DE BUCHAS</v>
          </cell>
          <cell r="B313">
            <v>27975.929999999993</v>
          </cell>
        </row>
        <row r="314">
          <cell r="A314" t="str">
            <v>PRE048-PRENSA</v>
          </cell>
          <cell r="B314">
            <v>27697.150000000009</v>
          </cell>
        </row>
        <row r="315">
          <cell r="A315" t="str">
            <v>PRE053-PRENSA</v>
          </cell>
          <cell r="B315">
            <v>208126.24999999977</v>
          </cell>
        </row>
        <row r="316">
          <cell r="A316" t="str">
            <v>PRE054-PRENSA</v>
          </cell>
          <cell r="B316">
            <v>258043.48999999985</v>
          </cell>
        </row>
        <row r="317">
          <cell r="A317" t="str">
            <v>ROB045-ROBÔ</v>
          </cell>
          <cell r="B317">
            <v>179717.12999999989</v>
          </cell>
        </row>
        <row r="318">
          <cell r="A318" t="str">
            <v>ROB046-ROBÔ</v>
          </cell>
          <cell r="B318">
            <v>228847.28999999989</v>
          </cell>
        </row>
        <row r="319">
          <cell r="A319" t="str">
            <v>ROB063-ROBÔ</v>
          </cell>
          <cell r="B319">
            <v>96725.410000000018</v>
          </cell>
        </row>
        <row r="320">
          <cell r="A320" t="str">
            <v>ROB068-ROBÔ</v>
          </cell>
          <cell r="B320">
            <v>8375.989999999998</v>
          </cell>
        </row>
        <row r="321">
          <cell r="A321" t="str">
            <v>ROB069-ROBÔ</v>
          </cell>
          <cell r="B321">
            <v>15096.51</v>
          </cell>
        </row>
        <row r="322">
          <cell r="A322" t="str">
            <v>ROB078-ROBÔ</v>
          </cell>
          <cell r="B322">
            <v>16250.59</v>
          </cell>
        </row>
        <row r="323">
          <cell r="A323" t="str">
            <v>ROB079-ROBÔ</v>
          </cell>
          <cell r="B323">
            <v>50759</v>
          </cell>
        </row>
        <row r="324">
          <cell r="A324" t="str">
            <v>ROB080-ROBÔ</v>
          </cell>
          <cell r="B324">
            <v>19945.87</v>
          </cell>
        </row>
        <row r="325">
          <cell r="A325" t="str">
            <v>ROB081-ROBÔ</v>
          </cell>
          <cell r="B325">
            <v>131.63999999999999</v>
          </cell>
        </row>
        <row r="326">
          <cell r="A326" t="str">
            <v>ROB082-ROBÔ</v>
          </cell>
          <cell r="B326">
            <v>5904.61</v>
          </cell>
        </row>
        <row r="327">
          <cell r="A327" t="str">
            <v>ROB083-ROBÔ</v>
          </cell>
          <cell r="B327">
            <v>0</v>
          </cell>
        </row>
        <row r="328">
          <cell r="A328" t="str">
            <v>ROB087-ROBÔ</v>
          </cell>
          <cell r="B328">
            <v>3696.380000000001</v>
          </cell>
        </row>
        <row r="329">
          <cell r="A329" t="str">
            <v>ROB088-ROBÔ</v>
          </cell>
          <cell r="B329">
            <v>3961.76</v>
          </cell>
        </row>
        <row r="330">
          <cell r="A330" t="str">
            <v>ROB125-ROBÔ</v>
          </cell>
          <cell r="B330">
            <v>2272.17</v>
          </cell>
        </row>
        <row r="331">
          <cell r="A331" t="str">
            <v>ROB126-ROBÔ</v>
          </cell>
          <cell r="B331">
            <v>10724.32</v>
          </cell>
        </row>
        <row r="332">
          <cell r="A332" t="str">
            <v>ROB127-ROBÔ</v>
          </cell>
          <cell r="B332">
            <v>25414.42</v>
          </cell>
        </row>
        <row r="333">
          <cell r="A333" t="str">
            <v>ROB129-ROBÔ</v>
          </cell>
          <cell r="B333">
            <v>795.68000000000006</v>
          </cell>
        </row>
        <row r="334">
          <cell r="A334" t="str">
            <v>ROB130-ROBÔ</v>
          </cell>
          <cell r="B334">
            <v>10901.51</v>
          </cell>
        </row>
        <row r="335">
          <cell r="A335" t="str">
            <v>ROB131-ROBÔ</v>
          </cell>
          <cell r="B335">
            <v>1133.44</v>
          </cell>
        </row>
        <row r="336">
          <cell r="A336" t="str">
            <v>ROB132-ROBÔ</v>
          </cell>
          <cell r="B336">
            <v>0</v>
          </cell>
        </row>
        <row r="337">
          <cell r="A337" t="str">
            <v>ROB133-ROBÔ</v>
          </cell>
          <cell r="B337">
            <v>3354.8300000000004</v>
          </cell>
        </row>
        <row r="338">
          <cell r="A338" t="str">
            <v>ROB134-ROBÔ</v>
          </cell>
          <cell r="B338">
            <v>7604.28</v>
          </cell>
        </row>
        <row r="339">
          <cell r="A339" t="str">
            <v>ROB136-ROBÔ</v>
          </cell>
          <cell r="B339">
            <v>1950.3500000000001</v>
          </cell>
        </row>
        <row r="340">
          <cell r="A340" t="str">
            <v>TOR022-TORNO</v>
          </cell>
          <cell r="B340">
            <v>1043336.249999999</v>
          </cell>
        </row>
        <row r="341">
          <cell r="A341" t="str">
            <v>TOR026-TORNO</v>
          </cell>
          <cell r="B341">
            <v>658724.86999999953</v>
          </cell>
        </row>
        <row r="342">
          <cell r="A342" t="str">
            <v>TOR030-TORNO</v>
          </cell>
          <cell r="B342">
            <v>660481.54999999958</v>
          </cell>
        </row>
        <row r="343">
          <cell r="A343" t="str">
            <v>TOR033-TORNO</v>
          </cell>
          <cell r="B343">
            <v>620665.9299999997</v>
          </cell>
        </row>
        <row r="344">
          <cell r="A344" t="str">
            <v>BRU008-BRUNIDORA</v>
          </cell>
          <cell r="B344">
            <v>227581.53000000014</v>
          </cell>
        </row>
        <row r="345">
          <cell r="A345" t="str">
            <v>BRU009-BRUNIDORA</v>
          </cell>
          <cell r="B345">
            <v>300158.14000000042</v>
          </cell>
        </row>
        <row r="346">
          <cell r="A346" t="str">
            <v>BRU010-BRUNIDORA</v>
          </cell>
          <cell r="B346">
            <v>244315.57000000024</v>
          </cell>
        </row>
        <row r="347">
          <cell r="A347" t="str">
            <v>BRU011-BRUNIDORA</v>
          </cell>
          <cell r="B347">
            <v>281713.41000000003</v>
          </cell>
        </row>
        <row r="348">
          <cell r="A348" t="str">
            <v>BRU012-BRUNIDORA</v>
          </cell>
          <cell r="B348">
            <v>169978.84999999974</v>
          </cell>
        </row>
        <row r="349">
          <cell r="A349" t="str">
            <v>BRU014-BRUNIDORA</v>
          </cell>
          <cell r="B349">
            <v>188408.22999999998</v>
          </cell>
        </row>
        <row r="350">
          <cell r="A350" t="str">
            <v>BRU024-BRUNIDORA</v>
          </cell>
          <cell r="B350">
            <v>285408.2799999998</v>
          </cell>
        </row>
        <row r="351">
          <cell r="A351" t="str">
            <v>BRU025-BRUNIDORA</v>
          </cell>
          <cell r="B351">
            <v>101310.54999999999</v>
          </cell>
        </row>
        <row r="352">
          <cell r="A352" t="str">
            <v>BRU026-BRUNIDORA</v>
          </cell>
          <cell r="B352">
            <v>162526.91999999981</v>
          </cell>
        </row>
        <row r="353">
          <cell r="A353" t="str">
            <v>BRU027-BRUNIDORA</v>
          </cell>
          <cell r="B353">
            <v>215121.61999999976</v>
          </cell>
        </row>
        <row r="354">
          <cell r="A354" t="str">
            <v>BRU028-BRUNIDORA</v>
          </cell>
          <cell r="B354">
            <v>296544.74999999971</v>
          </cell>
        </row>
        <row r="355">
          <cell r="A355" t="str">
            <v>BRU029-BRUNIDORA</v>
          </cell>
          <cell r="B355">
            <v>228075.12999999963</v>
          </cell>
        </row>
        <row r="356">
          <cell r="A356" t="str">
            <v>BRU030-BRUNIDORA</v>
          </cell>
          <cell r="B356">
            <v>286543.5399999998</v>
          </cell>
        </row>
        <row r="357">
          <cell r="A357" t="str">
            <v>BRU031-BRUNIDORA</v>
          </cell>
          <cell r="B357">
            <v>137880.82999999993</v>
          </cell>
        </row>
        <row r="358">
          <cell r="A358" t="str">
            <v>BRU032-BRUNIDORA</v>
          </cell>
          <cell r="B358">
            <v>338352.5699999996</v>
          </cell>
        </row>
        <row r="359">
          <cell r="A359" t="str">
            <v>BRU033-BRUNIDORA</v>
          </cell>
          <cell r="B359">
            <v>153847.09999999992</v>
          </cell>
        </row>
        <row r="360">
          <cell r="A360" t="str">
            <v>BRU034-BRUNIDORA</v>
          </cell>
          <cell r="B360">
            <v>309361.15000000008</v>
          </cell>
        </row>
        <row r="361">
          <cell r="A361" t="str">
            <v>BRU035-BRUNIDORA</v>
          </cell>
          <cell r="B361">
            <v>278579.61999999988</v>
          </cell>
        </row>
        <row r="362">
          <cell r="A362" t="str">
            <v>BRU036-BRUNIDORA</v>
          </cell>
          <cell r="B362">
            <v>182308.7199999998</v>
          </cell>
        </row>
        <row r="363">
          <cell r="A363" t="str">
            <v>BRU037-BRUNIDORA</v>
          </cell>
          <cell r="B363">
            <v>262433.08999999997</v>
          </cell>
        </row>
        <row r="364">
          <cell r="A364" t="str">
            <v>BRU038-BRUNIDORA</v>
          </cell>
          <cell r="B364">
            <v>148333.1099999999</v>
          </cell>
        </row>
        <row r="365">
          <cell r="A365" t="str">
            <v>BRU039-BRUNIDORA</v>
          </cell>
          <cell r="B365">
            <v>293573.11999999953</v>
          </cell>
        </row>
        <row r="366">
          <cell r="A366" t="str">
            <v>BRU040-BRUNIDORA</v>
          </cell>
          <cell r="B366">
            <v>132819.7099999999</v>
          </cell>
        </row>
        <row r="367">
          <cell r="A367" t="str">
            <v>BRU042-BRUNIDORA</v>
          </cell>
          <cell r="B367">
            <v>295009.91999999975</v>
          </cell>
        </row>
        <row r="368">
          <cell r="A368" t="str">
            <v>BRU043-BRUNIDORA</v>
          </cell>
          <cell r="B368">
            <v>100768.73999999998</v>
          </cell>
        </row>
        <row r="369">
          <cell r="A369" t="str">
            <v>BRU044-BRUNIDORA</v>
          </cell>
          <cell r="B369">
            <v>515162.57999999967</v>
          </cell>
        </row>
        <row r="370">
          <cell r="A370" t="str">
            <v>BRU045-BRUNIDORA</v>
          </cell>
          <cell r="B370">
            <v>113037.16999999998</v>
          </cell>
        </row>
        <row r="371">
          <cell r="A371" t="str">
            <v>BRU046-BRUNIDORA</v>
          </cell>
          <cell r="B371">
            <v>560654.16000000015</v>
          </cell>
        </row>
        <row r="372">
          <cell r="A372" t="str">
            <v>BRU047-BRUNIDORA</v>
          </cell>
          <cell r="B372">
            <v>78477.42999999992</v>
          </cell>
        </row>
        <row r="373">
          <cell r="A373" t="str">
            <v>BRU048-BRUNIDORA</v>
          </cell>
          <cell r="B373">
            <v>387641.80000000016</v>
          </cell>
        </row>
        <row r="374">
          <cell r="A374" t="str">
            <v>BRU049-BRUNIDORA</v>
          </cell>
          <cell r="B374">
            <v>370158.01000000007</v>
          </cell>
        </row>
        <row r="375">
          <cell r="A375" t="str">
            <v>BRU050-BRUNIDORA</v>
          </cell>
          <cell r="B375">
            <v>117043.81</v>
          </cell>
        </row>
        <row r="376">
          <cell r="A376" t="str">
            <v>BRU051-BRUNIDORA</v>
          </cell>
          <cell r="B376">
            <v>63801.02000000004</v>
          </cell>
        </row>
        <row r="377">
          <cell r="A377" t="str">
            <v>BRU052-BRUNIDORA</v>
          </cell>
          <cell r="B377">
            <v>96678.39999999998</v>
          </cell>
        </row>
        <row r="378">
          <cell r="A378" t="str">
            <v>BRU053-BRUNIDORA</v>
          </cell>
          <cell r="B378">
            <v>64970.99</v>
          </cell>
        </row>
        <row r="379">
          <cell r="A379" t="str">
            <v>BRU054-BRUNIDORA</v>
          </cell>
          <cell r="B379">
            <v>100575.61999999995</v>
          </cell>
        </row>
        <row r="380">
          <cell r="A380" t="str">
            <v>BRU055-BRUNIDORA</v>
          </cell>
          <cell r="B380">
            <v>29253.980000000014</v>
          </cell>
        </row>
        <row r="381">
          <cell r="A381" t="str">
            <v>BRU056-BRUNIDORA</v>
          </cell>
          <cell r="B381">
            <v>31661.02</v>
          </cell>
        </row>
        <row r="382">
          <cell r="A382" t="str">
            <v>BRU057-BRUNIDORA</v>
          </cell>
          <cell r="B382">
            <v>79244.47</v>
          </cell>
        </row>
        <row r="383">
          <cell r="A383" t="str">
            <v>BRU058-BRUNIDORA</v>
          </cell>
          <cell r="B383">
            <v>8785</v>
          </cell>
        </row>
        <row r="384">
          <cell r="A384" t="str">
            <v>BRU059-BRUNIDORA</v>
          </cell>
          <cell r="B384">
            <v>5977.3600000000006</v>
          </cell>
        </row>
        <row r="385">
          <cell r="A385" t="str">
            <v>BRU060-BRUNIDORA</v>
          </cell>
          <cell r="B385">
            <v>8967.3100000000013</v>
          </cell>
        </row>
        <row r="386">
          <cell r="A386" t="str">
            <v>BRU061-BRUNIDORA</v>
          </cell>
          <cell r="B386">
            <v>1467.8999999999999</v>
          </cell>
        </row>
        <row r="387">
          <cell r="A387" t="str">
            <v>BRU062-BRUNIDORA</v>
          </cell>
          <cell r="B387">
            <v>43706.689999999995</v>
          </cell>
        </row>
        <row r="388">
          <cell r="A388" t="str">
            <v>BRU063-BRUNIDORA</v>
          </cell>
          <cell r="B388">
            <v>3980.8799999999997</v>
          </cell>
        </row>
        <row r="389">
          <cell r="A389" t="str">
            <v>BRU064-BRUNIDORA</v>
          </cell>
          <cell r="B389">
            <v>0</v>
          </cell>
        </row>
        <row r="390">
          <cell r="A390" t="str">
            <v>BRU065-BRUNIDORA</v>
          </cell>
          <cell r="B390">
            <v>13232.259999999998</v>
          </cell>
        </row>
        <row r="391">
          <cell r="A391" t="str">
            <v>BRU066-BRUNIDORA</v>
          </cell>
          <cell r="B391">
            <v>18904.18</v>
          </cell>
        </row>
        <row r="392">
          <cell r="A392" t="str">
            <v>BRU067-BRUNIDORA</v>
          </cell>
          <cell r="B392">
            <v>1760.24</v>
          </cell>
        </row>
        <row r="393">
          <cell r="A393" t="str">
            <v>BRU068-BRUNIDORA</v>
          </cell>
          <cell r="B393">
            <v>6595.03</v>
          </cell>
        </row>
        <row r="394">
          <cell r="A394" t="str">
            <v>BRU069-BRUNIDORA</v>
          </cell>
          <cell r="B394">
            <v>3039.2300000000005</v>
          </cell>
        </row>
        <row r="395">
          <cell r="A395" t="str">
            <v>BRU070-BRUNIDORA</v>
          </cell>
          <cell r="B395">
            <v>1301.3700000000001</v>
          </cell>
        </row>
        <row r="396">
          <cell r="A396" t="str">
            <v>BRU071-BRUNIDORA</v>
          </cell>
          <cell r="B396">
            <v>738.45</v>
          </cell>
        </row>
        <row r="397">
          <cell r="A397" t="str">
            <v>BRU072-BRUNIDORA</v>
          </cell>
          <cell r="B397">
            <v>19338.539999999994</v>
          </cell>
        </row>
        <row r="398">
          <cell r="A398" t="str">
            <v>BRU073-BRUNIDORA</v>
          </cell>
          <cell r="B398">
            <v>5898.29</v>
          </cell>
        </row>
        <row r="399">
          <cell r="A399" t="str">
            <v>BAN046-BANCADA</v>
          </cell>
          <cell r="B399">
            <v>4335.3899999999994</v>
          </cell>
        </row>
        <row r="400">
          <cell r="A400" t="str">
            <v>BAN110-BANCADA</v>
          </cell>
          <cell r="B400">
            <v>3219.9099999999989</v>
          </cell>
        </row>
        <row r="401">
          <cell r="A401" t="str">
            <v>CTF016-CENTRIFUGA DE PEÇAS</v>
          </cell>
          <cell r="B401">
            <v>56337.260000000053</v>
          </cell>
        </row>
        <row r="402">
          <cell r="A402" t="str">
            <v>CTF020-CENTRIFUGA DE PEÇAS</v>
          </cell>
          <cell r="B402">
            <v>59685.36000000003</v>
          </cell>
        </row>
        <row r="403">
          <cell r="A403" t="str">
            <v>CTF052-CENTRIFUGA DE PEÇAS</v>
          </cell>
          <cell r="B403">
            <v>2680.6</v>
          </cell>
        </row>
        <row r="404">
          <cell r="A404" t="str">
            <v>FIL007-FILTRO ALUVIÃO</v>
          </cell>
          <cell r="B404">
            <v>617469.22999999963</v>
          </cell>
        </row>
        <row r="405">
          <cell r="A405" t="str">
            <v>FIL023-FILTRO ALUVIÃO</v>
          </cell>
          <cell r="B405">
            <v>1085906.5599999996</v>
          </cell>
        </row>
        <row r="406">
          <cell r="A406" t="str">
            <v>FIL058-FILTRO ALUVIÃO</v>
          </cell>
          <cell r="B406">
            <v>175693.14</v>
          </cell>
        </row>
        <row r="407">
          <cell r="A407" t="str">
            <v>FOR072-FORNO CONTÍNUO</v>
          </cell>
          <cell r="B407">
            <v>28190.900000000027</v>
          </cell>
        </row>
        <row r="408">
          <cell r="A408" t="str">
            <v>FOR083-FORNO CONTÍNUO</v>
          </cell>
          <cell r="B408">
            <v>16660.560000000001</v>
          </cell>
        </row>
        <row r="409">
          <cell r="A409" t="str">
            <v>FOR090-FORNO CONTÍNUO</v>
          </cell>
          <cell r="B409">
            <v>102807.27999999994</v>
          </cell>
        </row>
        <row r="410">
          <cell r="A410" t="str">
            <v>FOR091-FORNO CONTÍNUO</v>
          </cell>
          <cell r="B410">
            <v>79767.719999999972</v>
          </cell>
        </row>
        <row r="411">
          <cell r="A411" t="str">
            <v>FOR112-FORNO PRÉ AQUECIMENTO VOLANTES</v>
          </cell>
          <cell r="B411">
            <v>0</v>
          </cell>
        </row>
        <row r="412">
          <cell r="A412" t="str">
            <v>FOR131-FORNO CONTÍNUO</v>
          </cell>
          <cell r="B412">
            <v>0</v>
          </cell>
        </row>
        <row r="413">
          <cell r="A413" t="str">
            <v>LAV022-LAVADORA DE PEÇAS</v>
          </cell>
          <cell r="B413">
            <v>127066.87999999989</v>
          </cell>
        </row>
        <row r="414">
          <cell r="A414" t="str">
            <v>LAV047-LAVADORA DE PEÇAS</v>
          </cell>
          <cell r="B414">
            <v>113368.94999999991</v>
          </cell>
        </row>
        <row r="415">
          <cell r="A415" t="str">
            <v>MAC001-MÁQUINA DE COLA</v>
          </cell>
          <cell r="B415">
            <v>151557.24999999983</v>
          </cell>
        </row>
        <row r="416">
          <cell r="A416" t="str">
            <v>MAC002-MÁQUINA DE COLA</v>
          </cell>
          <cell r="B416">
            <v>165851.47999999975</v>
          </cell>
        </row>
        <row r="417">
          <cell r="A417" t="str">
            <v>MAC007-MÁQUINA DE COLA</v>
          </cell>
          <cell r="B417">
            <v>236432.75999999963</v>
          </cell>
        </row>
        <row r="418">
          <cell r="A418" t="str">
            <v>MAC008-MÁQUINA DE COLA</v>
          </cell>
          <cell r="B418">
            <v>466606.94</v>
          </cell>
        </row>
        <row r="419">
          <cell r="A419" t="str">
            <v>MAC010-MÁQUINA DE COLA</v>
          </cell>
          <cell r="B419">
            <v>224219.42999999993</v>
          </cell>
        </row>
        <row r="420">
          <cell r="A420" t="str">
            <v>MAC011-MÁQUINA DE COLA</v>
          </cell>
          <cell r="B420">
            <v>182480.93999999977</v>
          </cell>
        </row>
        <row r="421">
          <cell r="A421" t="str">
            <v>MAQ304-MÁQUINA TESTE ESTANQUEIDADE</v>
          </cell>
          <cell r="B421">
            <v>20006.659999999996</v>
          </cell>
        </row>
        <row r="422">
          <cell r="A422" t="str">
            <v>MOD004-MONTADORA</v>
          </cell>
          <cell r="B422">
            <v>424016.85999999894</v>
          </cell>
        </row>
        <row r="423">
          <cell r="A423" t="str">
            <v>MOD009-MONTADORA</v>
          </cell>
          <cell r="B423">
            <v>541804.04000000027</v>
          </cell>
        </row>
        <row r="424">
          <cell r="A424" t="str">
            <v>MOD012-MONTADORA</v>
          </cell>
          <cell r="B424">
            <v>295896.94000000018</v>
          </cell>
        </row>
        <row r="425">
          <cell r="A425" t="str">
            <v>MOD013-MONTADORA</v>
          </cell>
          <cell r="B425">
            <v>378841.8799999996</v>
          </cell>
        </row>
        <row r="426">
          <cell r="A426" t="str">
            <v>MOD014-MONTADORA</v>
          </cell>
          <cell r="B426">
            <v>278128.72999999986</v>
          </cell>
        </row>
        <row r="427">
          <cell r="A427" t="str">
            <v>MOD015-MONTADORA</v>
          </cell>
          <cell r="B427">
            <v>1010092.5499999989</v>
          </cell>
        </row>
        <row r="428">
          <cell r="A428" t="str">
            <v>MOD020-MONTADORA</v>
          </cell>
          <cell r="B428">
            <v>890107.59000000008</v>
          </cell>
        </row>
        <row r="429">
          <cell r="A429" t="str">
            <v>MOD022-MONTADORA</v>
          </cell>
          <cell r="B429">
            <v>558093.96999999869</v>
          </cell>
        </row>
        <row r="430">
          <cell r="A430" t="str">
            <v>MOD023-MONTADORA DE BUJÃO</v>
          </cell>
          <cell r="B430">
            <v>77458.64999999998</v>
          </cell>
        </row>
        <row r="431">
          <cell r="A431" t="str">
            <v>MOD024-MÁQUINA APLICADORA DIRKO</v>
          </cell>
          <cell r="B431">
            <v>29247.389999999996</v>
          </cell>
        </row>
        <row r="432">
          <cell r="A432" t="str">
            <v>PRE038-PRENSA</v>
          </cell>
          <cell r="B432">
            <v>376349.16999999987</v>
          </cell>
        </row>
        <row r="433">
          <cell r="A433" t="str">
            <v>PRE045-PRENSA</v>
          </cell>
          <cell r="B433">
            <v>394873.8499999987</v>
          </cell>
        </row>
        <row r="434">
          <cell r="A434" t="str">
            <v>ROB048-ROBÔ</v>
          </cell>
          <cell r="B434">
            <v>8484.06</v>
          </cell>
        </row>
        <row r="435">
          <cell r="A435" t="str">
            <v>ROB062-ROBÔ</v>
          </cell>
          <cell r="B435">
            <v>62959.479999999967</v>
          </cell>
        </row>
        <row r="436">
          <cell r="A436" t="str">
            <v>ROB070-ROBÔ</v>
          </cell>
          <cell r="B436">
            <v>43460.94</v>
          </cell>
        </row>
        <row r="437">
          <cell r="A437" t="str">
            <v>ROB085-ROBÔ</v>
          </cell>
          <cell r="B437">
            <v>35560.589999999997</v>
          </cell>
        </row>
        <row r="438">
          <cell r="A438" t="str">
            <v>ROB086-ROBÔ</v>
          </cell>
          <cell r="B438">
            <v>0</v>
          </cell>
        </row>
        <row r="439">
          <cell r="A439" t="str">
            <v>CAR010-CARRO TRANSPORTADOR</v>
          </cell>
          <cell r="B439">
            <v>749393.37000000069</v>
          </cell>
        </row>
        <row r="440">
          <cell r="A440" t="str">
            <v>CAR011-CARRO TRANSPORTADOR</v>
          </cell>
          <cell r="B440">
            <v>476152.33000000007</v>
          </cell>
        </row>
        <row r="441">
          <cell r="A441" t="str">
            <v>CAR012-CARRO TRANSPORTADOR</v>
          </cell>
          <cell r="B441">
            <v>471635.50999999995</v>
          </cell>
        </row>
        <row r="442">
          <cell r="A442" t="str">
            <v>CAR013-CARRO TRANSPORTADOR</v>
          </cell>
          <cell r="B442">
            <v>422651.08999999985</v>
          </cell>
        </row>
        <row r="443">
          <cell r="A443" t="str">
            <v>CAR014-CARRO TRANSPORTADOR</v>
          </cell>
          <cell r="B443">
            <v>423356.85</v>
          </cell>
        </row>
        <row r="444">
          <cell r="A444" t="str">
            <v>CAR018-CARRO TRANSPORTADOR</v>
          </cell>
          <cell r="B444">
            <v>239091.45000000004</v>
          </cell>
        </row>
        <row r="445">
          <cell r="A445" t="str">
            <v>CAR019-CARRO TRANSPORTADOR</v>
          </cell>
          <cell r="B445">
            <v>187460.49000000005</v>
          </cell>
        </row>
        <row r="446">
          <cell r="A446" t="str">
            <v>CAR020-CARRO TRANSPORTADOR</v>
          </cell>
          <cell r="B446">
            <v>192375.51999999993</v>
          </cell>
        </row>
        <row r="447">
          <cell r="A447" t="str">
            <v>CAR021-CARRO TRANSPORTADOR</v>
          </cell>
          <cell r="B447">
            <v>86052.340000000026</v>
          </cell>
        </row>
        <row r="448">
          <cell r="A448" t="str">
            <v>CAR022-CARRO TRANSPORTADOR</v>
          </cell>
          <cell r="B448">
            <v>138981.05999999997</v>
          </cell>
        </row>
        <row r="449">
          <cell r="A449" t="str">
            <v>CAR023-CARRO TRANSPORTADOR</v>
          </cell>
          <cell r="B449">
            <v>421590.30999999971</v>
          </cell>
        </row>
        <row r="450">
          <cell r="A450" t="str">
            <v>CAR024-CARRO TRANSPORTADOR</v>
          </cell>
          <cell r="B450">
            <v>371978.02999999956</v>
          </cell>
        </row>
        <row r="451">
          <cell r="A451" t="str">
            <v>CAR025-CARRO TRANSPORTADOR</v>
          </cell>
          <cell r="B451">
            <v>209265.18999999992</v>
          </cell>
        </row>
        <row r="452">
          <cell r="A452" t="str">
            <v>CAR026-CARRO TRANSPORTADOR</v>
          </cell>
          <cell r="B452">
            <v>229569.63000000003</v>
          </cell>
        </row>
        <row r="453">
          <cell r="A453" t="str">
            <v>CAR027-CARRO TRANSPORTADOR</v>
          </cell>
          <cell r="B453">
            <v>284489.5</v>
          </cell>
        </row>
        <row r="454">
          <cell r="A454" t="str">
            <v>CAR030-CARRO TRANSFERIDOR</v>
          </cell>
          <cell r="B454">
            <v>22436.62</v>
          </cell>
        </row>
        <row r="455">
          <cell r="A455" t="str">
            <v>CAR031-CARRO TRANSFERIDOR</v>
          </cell>
          <cell r="B455">
            <v>19421.010000000002</v>
          </cell>
        </row>
        <row r="456">
          <cell r="A456" t="str">
            <v>CAR032-CARRO TRANSFERIDOR</v>
          </cell>
          <cell r="B456">
            <v>12048.7</v>
          </cell>
        </row>
        <row r="457">
          <cell r="A457" t="str">
            <v>CAR033-CARRO TRANSPORTADOR</v>
          </cell>
          <cell r="B457">
            <v>2745.51</v>
          </cell>
        </row>
        <row r="458">
          <cell r="A458" t="str">
            <v>CAR034-CARRO TRANSPORTADOR</v>
          </cell>
          <cell r="B458">
            <v>12907.000000000002</v>
          </cell>
        </row>
        <row r="459">
          <cell r="A459" t="str">
            <v>LAV073-LAVADORA DE PEÇAS</v>
          </cell>
          <cell r="B459">
            <v>142495.18000000005</v>
          </cell>
        </row>
        <row r="460">
          <cell r="A460" t="str">
            <v>LAV081-LAVADORA DE PEÇAS</v>
          </cell>
          <cell r="B460">
            <v>27512.290000000005</v>
          </cell>
        </row>
        <row r="461">
          <cell r="A461" t="str">
            <v>LAV082-LAVADORA DE PEÇAS</v>
          </cell>
          <cell r="B461">
            <v>21856.739999999998</v>
          </cell>
        </row>
        <row r="462">
          <cell r="A462" t="str">
            <v>LAV083-LAVADORA DE PEÇAS</v>
          </cell>
          <cell r="B462">
            <v>20453.170000000002</v>
          </cell>
        </row>
        <row r="463">
          <cell r="A463" t="str">
            <v>LAV084-LAVADORA DE PEÇAS</v>
          </cell>
          <cell r="B463">
            <v>25205.21</v>
          </cell>
        </row>
        <row r="464">
          <cell r="A464" t="str">
            <v>LAV085-LAVADORA DE PEÇAS</v>
          </cell>
          <cell r="B464">
            <v>21953.669999999995</v>
          </cell>
        </row>
        <row r="465">
          <cell r="A465" t="str">
            <v>MOC011-MONTA CARGA L3 B</v>
          </cell>
          <cell r="B465">
            <v>417883.38999999984</v>
          </cell>
        </row>
        <row r="466">
          <cell r="A466" t="str">
            <v>MOC012-MONTA CARGA L2 I</v>
          </cell>
          <cell r="B466">
            <v>29592.170000000009</v>
          </cell>
        </row>
        <row r="467">
          <cell r="A467" t="str">
            <v>MOC013-MONTA CARGA L2 II</v>
          </cell>
          <cell r="B467">
            <v>51007.219999999987</v>
          </cell>
        </row>
        <row r="468">
          <cell r="A468" t="str">
            <v>REB002-REBARBAÇÃO ELETROQUÍMICA</v>
          </cell>
          <cell r="B468">
            <v>1141227.8700000006</v>
          </cell>
        </row>
        <row r="469">
          <cell r="A469" t="str">
            <v>REB003-REBARBAÇÃO ELETROQUÍMICA</v>
          </cell>
          <cell r="B469">
            <v>1842696.9900000077</v>
          </cell>
        </row>
        <row r="470">
          <cell r="A470" t="str">
            <v>REB004-REBARBAÇÃO ELETROQUÍMICA</v>
          </cell>
          <cell r="B470">
            <v>1142471.6300000006</v>
          </cell>
        </row>
        <row r="471">
          <cell r="A471" t="str">
            <v>REB007-REBARBAÇÃO ELETROQUÍMICA</v>
          </cell>
          <cell r="B471">
            <v>787389.53000000026</v>
          </cell>
        </row>
        <row r="472">
          <cell r="A472" t="str">
            <v>REB008-REBARBAÇÃO ELETROQUÍMICA</v>
          </cell>
          <cell r="B472">
            <v>392224.85999999987</v>
          </cell>
        </row>
        <row r="473">
          <cell r="A473" t="str">
            <v>REB009-REBARBAÇÃO ELETROQUÍMICA</v>
          </cell>
          <cell r="B473">
            <v>597640.38000000024</v>
          </cell>
        </row>
        <row r="474">
          <cell r="A474" t="str">
            <v>REB011-REBARBAÇÃO ELETROQUÍMICA</v>
          </cell>
          <cell r="B474">
            <v>215099.81999999998</v>
          </cell>
        </row>
        <row r="475">
          <cell r="A475" t="str">
            <v>REB012-REBARBAÇÃO ELETROQUÍMICA</v>
          </cell>
          <cell r="B475">
            <v>534.84</v>
          </cell>
        </row>
        <row r="476">
          <cell r="A476" t="str">
            <v>INJ011-INJETORA DE ALUMÍNIO</v>
          </cell>
          <cell r="B476">
            <v>3200690.6599999922</v>
          </cell>
        </row>
        <row r="477">
          <cell r="A477" t="str">
            <v>INJ012-INJETORA DE ALUMÍNIO</v>
          </cell>
          <cell r="B477">
            <v>3102258.06</v>
          </cell>
        </row>
        <row r="478">
          <cell r="A478" t="str">
            <v>INJ015-INJETORA DE ALUMÍNIO</v>
          </cell>
          <cell r="B478">
            <v>3841698.0200000182</v>
          </cell>
        </row>
        <row r="479">
          <cell r="A479" t="str">
            <v>INJ018-INJETORA DE ALUMÍNIO</v>
          </cell>
          <cell r="B479">
            <v>3625556.1300000055</v>
          </cell>
        </row>
        <row r="480">
          <cell r="A480" t="str">
            <v>INJ027-INJETORA DE ALUMÍNIO</v>
          </cell>
          <cell r="B480">
            <v>2885007.7000000337</v>
          </cell>
        </row>
        <row r="481">
          <cell r="A481" t="str">
            <v>INJ029-INJETORA DE ALUMÍNIO</v>
          </cell>
          <cell r="B481">
            <v>2812253.1100000273</v>
          </cell>
        </row>
        <row r="482">
          <cell r="A482" t="str">
            <v>INJ030-INJETORA DE ALUMÍNIO</v>
          </cell>
          <cell r="B482">
            <v>4482916.9700000286</v>
          </cell>
        </row>
        <row r="483">
          <cell r="A483" t="str">
            <v>INJ033-INJETORA DE ALUMÍNIO</v>
          </cell>
          <cell r="B483">
            <v>2488303.5900000101</v>
          </cell>
        </row>
        <row r="484">
          <cell r="A484" t="str">
            <v>INJ061-INJETORA DE ALUMÍNIO</v>
          </cell>
          <cell r="B484">
            <v>2577918.6900000134</v>
          </cell>
        </row>
        <row r="485">
          <cell r="A485" t="str">
            <v>INJ062-INJETORA DE ALUMÍNIO</v>
          </cell>
          <cell r="B485">
            <v>1889714.9500000058</v>
          </cell>
        </row>
        <row r="486">
          <cell r="A486" t="str">
            <v>INJ063-INJETORA DE ALUMÍNIO</v>
          </cell>
          <cell r="B486">
            <v>2478298.7700000098</v>
          </cell>
        </row>
        <row r="487">
          <cell r="A487" t="str">
            <v>INJ064-INJETORA DE ALUMÍNIO</v>
          </cell>
          <cell r="B487">
            <v>2037232.8200000082</v>
          </cell>
        </row>
        <row r="488">
          <cell r="A488" t="str">
            <v>INJ065-INJETORA DE ALUMÍNIO</v>
          </cell>
          <cell r="B488">
            <v>1875538.2100000011</v>
          </cell>
        </row>
        <row r="489">
          <cell r="A489" t="str">
            <v>INJ066-INJETORA DE ALUMÍNIO</v>
          </cell>
          <cell r="B489">
            <v>1120398.690000002</v>
          </cell>
        </row>
        <row r="490">
          <cell r="A490" t="str">
            <v>INJ067-INJETORA DE ALUMÍNIO</v>
          </cell>
          <cell r="B490">
            <v>1724837.1500000069</v>
          </cell>
        </row>
        <row r="491">
          <cell r="A491" t="str">
            <v>INJ068-INJETORA DE ALUMÍNIO</v>
          </cell>
          <cell r="B491">
            <v>897723.26999999897</v>
          </cell>
        </row>
        <row r="492">
          <cell r="A492" t="str">
            <v>INJ070-INJETORA DE ALUMÍNIO</v>
          </cell>
          <cell r="B492">
            <v>241942.26</v>
          </cell>
        </row>
        <row r="493">
          <cell r="A493" t="str">
            <v>INJ072-INJETORA DE ALUMÍNIO</v>
          </cell>
          <cell r="B493">
            <v>286924.26999999961</v>
          </cell>
        </row>
        <row r="494">
          <cell r="A494" t="str">
            <v>INJ079-INJETORA DE ALUMÍNIO</v>
          </cell>
          <cell r="B494">
            <v>123196.65999999997</v>
          </cell>
        </row>
        <row r="495">
          <cell r="A495" t="str">
            <v>INJ101-INJETORA DE ALUMÍNIO</v>
          </cell>
          <cell r="B495">
            <v>218901.77999999997</v>
          </cell>
        </row>
        <row r="496">
          <cell r="A496" t="str">
            <v>INJ102-INJETORA DE ALUMÍNIO</v>
          </cell>
          <cell r="B496">
            <v>41378.789999999986</v>
          </cell>
        </row>
        <row r="497">
          <cell r="A497" t="str">
            <v>AQU011-AQUECEDOR DE ÓLEO</v>
          </cell>
          <cell r="B497">
            <v>63028.530000000013</v>
          </cell>
        </row>
        <row r="498">
          <cell r="A498" t="str">
            <v>AQU030-AQUECEDOR DE ÓLEO</v>
          </cell>
          <cell r="B498">
            <v>58066.920000000027</v>
          </cell>
        </row>
        <row r="499">
          <cell r="A499" t="str">
            <v>AQU053-AQUECEDOR DE ÓLEO</v>
          </cell>
          <cell r="B499">
            <v>34115.540000000008</v>
          </cell>
        </row>
        <row r="500">
          <cell r="A500" t="str">
            <v>AQU068-AQUECEDOR DE ÓLEO</v>
          </cell>
          <cell r="B500">
            <v>27589.03</v>
          </cell>
        </row>
        <row r="501">
          <cell r="A501" t="str">
            <v>EMP019-EMPILHADEIRA COMBUSTÃO</v>
          </cell>
          <cell r="B501">
            <v>128532.97000000003</v>
          </cell>
        </row>
        <row r="502">
          <cell r="A502" t="str">
            <v>EMP109-EMPILHADEIRA COMBUSTÃO</v>
          </cell>
          <cell r="B502">
            <v>59038.079999999987</v>
          </cell>
        </row>
        <row r="503">
          <cell r="A503" t="str">
            <v>EMP122-EMPILHADEIRA COMBUSTÃO</v>
          </cell>
          <cell r="B503">
            <v>40968.550000000003</v>
          </cell>
        </row>
        <row r="504">
          <cell r="A504" t="str">
            <v>EST015-ESTUFA</v>
          </cell>
          <cell r="B504">
            <v>74001.7</v>
          </cell>
        </row>
        <row r="505">
          <cell r="A505" t="str">
            <v>EST040-ESTUFA</v>
          </cell>
          <cell r="B505">
            <v>5965.42</v>
          </cell>
        </row>
        <row r="506">
          <cell r="A506" t="str">
            <v>FDU001-UNIDADE DESGASEIFICAÇÃO FUNDIÇÃO</v>
          </cell>
          <cell r="B506">
            <v>32027.59</v>
          </cell>
        </row>
        <row r="507">
          <cell r="A507" t="str">
            <v>FOR021-FORNO POÇO</v>
          </cell>
          <cell r="B507">
            <v>159819.66</v>
          </cell>
        </row>
        <row r="508">
          <cell r="A508" t="str">
            <v>FOR036-FORNO DE ESPERA</v>
          </cell>
          <cell r="B508">
            <v>120959.09</v>
          </cell>
        </row>
        <row r="509">
          <cell r="A509" t="str">
            <v>FOR052-FORNO DE REFUSÃO</v>
          </cell>
          <cell r="B509">
            <v>1248777.0400000012</v>
          </cell>
        </row>
        <row r="510">
          <cell r="A510" t="str">
            <v>FOR069-FORNO DOSADOR</v>
          </cell>
          <cell r="B510">
            <v>180074.12999999989</v>
          </cell>
        </row>
        <row r="511">
          <cell r="A511" t="str">
            <v>FOR086-FORNO DOSADOR</v>
          </cell>
          <cell r="B511">
            <v>186163.22000000003</v>
          </cell>
        </row>
        <row r="512">
          <cell r="A512" t="str">
            <v>FOR089-FORNO DE REFUSÃO</v>
          </cell>
          <cell r="B512">
            <v>1179775.6900000011</v>
          </cell>
        </row>
        <row r="513">
          <cell r="A513" t="str">
            <v>FOR100-FORNO DOSADOR</v>
          </cell>
          <cell r="B513">
            <v>96517.639999999985</v>
          </cell>
        </row>
        <row r="514">
          <cell r="A514" t="str">
            <v>FOR101-FORNO DE REFUSÃO</v>
          </cell>
          <cell r="B514">
            <v>389791.46000000008</v>
          </cell>
        </row>
        <row r="515">
          <cell r="A515" t="str">
            <v>FOR102-FORNO DE PRE-AQUECIMENTO</v>
          </cell>
          <cell r="B515">
            <v>2777.74</v>
          </cell>
        </row>
        <row r="516">
          <cell r="A516" t="str">
            <v>FOR115-FORNO DE REFUSÃO STRIKO</v>
          </cell>
          <cell r="B516">
            <v>34058.6</v>
          </cell>
        </row>
        <row r="517">
          <cell r="A517" t="str">
            <v>GRV020-GRAVADORA DATAMATRIX</v>
          </cell>
          <cell r="B517">
            <v>2414.9700000000003</v>
          </cell>
        </row>
        <row r="518">
          <cell r="A518" t="str">
            <v>JAT012-JATO DE GRANALHA</v>
          </cell>
          <cell r="B518">
            <v>1146502.6699999983</v>
          </cell>
        </row>
        <row r="519">
          <cell r="A519" t="str">
            <v>JAT014-JATO DE GRANALHA</v>
          </cell>
          <cell r="B519">
            <v>948980.86000000034</v>
          </cell>
        </row>
        <row r="520">
          <cell r="A520" t="str">
            <v>JAT033-JATO DE GRANALHA</v>
          </cell>
          <cell r="B520">
            <v>592878.60000000056</v>
          </cell>
        </row>
        <row r="521">
          <cell r="A521" t="str">
            <v>JAT034-JATO DE GRANALHA</v>
          </cell>
          <cell r="B521">
            <v>48254.5</v>
          </cell>
        </row>
        <row r="522">
          <cell r="A522" t="str">
            <v>MEL003-MELTEC DOSADOR</v>
          </cell>
          <cell r="B522">
            <v>51770.96</v>
          </cell>
        </row>
        <row r="523">
          <cell r="A523" t="str">
            <v>MEL005-MELTEC DOSADOR</v>
          </cell>
          <cell r="B523">
            <v>54957.18</v>
          </cell>
        </row>
        <row r="524">
          <cell r="A524" t="str">
            <v>MEL006-MELTEC DOSADOR</v>
          </cell>
          <cell r="B524">
            <v>96094.919999999984</v>
          </cell>
        </row>
        <row r="525">
          <cell r="A525" t="str">
            <v>PON010-PONTE ROLANTE</v>
          </cell>
          <cell r="B525">
            <v>336089.27000000008</v>
          </cell>
        </row>
        <row r="526">
          <cell r="A526" t="str">
            <v>PON016-PONTE ROLANTE</v>
          </cell>
          <cell r="B526">
            <v>22276.78</v>
          </cell>
        </row>
        <row r="527">
          <cell r="A527" t="str">
            <v>PRE005-PRENSA</v>
          </cell>
          <cell r="B527">
            <v>384344.31999999983</v>
          </cell>
        </row>
        <row r="528">
          <cell r="A528" t="str">
            <v>PRE061-PRENSA</v>
          </cell>
          <cell r="B528">
            <v>697211.6399999992</v>
          </cell>
        </row>
        <row r="529">
          <cell r="A529" t="str">
            <v>PRE063-PRENSA</v>
          </cell>
          <cell r="B529">
            <v>468070.87999999954</v>
          </cell>
        </row>
        <row r="530">
          <cell r="A530" t="str">
            <v>PRE068-PRENSA</v>
          </cell>
          <cell r="B530">
            <v>168447.86999999956</v>
          </cell>
        </row>
        <row r="531">
          <cell r="A531" t="str">
            <v>TAN630-TANQUE RESFRIAMENTO</v>
          </cell>
          <cell r="B531">
            <v>8067.25</v>
          </cell>
        </row>
        <row r="532">
          <cell r="A532" t="str">
            <v>TER019-TERMOREGULADOR IECI</v>
          </cell>
          <cell r="B532">
            <v>7885.9900000000007</v>
          </cell>
        </row>
        <row r="533">
          <cell r="A533" t="str">
            <v>TER036-TERMOREGULADOR IECI ÁGUA-ÓLEO</v>
          </cell>
          <cell r="B533">
            <v>4270.5400000000009</v>
          </cell>
        </row>
        <row r="534">
          <cell r="A534" t="str">
            <v>ROB003-ROBÔ</v>
          </cell>
          <cell r="B534">
            <v>106095.32999999997</v>
          </cell>
        </row>
        <row r="535">
          <cell r="A535" t="str">
            <v>ROB006-ROBO</v>
          </cell>
          <cell r="B535">
            <v>263969.37000000011</v>
          </cell>
        </row>
        <row r="536">
          <cell r="A536" t="str">
            <v>ROB007-ROBO</v>
          </cell>
          <cell r="B536">
            <v>203750.63999999978</v>
          </cell>
        </row>
        <row r="537">
          <cell r="A537" t="str">
            <v>ROB009-ROBO</v>
          </cell>
          <cell r="B537">
            <v>163099.00999999989</v>
          </cell>
        </row>
        <row r="538">
          <cell r="A538" t="str">
            <v>ROB012-ROBO</v>
          </cell>
          <cell r="B538">
            <v>349515.01999999961</v>
          </cell>
        </row>
        <row r="539">
          <cell r="A539" t="str">
            <v>ROB013-ROBO</v>
          </cell>
          <cell r="B539">
            <v>214295.78999999986</v>
          </cell>
        </row>
        <row r="540">
          <cell r="A540" t="str">
            <v>ROB014-ROBO</v>
          </cell>
          <cell r="B540">
            <v>232443.05999999988</v>
          </cell>
        </row>
        <row r="541">
          <cell r="A541" t="str">
            <v>ROB016-ROBO</v>
          </cell>
          <cell r="B541">
            <v>192345.54999999984</v>
          </cell>
        </row>
        <row r="542">
          <cell r="A542" t="str">
            <v>ROB017-ROBO</v>
          </cell>
          <cell r="B542">
            <v>192492.79000000007</v>
          </cell>
        </row>
        <row r="543">
          <cell r="A543" t="str">
            <v>ROB021-ROBO</v>
          </cell>
          <cell r="B543">
            <v>302653.01</v>
          </cell>
        </row>
        <row r="544">
          <cell r="A544" t="str">
            <v>ROB022-ROBO</v>
          </cell>
          <cell r="B544">
            <v>132281.76999999987</v>
          </cell>
        </row>
        <row r="545">
          <cell r="A545" t="str">
            <v>ROB024-ROBO</v>
          </cell>
          <cell r="B545">
            <v>176135.7799999998</v>
          </cell>
        </row>
        <row r="546">
          <cell r="A546" t="str">
            <v>ROB025-ROBO</v>
          </cell>
          <cell r="B546">
            <v>146647.90000000002</v>
          </cell>
        </row>
        <row r="547">
          <cell r="A547" t="str">
            <v>ROB026-ROBO</v>
          </cell>
          <cell r="B547">
            <v>112889.54999999992</v>
          </cell>
        </row>
        <row r="548">
          <cell r="A548" t="str">
            <v>ROB027-ROBO</v>
          </cell>
          <cell r="B548">
            <v>92567.400000000009</v>
          </cell>
        </row>
        <row r="549">
          <cell r="A549" t="str">
            <v>ROB031-ROBO</v>
          </cell>
          <cell r="B549">
            <v>289180.29999999987</v>
          </cell>
        </row>
        <row r="550">
          <cell r="A550" t="str">
            <v>ROB037-ROBÔ</v>
          </cell>
          <cell r="B550">
            <v>116038.7199999999</v>
          </cell>
        </row>
        <row r="551">
          <cell r="A551" t="str">
            <v>ROB038-ROBÔ</v>
          </cell>
          <cell r="B551">
            <v>120417.96999999975</v>
          </cell>
        </row>
        <row r="552">
          <cell r="A552" t="str">
            <v>ROB039-ROBÔ</v>
          </cell>
          <cell r="B552">
            <v>401851.74000000017</v>
          </cell>
        </row>
        <row r="553">
          <cell r="A553" t="str">
            <v>ROB040-ROBÔ</v>
          </cell>
          <cell r="B553">
            <v>97459.509999999718</v>
          </cell>
        </row>
        <row r="554">
          <cell r="A554" t="str">
            <v>ROB041-ROBÔ</v>
          </cell>
          <cell r="B554">
            <v>349606.3000000001</v>
          </cell>
        </row>
        <row r="555">
          <cell r="A555" t="str">
            <v>ROB042-ROBÔ</v>
          </cell>
          <cell r="B555">
            <v>142975.14999999994</v>
          </cell>
        </row>
        <row r="556">
          <cell r="A556" t="str">
            <v>ROB056-ROBÔ</v>
          </cell>
          <cell r="B556">
            <v>56845.19000000001</v>
          </cell>
        </row>
        <row r="557">
          <cell r="A557" t="str">
            <v>ROB057-ROBÔ</v>
          </cell>
          <cell r="B557">
            <v>69203.170000000013</v>
          </cell>
        </row>
        <row r="558">
          <cell r="A558" t="str">
            <v>ROB058-ROBÔ</v>
          </cell>
          <cell r="B558">
            <v>68419.789999999979</v>
          </cell>
        </row>
        <row r="559">
          <cell r="A559" t="str">
            <v>ROB064-ROBÔ</v>
          </cell>
          <cell r="B559">
            <v>101527.08999999995</v>
          </cell>
        </row>
        <row r="560">
          <cell r="A560" t="str">
            <v>ROB065-ROBÔ</v>
          </cell>
          <cell r="B560">
            <v>51960.609999999986</v>
          </cell>
        </row>
        <row r="561">
          <cell r="A561" t="str">
            <v>ROB066-ROBÔ</v>
          </cell>
          <cell r="B561">
            <v>92985.579999999958</v>
          </cell>
        </row>
        <row r="562">
          <cell r="A562" t="str">
            <v>ROB074-ROBO</v>
          </cell>
          <cell r="B562">
            <v>105919.18999999994</v>
          </cell>
        </row>
        <row r="563">
          <cell r="A563" t="str">
            <v>ROB075-ROBO</v>
          </cell>
          <cell r="B563">
            <v>36612.220000000008</v>
          </cell>
        </row>
        <row r="564">
          <cell r="A564" t="str">
            <v>ROB076-ROBO</v>
          </cell>
          <cell r="B564">
            <v>41890.639999999985</v>
          </cell>
        </row>
        <row r="565">
          <cell r="A565" t="str">
            <v>ROB077-ROBO</v>
          </cell>
          <cell r="B565">
            <v>18683.640000000003</v>
          </cell>
        </row>
        <row r="566">
          <cell r="A566" t="str">
            <v>ROB090-ROBO SACA PEÇA</v>
          </cell>
          <cell r="B566">
            <v>11131.319999999998</v>
          </cell>
        </row>
        <row r="567">
          <cell r="A567" t="str">
            <v>ROB091-ROBO PULVERIZADOR</v>
          </cell>
          <cell r="B567">
            <v>9850.6400000000031</v>
          </cell>
        </row>
        <row r="568">
          <cell r="A568" t="str">
            <v>ROB092-ROBO REBARBADOR</v>
          </cell>
          <cell r="B568">
            <v>7119.4400000000014</v>
          </cell>
        </row>
        <row r="569">
          <cell r="A569" t="str">
            <v>ROB093-ROBO SACA PEÇA</v>
          </cell>
          <cell r="B569">
            <v>6442.1200000000008</v>
          </cell>
        </row>
        <row r="570">
          <cell r="A570" t="str">
            <v>ROB094-ROBO PULVERIZADOR</v>
          </cell>
          <cell r="B570">
            <v>23565.14000000001</v>
          </cell>
        </row>
        <row r="571">
          <cell r="A571" t="str">
            <v>ROB095-ROBO REBARBADOR</v>
          </cell>
          <cell r="B571">
            <v>3906.8300000000004</v>
          </cell>
        </row>
        <row r="572">
          <cell r="A572" t="str">
            <v>ROB100-ROBO MANIPULADOR</v>
          </cell>
          <cell r="B572">
            <v>61322</v>
          </cell>
        </row>
        <row r="573">
          <cell r="A573" t="str">
            <v>ROB101-ROBO EXTRATOR CEL. 79</v>
          </cell>
          <cell r="B573">
            <v>2466.6000000000004</v>
          </cell>
        </row>
        <row r="574">
          <cell r="A574" t="str">
            <v>ROB135-ROBÔ</v>
          </cell>
          <cell r="B574">
            <v>559.63</v>
          </cell>
        </row>
        <row r="575">
          <cell r="A575" t="str">
            <v>COQ003-COQUILHADEIRA</v>
          </cell>
          <cell r="B575">
            <v>428513.9199999994</v>
          </cell>
        </row>
        <row r="576">
          <cell r="A576" t="str">
            <v>COQ004-COQUILHADEIRA</v>
          </cell>
          <cell r="B576">
            <v>369900.52999999997</v>
          </cell>
        </row>
        <row r="577">
          <cell r="A577" t="str">
            <v>COQ005-COQUILHADEIRA</v>
          </cell>
          <cell r="B577">
            <v>863340.91000000073</v>
          </cell>
        </row>
        <row r="578">
          <cell r="A578" t="str">
            <v>COQ006-COQUILHADEIRA</v>
          </cell>
          <cell r="B578">
            <v>644856.67999999889</v>
          </cell>
        </row>
        <row r="579">
          <cell r="A579" t="str">
            <v>COQ007-COQUILHADEIRA</v>
          </cell>
          <cell r="B579">
            <v>671333.19000000029</v>
          </cell>
        </row>
        <row r="580">
          <cell r="A580" t="str">
            <v>COQ008-COQUILHADEIRA</v>
          </cell>
          <cell r="B580">
            <v>576218.1100000001</v>
          </cell>
        </row>
        <row r="581">
          <cell r="A581" t="str">
            <v>COQ009-COQUILHADEIRA</v>
          </cell>
          <cell r="B581">
            <v>571203.63999999897</v>
          </cell>
        </row>
        <row r="582">
          <cell r="A582" t="str">
            <v>COQ010-COQUILHADEIRA</v>
          </cell>
          <cell r="B582">
            <v>561129.83999999973</v>
          </cell>
        </row>
        <row r="583">
          <cell r="A583" t="str">
            <v>MAQ240-MÁQUINA DE CORTE E USINAGEM</v>
          </cell>
          <cell r="B583">
            <v>265459.81999999983</v>
          </cell>
        </row>
        <row r="584">
          <cell r="A584" t="str">
            <v>MAQ243-MÁQUINA DE CORTE E USINAGEM</v>
          </cell>
          <cell r="B584">
            <v>470340.91000000009</v>
          </cell>
        </row>
        <row r="585">
          <cell r="A585" t="str">
            <v>MAQ252-MÁQUINA DE CORTE E USINAGEM</v>
          </cell>
          <cell r="B585">
            <v>465489.41000000003</v>
          </cell>
        </row>
        <row r="586">
          <cell r="A586" t="str">
            <v>MAQ254-MÁQUINA DE CORTE E USINAGEM</v>
          </cell>
          <cell r="B586">
            <v>315704.64999999985</v>
          </cell>
        </row>
        <row r="587">
          <cell r="A587" t="str">
            <v>MAQ288-MÁQUINA DE CORTE E USINAGEM</v>
          </cell>
          <cell r="B587">
            <v>60737.139999999992</v>
          </cell>
        </row>
        <row r="588">
          <cell r="A588" t="str">
            <v>ROB004-ROBÔ</v>
          </cell>
          <cell r="B588">
            <v>141075.74000000002</v>
          </cell>
        </row>
        <row r="589">
          <cell r="A589" t="str">
            <v>ROB005-ROBÔ</v>
          </cell>
          <cell r="B589">
            <v>203950.67</v>
          </cell>
        </row>
        <row r="590">
          <cell r="A590" t="str">
            <v>ROB010-ROBO</v>
          </cell>
          <cell r="B590">
            <v>289119.22999999992</v>
          </cell>
        </row>
        <row r="591">
          <cell r="A591" t="str">
            <v>ROB011-ROBÔ</v>
          </cell>
          <cell r="B591">
            <v>141809.24</v>
          </cell>
        </row>
        <row r="592">
          <cell r="A592" t="str">
            <v>SOP002-SOPRADOR DE MACHO DE AREIA</v>
          </cell>
          <cell r="B592">
            <v>728741.29999999842</v>
          </cell>
        </row>
        <row r="593">
          <cell r="A593" t="str">
            <v>SOP003-SOPRADOR DE MACHO DE AREIA</v>
          </cell>
          <cell r="B593">
            <v>669555.46999999916</v>
          </cell>
        </row>
        <row r="594">
          <cell r="A594" t="str">
            <v>SOP004-SOPRADOR DE MACHO DE AREIA</v>
          </cell>
          <cell r="B594">
            <v>678750.70999999973</v>
          </cell>
        </row>
        <row r="595">
          <cell r="A595" t="str">
            <v>SOP005-SOPRADOR DE MACHO DE AREIA</v>
          </cell>
          <cell r="B595">
            <v>696820.0900000009</v>
          </cell>
        </row>
        <row r="596">
          <cell r="A596" t="str">
            <v>SOP007-SOPRADOR DE MACHO DE AREIA</v>
          </cell>
          <cell r="B596">
            <v>882937.35000000149</v>
          </cell>
        </row>
        <row r="597">
          <cell r="A597" t="str">
            <v>SOP008-SOPRADOR DE MACHO DE AREIA</v>
          </cell>
          <cell r="B597">
            <v>689153.85999999964</v>
          </cell>
        </row>
        <row r="598">
          <cell r="A598" t="str">
            <v>SOP009-SOPRADOR DE MACHO DE AREIA</v>
          </cell>
          <cell r="B598">
            <v>44044.399999999987</v>
          </cell>
        </row>
        <row r="599">
          <cell r="A599" t="str">
            <v>EMP036-EMPILHADEIRA COMBUSTÃO</v>
          </cell>
          <cell r="B599">
            <v>167043.24000000002</v>
          </cell>
        </row>
        <row r="600">
          <cell r="A600" t="str">
            <v>FOR038-FORNO</v>
          </cell>
          <cell r="B600">
            <v>126007.70000000001</v>
          </cell>
        </row>
        <row r="601">
          <cell r="A601" t="str">
            <v>FOR039-FORNO DE REFUSÃO</v>
          </cell>
          <cell r="B601">
            <v>198378.4</v>
          </cell>
        </row>
        <row r="602">
          <cell r="A602" t="str">
            <v>FOR045-FORNO DE REFUSÃO</v>
          </cell>
          <cell r="B602">
            <v>1183525.5199999996</v>
          </cell>
        </row>
        <row r="603">
          <cell r="A603" t="str">
            <v>FOR063-FORNO</v>
          </cell>
          <cell r="B603">
            <v>128569.28999999998</v>
          </cell>
        </row>
        <row r="604">
          <cell r="A604" t="str">
            <v>FOR071-FORNO</v>
          </cell>
          <cell r="B604">
            <v>144795.26000000004</v>
          </cell>
        </row>
        <row r="605">
          <cell r="A605" t="str">
            <v>FOR098-FORNO DE REFUSÃO</v>
          </cell>
          <cell r="B605">
            <v>139922.44999999995</v>
          </cell>
        </row>
        <row r="606">
          <cell r="A606" t="str">
            <v>FOR103-FORNO DE SOLUBILIZAÇÃO</v>
          </cell>
          <cell r="B606">
            <v>97194.91999999994</v>
          </cell>
        </row>
        <row r="607">
          <cell r="A607" t="str">
            <v>FOR109-FORNO DE SOLUBILIZAÇÃO</v>
          </cell>
          <cell r="B607">
            <v>49642.86</v>
          </cell>
        </row>
        <row r="608">
          <cell r="A608" t="str">
            <v>FOR110-FORNO DE SOLUBILIZAÇÃO</v>
          </cell>
          <cell r="B608">
            <v>9184.9399999999987</v>
          </cell>
        </row>
        <row r="609">
          <cell r="A609" t="str">
            <v>JAT016-JATO DE GRANALHA</v>
          </cell>
          <cell r="B609">
            <v>18304.18</v>
          </cell>
        </row>
        <row r="610">
          <cell r="A610" t="str">
            <v>JAT019-JATO DE GRANALHA</v>
          </cell>
          <cell r="B610">
            <v>57882.729999999974</v>
          </cell>
        </row>
        <row r="611">
          <cell r="A611" t="str">
            <v>JAT021-JATO DE GRANALHA</v>
          </cell>
          <cell r="B611">
            <v>41138.090000000004</v>
          </cell>
        </row>
        <row r="612">
          <cell r="A612" t="str">
            <v>JAT023-JATO DE GRANALHA</v>
          </cell>
          <cell r="B612">
            <v>224699.44999999995</v>
          </cell>
        </row>
        <row r="613">
          <cell r="A613" t="str">
            <v>JAT024-JATO DE GRANALHA</v>
          </cell>
          <cell r="B613">
            <v>294904.7099999995</v>
          </cell>
        </row>
        <row r="614">
          <cell r="A614" t="str">
            <v>JAT025-JATO DE GRANALHA</v>
          </cell>
          <cell r="B614">
            <v>296101.80999999994</v>
          </cell>
        </row>
        <row r="615">
          <cell r="A615" t="str">
            <v>JAT028-JATO DE GRANALHA</v>
          </cell>
          <cell r="B615">
            <v>464888.95999999996</v>
          </cell>
        </row>
        <row r="616">
          <cell r="A616" t="str">
            <v>PON005-PONTE ROLANTE</v>
          </cell>
          <cell r="B616">
            <v>174492.20000000013</v>
          </cell>
        </row>
        <row r="617">
          <cell r="A617" t="str">
            <v>PON008-PONTE ROLANTE</v>
          </cell>
          <cell r="B617">
            <v>176763.58000000005</v>
          </cell>
        </row>
        <row r="618">
          <cell r="A618" t="str">
            <v>TAN042-TANQUE</v>
          </cell>
          <cell r="B618">
            <v>372408.84000000008</v>
          </cell>
        </row>
        <row r="619">
          <cell r="A619" t="str">
            <v>TAN636-TANQUE DE SOLUBILIZAÇÃO</v>
          </cell>
          <cell r="B619">
            <v>39224.930000000008</v>
          </cell>
        </row>
        <row r="620">
          <cell r="A620" t="str">
            <v>CEN058-CENTRO DE USINAGEM MIKRON VCE800</v>
          </cell>
          <cell r="B620">
            <v>922479.63999999932</v>
          </cell>
        </row>
        <row r="621">
          <cell r="A621" t="str">
            <v>CEN060-CENTRO DE USINAGEM DECKEL MAHO</v>
          </cell>
          <cell r="B621">
            <v>569931.07999999984</v>
          </cell>
        </row>
        <row r="622">
          <cell r="A622" t="str">
            <v>CEN064-CENTRO DE USINAGEM DECKEL MAHO</v>
          </cell>
          <cell r="B622">
            <v>698296.86</v>
          </cell>
        </row>
        <row r="623">
          <cell r="A623" t="str">
            <v>CEN067-CENTRO USINAGEM MIKRON VCE800 PRO</v>
          </cell>
          <cell r="B623">
            <v>396753.88000000035</v>
          </cell>
        </row>
        <row r="624">
          <cell r="A624" t="str">
            <v>CEN068-CENTRO USINAGEM MIKRON VCE800 PRO</v>
          </cell>
          <cell r="B624">
            <v>514054.17000000039</v>
          </cell>
        </row>
        <row r="625">
          <cell r="A625" t="str">
            <v>CEN083-CENTRO DE USINAGEM</v>
          </cell>
          <cell r="B625">
            <v>848460.99000000011</v>
          </cell>
        </row>
        <row r="626">
          <cell r="A626" t="str">
            <v>CEN091-CENTRO DE USINAGEM</v>
          </cell>
          <cell r="B626">
            <v>1095527.5999999996</v>
          </cell>
        </row>
        <row r="627">
          <cell r="A627" t="str">
            <v>CEN093-CENTRO DE USINAGEM</v>
          </cell>
          <cell r="B627">
            <v>770115.05999999994</v>
          </cell>
        </row>
        <row r="628">
          <cell r="A628" t="str">
            <v>CEN140-CENTRO DE USINAGEM 5 EIXOS HERMLE</v>
          </cell>
          <cell r="B628">
            <v>16964.34</v>
          </cell>
        </row>
        <row r="629">
          <cell r="A629" t="str">
            <v>ELE008-ELETROEROSÃO A FIO FANUC</v>
          </cell>
          <cell r="B629">
            <v>117537.72</v>
          </cell>
        </row>
        <row r="630">
          <cell r="A630" t="str">
            <v>ELE013-ELETROEROSÃO A FIO FANUC</v>
          </cell>
          <cell r="B630">
            <v>428818.41000000015</v>
          </cell>
        </row>
        <row r="631">
          <cell r="A631" t="str">
            <v>ELE014-ELETROEROSÃO PENETRAÇÃO SP3 EDM</v>
          </cell>
          <cell r="B631">
            <v>96316.5</v>
          </cell>
        </row>
        <row r="632">
          <cell r="A632" t="str">
            <v>ELE015-ELETROEROSÃO PENETRAÇÃO EDM SP3</v>
          </cell>
          <cell r="B632">
            <v>64714.840000000011</v>
          </cell>
        </row>
        <row r="633">
          <cell r="A633" t="str">
            <v>ELE016-ELETROEROSÃO PENETRAÇÃO EDM SP3</v>
          </cell>
          <cell r="B633">
            <v>102697.30000000002</v>
          </cell>
        </row>
        <row r="634">
          <cell r="A634" t="str">
            <v>ELE017-ELETROEROSÃO PENETR FORM 3000HP</v>
          </cell>
          <cell r="B634">
            <v>604652.30999999982</v>
          </cell>
        </row>
        <row r="635">
          <cell r="A635" t="str">
            <v>ELE018-ELETROEROSÃO DRILL 20</v>
          </cell>
          <cell r="B635">
            <v>79493.459999999977</v>
          </cell>
        </row>
        <row r="636">
          <cell r="A636" t="str">
            <v>ELE019-ELETROEROSÃO CHARMILIES CUTE600</v>
          </cell>
          <cell r="B636">
            <v>292818.51999999996</v>
          </cell>
        </row>
        <row r="637">
          <cell r="A637" t="str">
            <v>FOR067-FORNO TRAT. TÉRMICO</v>
          </cell>
          <cell r="B637">
            <v>26928.46</v>
          </cell>
        </row>
        <row r="638">
          <cell r="A638" t="str">
            <v>FRE025-FRESADORA UNIVERSAL FU 360</v>
          </cell>
          <cell r="B638">
            <v>14594.109999999999</v>
          </cell>
        </row>
        <row r="639">
          <cell r="A639" t="str">
            <v>LAS010-MÁQUINA LASER GRAVAÇÃO</v>
          </cell>
          <cell r="B639">
            <v>9486.0399999999991</v>
          </cell>
        </row>
        <row r="640">
          <cell r="A640" t="str">
            <v>LAV055-LAVADORA MOLDES ULTRASSOM</v>
          </cell>
          <cell r="B640">
            <v>889030.37999999954</v>
          </cell>
        </row>
        <row r="641">
          <cell r="A641" t="str">
            <v>LAV087-LAVADORA DE MOLDES</v>
          </cell>
          <cell r="B641">
            <v>4168.67</v>
          </cell>
        </row>
        <row r="642">
          <cell r="A642" t="str">
            <v>PRE010-PRENSA HIDRÁULICA</v>
          </cell>
          <cell r="B642">
            <v>153641.34</v>
          </cell>
        </row>
        <row r="643">
          <cell r="A643" t="str">
            <v>PRE019-PRENSA FKL FECHAMENTO</v>
          </cell>
          <cell r="B643">
            <v>269327.72999999992</v>
          </cell>
        </row>
        <row r="644">
          <cell r="A644" t="str">
            <v>PRE047-PRENSA HIDRÁULICA</v>
          </cell>
          <cell r="B644">
            <v>169230.05000000005</v>
          </cell>
        </row>
        <row r="645">
          <cell r="A645" t="str">
            <v>PRE055-PRENSA</v>
          </cell>
          <cell r="B645">
            <v>729400.01000000094</v>
          </cell>
        </row>
        <row r="646">
          <cell r="A646" t="str">
            <v>RET041-RETIFICA PLANA TANGECIAL</v>
          </cell>
          <cell r="B646">
            <v>10336.89</v>
          </cell>
        </row>
        <row r="647">
          <cell r="A647" t="str">
            <v>TOR019-TORNO ROMI TORMAX 30</v>
          </cell>
          <cell r="B647">
            <v>41149.329999999994</v>
          </cell>
        </row>
        <row r="648">
          <cell r="A648" t="str">
            <v>TOR040-TORNO UNIVERSAL VEKER</v>
          </cell>
          <cell r="B648">
            <v>20012.7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/UMM-mp Pedroso Magri, Fagner" id="{A636C000-82F4-4A48-8D0A-AB4A4FAF3DC6}" userId="S::fagner.magri@stihl.com.br::102654b3-2db8-4282-9932-69767a56957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so Magri, Fagner" refreshedDate="45090.703347453702" createdVersion="6" refreshedVersion="6" minRefreshableVersion="3" recordCount="743" xr:uid="{00000000-000A-0000-FFFF-FFFF01000000}">
  <cacheSource type="worksheet">
    <worksheetSource ref="A1:AW1048576" sheet="Dados"/>
  </cacheSource>
  <cacheFields count="49">
    <cacheField name="ID" numFmtId="0">
      <sharedItems containsString="0" containsBlank="1" containsNumber="1" containsInteger="1" minValue="1" maxValue="683"/>
    </cacheField>
    <cacheField name="TAG" numFmtId="0">
      <sharedItems containsBlank="1" containsMixedTypes="1" containsNumber="1" containsInteger="1" minValue="2022" maxValue="2022" count="688">
        <s v="APL001"/>
        <s v="BAL003"/>
        <s v="BAL004"/>
        <s v="BAL006"/>
        <s v="BAL007"/>
        <s v="BAL008"/>
        <s v="BAL009"/>
        <s v="BRU002"/>
        <s v="BRU003"/>
        <s v="BRU004"/>
        <s v="BRU008"/>
        <s v="BRU009"/>
        <s v="BRU010"/>
        <s v="BRU011"/>
        <s v="BRU012"/>
        <s v="BRU014"/>
        <s v="BRU024"/>
        <s v="BRU025"/>
        <s v="BRU026"/>
        <s v="BRU027"/>
        <s v="BRU028"/>
        <s v="BRU029"/>
        <s v="BRU030"/>
        <s v="BRU031"/>
        <s v="BRU032"/>
        <s v="BRU033"/>
        <s v="BRU034"/>
        <s v="BRU035"/>
        <s v="BRU036"/>
        <s v="BRU037"/>
        <s v="BRU038"/>
        <s v="BRU039"/>
        <s v="BRU040"/>
        <s v="BRU041"/>
        <s v="BRU042"/>
        <s v="BRU043"/>
        <s v="BRU044"/>
        <s v="BRU045"/>
        <s v="BRU046"/>
        <s v="BRU047"/>
        <s v="BRU048"/>
        <s v="BRU049"/>
        <s v="BRU050"/>
        <s v="BRU051"/>
        <s v="BRU052"/>
        <s v="BRU053"/>
        <s v="BRU054"/>
        <s v="BRU055"/>
        <s v="BRU056"/>
        <s v="BRU057"/>
        <s v="BRU058"/>
        <s v="BRU059"/>
        <s v="BRU060"/>
        <s v="BRU061"/>
        <s v="BRU062"/>
        <s v="BRU063"/>
        <s v="BRU064"/>
        <s v="BRU065"/>
        <s v="BRU066"/>
        <s v="BRU067"/>
        <s v="BRU068"/>
        <s v="BRU069"/>
        <s v="BRU070"/>
        <s v="BRU071"/>
        <s v="BRU072"/>
        <s v="BRU073"/>
        <s v="BRU090"/>
        <s v="BRU091"/>
        <s v="CAB004"/>
        <s v="CAB018"/>
        <s v="CAB028"/>
        <s v="CAB029"/>
        <s v="CAB030"/>
        <s v="CAB031"/>
        <s v="CAB032"/>
        <s v="CAB033"/>
        <s v="CAB107"/>
        <s v="CAB108"/>
        <s v="CAB109"/>
        <s v="CAB110"/>
        <s v="CAB111"/>
        <s v="CAB112"/>
        <s v="CAB114"/>
        <s v="CAB115"/>
        <s v="CAB116"/>
        <s v="CAB117"/>
        <s v="CAB118"/>
        <s v="CAB119"/>
        <s v="CAB120"/>
        <s v="CAB121"/>
        <s v="CAB122"/>
        <s v="CAB124"/>
        <s v="CAB125"/>
        <s v="CAB126"/>
        <s v="CAB127"/>
        <s v="CAB128"/>
        <s v="CAB129"/>
        <s v="CAB131"/>
        <s v="CAB132"/>
        <s v="CAB133"/>
        <s v="CAB134"/>
        <s v="CAB135"/>
        <s v="CAB136"/>
        <s v="CAR006"/>
        <s v="CAR007"/>
        <s v="CAR010"/>
        <s v="CAR011"/>
        <s v="CAR012"/>
        <s v="CAR013"/>
        <s v="CAR014"/>
        <s v="CAR018"/>
        <s v="CAR019"/>
        <s v="CAR020"/>
        <s v="CAR021"/>
        <s v="CAR022"/>
        <s v="CAR023"/>
        <s v="CAR024"/>
        <s v="CAR025"/>
        <s v="CAR026"/>
        <s v="CAR027"/>
        <s v="CAR030"/>
        <s v="CAR031"/>
        <s v="CAR032"/>
        <s v="CAR033"/>
        <s v="CAR034"/>
        <s v="CEN004"/>
        <s v="CEN010"/>
        <s v="CEN017"/>
        <s v="CEN018"/>
        <s v="CEN019"/>
        <s v="CEN021"/>
        <s v="CEN022"/>
        <s v="CEN023"/>
        <s v="CEN024"/>
        <s v="CEN025"/>
        <s v="CEN026"/>
        <s v="CEN027"/>
        <s v="CEN028"/>
        <s v="CEN029"/>
        <s v="CEN030"/>
        <s v="CEN031"/>
        <s v="CEN032"/>
        <s v="CEN033"/>
        <s v="CEN034"/>
        <s v="CEN035"/>
        <s v="CEN036"/>
        <s v="CEN037"/>
        <s v="CEN038"/>
        <s v="CEN039"/>
        <s v="CEN040"/>
        <s v="CEN041"/>
        <s v="CEN042"/>
        <s v="CEN043"/>
        <s v="CEN044"/>
        <s v="CEN045"/>
        <s v="CEN046"/>
        <s v="CEN047"/>
        <s v="CEN048"/>
        <s v="CEN049"/>
        <s v="CEN050"/>
        <s v="CEN051"/>
        <s v="CEN052"/>
        <s v="CEN053"/>
        <s v="CEN054"/>
        <s v="CEN055"/>
        <s v="CEN056"/>
        <s v="CEN057"/>
        <s v="CEN058"/>
        <s v="CEN059"/>
        <s v="CEN060"/>
        <s v="CEN061"/>
        <s v="CEN062"/>
        <s v="CEN064"/>
        <s v="CEN065"/>
        <s v="CEN067"/>
        <s v="CEN068"/>
        <s v="CEN069"/>
        <s v="CEN070"/>
        <s v="CEN071"/>
        <s v="CEN072"/>
        <s v="CEN073"/>
        <s v="CEN074"/>
        <s v="CEN075"/>
        <s v="CEN076"/>
        <s v="CEN077"/>
        <s v="CEN078"/>
        <s v="CEN079"/>
        <s v="CEN080"/>
        <s v="CEN081"/>
        <s v="CEN082"/>
        <s v="CEN083"/>
        <s v="CEN084"/>
        <s v="CEN085"/>
        <s v="CEN086"/>
        <s v="CEN087"/>
        <s v="CEN088"/>
        <s v="CEN089"/>
        <s v="CEN090"/>
        <s v="CEN091"/>
        <s v="CEN092"/>
        <s v="CEN093"/>
        <s v="CEN094"/>
        <s v="CEN095"/>
        <s v="CEN096"/>
        <s v="CEN097"/>
        <s v="CEN098"/>
        <s v="CEN099"/>
        <s v="CEN100"/>
        <s v="CEN101"/>
        <s v="CEN102"/>
        <s v="CEN103"/>
        <s v="CEN104"/>
        <s v="CEN105"/>
        <s v="CEN106"/>
        <s v="CEN107"/>
        <s v="CEN108"/>
        <s v="CEN109"/>
        <s v="CEN110"/>
        <s v="CEN111"/>
        <s v="CEN112"/>
        <s v="CEN113"/>
        <s v="CEN114"/>
        <s v="CEN115"/>
        <s v="CEN116"/>
        <s v="CEN117"/>
        <s v="CEN118"/>
        <s v="CEN130"/>
        <s v="CEN131"/>
        <s v="CEN132"/>
        <s v="CEN133"/>
        <s v="CEN134"/>
        <s v="CEN135"/>
        <s v="CEN136"/>
        <s v="CEN140"/>
        <s v="COL003"/>
        <s v="COQ003"/>
        <s v="COQ004"/>
        <s v="COQ005"/>
        <s v="COQ006"/>
        <s v="COQ007"/>
        <s v="COQ008"/>
        <s v="COQ009"/>
        <s v="COQ010"/>
        <s v="COR001"/>
        <s v="DES002"/>
        <s v="ELE008"/>
        <s v="ELE013"/>
        <s v="ELE014"/>
        <s v="ELE015"/>
        <s v="ELE016"/>
        <s v="ELE017"/>
        <s v="ELE018"/>
        <s v="ELE019"/>
        <s v="EMP019"/>
        <s v="EMP024"/>
        <s v="EMP032"/>
        <s v="EMP036"/>
        <s v="EMP040"/>
        <s v="EMP044"/>
        <s v="EMP048"/>
        <s v="EMP054"/>
        <s v="EMP055"/>
        <s v="EMP056"/>
        <s v="EMP057"/>
        <s v="EMP063"/>
        <s v="EMP069"/>
        <s v="EMP074"/>
        <s v="EMP077"/>
        <s v="EMP078"/>
        <s v="EMP079"/>
        <s v="EMP091"/>
        <s v="EMP092"/>
        <s v="EMP093"/>
        <s v="EMP096"/>
        <s v="EMP097"/>
        <s v="EMP098"/>
        <s v="EMP099"/>
        <s v="EMP100"/>
        <s v="EMP102"/>
        <s v="EMP109"/>
        <s v="EMP110"/>
        <s v="EMP111"/>
        <s v="EMP113"/>
        <s v="EMP114"/>
        <s v="EMP115"/>
        <s v="EMP116"/>
        <s v="EMP117"/>
        <s v="EMP118"/>
        <s v="EMP119"/>
        <s v="EMP120"/>
        <s v="EMP121"/>
        <s v="EMP122"/>
        <s v="EMP123"/>
        <s v="EMP125"/>
        <s v="EMP126"/>
        <s v="EMP127"/>
        <s v="EMP128"/>
        <s v="EMP129"/>
        <s v="EMP130"/>
        <s v="EMP131"/>
        <s v="EMP132"/>
        <s v="EMP133"/>
        <s v="EST127"/>
        <s v="FIL001"/>
        <s v="FIL007"/>
        <s v="FIL023"/>
        <s v="FIL024"/>
        <s v="FIL042"/>
        <s v="FIL058"/>
        <s v="FOR001"/>
        <s v="FOR002"/>
        <s v="FOR014"/>
        <s v="FOR015"/>
        <s v="FOR016"/>
        <s v="FOR017"/>
        <s v="FOR020"/>
        <s v="FOR038"/>
        <s v="FOR039"/>
        <s v="FOR042"/>
        <s v="FOR044"/>
        <s v="FOR045"/>
        <s v="FOR052"/>
        <s v="FOR062"/>
        <s v="FOR063"/>
        <s v="FOR067"/>
        <s v="FOR071"/>
        <s v="FOR072"/>
        <s v="FOR083"/>
        <s v="FOR088"/>
        <s v="FOR089"/>
        <s v="FOR090"/>
        <s v="FOR091"/>
        <s v="FOR092"/>
        <s v="FOR098"/>
        <s v="FOR099"/>
        <s v="FOR101"/>
        <s v="FOR102"/>
        <s v="FOR103"/>
        <s v="FOR106"/>
        <s v="FOR109"/>
        <s v="FOR110"/>
        <s v="FOR112"/>
        <s v="FOR115"/>
        <s v="FOR121"/>
        <s v="FOR131"/>
        <s v="FRE020"/>
        <s v="FRE021"/>
        <s v="FRE025"/>
        <s v="GRV008"/>
        <s v="GRV009"/>
        <s v="GRV012"/>
        <s v="GRV014"/>
        <s v="GRV015"/>
        <s v="GRV016"/>
        <s v="GRV017"/>
        <s v="GRV020"/>
        <s v="IMP001"/>
        <s v="INJ001"/>
        <s v="INJ002"/>
        <s v="INJ003"/>
        <s v="INJ004"/>
        <s v="INJ005"/>
        <s v="INJ006"/>
        <s v="INJ007"/>
        <s v="INJ010"/>
        <s v="INJ011"/>
        <s v="INJ012"/>
        <s v="INJ015"/>
        <s v="INJ016"/>
        <s v="INJ017"/>
        <s v="INJ018"/>
        <s v="INJ019"/>
        <s v="INJ027"/>
        <s v="INJ029"/>
        <s v="INJ030"/>
        <s v="INJ031"/>
        <s v="INJ032"/>
        <s v="INJ033"/>
        <s v="INJ034"/>
        <s v="INJ035"/>
        <s v="INJ036"/>
        <s v="INJ037"/>
        <s v="INJ038"/>
        <s v="INJ039"/>
        <s v="INJ040"/>
        <s v="INJ041"/>
        <s v="INJ042"/>
        <s v="INJ043"/>
        <s v="INJ044"/>
        <s v="INJ045"/>
        <s v="INJ061"/>
        <s v="INJ062"/>
        <s v="INJ063"/>
        <s v="INJ064"/>
        <s v="INJ065"/>
        <s v="INJ066"/>
        <s v="INJ067"/>
        <s v="INJ068"/>
        <s v="INJ070"/>
        <s v="INJ072"/>
        <s v="INJ079"/>
        <s v="INJ101"/>
        <s v="INJ102"/>
        <s v="JAT003"/>
        <s v="JAT012"/>
        <s v="JAT014"/>
        <s v="JAT016"/>
        <s v="JAT019"/>
        <s v="JAT021"/>
        <s v="JAT023"/>
        <s v="JAT024"/>
        <s v="JAT025"/>
        <s v="JAT028"/>
        <s v="JAT029"/>
        <s v="JAT033"/>
        <s v="JAT034"/>
        <s v="LAS001"/>
        <s v="LAS003"/>
        <s v="LAS005"/>
        <s v="LAS006"/>
        <s v="LAS007"/>
        <s v="LAS008"/>
        <s v="LAS009"/>
        <s v="LAS010"/>
        <s v="LAS011"/>
        <s v="LAS012"/>
        <s v="LAV015"/>
        <s v="LAV018"/>
        <s v="LAV035"/>
        <s v="LAV040"/>
        <s v="LAV041"/>
        <s v="LAV055"/>
        <s v="LAV073"/>
        <s v="LAV078"/>
        <s v="LAV079"/>
        <s v="LAV081"/>
        <s v="LAV082"/>
        <s v="LAV083"/>
        <s v="LAV084"/>
        <s v="LAV085"/>
        <s v="LAV087"/>
        <s v="LIX005"/>
        <s v="LUB006"/>
        <s v="MAC001"/>
        <s v="MAC002"/>
        <s v="MAC004"/>
        <s v="MAC005"/>
        <s v="MAC007"/>
        <s v="MAC008"/>
        <s v="MAC010"/>
        <s v="MAC011"/>
        <s v="MAG002"/>
        <s v="MAG003"/>
        <s v="MAG004"/>
        <s v="MAN010"/>
        <s v="MAQ021"/>
        <s v="MAQ159"/>
        <s v="MAQ201"/>
        <s v="MAQ240"/>
        <s v="MAQ243"/>
        <s v="MAQ248"/>
        <s v="MAQ252"/>
        <s v="MAQ254"/>
        <s v="MAQ288"/>
        <s v="MAQ289"/>
        <s v="MOC011"/>
        <s v="MOC012"/>
        <s v="MOC013"/>
        <s v="MOC014"/>
        <s v="MOD004"/>
        <s v="MOD009"/>
        <s v="MOD012"/>
        <s v="MOD013"/>
        <s v="MOD014"/>
        <s v="MOD015"/>
        <s v="MOD017"/>
        <s v="MOD020"/>
        <s v="MOD021"/>
        <s v="MOD022"/>
        <s v="MOD023"/>
        <s v="MOD024"/>
        <s v="MOD025"/>
        <s v="MON001"/>
        <s v="MON028"/>
        <s v="PON005"/>
        <s v="PON008"/>
        <s v="PON010"/>
        <s v="PON016"/>
        <s v="PON025"/>
        <s v="PRE010"/>
        <s v="PRE019"/>
        <s v="PRE024"/>
        <s v="PRE031"/>
        <s v="PRE032"/>
        <s v="PRE038"/>
        <s v="PRE045"/>
        <s v="PRE046"/>
        <s v="PRE047"/>
        <s v="PRE048"/>
        <s v="PRE053"/>
        <s v="PRE054"/>
        <s v="PRE055"/>
        <s v="PRE083"/>
        <s v="RBT001"/>
        <s v="REB001"/>
        <s v="REB002"/>
        <s v="REB003"/>
        <s v="REB004"/>
        <s v="REB007"/>
        <s v="REB008"/>
        <s v="REB009"/>
        <s v="REB010"/>
        <s v="REB011"/>
        <s v="REB012"/>
        <s v="RET002"/>
        <s v="RET003"/>
        <s v="RET004"/>
        <s v="RET006"/>
        <s v="RET012"/>
        <s v="RET013"/>
        <s v="RET014"/>
        <s v="RET015"/>
        <s v="RET016"/>
        <s v="RET017"/>
        <s v="RET019"/>
        <s v="RET020"/>
        <s v="RET023"/>
        <s v="RET024"/>
        <s v="RET026"/>
        <s v="RET030"/>
        <s v="RET031"/>
        <s v="RET032"/>
        <s v="RET033"/>
        <s v="RET038"/>
        <s v="RET039"/>
        <s v="RET041"/>
        <s v="RET042"/>
        <s v="RET043"/>
        <s v="RET044"/>
        <s v="ROB003"/>
        <s v="ROB004"/>
        <s v="ROB005"/>
        <s v="ROB006"/>
        <s v="ROB007"/>
        <s v="ROB009"/>
        <s v="ROB010"/>
        <s v="ROB011"/>
        <s v="ROB012"/>
        <s v="ROB013"/>
        <s v="ROB014"/>
        <s v="ROB015"/>
        <s v="ROB016"/>
        <s v="ROB017"/>
        <s v="ROB021"/>
        <s v="ROB022"/>
        <s v="ROB023"/>
        <s v="ROB024"/>
        <s v="ROB025"/>
        <s v="ROB026"/>
        <s v="ROB027"/>
        <s v="ROB028"/>
        <s v="ROB031"/>
        <s v="ROB033"/>
        <s v="ROB037"/>
        <s v="ROB038"/>
        <s v="ROB039"/>
        <s v="ROB040"/>
        <s v="ROB041"/>
        <s v="ROB042"/>
        <s v="ROB044"/>
        <s v="ROB045"/>
        <s v="ROB046"/>
        <s v="ROB047"/>
        <s v="ROB048"/>
        <s v="ROB056"/>
        <s v="ROB057"/>
        <s v="ROB058"/>
        <s v="ROB059"/>
        <s v="ROB060"/>
        <s v="ROB061"/>
        <s v="ROB062"/>
        <s v="ROB063"/>
        <s v="ROB064"/>
        <s v="ROB065"/>
        <s v="ROB066"/>
        <s v="ROB067"/>
        <s v="ROB068"/>
        <s v="ROB069"/>
        <s v="ROB070"/>
        <s v="ROB071"/>
        <s v="ROB072"/>
        <s v="ROB073"/>
        <s v="ROB074"/>
        <s v="ROB075"/>
        <s v="ROB076"/>
        <s v="ROB077"/>
        <s v="ROB078"/>
        <s v="ROB079"/>
        <s v="ROB080"/>
        <s v="ROB081"/>
        <s v="ROB082"/>
        <s v="ROB083"/>
        <s v="ROB084"/>
        <s v="ROB085"/>
        <s v="ROB086"/>
        <s v="ROB087"/>
        <s v="ROB088"/>
        <s v="ROB090"/>
        <s v="ROB091"/>
        <s v="ROB092"/>
        <s v="ROB093"/>
        <s v="ROB094"/>
        <s v="ROB095"/>
        <s v="ROB100"/>
        <s v="ROB101"/>
        <s v="ROB120"/>
        <s v="ROB121"/>
        <s v="ROB122"/>
        <s v="ROB123"/>
        <s v="ROB125"/>
        <s v="ROB126"/>
        <s v="ROB127"/>
        <s v="ROB128"/>
        <s v="ROB129"/>
        <s v="ROB130"/>
        <s v="ROB131"/>
        <s v="ROB132"/>
        <s v="ROB133"/>
        <s v="ROB134"/>
        <s v="ROB135"/>
        <s v="ROB136"/>
        <s v="ROB137"/>
        <s v="ROB138"/>
        <s v="ROB139"/>
        <s v="ROB150"/>
        <s v="ROB201"/>
        <s v="ROB202"/>
        <s v="ROB203"/>
        <s v="ROL001"/>
        <s v="SOL001"/>
        <s v="SOL007"/>
        <s v="SOL009"/>
        <s v="SOL011"/>
        <s v="SOL013"/>
        <s v="SOP002"/>
        <s v="SOP003"/>
        <s v="SOP004"/>
        <s v="SOP005"/>
        <s v="SOP007"/>
        <s v="SOP008"/>
        <s v="SOP009"/>
        <s v="SRG004"/>
        <s v="TAN042"/>
        <s v="TAN636"/>
        <s v="TAN637"/>
        <s v="TEM002"/>
        <s v="TOR019"/>
        <s v="TOR020"/>
        <s v="TOR021"/>
        <s v="TOR022"/>
        <s v="TOR024"/>
        <s v="TOR025"/>
        <s v="TOR026"/>
        <s v="TOR027"/>
        <s v="TOR028"/>
        <s v="TOR030"/>
        <s v="TOR033"/>
        <s v="TOR038"/>
        <s v="TOR039"/>
        <s v="TOR040"/>
        <s v="TOR041"/>
        <s v="TOR042"/>
        <s v="TOR043"/>
        <s v="TOR044"/>
        <s v="TOR045"/>
        <s v="TOR046"/>
        <s v="TOR047"/>
        <s v="TRO001"/>
        <s v="TRO002"/>
        <s v="TRO003"/>
        <s v="TRO004"/>
        <s v="TRO011"/>
        <s v="TRP027"/>
        <m/>
        <s v="TOTAL"/>
        <n v="2022"/>
        <s v="AUMENTO"/>
        <s v="%"/>
      </sharedItems>
    </cacheField>
    <cacheField name="Denominação" numFmtId="0">
      <sharedItems containsBlank="1" containsMixedTypes="1" containsNumber="1" minValue="0.27798507462686572" maxValue="685"/>
    </cacheField>
    <cacheField name="Nº SAP" numFmtId="0">
      <sharedItems containsString="0" containsBlank="1" containsNumber="1" containsInteger="1" minValue="10000000" maxValue="40000578"/>
    </cacheField>
    <cacheField name="Local Instalação" numFmtId="0">
      <sharedItems containsBlank="1"/>
    </cacheField>
    <cacheField name="Centro Custo" numFmtId="0">
      <sharedItems containsString="0" containsBlank="1" containsNumber="1" containsInteger="1" minValue="28" maxValue="4745"/>
    </cacheField>
    <cacheField name="Imobilizado" numFmtId="0">
      <sharedItems containsBlank="1" containsMixedTypes="1" containsNumber="1" containsInteger="1" minValue="2017" maxValue="900000023863"/>
    </cacheField>
    <cacheField name="Ano Aquisição" numFmtId="0">
      <sharedItems containsString="0" containsBlank="1" containsNumber="1" containsInteger="1" minValue="1977" maxValue="2023"/>
    </cacheField>
    <cacheField name="Valor de Aquisição Atual" numFmtId="0">
      <sharedItems containsString="0" containsBlank="1" containsNumber="1" minValue="1278.1600000000001" maxValue="5257637.6500000004"/>
    </cacheField>
    <cacheField name="Valor Residual Atual" numFmtId="0">
      <sharedItems containsString="0" containsBlank="1" containsNumber="1" minValue="0" maxValue="5111592"/>
    </cacheField>
    <cacheField name="Custo de Manut. Total" numFmtId="0">
      <sharedItems containsBlank="1" containsMixedTypes="1" containsNumber="1" minValue="0" maxValue="8859617.3000000715"/>
    </cacheField>
    <cacheField name="Beta" numFmtId="0">
      <sharedItems containsString="0" containsBlank="1" containsNumber="1" minValue="0.38" maxValue="5.7"/>
    </cacheField>
    <cacheField name="Tempo de Missão (Horas Trab Ano)" numFmtId="0">
      <sharedItems containsBlank="1" containsMixedTypes="1" containsNumber="1" minValue="2000" maxValue="7404"/>
    </cacheField>
    <cacheField name="Tempo Total" numFmtId="0">
      <sharedItems containsString="0" containsBlank="1" containsNumber="1" containsInteger="1" minValue="320" maxValue="201265"/>
    </cacheField>
    <cacheField name="Qtd Falhas Totais" numFmtId="0">
      <sharedItems containsString="0" containsBlank="1" containsNumber="1" containsInteger="1" minValue="1" maxValue="5584"/>
    </cacheField>
    <cacheField name="Falha Ano 1" numFmtId="1">
      <sharedItems containsBlank="1" containsMixedTypes="1" containsNumber="1" minValue="0.4" maxValue="260"/>
    </cacheField>
    <cacheField name="Falha Ano 2" numFmtId="1">
      <sharedItems containsBlank="1" containsMixedTypes="1" containsNumber="1" minValue="0.8" maxValue="520"/>
    </cacheField>
    <cacheField name="Falha Ano 3" numFmtId="1">
      <sharedItems containsBlank="1" containsMixedTypes="1" containsNumber="1" minValue="1.2000000000000002" maxValue="780"/>
    </cacheField>
    <cacheField name="Falha Ano 4" numFmtId="1">
      <sharedItems containsBlank="1" containsMixedTypes="1" containsNumber="1" minValue="1.6" maxValue="1040"/>
    </cacheField>
    <cacheField name="Falha Ano 5" numFmtId="1">
      <sharedItems containsBlank="1" containsMixedTypes="1" containsNumber="1" minValue="2" maxValue="1300"/>
    </cacheField>
    <cacheField name="Falha Ano 6" numFmtId="1">
      <sharedItems containsBlank="1" containsMixedTypes="1" containsNumber="1" minValue="2.4" maxValue="1560"/>
    </cacheField>
    <cacheField name="Falha Ano 7" numFmtId="1">
      <sharedItems containsBlank="1" containsMixedTypes="1" containsNumber="1" minValue="2.8" maxValue="1820"/>
    </cacheField>
    <cacheField name="Custo Esperado por Corretiva" numFmtId="0">
      <sharedItems containsBlank="1" containsMixedTypes="1" containsNumber="1" minValue="100" maxValue="2435.96"/>
    </cacheField>
    <cacheField name="Custo Esperado Preventiva Mensal" numFmtId="0">
      <sharedItems containsBlank="1" containsMixedTypes="1" containsNumber="1" minValue="90.01" maxValue="28719.99"/>
    </cacheField>
    <cacheField name="Taxa" numFmtId="0">
      <sharedItems containsString="0" containsBlank="1" containsNumber="1" minValue="0.1" maxValue="0.1"/>
    </cacheField>
    <cacheField name="Acréscimo Aquisição" numFmtId="0">
      <sharedItems containsBlank="1" containsMixedTypes="1" containsNumber="1" minValue="0" maxValue="2.9147076923076951"/>
    </cacheField>
    <cacheField name="Red. Custo Manut." numFmtId="0">
      <sharedItems containsString="0" containsBlank="1" containsNumber="1" minValue="0.8" maxValue="0.8"/>
    </cacheField>
    <cacheField name="0 - Atual" numFmtId="0">
      <sharedItems containsString="0" containsBlank="1" containsNumber="1" minValue="-5257637.6500000004" maxValue="0"/>
    </cacheField>
    <cacheField name="1" numFmtId="0">
      <sharedItems containsBlank="1" containsMixedTypes="1" containsNumber="1" minValue="-530538.66800000006" maxValue="0"/>
    </cacheField>
    <cacheField name="2" numFmtId="0">
      <sharedItems containsBlank="1" containsMixedTypes="1" containsNumber="1" minValue="-583592.53480000014" maxValue="0"/>
    </cacheField>
    <cacheField name="3" numFmtId="0">
      <sharedItems containsBlank="1" containsMixedTypes="1" containsNumber="1" minValue="-641951.78828000021" maxValue="0"/>
    </cacheField>
    <cacheField name="4" numFmtId="0">
      <sharedItems containsBlank="1" containsMixedTypes="1" containsNumber="1" minValue="-706146.96710800019" maxValue="0"/>
    </cacheField>
    <cacheField name="5" numFmtId="0">
      <sharedItems containsBlank="1" containsMixedTypes="1" containsNumber="1" minValue="-776761.66381880024" maxValue="0"/>
    </cacheField>
    <cacheField name="6" numFmtId="0">
      <sharedItems containsBlank="1" containsMixedTypes="1" containsNumber="1" minValue="-854437.83020068042" maxValue="0"/>
    </cacheField>
    <cacheField name="7" numFmtId="0">
      <sharedItems containsBlank="1" containsMixedTypes="1" containsNumber="1" minValue="-939881.61322074861" maxValue="0"/>
    </cacheField>
    <cacheField name="0 - Novo" numFmtId="0">
      <sharedItems containsString="0" containsBlank="1" containsNumber="1" minValue="-7130251.6092049992" maxValue="0"/>
    </cacheField>
    <cacheField name="12" numFmtId="0">
      <sharedItems containsBlank="1" containsMixedTypes="1" containsNumber="1" minValue="-106107.73359999999" maxValue="0"/>
    </cacheField>
    <cacheField name="23" numFmtId="0">
      <sharedItems containsBlank="1" containsMixedTypes="1" containsNumber="1" minValue="-116718.50696" maxValue="0"/>
    </cacheField>
    <cacheField name="34" numFmtId="0">
      <sharedItems containsBlank="1" containsMixedTypes="1" containsNumber="1" minValue="-128390.35765600001" maxValue="0"/>
    </cacheField>
    <cacheField name="45" numFmtId="0">
      <sharedItems containsBlank="1" containsMixedTypes="1" containsNumber="1" minValue="-141229.39342160002" maxValue="0"/>
    </cacheField>
    <cacheField name="56" numFmtId="0">
      <sharedItems containsBlank="1" containsMixedTypes="1" containsNumber="1" minValue="-155352.33276376" maxValue="0"/>
    </cacheField>
    <cacheField name="67" numFmtId="0">
      <sharedItems containsBlank="1" containsMixedTypes="1" containsNumber="1" minValue="-170887.56604013604" maxValue="0"/>
    </cacheField>
    <cacheField name="78" numFmtId="0">
      <sharedItems containsBlank="1" containsMixedTypes="1" containsNumber="1" minValue="-187976.32264414968" maxValue="0"/>
    </cacheField>
    <cacheField name="POTENCIAL GANHO" numFmtId="0">
      <sharedItems containsBlank="1" containsMixedTypes="1" containsNumber="1" minValue="-8775600.820603" maxValue="623928.97791576933"/>
    </cacheField>
    <cacheField name="Custo Esperado Atual" numFmtId="0">
      <sharedItems containsBlank="1" containsMixedTypes="1" containsNumber="1" minValue="-5033311.06542823" maxValue="0"/>
    </cacheField>
    <cacheField name="Custo Esperado Novo" numFmtId="0">
      <sharedItems containsBlank="1" containsMixedTypes="1" containsNumber="1" minValue="-1006662.2130856457" maxValue="0"/>
    </cacheField>
    <cacheField name="Profit" numFmtId="0">
      <sharedItems containsBlank="1" containsMixedTypes="1" containsNumber="1" minValue="-1235.4131356946114" maxValue="149.48374398187889"/>
    </cacheField>
    <cacheField name="ROI" numFmtId="0">
      <sharedItems containsBlank="1" containsMixedTypes="1" containsNumber="1" minValue="-0.14285714285714288" maxValue="6.9966258202151863"/>
    </cacheField>
    <cacheField name="Fase" numFmtId="0">
      <sharedItems containsBlank="1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3">
  <r>
    <n v="1"/>
    <x v="0"/>
    <s v="APL001-APLAINADORA MAXITEC"/>
    <n v="10000457"/>
    <s v="BR01-MOT-SAB-TRTTRM-APL001"/>
    <n v="2511"/>
    <n v="2200100100"/>
    <n v="2004"/>
    <n v="70007.009999999995"/>
    <n v="0"/>
    <n v="811304.92000000051"/>
    <n v="1.27"/>
    <n v="5020"/>
    <n v="195391"/>
    <n v="420"/>
    <n v="14"/>
    <n v="28"/>
    <n v="42"/>
    <n v="56"/>
    <n v="70"/>
    <n v="84"/>
    <n v="98"/>
    <n v="966.83"/>
    <n v="4873.49"/>
    <n v="0.1"/>
    <n v="1.1001000000000001"/>
    <n v="0.8"/>
    <n v="-70007.009999999995"/>
    <n v="-79219.25"/>
    <n v="-87141.175000000017"/>
    <n v="-95855.292500000025"/>
    <n v="-105440.82175000003"/>
    <n v="-115984.90392500004"/>
    <n v="-127583.39431750006"/>
    <n v="-140341.7337492501"/>
    <n v="-147021.721701"/>
    <n v="-15843.849999999997"/>
    <n v="-17428.235000000001"/>
    <n v="-19171.058499999999"/>
    <n v="-21088.164350000003"/>
    <n v="-23196.980785000003"/>
    <n v="-25516.678863500005"/>
    <n v="-28068.346749850014"/>
    <n v="256276.27829899997"/>
    <n v="-751566.57124175027"/>
    <n v="-150313.31424835004"/>
    <n v="64.890219327485738"/>
    <n v="0.44136484443743512"/>
    <s v="Fase de Degradação"/>
  </r>
  <r>
    <n v="2"/>
    <x v="1"/>
    <s v="BAL003-BALANCEADORA"/>
    <n v="10003740"/>
    <s v="BR01-CIL-UCI-VOLANT-BAL003"/>
    <n v="4548"/>
    <s v="-"/>
    <n v="2008"/>
    <n v="184344.2"/>
    <n v="0"/>
    <n v="135505.04"/>
    <n v="0.75"/>
    <n v="4433"/>
    <n v="116075"/>
    <n v="175"/>
    <n v="5"/>
    <n v="10"/>
    <n v="15"/>
    <n v="20"/>
    <n v="25"/>
    <n v="30"/>
    <n v="35"/>
    <n v="257.32"/>
    <n v="312.04000000000002"/>
    <n v="0.1"/>
    <n v="0.89119999999999999"/>
    <n v="0.8"/>
    <n v="-184344.2"/>
    <n v="-5534.1880000000001"/>
    <n v="-6087.6068000000005"/>
    <n v="-6696.3674800000017"/>
    <n v="-7366.0042280000016"/>
    <n v="-8102.6046508000027"/>
    <n v="-8912.8651158800039"/>
    <n v="-9804.1516274680052"/>
    <n v="-348631.75104"/>
    <n v="-1106.8375999999998"/>
    <n v="-1217.5213599999997"/>
    <n v="-1339.273496"/>
    <n v="-1473.2008456000001"/>
    <n v="-1620.5209301600003"/>
    <n v="-1782.5730231760003"/>
    <n v="-1960.8303254936006"/>
    <n v="-320457.70303999999"/>
    <n v="-52503.787902148011"/>
    <n v="-10500.757580429601"/>
    <n v="-43.804102959754516"/>
    <n v="-0.12564576470468602"/>
    <s v="Confiabilidade em Crescimento"/>
  </r>
  <r>
    <n v="3"/>
    <x v="2"/>
    <s v="BAL004-BALANCEADORA"/>
    <n v="10006290"/>
    <s v="BR01-CIL-UCI-VOLANT-BAL004"/>
    <n v="4548"/>
    <n v="36407"/>
    <n v="2009"/>
    <n v="184344.2"/>
    <n v="0"/>
    <n v="284121.64"/>
    <n v="1.1200000000000001"/>
    <n v="4433"/>
    <n v="71239"/>
    <n v="253"/>
    <n v="18"/>
    <n v="36"/>
    <n v="54"/>
    <n v="72"/>
    <n v="90"/>
    <n v="108"/>
    <n v="126"/>
    <n v="412.47"/>
    <n v="831.28"/>
    <n v="0.1"/>
    <n v="0.83220000000000005"/>
    <n v="0.8"/>
    <n v="-184344.2"/>
    <n v="-19139.802"/>
    <n v="-21053.782200000001"/>
    <n v="-23159.160420000007"/>
    <n v="-25475.076462000008"/>
    <n v="-28022.584108200008"/>
    <n v="-30824.842519020014"/>
    <n v="-33907.326770922024"/>
    <n v="-337755.44324000005"/>
    <n v="-3827.960399999999"/>
    <n v="-4210.7564399999992"/>
    <n v="-4631.8320840000006"/>
    <n v="-5095.0152924000004"/>
    <n v="-5604.5168216400007"/>
    <n v="-6164.9685038040016"/>
    <n v="-6781.4653541844036"/>
    <n v="-240316.45124000008"/>
    <n v="-181582.57448014207"/>
    <n v="-36316.514896028406"/>
    <n v="-27.498483379412338"/>
    <n v="-8.1415367034877506E-2"/>
    <s v="Fase de Degradação"/>
  </r>
  <r>
    <n v="4"/>
    <x v="3"/>
    <s v="BAL006-BALANCEADORA"/>
    <n v="10006845"/>
    <s v="BR01-CIL-UCI-VOLANT-BAL006"/>
    <n v="4548"/>
    <n v="46611"/>
    <n v="2016"/>
    <n v="560982.64"/>
    <n v="206356"/>
    <n v="2171.91"/>
    <n v="1.1200000000000001"/>
    <n v="4433"/>
    <n v="39853"/>
    <n v="146"/>
    <n v="18"/>
    <n v="36"/>
    <n v="54"/>
    <n v="72"/>
    <n v="90"/>
    <n v="108"/>
    <n v="126"/>
    <n v="513.03"/>
    <n v="433.37"/>
    <n v="0.1"/>
    <n v="0.37669999999999998"/>
    <n v="0.8"/>
    <n v="-560982.64"/>
    <n v="-15878.478000000001"/>
    <n v="-17466.325800000002"/>
    <n v="-19212.958380000004"/>
    <n v="-21134.254218000005"/>
    <n v="-23247.679639800008"/>
    <n v="-25572.447603780012"/>
    <n v="-28129.692364158018"/>
    <n v="-772304.80048800004"/>
    <n v="-3175.6955999999996"/>
    <n v="-3493.2651599999995"/>
    <n v="-3842.591676"/>
    <n v="-4226.8508436000002"/>
    <n v="-4649.5359279600007"/>
    <n v="-5114.4895207560012"/>
    <n v="-5625.9384728316027"/>
    <n v="-897824.912488"/>
    <n v="-150641.83600573806"/>
    <n v="-30128.367201147605"/>
    <n v="-122.59247595477279"/>
    <n v="-0.12526554235506643"/>
    <s v="Fase de Degradação"/>
  </r>
  <r>
    <n v="5"/>
    <x v="4"/>
    <s v="BAL007-BALANCEADORA"/>
    <n v="10006406"/>
    <s v="BR01-CIL-UCI-VOLANT-BAL007"/>
    <n v="4548"/>
    <n v="53931"/>
    <n v="2021"/>
    <n v="792392.34"/>
    <n v="690145"/>
    <n v="144168.46999999997"/>
    <n v="0.89"/>
    <n v="4433"/>
    <n v="57501"/>
    <n v="169"/>
    <n v="12"/>
    <n v="24"/>
    <n v="36"/>
    <n v="48"/>
    <n v="60"/>
    <n v="72"/>
    <n v="84"/>
    <n v="217.83"/>
    <n v="490.13"/>
    <n v="0.1"/>
    <n v="0.1585"/>
    <n v="0.8"/>
    <n v="-792392.34"/>
    <n v="-9345.0720000000019"/>
    <n v="-10279.579200000002"/>
    <n v="-11307.537120000005"/>
    <n v="-12438.290832000004"/>
    <n v="-13682.119915200006"/>
    <n v="-15050.331906720008"/>
    <n v="-16555.365097392012"/>
    <n v="-917986.52589000005"/>
    <n v="-1869.0144"/>
    <n v="-2055.9158400000001"/>
    <n v="-2261.5074240000004"/>
    <n v="-2487.6581664000005"/>
    <n v="-2736.4239830400006"/>
    <n v="-3010.066381344001"/>
    <n v="-3311.0730194784019"/>
    <n v="-1560556.6138900002"/>
    <n v="-88658.296071312041"/>
    <n v="-17731.659214262403"/>
    <n v="-219.60069843327864"/>
    <n v="-0.1365564289349675"/>
    <s v="Confiabilidade em Crescimento"/>
  </r>
  <r>
    <n v="6"/>
    <x v="5"/>
    <s v="BAL008-BALANCEADORA"/>
    <n v="10006719"/>
    <s v="BR01-CIL-UCI-VOLANT-BAL008"/>
    <n v="4548"/>
    <n v="55614"/>
    <n v="2021"/>
    <n v="748548.06"/>
    <n v="673691"/>
    <n v="11740.330000000002"/>
    <n v="0.92"/>
    <n v="4433"/>
    <n v="10039"/>
    <n v="18"/>
    <n v="8"/>
    <n v="16"/>
    <n v="24"/>
    <n v="32"/>
    <n v="40"/>
    <n v="48"/>
    <n v="56"/>
    <n v="354.77"/>
    <n v="553.08000000000004"/>
    <n v="0.1"/>
    <n v="0.1585"/>
    <n v="0.8"/>
    <n v="-748548.06"/>
    <n v="-10422.632000000001"/>
    <n v="-11464.895200000003"/>
    <n v="-12611.384720000005"/>
    <n v="-13872.523192000004"/>
    <n v="-15259.775511200007"/>
    <n v="-16785.753062320011"/>
    <n v="-18464.328368552015"/>
    <n v="-867192.92751000018"/>
    <n v="-2084.5263999999997"/>
    <n v="-2292.9790400000002"/>
    <n v="-2522.2769440000006"/>
    <n v="-2774.5046384000002"/>
    <n v="-3051.9551022400005"/>
    <n v="-3357.1506124640014"/>
    <n v="-3692.865673710402"/>
    <n v="-1487823.2555100003"/>
    <n v="-98881.292054072052"/>
    <n v="-19776.258410814404"/>
    <n v="-208.82555626667749"/>
    <n v="-0.13552322309191081"/>
    <s v="Confiabilidade em Crescimento"/>
  </r>
  <r>
    <n v="7"/>
    <x v="6"/>
    <s v="BAL009-BALANCEADORA"/>
    <n v="10006732"/>
    <s v="BR01-MOT-UMG-MISCEL-BAL009"/>
    <n v="2376"/>
    <n v="55185"/>
    <n v="2021"/>
    <n v="315956.73"/>
    <n v="278098"/>
    <n v="2960.93"/>
    <n v="0.93"/>
    <n v="3854"/>
    <n v="9849"/>
    <n v="3"/>
    <n v="1.5"/>
    <n v="3"/>
    <n v="4.5"/>
    <n v="6"/>
    <n v="7.5"/>
    <n v="9"/>
    <n v="10.5"/>
    <n v="627.23"/>
    <n v="467.39"/>
    <n v="0.1"/>
    <n v="0.1585"/>
    <n v="0.8"/>
    <n v="-315956.73"/>
    <n v="-7204.4775000000009"/>
    <n v="-7924.9252500000021"/>
    <n v="-8717.4177750000035"/>
    <n v="-9589.159552500003"/>
    <n v="-10548.075507750005"/>
    <n v="-11602.883058525007"/>
    <n v="-12763.171364377509"/>
    <n v="-366035.871705"/>
    <n v="-1440.8954999999999"/>
    <n v="-1584.98505"/>
    <n v="-1743.4835550000003"/>
    <n v="-1917.8319105000003"/>
    <n v="-2109.6151015500004"/>
    <n v="-2320.5766117050007"/>
    <n v="-2552.6342728755012"/>
    <n v="-607456.53170499997"/>
    <n v="-68350.110008152536"/>
    <n v="-13670.022001630503"/>
    <n v="-84.20768338549685"/>
    <n v="-0.13073009677724606"/>
    <s v="Confiabilidade em Crescimento"/>
  </r>
  <r>
    <n v="8"/>
    <x v="7"/>
    <s v="BRU002-BRUNIDORA"/>
    <n v="10000309"/>
    <s v="BR01-MOT-VIR-USIDUR-BRU002"/>
    <n v="3316"/>
    <n v="800200200"/>
    <n v="1986"/>
    <n v="230561.52"/>
    <n v="0"/>
    <n v="252551.51"/>
    <n v="1.1499999999999999"/>
    <n v="4392"/>
    <n v="197421"/>
    <n v="309"/>
    <n v="8"/>
    <n v="16"/>
    <n v="24"/>
    <n v="32"/>
    <n v="40"/>
    <n v="48"/>
    <n v="56"/>
    <n v="692.35"/>
    <n v="1510.85"/>
    <n v="0.1"/>
    <n v="2.3433461538461549"/>
    <n v="0.8"/>
    <n v="-230561.52"/>
    <n v="-26035.899999999998"/>
    <n v="-28639.49"/>
    <n v="-31503.439000000006"/>
    <n v="-34653.782900000006"/>
    <n v="-38119.161190000006"/>
    <n v="-41931.077309000015"/>
    <n v="-46124.185039900018"/>
    <n v="-770846.97111692326"/>
    <n v="-5207.1799999999985"/>
    <n v="-5727.8979999999992"/>
    <n v="-6300.6877999999997"/>
    <n v="-6930.7565799999993"/>
    <n v="-7623.832238"/>
    <n v="-8386.2154618000004"/>
    <n v="-9224.8370079800006"/>
    <n v="-638300.57111692324"/>
    <n v="-247007.03543890003"/>
    <n v="-49401.407087779997"/>
    <n v="-81.891620395114728"/>
    <n v="-0.10623589825676734"/>
    <s v="Fase de Degradação"/>
  </r>
  <r>
    <n v="9"/>
    <x v="8"/>
    <s v="BRU003-BRUNIDORA"/>
    <n v="10000313"/>
    <s v="BR01-MOT-VIR-LBIELA-BRU003"/>
    <n v="3337"/>
    <n v="800100200"/>
    <n v="1977"/>
    <n v="151187.09"/>
    <n v="0"/>
    <n v="276100.32999999984"/>
    <n v="1.1100000000000001"/>
    <n v="4392"/>
    <n v="198333"/>
    <n v="353"/>
    <n v="7.6739130434782608"/>
    <n v="15.347826086956522"/>
    <n v="23.021739130434781"/>
    <n v="30.695652173913043"/>
    <n v="38.369565217391305"/>
    <n v="46.043478260869563"/>
    <n v="53.717391304347821"/>
    <n v="594.91999999999996"/>
    <n v="1515.77"/>
    <n v="0.1"/>
    <n v="2.9147076923076951"/>
    <n v="0.8"/>
    <n v="-151187.09"/>
    <n v="-25030.064782608693"/>
    <n v="-27533.071260869565"/>
    <n v="-30286.378386956527"/>
    <n v="-33315.01622565218"/>
    <n v="-36646.517848217401"/>
    <n v="-40311.169633039142"/>
    <n v="-44342.286596343067"/>
    <n v="-591853.26420061581"/>
    <n v="-5006.0129565217376"/>
    <n v="-5506.6142521739121"/>
    <n v="-6057.2756773913043"/>
    <n v="-6663.0032451304342"/>
    <n v="-7329.303569643479"/>
    <n v="-8062.233926607827"/>
    <n v="-8868.4573192686112"/>
    <n v="-464427.47985278978"/>
    <n v="-237464.50473368654"/>
    <n v="-47492.900946737296"/>
    <n v="-57.411665773380946"/>
    <n v="-9.7003208812109484E-2"/>
    <s v="Fase de Degradação"/>
  </r>
  <r>
    <n v="10"/>
    <x v="9"/>
    <s v="BRU004-BRUNIDORA"/>
    <n v="10000317"/>
    <s v="BR01-MOT-VIR-LBIELA-BRU004"/>
    <n v="3336"/>
    <n v="800100100"/>
    <n v="1985"/>
    <n v="230561.52"/>
    <n v="0"/>
    <n v="1133969.9099999988"/>
    <n v="1.35"/>
    <n v="4392"/>
    <n v="198895"/>
    <n v="1336"/>
    <n v="35.157894736842103"/>
    <n v="70.315789473684205"/>
    <n v="105.4736842105263"/>
    <n v="140.63157894736841"/>
    <n v="175.78947368421052"/>
    <n v="210.94736842105263"/>
    <n v="246.10526315789474"/>
    <n v="555.66999999999996"/>
    <n v="5146.4799999999996"/>
    <n v="0.1"/>
    <n v="2.4068307692307704"/>
    <n v="0.8"/>
    <n v="-230561.52"/>
    <n v="-89423.342105263146"/>
    <n v="-98365.676315789475"/>
    <n v="-108202.24394736844"/>
    <n v="-119022.46834210529"/>
    <n v="-130924.71517631583"/>
    <n v="-144017.18669394744"/>
    <n v="-158418.9053633422"/>
    <n v="-785484.08053661569"/>
    <n v="-17884.668421052625"/>
    <n v="-19673.135263157892"/>
    <n v="-21640.448789473681"/>
    <n v="-23804.493668421052"/>
    <n v="-26184.943035263161"/>
    <n v="-28803.437338789481"/>
    <n v="-31683.781072668433"/>
    <n v="-330237.97527345782"/>
    <n v="-848374.53794413176"/>
    <n v="-169674.90758882635"/>
    <n v="-15.254921454472907"/>
    <n v="-1.9421044719393002E-2"/>
    <s v="Fase de Degradação"/>
  </r>
  <r>
    <n v="11"/>
    <x v="10"/>
    <s v="BRU008-BRUNIDORA"/>
    <n v="10000155"/>
    <s v="BR01-CIL-UCI-BRUNI1-BRUC02"/>
    <n v="4529"/>
    <s v="Não encontrado"/>
    <n v="1997"/>
    <n v="93300.55"/>
    <n v="0"/>
    <n v="225074.07000000018"/>
    <n v="0.95"/>
    <n v="4464"/>
    <n v="195980"/>
    <n v="338"/>
    <n v="8"/>
    <n v="16"/>
    <n v="24"/>
    <n v="32"/>
    <n v="40"/>
    <n v="48"/>
    <n v="56"/>
    <n v="259.8"/>
    <n v="397.37"/>
    <n v="0.1"/>
    <n v="1.6129"/>
    <n v="0.8"/>
    <n v="-93300.55"/>
    <n v="-7531.5240000000003"/>
    <n v="-8284.6764000000021"/>
    <n v="-9113.1440400000029"/>
    <n v="-10024.458444000004"/>
    <n v="-11026.904288400005"/>
    <n v="-12129.594717240007"/>
    <n v="-13342.554188964008"/>
    <n v="-243785.00709499998"/>
    <n v="-1506.3047999999997"/>
    <n v="-1656.9352800000001"/>
    <n v="-1822.6288080000002"/>
    <n v="-2004.8916888000003"/>
    <n v="-2205.3808576800006"/>
    <n v="-2425.9189434480008"/>
    <n v="-2668.5108377928009"/>
    <n v="-205442.70309499998"/>
    <n v="-71452.856078604033"/>
    <n v="-14290.571215720804"/>
    <n v="-26.660388890302386"/>
    <n v="-0.10936024822852689"/>
    <s v="Confiabilidade em Crescimento"/>
  </r>
  <r>
    <n v="12"/>
    <x v="11"/>
    <s v="BRU009-BRUNIDORA"/>
    <n v="10000158"/>
    <s v="BR01-CIL-UCI-BRUNI1-BRUC14"/>
    <n v="4529"/>
    <n v="20272"/>
    <n v="1997"/>
    <n v="200514.41"/>
    <n v="91692"/>
    <n v="300158.14000000042"/>
    <n v="1.35"/>
    <n v="4364"/>
    <n v="193716"/>
    <n v="360"/>
    <n v="11"/>
    <n v="22"/>
    <n v="33"/>
    <n v="44"/>
    <n v="55"/>
    <n v="66"/>
    <n v="77"/>
    <n v="729.83"/>
    <n v="729.47"/>
    <n v="0.1"/>
    <n v="1.6129"/>
    <n v="0.8"/>
    <n v="-200514.41"/>
    <n v="-18459.947000000004"/>
    <n v="-20305.941700000003"/>
    <n v="-22336.535870000007"/>
    <n v="-24570.189457000008"/>
    <n v="-27027.208402700009"/>
    <n v="-29729.929242970014"/>
    <n v="-32702.922167267021"/>
    <n v="-523924.10188899998"/>
    <n v="-3691.9893999999999"/>
    <n v="-4061.1883399999997"/>
    <n v="-4467.3071740000005"/>
    <n v="-4914.0378914000003"/>
    <n v="-5405.4416805400006"/>
    <n v="-5945.9858485940013"/>
    <n v="-6540.5844334534031"/>
    <n v="-521638.18988900003"/>
    <n v="-175132.67383993708"/>
    <n v="-35026.534767987403"/>
    <n v="-67.929994688150032"/>
    <n v="-0.11034473347871966"/>
    <s v="Fase de Degradação"/>
  </r>
  <r>
    <n v="13"/>
    <x v="12"/>
    <s v="BRU010-BRUNIDORA"/>
    <n v="10000161"/>
    <s v="BR01-CIL-UCI-BRUNI2-BRUC12"/>
    <n v="4529"/>
    <n v="20137"/>
    <n v="1997"/>
    <n v="186725.04"/>
    <n v="92275"/>
    <n v="242532.76000000027"/>
    <n v="1.26"/>
    <n v="4344"/>
    <n v="197229"/>
    <n v="383"/>
    <n v="11"/>
    <n v="22"/>
    <n v="33"/>
    <n v="44"/>
    <n v="55"/>
    <n v="66"/>
    <n v="77"/>
    <n v="212.67"/>
    <n v="301.32"/>
    <n v="0.1"/>
    <n v="1.6129"/>
    <n v="0.8"/>
    <n v="-186725.04"/>
    <n v="-6550.7310000000007"/>
    <n v="-7205.8041000000012"/>
    <n v="-7926.3845100000026"/>
    <n v="-8719.0229610000024"/>
    <n v="-9590.9252571000034"/>
    <n v="-10550.017782810006"/>
    <n v="-11605.019561091007"/>
    <n v="-487893.85701599997"/>
    <n v="-1310.1461999999999"/>
    <n v="-1441.1608199999998"/>
    <n v="-1585.2769020000001"/>
    <n v="-1743.8045922000001"/>
    <n v="-1918.1850514200003"/>
    <n v="-2110.0035565620005"/>
    <n v="-2321.0039122182006"/>
    <n v="-546819.68101599999"/>
    <n v="-62147.905172001025"/>
    <n v="-12429.581034400202"/>
    <n v="-75.778647554057031"/>
    <n v="-0.13061481435561992"/>
    <s v="Fase de Degradação"/>
  </r>
  <r>
    <n v="14"/>
    <x v="13"/>
    <s v="BRU011-BRUNIDORA"/>
    <n v="10000164"/>
    <s v="BR01-CIL-UCI-BRUNI2-BRUC12"/>
    <n v="4529"/>
    <n v="20289"/>
    <n v="1997"/>
    <n v="247380.04"/>
    <n v="100505"/>
    <n v="281713.41000000003"/>
    <n v="1.47"/>
    <n v="4221"/>
    <n v="198185"/>
    <n v="532"/>
    <n v="17"/>
    <n v="34"/>
    <n v="51"/>
    <n v="68"/>
    <n v="85"/>
    <n v="102"/>
    <n v="119"/>
    <n v="721.72"/>
    <n v="1016.82"/>
    <n v="0.1"/>
    <n v="1.6129"/>
    <n v="0.8"/>
    <n v="-247380.04"/>
    <n v="-26918.188000000006"/>
    <n v="-29610.006800000006"/>
    <n v="-32571.007480000011"/>
    <n v="-35828.108228000012"/>
    <n v="-39410.919050800017"/>
    <n v="-43352.010955880025"/>
    <n v="-47687.212051468035"/>
    <n v="-646379.30651599995"/>
    <n v="-5383.6376"/>
    <n v="-5922.0013600000002"/>
    <n v="-6514.2014960000006"/>
    <n v="-7165.6216456000011"/>
    <n v="-7882.1838101600015"/>
    <n v="-8670.4021911760028"/>
    <n v="-9537.4424102936046"/>
    <n v="-609846.258516"/>
    <n v="-255377.4525661481"/>
    <n v="-51075.490513229612"/>
    <n v="-77.511763494725912"/>
    <n v="-0.10378014749874175"/>
    <s v="Fase de Degradação"/>
  </r>
  <r>
    <n v="15"/>
    <x v="14"/>
    <s v="BRU012-BRUNIDORA"/>
    <n v="10000167"/>
    <s v="BR01-CIL-UCI-BRUNI1-BRUC05"/>
    <n v="4529"/>
    <n v="20287"/>
    <n v="1997"/>
    <n v="85086.56"/>
    <n v="6758"/>
    <n v="169978.84999999974"/>
    <n v="1.36"/>
    <n v="4464"/>
    <n v="193826"/>
    <n v="321"/>
    <n v="10"/>
    <n v="20"/>
    <n v="30"/>
    <n v="40"/>
    <n v="50"/>
    <n v="60"/>
    <n v="70"/>
    <n v="293.88"/>
    <n v="532.11"/>
    <n v="0.1"/>
    <n v="1.6129"/>
    <n v="0.8"/>
    <n v="-85086.56"/>
    <n v="-10256.531999999999"/>
    <n v="-11282.1852"/>
    <n v="-12410.403720000002"/>
    <n v="-13651.444092000002"/>
    <n v="-15016.588501200004"/>
    <n v="-16518.247351320006"/>
    <n v="-18170.072086452008"/>
    <n v="-222322.67262399997"/>
    <n v="-2051.3063999999995"/>
    <n v="-2256.4370399999993"/>
    <n v="-2482.0807439999999"/>
    <n v="-2730.2888183999999"/>
    <n v="-3003.3177002400002"/>
    <n v="-3303.6494702640002"/>
    <n v="-3634.0144172904006"/>
    <n v="-176865.60062400001"/>
    <n v="-97305.472950972035"/>
    <n v="-19461.0945901944"/>
    <n v="-21.605184894746049"/>
    <n v="-9.43125609300422E-2"/>
    <s v="Fase de Degradação"/>
  </r>
  <r>
    <n v="16"/>
    <x v="15"/>
    <s v="BRU014-BRUNIDORA"/>
    <n v="10001685"/>
    <s v="BR01-CIL-UCI-BRUNI1-BRUC04"/>
    <n v="4529"/>
    <n v="20242"/>
    <n v="1996"/>
    <n v="226912.44"/>
    <n v="90604"/>
    <n v="188408.22999999998"/>
    <n v="1.39"/>
    <n v="4114"/>
    <n v="191458"/>
    <n v="318"/>
    <n v="10"/>
    <n v="20"/>
    <n v="30"/>
    <n v="40"/>
    <n v="50"/>
    <n v="60"/>
    <n v="70"/>
    <n v="192.59"/>
    <n v="281.29000000000002"/>
    <n v="0.1"/>
    <n v="1.7084999999999999"/>
    <n v="0.8"/>
    <n v="-226912.44"/>
    <n v="-5831.5180000000018"/>
    <n v="-6414.6698000000024"/>
    <n v="-7056.1367800000035"/>
    <n v="-7761.7504580000032"/>
    <n v="-8537.9255038000047"/>
    <n v="-9391.7180541800062"/>
    <n v="-10330.889859598008"/>
    <n v="-614592.34374000004"/>
    <n v="-1166.3036000000002"/>
    <n v="-1282.9339600000003"/>
    <n v="-1411.2273560000003"/>
    <n v="-1552.3500916000003"/>
    <n v="-1707.5851007600006"/>
    <n v="-1878.3436108360008"/>
    <n v="-2066.1779719196011"/>
    <n v="-675508.61574000004"/>
    <n v="-55324.608455578025"/>
    <n v="-11064.921691115604"/>
    <n v="-94.419522425076806"/>
    <n v="-0.13389111169284293"/>
    <s v="Fase de Degradação"/>
  </r>
  <r>
    <n v="17"/>
    <x v="16"/>
    <s v="BRU024-BRUNIDORA"/>
    <n v="10004194"/>
    <s v="BR01-CIL-UCI-BRUNI1-BRUC01"/>
    <n v="4529"/>
    <n v="34087"/>
    <n v="2006"/>
    <n v="389350.45"/>
    <n v="0"/>
    <n v="285408.2799999998"/>
    <n v="1.64"/>
    <n v="4453"/>
    <n v="146830"/>
    <n v="554"/>
    <n v="28"/>
    <n v="56"/>
    <n v="84"/>
    <n v="112"/>
    <n v="140"/>
    <n v="168"/>
    <n v="196"/>
    <n v="353.53"/>
    <n v="1407.9"/>
    <n v="0.1"/>
    <n v="0.96719999999999995"/>
    <n v="0.8"/>
    <n v="-389350.45"/>
    <n v="-29473.004000000004"/>
    <n v="-32420.304400000008"/>
    <n v="-35662.334840000018"/>
    <n v="-39228.568324000014"/>
    <n v="-43151.425156400022"/>
    <n v="-47466.56767204003"/>
    <n v="-52213.224439244041"/>
    <n v="-765930.20524000004"/>
    <n v="-5894.6007999999993"/>
    <n v="-6484.06088"/>
    <n v="-7132.4669680000015"/>
    <n v="-7845.7136648000014"/>
    <n v="-8630.2850312800019"/>
    <n v="-9493.3135344080038"/>
    <n v="-10442.644887848806"/>
    <n v="-615885.82123999996"/>
    <n v="-279615.42883168411"/>
    <n v="-55923.085766336815"/>
    <n v="-77.462551739236105"/>
    <n v="-0.10113526168479495"/>
    <s v="Fase de Degradação"/>
  </r>
  <r>
    <n v="18"/>
    <x v="17"/>
    <s v="BRU025-BRUNIDORA"/>
    <n v="10004195"/>
    <s v="BR01-CIL-UCI-BRUNI1-BRUC03"/>
    <n v="4529"/>
    <n v="34519"/>
    <n v="2006"/>
    <n v="434615.76"/>
    <n v="101994"/>
    <n v="101310.54999999999"/>
    <n v="0.93"/>
    <n v="4464"/>
    <n v="143533"/>
    <n v="263"/>
    <n v="8"/>
    <n v="16"/>
    <n v="24"/>
    <n v="32"/>
    <n v="40"/>
    <n v="48"/>
    <n v="56"/>
    <n v="198.64"/>
    <n v="246.27"/>
    <n v="0.1"/>
    <n v="0.96719999999999995"/>
    <n v="0.8"/>
    <n v="-434615.76"/>
    <n v="-4998.7960000000012"/>
    <n v="-5498.6756000000014"/>
    <n v="-6048.5431600000029"/>
    <n v="-6653.3974760000028"/>
    <n v="-7318.7372236000037"/>
    <n v="-8050.6109459600048"/>
    <n v="-8855.6720405560063"/>
    <n v="-854976.12307199999"/>
    <n v="-999.75919999999996"/>
    <n v="-1099.7351200000001"/>
    <n v="-1209.7086320000003"/>
    <n v="-1330.6794952000002"/>
    <n v="-1463.7474447200004"/>
    <n v="-1610.1221891920006"/>
    <n v="-1771.1344081112009"/>
    <n v="-931521.70707200002"/>
    <n v="-47424.432446116021"/>
    <n v="-9484.8864892232014"/>
    <n v="-131.29008244501532"/>
    <n v="-0.13719350194921121"/>
    <s v="Confiabilidade em Crescimento"/>
  </r>
  <r>
    <n v="19"/>
    <x v="18"/>
    <s v="BRU026-BRUNIDORA"/>
    <n v="10004196"/>
    <s v="BR01-CIL-UCI-BRUNI1-BRUC01"/>
    <n v="4529"/>
    <n v="34518"/>
    <n v="2006"/>
    <n v="226304.29"/>
    <n v="0"/>
    <n v="162526.91999999981"/>
    <n v="1.19"/>
    <n v="4453"/>
    <n v="144394"/>
    <n v="339"/>
    <n v="13"/>
    <n v="26"/>
    <n v="39"/>
    <n v="52"/>
    <n v="65"/>
    <n v="78"/>
    <n v="91"/>
    <n v="333.39"/>
    <n v="641.30999999999995"/>
    <n v="0.1"/>
    <n v="0.96719999999999995"/>
    <n v="0.8"/>
    <n v="-226304.29"/>
    <n v="-13232.769"/>
    <n v="-14556.045900000001"/>
    <n v="-16011.650490000004"/>
    <n v="-17612.815539000003"/>
    <n v="-19374.097092900007"/>
    <n v="-21311.506802190008"/>
    <n v="-23442.657482409013"/>
    <n v="-445185.79928800004"/>
    <n v="-2646.5537999999997"/>
    <n v="-2911.2091799999994"/>
    <n v="-3202.3300979999999"/>
    <n v="-3522.5631077999997"/>
    <n v="-3874.8194185800007"/>
    <n v="-4262.3013604380003"/>
    <n v="-4688.5314964818017"/>
    <n v="-377818.97528800007"/>
    <n v="-125541.54230649903"/>
    <n v="-25108.308461299803"/>
    <n v="-49.250366491828686"/>
    <n v="-0.11062879042996515"/>
    <s v="Fase de Degradação"/>
  </r>
  <r>
    <n v="20"/>
    <x v="19"/>
    <s v="BRU027-BRUNIDORA"/>
    <n v="10004197"/>
    <s v="BR01-CIL-UCI-BRUNI1-BRUC08"/>
    <n v="4529"/>
    <n v="34517"/>
    <n v="2006"/>
    <n v="223343.06"/>
    <n v="0"/>
    <n v="215121.61999999976"/>
    <n v="1.62"/>
    <n v="4073"/>
    <n v="142548"/>
    <n v="361"/>
    <n v="17"/>
    <n v="34"/>
    <n v="51"/>
    <n v="68"/>
    <n v="85"/>
    <n v="102"/>
    <n v="119"/>
    <n v="329.38"/>
    <n v="820.22"/>
    <n v="0.1"/>
    <n v="0.96719999999999995"/>
    <n v="0.8"/>
    <n v="-223343.06"/>
    <n v="-16986.310000000001"/>
    <n v="-18684.941000000003"/>
    <n v="-20553.435100000006"/>
    <n v="-22608.778610000005"/>
    <n v="-24869.656471000006"/>
    <n v="-27356.622118100011"/>
    <n v="-30092.284329910017"/>
    <n v="-439360.46763199999"/>
    <n v="-3397.2619999999997"/>
    <n v="-3736.9881999999998"/>
    <n v="-4110.6870200000003"/>
    <n v="-4521.7557219999999"/>
    <n v="-4973.9312941999997"/>
    <n v="-5471.3244236200007"/>
    <n v="-6018.4568659820025"/>
    <n v="-352884.70763199998"/>
    <n v="-161152.02762901006"/>
    <n v="-32230.405525802002"/>
    <n v="-44.348406504113129"/>
    <n v="-0.10093854538879113"/>
    <s v="Fase de Degradação"/>
  </r>
  <r>
    <n v="21"/>
    <x v="20"/>
    <s v="BRU028-BRUNIDORA"/>
    <n v="10004198"/>
    <s v="BR01-CIL-UCI-BRUNI1-BRUC08"/>
    <n v="4529"/>
    <n v="34521"/>
    <n v="2006"/>
    <n v="378425.24"/>
    <n v="0"/>
    <n v="296544.74999999971"/>
    <n v="1.43"/>
    <n v="4073"/>
    <n v="144668"/>
    <n v="367"/>
    <n v="15"/>
    <n v="30"/>
    <n v="45"/>
    <n v="60"/>
    <n v="75"/>
    <n v="90"/>
    <n v="105"/>
    <n v="340.53"/>
    <n v="891.41"/>
    <n v="0.1"/>
    <n v="0.96719999999999995"/>
    <n v="0.8"/>
    <n v="-378425.24"/>
    <n v="-17385.357"/>
    <n v="-19123.8927"/>
    <n v="-21036.281970000004"/>
    <n v="-23139.910167000005"/>
    <n v="-25453.901183700007"/>
    <n v="-27999.291302070011"/>
    <n v="-30799.220432277016"/>
    <n v="-744438.13212800003"/>
    <n v="-3477.0713999999994"/>
    <n v="-3824.7785399999993"/>
    <n v="-4207.256394"/>
    <n v="-4627.9820333999996"/>
    <n v="-5090.78023674"/>
    <n v="-5599.8582604140011"/>
    <n v="-6159.8440864554013"/>
    <n v="-655930.86012800003"/>
    <n v="-164937.85475504704"/>
    <n v="-32987.570951009402"/>
    <n v="-87.49826404628034"/>
    <n v="-0.11753597816941991"/>
    <s v="Fase de Degradação"/>
  </r>
  <r>
    <n v="22"/>
    <x v="21"/>
    <s v="BRU029-BRUNIDORA"/>
    <n v="10004199"/>
    <s v="BR01-CIL-UCI-BRUNI1-BRUC10"/>
    <n v="4529"/>
    <n v="34516"/>
    <n v="2006"/>
    <n v="220629.35"/>
    <n v="0"/>
    <n v="228075.12999999963"/>
    <n v="1.23"/>
    <n v="4597"/>
    <n v="142016"/>
    <n v="311"/>
    <n v="13"/>
    <n v="26"/>
    <n v="39"/>
    <n v="52"/>
    <n v="65"/>
    <n v="78"/>
    <n v="91"/>
    <n v="356.88"/>
    <n v="1048.25"/>
    <n v="0.1"/>
    <n v="0.96719999999999995"/>
    <n v="0.8"/>
    <n v="-220629.35"/>
    <n v="-18940.284"/>
    <n v="-20834.312400000003"/>
    <n v="-22917.743640000004"/>
    <n v="-25209.518004000005"/>
    <n v="-27730.469804400007"/>
    <n v="-30503.516784840012"/>
    <n v="-33553.868463324019"/>
    <n v="-434022.05732000002"/>
    <n v="-3788.0567999999989"/>
    <n v="-4166.8624799999998"/>
    <n v="-4583.5487279999998"/>
    <n v="-5041.9036008000003"/>
    <n v="-5546.0939608799999"/>
    <n v="-6100.7033569680016"/>
    <n v="-6710.7736926648022"/>
    <n v="-337598.79332"/>
    <n v="-179689.71309656405"/>
    <n v="-35937.942619312802"/>
    <n v="-41.467183834678394"/>
    <n v="-9.554165078781944E-2"/>
    <s v="Fase de Degradação"/>
  </r>
  <r>
    <n v="23"/>
    <x v="22"/>
    <s v="BRU030-BRUNIDORA"/>
    <n v="10004200"/>
    <s v="BR01-CIL-UCI-BRUNI1-BRUC10"/>
    <n v="4529"/>
    <n v="34520"/>
    <n v="2006"/>
    <n v="386263.37"/>
    <n v="0"/>
    <n v="286543.5399999998"/>
    <n v="1.71"/>
    <n v="4597"/>
    <n v="143739"/>
    <n v="429"/>
    <n v="24"/>
    <n v="48"/>
    <n v="72"/>
    <n v="96"/>
    <n v="120"/>
    <n v="144"/>
    <n v="168"/>
    <n v="339.05"/>
    <n v="1686.76"/>
    <n v="0.1"/>
    <n v="0.96719999999999995"/>
    <n v="0.8"/>
    <n v="-386263.37"/>
    <n v="-31216.152000000002"/>
    <n v="-34337.767200000002"/>
    <n v="-37771.543920000011"/>
    <n v="-41548.698312000008"/>
    <n v="-45703.568143200013"/>
    <n v="-50273.924957520023"/>
    <n v="-55301.317453272037"/>
    <n v="-759857.30146400002"/>
    <n v="-6243.2303999999986"/>
    <n v="-6867.5534399999988"/>
    <n v="-7554.3087840000007"/>
    <n v="-8309.7396623999994"/>
    <n v="-9140.71362864"/>
    <n v="-10054.784991504002"/>
    <n v="-11060.263490654404"/>
    <n v="-600938.70946400007"/>
    <n v="-296152.9719859921"/>
    <n v="-59230.594397198402"/>
    <n v="-74.704989125029471"/>
    <n v="-9.8314497973628789E-2"/>
    <s v="Fase de Degradação"/>
  </r>
  <r>
    <n v="24"/>
    <x v="23"/>
    <s v="BRU031-BRUNIDORA"/>
    <n v="10004615"/>
    <s v="BR01-CIL-UCI-BRUNI1-BRUC13"/>
    <n v="4529"/>
    <n v="34611"/>
    <n v="2007"/>
    <n v="170388.94"/>
    <n v="0"/>
    <n v="137880.82999999993"/>
    <n v="1.4"/>
    <n v="4408"/>
    <n v="142886"/>
    <n v="354"/>
    <n v="16"/>
    <n v="32"/>
    <n v="48"/>
    <n v="64"/>
    <n v="80"/>
    <n v="96"/>
    <n v="112"/>
    <n v="303.19"/>
    <n v="797.32"/>
    <n v="0.1"/>
    <n v="0.93579999999999997"/>
    <n v="0.8"/>
    <n v="-170388.94"/>
    <n v="-15860.768000000002"/>
    <n v="-17446.844800000003"/>
    <n v="-19191.529280000006"/>
    <n v="-21110.682208000006"/>
    <n v="-23221.750428800009"/>
    <n v="-25543.925471680013"/>
    <n v="-28098.318018848018"/>
    <n v="-329838.91005200002"/>
    <n v="-3172.1535999999996"/>
    <n v="-3489.3689599999998"/>
    <n v="-3838.3058560000004"/>
    <n v="-4222.1364416000006"/>
    <n v="-4644.3500857600011"/>
    <n v="-5108.7850943360017"/>
    <n v="-5619.6636037696026"/>
    <n v="-249093.18205200002"/>
    <n v="-150473.81820732803"/>
    <n v="-30094.763641465608"/>
    <n v="-29.922836498019656"/>
    <n v="-9.0719546985230576E-2"/>
    <s v="Fase de Degradação"/>
  </r>
  <r>
    <n v="25"/>
    <x v="24"/>
    <s v="BRU032-BRUNIDORA"/>
    <n v="10004616"/>
    <s v="BR01-CIL-UCI-BRUNI1-BRUC13"/>
    <n v="4529"/>
    <n v="34609"/>
    <n v="2007"/>
    <n v="317048.13"/>
    <n v="0"/>
    <n v="338352.5699999996"/>
    <n v="1.97"/>
    <n v="4408"/>
    <n v="142759"/>
    <n v="416"/>
    <n v="26"/>
    <n v="52"/>
    <n v="78"/>
    <n v="104"/>
    <n v="130"/>
    <n v="156"/>
    <n v="182"/>
    <n v="454.32"/>
    <n v="1986.51"/>
    <n v="0.1"/>
    <n v="0.93579999999999997"/>
    <n v="0.8"/>
    <n v="-317048.13"/>
    <n v="-39215.484000000004"/>
    <n v="-43137.032400000011"/>
    <n v="-47450.735640000021"/>
    <n v="-52195.809204000019"/>
    <n v="-57415.390124400023"/>
    <n v="-63156.929136840037"/>
    <n v="-69472.622050524049"/>
    <n v="-613741.77005399996"/>
    <n v="-7843.0967999999993"/>
    <n v="-8627.4064799999996"/>
    <n v="-9490.1471280000023"/>
    <n v="-10439.161840800001"/>
    <n v="-11483.078024880002"/>
    <n v="-12631.385827368005"/>
    <n v="-13894.524410104807"/>
    <n v="-414099.30605399999"/>
    <n v="-372044.00255576416"/>
    <n v="-74408.800511152804"/>
    <n v="-45.158081144198377"/>
    <n v="-7.3578308252060395E-2"/>
    <s v="Fase de Degradação"/>
  </r>
  <r>
    <n v="26"/>
    <x v="25"/>
    <s v="BRU033-BRUNIDORA"/>
    <n v="10004617"/>
    <s v="BR01-CIL-UCI-BRUNI1-BRUC06"/>
    <n v="4529"/>
    <n v="34610"/>
    <n v="2007"/>
    <n v="170388.92"/>
    <n v="0"/>
    <n v="153847.09999999992"/>
    <n v="1.26"/>
    <n v="4676"/>
    <n v="142315"/>
    <n v="316"/>
    <n v="14"/>
    <n v="28"/>
    <n v="42"/>
    <n v="56"/>
    <n v="70"/>
    <n v="84"/>
    <n v="98"/>
    <n v="304"/>
    <n v="896.49"/>
    <n v="0.1"/>
    <n v="0.93579999999999997"/>
    <n v="0.8"/>
    <n v="-170388.92"/>
    <n v="-16515.268000000004"/>
    <n v="-18166.794800000003"/>
    <n v="-19983.474280000006"/>
    <n v="-21981.821708000007"/>
    <n v="-24180.003878800009"/>
    <n v="-26598.004266680015"/>
    <n v="-29257.804693348022"/>
    <n v="-329838.87133600004"/>
    <n v="-3303.0536000000002"/>
    <n v="-3633.35896"/>
    <n v="-3996.6948560000001"/>
    <n v="-4396.3643416000004"/>
    <n v="-4836.0007757600006"/>
    <n v="-5319.6008533360018"/>
    <n v="-5851.5609386696033"/>
    <n v="-245761.14333600001"/>
    <n v="-156683.17162682806"/>
    <n v="-31336.634325365601"/>
    <n v="-29.213190576362518"/>
    <n v="-8.8568064940422506E-2"/>
    <s v="Fase de Degradação"/>
  </r>
  <r>
    <n v="27"/>
    <x v="26"/>
    <s v="BRU034-BRUNIDORA"/>
    <n v="10004618"/>
    <s v="BR01-CIL-UCI-BRUNI1-BRUC06"/>
    <n v="4529"/>
    <n v="34608"/>
    <n v="2007"/>
    <n v="318773.45"/>
    <n v="0"/>
    <n v="309361.15000000008"/>
    <n v="1.56"/>
    <n v="4676"/>
    <n v="142908"/>
    <n v="444"/>
    <n v="23"/>
    <n v="46"/>
    <n v="69"/>
    <n v="92"/>
    <n v="115"/>
    <n v="138"/>
    <n v="161"/>
    <n v="462.1"/>
    <n v="1757.87"/>
    <n v="0.1"/>
    <n v="0.93579999999999997"/>
    <n v="0.8"/>
    <n v="-318773.45"/>
    <n v="-34895.014000000003"/>
    <n v="-38384.515400000004"/>
    <n v="-42222.966940000013"/>
    <n v="-46445.26363400001"/>
    <n v="-51089.789997400017"/>
    <n v="-56198.768997140025"/>
    <n v="-61818.645896854032"/>
    <n v="-617081.64451000001"/>
    <n v="-6979.0027999999993"/>
    <n v="-7676.9030799999991"/>
    <n v="-8444.5933880000011"/>
    <n v="-9289.0527268000005"/>
    <n v="-10217.957999480001"/>
    <n v="-11239.753799428003"/>
    <n v="-12363.729179370803"/>
    <n v="-439434.30051000003"/>
    <n v="-331054.96486539411"/>
    <n v="-66210.992973078799"/>
    <n v="-50.31966751681211"/>
    <n v="-8.1544586465165325E-2"/>
    <s v="Fase de Degradação"/>
  </r>
  <r>
    <n v="28"/>
    <x v="27"/>
    <s v="BRU035-BRUNIDORA"/>
    <n v="10004619"/>
    <s v="BR01-CIL-UCI-BRUNI2-BRUC15"/>
    <n v="4529"/>
    <n v="41550"/>
    <n v="2012"/>
    <n v="718324.67"/>
    <n v="359094"/>
    <n v="278579.61999999988"/>
    <n v="2.4"/>
    <n v="4184"/>
    <n v="127893"/>
    <n v="246"/>
    <n v="20"/>
    <n v="40"/>
    <n v="60"/>
    <n v="80"/>
    <n v="100"/>
    <n v="120"/>
    <n v="140"/>
    <n v="379.76"/>
    <n v="996.97"/>
    <n v="0.1"/>
    <n v="0.66500000000000004"/>
    <n v="0.8"/>
    <n v="-718324.67"/>
    <n v="-21514.724000000002"/>
    <n v="-23666.196400000004"/>
    <n v="-26032.816040000009"/>
    <n v="-28636.097644000009"/>
    <n v="-31499.707408400012"/>
    <n v="-34649.678149240019"/>
    <n v="-38114.645964164025"/>
    <n v="-1196010.5755500002"/>
    <n v="-4302.9447999999993"/>
    <n v="-4733.2392799999998"/>
    <n v="-5206.5632080000005"/>
    <n v="-5727.2195288000003"/>
    <n v="-6299.9414816800008"/>
    <n v="-6929.9356298480025"/>
    <n v="-7622.929192832803"/>
    <n v="-1445575.07155"/>
    <n v="-204113.86560580405"/>
    <n v="-40822.773121160804"/>
    <n v="-198.83049758076527"/>
    <n v="-0.127856673246842"/>
    <s v="Fase de Degradação"/>
  </r>
  <r>
    <n v="29"/>
    <x v="28"/>
    <s v="BRU036-BRUNIDORA"/>
    <n v="10004620"/>
    <s v="BR01-CIL-UCI-BRUNI2-BRUC15"/>
    <n v="4529"/>
    <n v="41548"/>
    <n v="2012"/>
    <n v="205271.51"/>
    <n v="27663"/>
    <n v="182308.7199999998"/>
    <n v="2.08"/>
    <n v="4184"/>
    <n v="125633"/>
    <n v="290"/>
    <n v="21"/>
    <n v="42"/>
    <n v="63"/>
    <n v="84"/>
    <n v="105"/>
    <n v="126"/>
    <n v="147"/>
    <n v="486.86"/>
    <n v="675.72"/>
    <n v="0.1"/>
    <n v="0.66500000000000004"/>
    <n v="0.8"/>
    <n v="-205271.51"/>
    <n v="-20165.97"/>
    <n v="-22182.567000000003"/>
    <n v="-24400.823700000008"/>
    <n v="-26840.906070000008"/>
    <n v="-29524.99667700001"/>
    <n v="-32477.496344700015"/>
    <n v="-35725.245979170024"/>
    <n v="-341777.06415000005"/>
    <n v="-4033.1939999999995"/>
    <n v="-4436.5133999999998"/>
    <n v="-4880.1647400000002"/>
    <n v="-5368.1812140000002"/>
    <n v="-5904.9993354000007"/>
    <n v="-6495.4992689400015"/>
    <n v="-7145.0491958340035"/>
    <n v="-266776.94415"/>
    <n v="-191318.00577087008"/>
    <n v="-38263.601154174008"/>
    <n v="-30.91223707618628"/>
    <n v="-8.3673212723445425E-2"/>
    <s v="Fase de Degradação"/>
  </r>
  <r>
    <n v="30"/>
    <x v="29"/>
    <s v="BRU037-BRUNIDORA"/>
    <n v="10004621"/>
    <s v="BR01-CIL-UCI-BRUNI2-BRUC16"/>
    <n v="4529"/>
    <n v="41551"/>
    <n v="2012"/>
    <n v="771078.35"/>
    <n v="353528"/>
    <n v="262433.08999999997"/>
    <n v="2.59"/>
    <n v="4513"/>
    <n v="125259"/>
    <n v="235"/>
    <n v="23"/>
    <n v="46"/>
    <n v="69"/>
    <n v="92"/>
    <n v="115"/>
    <n v="138"/>
    <n v="161"/>
    <n v="333.94"/>
    <n v="910.05"/>
    <n v="0.1"/>
    <n v="0.66500000000000004"/>
    <n v="0.8"/>
    <n v="-771078.35"/>
    <n v="-20461.342000000001"/>
    <n v="-22507.476200000001"/>
    <n v="-24758.223820000003"/>
    <n v="-27234.046202000005"/>
    <n v="-29957.450822200008"/>
    <n v="-32953.195904420012"/>
    <n v="-36248.515494862018"/>
    <n v="-1283845.4527499999"/>
    <n v="-4092.268399999999"/>
    <n v="-4501.4952399999993"/>
    <n v="-4951.6447639999997"/>
    <n v="-5446.8092403999999"/>
    <n v="-5991.4901644400006"/>
    <n v="-6590.6391808840008"/>
    <n v="-7249.7030989724017"/>
    <n v="-1533206.62075"/>
    <n v="-194120.25044348207"/>
    <n v="-38824.050088696407"/>
    <n v="-211.72532177074493"/>
    <n v="-0.12930789943805929"/>
    <s v="Fase de Degradação"/>
  </r>
  <r>
    <n v="31"/>
    <x v="30"/>
    <s v="BRU038-BRUNIDORA"/>
    <n v="10004622"/>
    <s v="BR01-CIL-UCI-BRUNI2-BRUC16"/>
    <n v="4529"/>
    <n v="41549"/>
    <n v="2012"/>
    <n v="242896.25"/>
    <n v="41491"/>
    <n v="148333.1099999999"/>
    <n v="1.82"/>
    <n v="4513"/>
    <n v="116682"/>
    <n v="347"/>
    <n v="25"/>
    <n v="50"/>
    <n v="75"/>
    <n v="100"/>
    <n v="125"/>
    <n v="150"/>
    <n v="175"/>
    <n v="333.47"/>
    <n v="941.28"/>
    <n v="0.1"/>
    <n v="0.66500000000000004"/>
    <n v="0.8"/>
    <n v="-242896.25"/>
    <n v="-21595.321000000004"/>
    <n v="-23754.853100000004"/>
    <n v="-26130.338410000008"/>
    <n v="-28743.372251000008"/>
    <n v="-31617.709476100012"/>
    <n v="-34779.480423710018"/>
    <n v="-38257.428466081023"/>
    <n v="-404422.25625000003"/>
    <n v="-4319.0641999999998"/>
    <n v="-4750.9706200000001"/>
    <n v="-5226.0676820000008"/>
    <n v="-5748.6744502000001"/>
    <n v="-6323.5418952200007"/>
    <n v="-6955.8960847420021"/>
    <n v="-7651.4856932162029"/>
    <n v="-335973.44024999999"/>
    <n v="-204878.5031268911"/>
    <n v="-40975.700625378209"/>
    <n v="-40.287207678355301"/>
    <n v="-9.0347634015545825E-2"/>
    <s v="Fase de Degradação"/>
  </r>
  <r>
    <n v="32"/>
    <x v="31"/>
    <s v="BRU039-BRUNIDORA"/>
    <n v="10004623"/>
    <s v="BR01-CIL-UCI-BRUNI2-BRUC17"/>
    <n v="4529"/>
    <n v="42568"/>
    <n v="2012"/>
    <n v="386071.45"/>
    <n v="33853"/>
    <n v="293573.11999999953"/>
    <n v="2.34"/>
    <n v="4598"/>
    <n v="129177"/>
    <n v="371"/>
    <n v="32"/>
    <n v="64"/>
    <n v="96"/>
    <n v="128"/>
    <n v="160"/>
    <n v="192"/>
    <n v="224"/>
    <n v="452.25"/>
    <n v="742.57"/>
    <n v="0.1"/>
    <n v="0.66500000000000004"/>
    <n v="0.8"/>
    <n v="-386071.45"/>
    <n v="-25721.124000000003"/>
    <n v="-28293.236400000005"/>
    <n v="-31122.560040000011"/>
    <n v="-34234.816044000007"/>
    <n v="-37658.29764840001"/>
    <n v="-41424.127413240021"/>
    <n v="-45566.540154564027"/>
    <n v="-642808.96425000008"/>
    <n v="-5144.2248"/>
    <n v="-5658.6472800000001"/>
    <n v="-6224.5120080000006"/>
    <n v="-6846.9632087999998"/>
    <n v="-7531.6595296800006"/>
    <n v="-8284.8254826480024"/>
    <n v="-9113.3080309128036"/>
    <n v="-545718.0602500001"/>
    <n v="-244020.70170020408"/>
    <n v="-48804.140340040809"/>
    <n v="-68.777914698548116"/>
    <n v="-0.10164294482663928"/>
    <s v="Fase de Degradação"/>
  </r>
  <r>
    <n v="33"/>
    <x v="32"/>
    <s v="BRU040-BRUNIDORA"/>
    <n v="10004624"/>
    <s v="BR01-CIL-UCI-BRUNI2-BRUC17"/>
    <n v="4529"/>
    <n v="42566"/>
    <n v="2012"/>
    <n v="201227.12"/>
    <n v="20335"/>
    <n v="132819.7099999999"/>
    <n v="1.39"/>
    <n v="4598"/>
    <n v="87202"/>
    <n v="275"/>
    <n v="21"/>
    <n v="42"/>
    <n v="63"/>
    <n v="84"/>
    <n v="105"/>
    <n v="126"/>
    <n v="147"/>
    <n v="311.14999999999998"/>
    <n v="966.78"/>
    <n v="0.1"/>
    <n v="0.66500000000000004"/>
    <n v="0.8"/>
    <n v="-201227.12"/>
    <n v="-19949.061000000005"/>
    <n v="-21943.967100000005"/>
    <n v="-24138.36381000001"/>
    <n v="-26552.200191000011"/>
    <n v="-29207.420210100012"/>
    <n v="-32128.162231110018"/>
    <n v="-35340.978454221025"/>
    <n v="-335043.15480000002"/>
    <n v="-3989.8122000000003"/>
    <n v="-4388.79342"/>
    <n v="-4827.6727620000011"/>
    <n v="-5310.4400382000013"/>
    <n v="-5841.4840420200007"/>
    <n v="-6425.6324462220018"/>
    <n v="-7068.1956908442035"/>
    <n v="-253819.29879999999"/>
    <n v="-189260.1529964311"/>
    <n v="-37852.030599286205"/>
    <n v="-29.138576057550729"/>
    <n v="-8.1993154795767798E-2"/>
    <s v="Fase de Degradação"/>
  </r>
  <r>
    <n v="34"/>
    <x v="33"/>
    <s v="BRU041-BRUNIDORA"/>
    <n v="10004974"/>
    <s v="BR01-MOT-VIR-LBIELA-BRU041"/>
    <n v="3336"/>
    <n v="34907"/>
    <n v="2007"/>
    <n v="493423.23"/>
    <n v="0"/>
    <n v="301628.56000000006"/>
    <n v="1.54"/>
    <n v="4392"/>
    <n v="134489"/>
    <n v="245"/>
    <n v="12"/>
    <n v="24"/>
    <n v="36"/>
    <n v="48"/>
    <n v="60"/>
    <n v="72"/>
    <n v="84"/>
    <n v="464.61"/>
    <n v="1158.55"/>
    <n v="0.1"/>
    <n v="0.93579999999999997"/>
    <n v="0.8"/>
    <n v="-493423.23"/>
    <n v="-21425.712"/>
    <n v="-23568.283200000002"/>
    <n v="-25925.111520000006"/>
    <n v="-28517.622672000005"/>
    <n v="-31369.384939200008"/>
    <n v="-34506.323433120015"/>
    <n v="-37956.95577643202"/>
    <n v="-955168.6886339999"/>
    <n v="-4285.1423999999988"/>
    <n v="-4713.6566399999992"/>
    <n v="-5185.0223040000001"/>
    <n v="-5703.5245343999995"/>
    <n v="-6273.8769878399999"/>
    <n v="-6901.2646866240011"/>
    <n v="-7591.391155286402"/>
    <n v="-846092.33663399995"/>
    <n v="-203269.39354075206"/>
    <n v="-40653.878708150398"/>
    <n v="-113.22188197162832"/>
    <n v="-0.11853600659120068"/>
    <s v="Fase de Degradação"/>
  </r>
  <r>
    <n v="35"/>
    <x v="34"/>
    <s v="BRU042-BRUNIDORA"/>
    <n v="10006148"/>
    <s v="BR01-CIL-UCI-BRUNI2-BRUC18"/>
    <n v="4529"/>
    <n v="42569"/>
    <n v="2012"/>
    <n v="385738.04"/>
    <n v="33736"/>
    <n v="295009.91999999975"/>
    <n v="1.22"/>
    <n v="4596"/>
    <n v="83623"/>
    <n v="216"/>
    <n v="15"/>
    <n v="30"/>
    <n v="45"/>
    <n v="60"/>
    <n v="75"/>
    <n v="90"/>
    <n v="105"/>
    <n v="378.79"/>
    <n v="845.15"/>
    <n v="0.1"/>
    <n v="0.66500000000000004"/>
    <n v="0.8"/>
    <n v="-385738.04"/>
    <n v="-17406.014999999999"/>
    <n v="-19146.616500000004"/>
    <n v="-21061.278150000006"/>
    <n v="-23167.405965000005"/>
    <n v="-25484.146561500009"/>
    <n v="-28032.561217650011"/>
    <n v="-30835.817339415018"/>
    <n v="-642253.83659999992"/>
    <n v="-3481.2029999999991"/>
    <n v="-3829.3233"/>
    <n v="-4212.2556300000006"/>
    <n v="-4633.4811929999996"/>
    <n v="-5096.8293123000003"/>
    <n v="-5606.5122435300009"/>
    <n v="-6167.1634678830023"/>
    <n v="-587377.39659999986"/>
    <n v="-165133.84073356504"/>
    <n v="-33026.768146713002"/>
    <n v="-77.697537716163993"/>
    <n v="-0.11493891403302203"/>
    <s v="Fase de Degradação"/>
  </r>
  <r>
    <n v="36"/>
    <x v="35"/>
    <s v="BRU043-BRUNIDORA"/>
    <n v="10006149"/>
    <s v="BR01-CIL-UCI-BRUNI2-BRUC18"/>
    <n v="4529"/>
    <n v="42567"/>
    <n v="2012"/>
    <n v="200893.64"/>
    <n v="18345"/>
    <n v="100768.73999999998"/>
    <n v="1.35"/>
    <n v="4596"/>
    <n v="88651"/>
    <n v="239"/>
    <n v="17"/>
    <n v="34"/>
    <n v="51"/>
    <n v="68"/>
    <n v="85"/>
    <n v="102"/>
    <n v="119"/>
    <n v="332.87"/>
    <n v="834.79"/>
    <n v="0.1"/>
    <n v="0.66500000000000004"/>
    <n v="0.8"/>
    <n v="-200893.64"/>
    <n v="-17243.897000000001"/>
    <n v="-18968.286700000004"/>
    <n v="-20865.115370000007"/>
    <n v="-22951.626907000005"/>
    <n v="-25246.789597700008"/>
    <n v="-27771.468557470012"/>
    <n v="-30548.61541321702"/>
    <n v="-334487.9106"/>
    <n v="-3448.7793999999994"/>
    <n v="-3793.6573400000002"/>
    <n v="-4173.0230740000006"/>
    <n v="-4590.3253814"/>
    <n v="-5049.3579195400007"/>
    <n v="-5554.2937114940014"/>
    <n v="-6109.7230826434024"/>
    <n v="-265045.79859999998"/>
    <n v="-163595.79954538707"/>
    <n v="-32719.159909077403"/>
    <n v="-31.708038709098624"/>
    <n v="-8.9867010010994772E-2"/>
    <s v="Fase de Degradação"/>
  </r>
  <r>
    <n v="37"/>
    <x v="36"/>
    <s v="BRU044-BRUNIDORA"/>
    <n v="10006150"/>
    <s v="BR01-CIL-UCI-BRUNI2-BRUC19"/>
    <n v="4529"/>
    <n v="42594"/>
    <n v="2012"/>
    <n v="722338.39"/>
    <n v="256836"/>
    <n v="515162.57999999967"/>
    <n v="1.39"/>
    <n v="4400"/>
    <n v="87959"/>
    <n v="272"/>
    <n v="19"/>
    <n v="38"/>
    <n v="57"/>
    <n v="76"/>
    <n v="95"/>
    <n v="114"/>
    <n v="133"/>
    <n v="404.08"/>
    <n v="1016.6"/>
    <n v="0.1"/>
    <n v="0.66500000000000004"/>
    <n v="0.8"/>
    <n v="-722338.39"/>
    <n v="-21864.392000000003"/>
    <n v="-24050.831200000004"/>
    <n v="-26455.914320000011"/>
    <n v="-29101.505752000008"/>
    <n v="-32011.656327200013"/>
    <n v="-35212.821959920017"/>
    <n v="-38734.104155912028"/>
    <n v="-1202693.4193500001"/>
    <n v="-4372.8783999999996"/>
    <n v="-4810.1662399999996"/>
    <n v="-5291.1828640000012"/>
    <n v="-5820.3011504000006"/>
    <n v="-6402.3312654400015"/>
    <n v="-7042.5643919840013"/>
    <n v="-7746.8208311824037"/>
    <n v="-1348219.7873500001"/>
    <n v="-207431.22571503211"/>
    <n v="-41486.24514300641"/>
    <n v="-184.79777696828208"/>
    <n v="-0.12661462970070284"/>
    <s v="Fase de Degradação"/>
  </r>
  <r>
    <n v="38"/>
    <x v="37"/>
    <s v="BRU045-BRUNIDORA"/>
    <n v="10006151"/>
    <s v="BR01-CIL-UCI-BRUNI2-BRUC19"/>
    <n v="4529"/>
    <n v="42593"/>
    <n v="2012"/>
    <n v="197429.65"/>
    <n v="19203"/>
    <n v="113037.16999999998"/>
    <n v="1.79"/>
    <n v="4400"/>
    <n v="87040"/>
    <n v="332"/>
    <n v="31"/>
    <n v="62"/>
    <n v="93"/>
    <n v="124"/>
    <n v="155"/>
    <n v="186"/>
    <n v="217"/>
    <n v="371.85"/>
    <n v="1694.47"/>
    <n v="0.1"/>
    <n v="0.66500000000000004"/>
    <n v="0.8"/>
    <n v="-197429.65"/>
    <n v="-35047.089"/>
    <n v="-38551.797900000005"/>
    <n v="-42406.977690000007"/>
    <n v="-46647.675459000013"/>
    <n v="-51312.443004900015"/>
    <n v="-56443.68730539002"/>
    <n v="-62088.056035929032"/>
    <n v="-328720.36725000001"/>
    <n v="-7009.4177999999984"/>
    <n v="-7710.3595799999994"/>
    <n v="-8481.3955379999989"/>
    <n v="-9329.5350918000004"/>
    <n v="-10262.488600980001"/>
    <n v="-11288.737461078001"/>
    <n v="-12417.611207185804"/>
    <n v="-169501.82325000004"/>
    <n v="-332497.7263952191"/>
    <n v="-66499.545279043799"/>
    <n v="-11.703598019117823"/>
    <n v="-3.3638436278722879E-2"/>
    <s v="Fase de Degradação"/>
  </r>
  <r>
    <n v="39"/>
    <x v="38"/>
    <s v="BRU046-BRUNIDORA"/>
    <n v="10006217"/>
    <s v="BR01-CIL-UCI-BRUNI2-BRUC20"/>
    <n v="4529"/>
    <n v="43153"/>
    <n v="2013"/>
    <n v="437393.5"/>
    <n v="53448"/>
    <n v="560654.16000000015"/>
    <n v="1.69"/>
    <n v="4389"/>
    <n v="87451"/>
    <n v="347"/>
    <n v="30"/>
    <n v="60"/>
    <n v="90"/>
    <n v="120"/>
    <n v="150"/>
    <n v="180"/>
    <n v="210"/>
    <n v="412.33"/>
    <n v="1746.29"/>
    <n v="0.1"/>
    <n v="0.60660000000000003"/>
    <n v="0.8"/>
    <n v="-437393.5"/>
    <n v="-36657.917999999998"/>
    <n v="-40323.709800000004"/>
    <n v="-44356.080780000011"/>
    <n v="-48791.688858000009"/>
    <n v="-53670.857743800014"/>
    <n v="-59037.943518180022"/>
    <n v="-64941.737869998033"/>
    <n v="-702716.39710000006"/>
    <n v="-7331.5835999999981"/>
    <n v="-8064.7419599999994"/>
    <n v="-8871.2161560000004"/>
    <n v="-9758.3377715999995"/>
    <n v="-10734.171548759999"/>
    <n v="-11807.588703636002"/>
    <n v="-12988.347573999603"/>
    <n v="-569542.26910000015"/>
    <n v="-347779.93656997808"/>
    <n v="-69555.987313995603"/>
    <n v="-68.277206834859669"/>
    <n v="-9.0294130610635251E-2"/>
    <s v="Fase de Degradação"/>
  </r>
  <r>
    <n v="40"/>
    <x v="39"/>
    <s v="BRU047-BRUNIDORA"/>
    <n v="10006218"/>
    <s v="BR01-CIL-UCI-BRUNI2-BRUC20"/>
    <n v="4529"/>
    <n v="43152"/>
    <n v="2013"/>
    <n v="249739.06"/>
    <n v="35301"/>
    <n v="78477.42999999992"/>
    <n v="1.05"/>
    <n v="4389"/>
    <n v="83246"/>
    <n v="262"/>
    <n v="15"/>
    <n v="30"/>
    <n v="45"/>
    <n v="60"/>
    <n v="75"/>
    <n v="90"/>
    <n v="105"/>
    <n v="336.22"/>
    <n v="790.26"/>
    <n v="0.1"/>
    <n v="0.60660000000000003"/>
    <n v="0.8"/>
    <n v="-249739.06"/>
    <n v="-15979.062"/>
    <n v="-17576.968199999999"/>
    <n v="-19334.665020000004"/>
    <n v="-21268.131522000003"/>
    <n v="-23394.944674200004"/>
    <n v="-25734.439141620009"/>
    <n v="-28307.883055782015"/>
    <n v="-401230.77379599999"/>
    <n v="-3195.8123999999993"/>
    <n v="-3515.3936399999989"/>
    <n v="-3866.933004"/>
    <n v="-4253.6263043999998"/>
    <n v="-4678.9889348399993"/>
    <n v="-5146.887828324001"/>
    <n v="-5661.5766111564017"/>
    <n v="-355183.821796"/>
    <n v="-151596.09361360202"/>
    <n v="-30319.218722720398"/>
    <n v="-45.036414129302621"/>
    <n v="-0.10316869660523048"/>
    <s v="Fase de Vida Útil"/>
  </r>
  <r>
    <n v="41"/>
    <x v="40"/>
    <s v="BRU048-BRUNIDORA"/>
    <n v="10006355"/>
    <s v="BR01-CIL-UCI-BRUNI2-BRUC21"/>
    <n v="4527"/>
    <n v="45732"/>
    <n v="2015"/>
    <n v="1272844.47"/>
    <n v="382831"/>
    <n v="387641.80000000016"/>
    <n v="1.06"/>
    <n v="4823"/>
    <n v="68994"/>
    <n v="656"/>
    <n v="49"/>
    <n v="98"/>
    <n v="147"/>
    <n v="196"/>
    <n v="245"/>
    <n v="294"/>
    <n v="343"/>
    <n v="240.6"/>
    <n v="808.03"/>
    <n v="0.1"/>
    <n v="0.4834"/>
    <n v="0.8"/>
    <n v="-1272844.47"/>
    <n v="-23634.336000000003"/>
    <n v="-25997.769600000007"/>
    <n v="-28597.54656000001"/>
    <n v="-31457.301216000011"/>
    <n v="-34603.031337600012"/>
    <n v="-38063.334471360024"/>
    <n v="-41869.66791849603"/>
    <n v="-1888137.4867980001"/>
    <n v="-4726.8671999999997"/>
    <n v="-5199.5539200000003"/>
    <n v="-5719.509312000001"/>
    <n v="-6291.4602432000011"/>
    <n v="-6920.606267520001"/>
    <n v="-7612.6668942720034"/>
    <n v="-8373.933583699205"/>
    <n v="-2150648.230798"/>
    <n v="-224222.98710345611"/>
    <n v="-44844.597420691214"/>
    <n v="-298.79858530217643"/>
    <n v="-0.13157319753189259"/>
    <s v="Fase de Vida Útil"/>
  </r>
  <r>
    <n v="42"/>
    <x v="41"/>
    <s v="BRU049-BRUNIDORA"/>
    <n v="10006392"/>
    <s v="BR01-CIL-UCI-BRUNI2-BRUC22"/>
    <n v="4527"/>
    <n v="46500"/>
    <n v="2016"/>
    <n v="1884728.58"/>
    <n v="734434"/>
    <n v="370158.01000000007"/>
    <n v="1.18"/>
    <n v="4966"/>
    <n v="61964"/>
    <n v="778"/>
    <n v="74"/>
    <n v="148"/>
    <n v="222"/>
    <n v="296"/>
    <n v="370"/>
    <n v="444"/>
    <n v="518"/>
    <n v="312.44"/>
    <n v="1686.37"/>
    <n v="0.1"/>
    <n v="0.37669999999999998"/>
    <n v="0.8"/>
    <n v="-1884728.58"/>
    <n v="-47692.700000000004"/>
    <n v="-52461.970000000008"/>
    <n v="-57708.167000000016"/>
    <n v="-63478.983700000019"/>
    <n v="-69826.882070000021"/>
    <n v="-76809.570277000035"/>
    <n v="-84490.527304700052"/>
    <n v="-2594705.8360860003"/>
    <n v="-9538.5399999999991"/>
    <n v="-10492.394"/>
    <n v="-11541.633400000001"/>
    <n v="-12695.796740000002"/>
    <n v="-13965.376414"/>
    <n v="-15361.914055400004"/>
    <n v="-16898.105460940005"/>
    <n v="-3086340.6360860001"/>
    <n v="-452468.80035170016"/>
    <n v="-90493.760070340009"/>
    <n v="-423.88068511494856"/>
    <n v="-0.12732438587298758"/>
    <s v="Fase de Degradação"/>
  </r>
  <r>
    <n v="43"/>
    <x v="42"/>
    <s v="BRU050-BRUNIDORA"/>
    <n v="10006417"/>
    <s v="BR01-CIL-UCI-BRUNI1-BRUC23"/>
    <n v="4529"/>
    <n v="46504"/>
    <n v="2016"/>
    <n v="1178191.7"/>
    <n v="408924"/>
    <n v="117043.81"/>
    <n v="1.78"/>
    <n v="4327"/>
    <n v="59598"/>
    <n v="154"/>
    <n v="21"/>
    <n v="42"/>
    <n v="63"/>
    <n v="84"/>
    <n v="105"/>
    <n v="126"/>
    <n v="147"/>
    <n v="448.55"/>
    <n v="1185.03"/>
    <n v="0.1"/>
    <n v="0.37669999999999998"/>
    <n v="0.8"/>
    <n v="-1178191.7"/>
    <n v="-26003.901000000005"/>
    <n v="-28604.291100000009"/>
    <n v="-31464.720210000014"/>
    <n v="-34611.192231000015"/>
    <n v="-38072.311454100018"/>
    <n v="-41879.542599510023"/>
    <n v="-46067.496859461033"/>
    <n v="-1622016.51339"/>
    <n v="-5200.7802000000001"/>
    <n v="-5720.858220000001"/>
    <n v="-6292.944042000001"/>
    <n v="-6922.2384462000018"/>
    <n v="-7614.4622908200017"/>
    <n v="-8375.9085199020028"/>
    <n v="-9213.4993718922051"/>
    <n v="-1898557.0173899999"/>
    <n v="-246703.45545407111"/>
    <n v="-49340.691090814216"/>
    <n v="-261.93967843239187"/>
    <n v="-0.12897456951861583"/>
    <s v="Fase de Degradação"/>
  </r>
  <r>
    <n v="44"/>
    <x v="43"/>
    <s v="BRU051-BRUNIDORA"/>
    <n v="10006418"/>
    <s v="BR01-CIL-UCI-BRUNI1-BRUC23"/>
    <n v="4529"/>
    <n v="46503"/>
    <n v="2016"/>
    <n v="547789.79"/>
    <n v="194707"/>
    <n v="63801.02000000004"/>
    <n v="1.21"/>
    <n v="4327"/>
    <n v="57496"/>
    <n v="84"/>
    <n v="8"/>
    <n v="16"/>
    <n v="24"/>
    <n v="32"/>
    <n v="40"/>
    <n v="48"/>
    <n v="56"/>
    <n v="331.2"/>
    <n v="550.67999999999995"/>
    <n v="0.1"/>
    <n v="0.37669999999999998"/>
    <n v="0.8"/>
    <n v="-547789.79"/>
    <n v="-10183.536000000002"/>
    <n v="-11201.889600000002"/>
    <n v="-12322.078560000004"/>
    <n v="-13554.286416000004"/>
    <n v="-14909.715057600006"/>
    <n v="-16400.686563360006"/>
    <n v="-18040.755219696013"/>
    <n v="-754142.20389300003"/>
    <n v="-2036.7071999999998"/>
    <n v="-2240.3779199999999"/>
    <n v="-2464.415712"/>
    <n v="-2710.8572832000004"/>
    <n v="-2981.9430115200007"/>
    <n v="-3280.1373126720005"/>
    <n v="-3608.1510439392018"/>
    <n v="-897005.74789300002"/>
    <n v="-96612.947416656039"/>
    <n v="-19322.589483331205"/>
    <n v="-124.50840656566788"/>
    <n v="-0.13122043635050409"/>
    <s v="Fase de Degradação"/>
  </r>
  <r>
    <n v="45"/>
    <x v="44"/>
    <s v="BRU052-BRUNIDORA"/>
    <n v="20002959"/>
    <s v="BR01-CIL-UCI-BRUNI2-BRUC24"/>
    <n v="4529"/>
    <n v="49112"/>
    <n v="2018"/>
    <n v="1766765.15"/>
    <n v="964972"/>
    <n v="96678.39999999998"/>
    <n v="1.96"/>
    <n v="5043"/>
    <n v="40270"/>
    <n v="104"/>
    <n v="20.8"/>
    <n v="41.6"/>
    <n v="62.400000000000006"/>
    <n v="83.2"/>
    <n v="104"/>
    <n v="124.8"/>
    <n v="145.6"/>
    <n v="444.6"/>
    <n v="1751.48"/>
    <n v="0.1"/>
    <n v="0.2843"/>
    <n v="0.8"/>
    <n v="-1766765.15"/>
    <n v="-33291.984000000004"/>
    <n v="-36621.182400000005"/>
    <n v="-40283.300640000016"/>
    <n v="-44311.630704000017"/>
    <n v="-48742.793774400023"/>
    <n v="-53617.073151840028"/>
    <n v="-58978.780467024044"/>
    <n v="-2269056.4821449998"/>
    <n v="-6658.3967999999995"/>
    <n v="-7324.2364799999996"/>
    <n v="-8056.6601280000014"/>
    <n v="-8862.3261408000017"/>
    <n v="-9748.5587548800031"/>
    <n v="-10723.414630368003"/>
    <n v="-11795.756093404807"/>
    <n v="-3064542.0181449996"/>
    <n v="-315846.74513726414"/>
    <n v="-63169.349027452816"/>
    <n v="-425.90729800502697"/>
    <n v="-0.13169559277429121"/>
    <s v="Fase de Degradação"/>
  </r>
  <r>
    <n v="46"/>
    <x v="45"/>
    <s v="BRU053-BRUNIDORA"/>
    <n v="20002960"/>
    <s v="BR01-CIL-UCI-BRUNI2-BRUC24"/>
    <n v="4529"/>
    <n v="49113"/>
    <n v="2018"/>
    <n v="591425.51"/>
    <n v="323024"/>
    <n v="64970.99"/>
    <n v="1.02"/>
    <n v="5043"/>
    <n v="42076"/>
    <n v="87"/>
    <n v="11"/>
    <n v="22"/>
    <n v="33"/>
    <n v="44"/>
    <n v="55"/>
    <n v="66"/>
    <n v="77"/>
    <n v="446.4"/>
    <n v="1299.01"/>
    <n v="0.1"/>
    <n v="0.2843"/>
    <n v="0.8"/>
    <n v="-591425.51"/>
    <n v="-22548.371999999999"/>
    <n v="-24803.209200000001"/>
    <n v="-27283.530120000003"/>
    <n v="-30011.883132000003"/>
    <n v="-33013.071445200003"/>
    <n v="-36314.378589720014"/>
    <n v="-39945.816448692021"/>
    <n v="-759567.78249300004"/>
    <n v="-4509.674399999999"/>
    <n v="-4960.6418399999993"/>
    <n v="-5456.7060239999992"/>
    <n v="-6002.3766263999996"/>
    <n v="-6602.6142890399988"/>
    <n v="-7262.8757179440008"/>
    <n v="-7989.1632897384025"/>
    <n v="-967800.07049300009"/>
    <n v="-213920.26093561205"/>
    <n v="-42784.052187122397"/>
    <n v="-130.20793910635862"/>
    <n v="-0.12027427254852689"/>
    <s v="Fase de Vida Útil"/>
  </r>
  <r>
    <n v="47"/>
    <x v="46"/>
    <s v="BRU054-BRUNIDORA"/>
    <n v="20003525"/>
    <s v="BR01-CIL-UCI-BRUNI2-BRUC25"/>
    <n v="4529"/>
    <n v="51087"/>
    <n v="2019"/>
    <n v="1868832.25"/>
    <n v="1198349"/>
    <n v="100575.61999999995"/>
    <n v="1.29"/>
    <n v="4498"/>
    <n v="33602"/>
    <n v="138"/>
    <n v="25"/>
    <n v="50"/>
    <n v="75"/>
    <n v="100"/>
    <n v="125"/>
    <n v="150"/>
    <n v="175"/>
    <n v="303.95999999999998"/>
    <n v="1192.42"/>
    <n v="0.1"/>
    <n v="0.24679999999999999"/>
    <n v="0.8"/>
    <n v="-1868832.25"/>
    <n v="-24098.844000000005"/>
    <n v="-26508.728400000004"/>
    <n v="-29159.601240000011"/>
    <n v="-32075.561364000008"/>
    <n v="-35283.117500400011"/>
    <n v="-38811.429250440022"/>
    <n v="-42692.572175484027"/>
    <n v="-2330060.0492999996"/>
    <n v="-4819.7687999999998"/>
    <n v="-5301.74568"/>
    <n v="-5831.9202480000013"/>
    <n v="-6415.1122728"/>
    <n v="-7056.6235000800007"/>
    <n v="-7762.2858500880029"/>
    <n v="-8538.5144350968039"/>
    <n v="-3405724.0252999999"/>
    <n v="-228629.85393032408"/>
    <n v="-45725.970786064805"/>
    <n v="-477.92930945082003"/>
    <n v="-0.13545178656245549"/>
    <s v="Fase de Degradação"/>
  </r>
  <r>
    <n v="48"/>
    <x v="47"/>
    <s v="BRU055-BRUNIDORA"/>
    <n v="20003526"/>
    <s v="BR01-CIL-UCI-BRUNI2-BRUC25"/>
    <n v="4529"/>
    <n v="51086"/>
    <n v="2019"/>
    <n v="488352.36"/>
    <n v="313143"/>
    <n v="29253.980000000014"/>
    <n v="0.94"/>
    <n v="4498"/>
    <n v="33760"/>
    <n v="79"/>
    <n v="10"/>
    <n v="20"/>
    <n v="30"/>
    <n v="40"/>
    <n v="50"/>
    <n v="60"/>
    <n v="70"/>
    <n v="363.43"/>
    <n v="614.41999999999996"/>
    <n v="0.1"/>
    <n v="0.24679999999999999"/>
    <n v="0.8"/>
    <n v="-488352.36"/>
    <n v="-12108.074000000001"/>
    <n v="-13318.881400000002"/>
    <n v="-14650.769540000005"/>
    <n v="-16115.846494000005"/>
    <n v="-17727.431143400005"/>
    <n v="-19500.174257740011"/>
    <n v="-21450.191683514015"/>
    <n v="-608877.72244799999"/>
    <n v="-2421.6147999999994"/>
    <n v="-2663.7762799999996"/>
    <n v="-2930.1539080000002"/>
    <n v="-3223.1692988000004"/>
    <n v="-3545.4862286800003"/>
    <n v="-3900.0348515480014"/>
    <n v="-4290.0383367028016"/>
    <n v="-860379.61844799994"/>
    <n v="-114871.36851865404"/>
    <n v="-22974.273703730803"/>
    <n v="-118.58908966186812"/>
    <n v="-0.12861868152703726"/>
    <s v="Confiabilidade em Crescimento"/>
  </r>
  <r>
    <n v="49"/>
    <x v="48"/>
    <s v="BRU056-BRUNIDORA"/>
    <n v="10006654"/>
    <s v="BR01-CIL-UCI-BRUNI2-BRUC26"/>
    <n v="4529"/>
    <n v="52899"/>
    <n v="2020"/>
    <n v="838220.16"/>
    <n v="679606"/>
    <n v="31661.02"/>
    <n v="0.96"/>
    <n v="5094"/>
    <n v="16407"/>
    <n v="64"/>
    <n v="19"/>
    <n v="38"/>
    <n v="57"/>
    <n v="76"/>
    <n v="95"/>
    <n v="114"/>
    <n v="133"/>
    <n v="411.61"/>
    <n v="740.65"/>
    <n v="0.1"/>
    <n v="0.20369999999999999"/>
    <n v="0.8"/>
    <n v="-838220.16"/>
    <n v="-18379.228999999999"/>
    <n v="-20217.151900000001"/>
    <n v="-22238.867090000007"/>
    <n v="-24462.753799000006"/>
    <n v="-26909.029178900008"/>
    <n v="-29599.932096790013"/>
    <n v="-32559.92530646902"/>
    <n v="-1008965.606592"/>
    <n v="-3675.8457999999991"/>
    <n v="-4043.4303799999993"/>
    <n v="-4447.7734180000007"/>
    <n v="-4892.5507598000004"/>
    <n v="-5381.8058357800001"/>
    <n v="-5919.9864193580015"/>
    <n v="-6511.9850612938026"/>
    <n v="-1595004.6225920001"/>
    <n v="-174366.88837115906"/>
    <n v="-34873.377674231808"/>
    <n v="-221.29687084215325"/>
    <n v="-0.13105566265489382"/>
    <s v="Confiabilidade em Crescimento"/>
  </r>
  <r>
    <n v="50"/>
    <x v="49"/>
    <s v="BRU057-BRUNIDORA"/>
    <n v="10006655"/>
    <s v="BR01-CIL-UCI-BRUNI1-BRUC14"/>
    <n v="4529"/>
    <n v="52900"/>
    <n v="2020"/>
    <n v="838456.88"/>
    <n v="679815"/>
    <n v="79244.47"/>
    <n v="1.1299999999999999"/>
    <n v="4364"/>
    <n v="16517"/>
    <n v="63"/>
    <n v="19"/>
    <n v="38"/>
    <n v="57"/>
    <n v="76"/>
    <n v="95"/>
    <n v="114"/>
    <n v="133"/>
    <n v="361.95"/>
    <n v="734.5"/>
    <n v="0.1"/>
    <n v="0.20369999999999999"/>
    <n v="0.8"/>
    <n v="-838456.88"/>
    <n v="-17260.154999999999"/>
    <n v="-18986.170500000004"/>
    <n v="-20884.787550000005"/>
    <n v="-22973.266305000005"/>
    <n v="-25270.592935500008"/>
    <n v="-27797.652229050011"/>
    <n v="-30577.417451955018"/>
    <n v="-1009250.546456"/>
    <n v="-3452.030999999999"/>
    <n v="-3797.2341000000001"/>
    <n v="-4176.9575100000002"/>
    <n v="-4594.6532609999995"/>
    <n v="-5054.1185871000007"/>
    <n v="-5559.5304458100009"/>
    <n v="-6115.4834903910023"/>
    <n v="-1601195.6664559999"/>
    <n v="-163750.04197150507"/>
    <n v="-32750.008394300999"/>
    <n v="-222.58078755411373"/>
    <n v="-0.13177747188149866"/>
    <s v="Fase de Degradação"/>
  </r>
  <r>
    <n v="51"/>
    <x v="50"/>
    <s v="BRU058-BRUNIDORA"/>
    <n v="10006661"/>
    <s v="BR01-CIL-UCI-BRUNI1-BRUC11"/>
    <n v="4529"/>
    <n v="53924"/>
    <n v="2021"/>
    <n v="860580.21"/>
    <n v="724072"/>
    <n v="8785"/>
    <n v="0.61"/>
    <n v="4221"/>
    <n v="15840"/>
    <n v="21"/>
    <n v="4"/>
    <n v="8"/>
    <n v="12"/>
    <n v="16"/>
    <n v="20"/>
    <n v="24"/>
    <n v="28"/>
    <n v="475.43"/>
    <n v="490.59"/>
    <n v="0.1"/>
    <n v="0.1585"/>
    <n v="0.8"/>
    <n v="-860580.21"/>
    <n v="-8567.68"/>
    <n v="-9424.4480000000021"/>
    <n v="-10366.892800000003"/>
    <n v="-11403.582080000004"/>
    <n v="-12543.940288000005"/>
    <n v="-13798.334316800006"/>
    <n v="-15178.167748480009"/>
    <n v="-996982.17328500003"/>
    <n v="-1713.5359999999996"/>
    <n v="-1884.8896"/>
    <n v="-2073.3785600000001"/>
    <n v="-2280.7164160000002"/>
    <n v="-2508.7880576000007"/>
    <n v="-2759.6668633600007"/>
    <n v="-3035.6335496960014"/>
    <n v="-1677436.893285"/>
    <n v="-81283.04523328002"/>
    <n v="-16256.609046656004"/>
    <n v="-236.57539101405371"/>
    <n v="-0.13745958418176862"/>
    <s v="Confiabilidade em Crescimento"/>
  </r>
  <r>
    <n v="52"/>
    <x v="51"/>
    <s v="BRU059-BRUNIDORA"/>
    <n v="10006662"/>
    <s v="BR01-CIL-UCI-BRUNI1-BRUC11"/>
    <n v="4529"/>
    <n v="53925"/>
    <n v="2021"/>
    <n v="860579.59"/>
    <n v="724073"/>
    <n v="5977.3600000000006"/>
    <n v="0.48"/>
    <n v="4464"/>
    <n v="15318"/>
    <n v="11"/>
    <n v="2"/>
    <n v="4"/>
    <n v="6"/>
    <n v="8"/>
    <n v="10"/>
    <n v="12"/>
    <n v="14"/>
    <n v="359.54"/>
    <n v="336.54"/>
    <n v="0.1"/>
    <n v="0.1585"/>
    <n v="0.8"/>
    <n v="-860579.59"/>
    <n v="-5233.3160000000007"/>
    <n v="-5756.6476000000011"/>
    <n v="-6332.3123600000026"/>
    <n v="-6965.5435960000023"/>
    <n v="-7662.0979556000029"/>
    <n v="-8428.307751160004"/>
    <n v="-9271.1385262760068"/>
    <n v="-996981.45501500007"/>
    <n v="-1046.6632"/>
    <n v="-1151.32952"/>
    <n v="-1266.4624720000002"/>
    <n v="-1393.1087192000002"/>
    <n v="-1532.4195911200002"/>
    <n v="-1685.6615502320005"/>
    <n v="-1854.227705255201"/>
    <n v="-1694412.1190150001"/>
    <n v="-49649.363789036026"/>
    <n v="-9929.872757807203"/>
    <n v="-240.19070914053876"/>
    <n v="-0.13956020301428831"/>
    <s v="Confiabilidade em Crescimento"/>
  </r>
  <r>
    <n v="53"/>
    <x v="52"/>
    <s v="BRU060-BRUNIDORA"/>
    <n v="10006666"/>
    <s v="BR01-CIL-UCI-BRUNI1-BRUC28"/>
    <n v="4529"/>
    <n v="53926"/>
    <n v="2021"/>
    <n v="863735.1"/>
    <n v="740664"/>
    <n v="8967.3100000000013"/>
    <n v="0.56999999999999995"/>
    <n v="4369"/>
    <n v="15120"/>
    <n v="22"/>
    <n v="4"/>
    <n v="8"/>
    <n v="12"/>
    <n v="16"/>
    <n v="20"/>
    <n v="24"/>
    <n v="28"/>
    <n v="418.2"/>
    <n v="318.41000000000003"/>
    <n v="0.1"/>
    <n v="0.1585"/>
    <n v="0.8"/>
    <n v="-863735.1"/>
    <n v="-6043.0920000000006"/>
    <n v="-6647.4012000000012"/>
    <n v="-7312.1413200000025"/>
    <n v="-8043.3554520000025"/>
    <n v="-8847.690997200003"/>
    <n v="-9732.4600969200055"/>
    <n v="-10705.706106612008"/>
    <n v="-1000637.11335"/>
    <n v="-1208.6183999999998"/>
    <n v="-1329.4802399999999"/>
    <n v="-1462.4282640000001"/>
    <n v="-1608.6710904000001"/>
    <n v="-1769.5381994400002"/>
    <n v="-1946.4920193840007"/>
    <n v="-2141.1412213224012"/>
    <n v="-1710536.2813500001"/>
    <n v="-57331.847172732021"/>
    <n v="-11466.369434546401"/>
    <n v="-242.20509080168779"/>
    <n v="-0.13909431800438113"/>
    <s v="Confiabilidade em Crescimento"/>
  </r>
  <r>
    <n v="54"/>
    <x v="53"/>
    <s v="BRU061-BRUNIDORA"/>
    <n v="10006670"/>
    <s v="BR01-CIL-UCI-BRUNI1-BRUC28"/>
    <n v="4529"/>
    <n v="55628"/>
    <n v="2021"/>
    <n v="681253.42"/>
    <n v="606154"/>
    <n v="1467.8999999999999"/>
    <n v="1.41"/>
    <n v="4369"/>
    <n v="6289"/>
    <n v="4"/>
    <n v="2"/>
    <n v="4"/>
    <n v="6"/>
    <n v="8"/>
    <n v="10"/>
    <n v="12"/>
    <n v="14"/>
    <n v="487.91"/>
    <n v="514.41"/>
    <n v="0.1"/>
    <n v="0.1585"/>
    <n v="0.8"/>
    <n v="-681253.42"/>
    <n v="-7863.6140000000005"/>
    <n v="-8649.9754000000012"/>
    <n v="-9514.9729400000033"/>
    <n v="-10466.470234000002"/>
    <n v="-11513.117257400003"/>
    <n v="-12664.428983140006"/>
    <n v="-13930.871881454008"/>
    <n v="-789232.08707000013"/>
    <n v="-1572.7227999999998"/>
    <n v="-1729.9950799999999"/>
    <n v="-1902.9945880000002"/>
    <n v="-2093.2940468000002"/>
    <n v="-2302.6234514799999"/>
    <n v="-2532.8857966280007"/>
    <n v="-2786.1743762908009"/>
    <n v="-1355353.1430700002"/>
    <n v="-74603.450695994019"/>
    <n v="-14920.690139198801"/>
    <n v="-190.81476093045785"/>
    <n v="-0.13674692810727843"/>
    <s v="Fase de Degradação"/>
  </r>
  <r>
    <n v="55"/>
    <x v="54"/>
    <s v="BRU062-BRUNIDORA"/>
    <n v="10006685"/>
    <s v="BR01-CIL-UCI-BRUNI1-BRUC04"/>
    <n v="4529"/>
    <n v="53927"/>
    <n v="2021"/>
    <n v="863735.16"/>
    <n v="740664"/>
    <n v="43706.689999999995"/>
    <n v="1.2"/>
    <n v="4114"/>
    <n v="15484"/>
    <n v="45"/>
    <n v="15"/>
    <n v="30"/>
    <n v="45"/>
    <n v="60"/>
    <n v="75"/>
    <n v="90"/>
    <n v="105"/>
    <n v="530.82000000000005"/>
    <n v="1177.1400000000001"/>
    <n v="0.1"/>
    <n v="0.1585"/>
    <n v="0.8"/>
    <n v="-863735.16"/>
    <n v="-24296.778000000006"/>
    <n v="-26726.455800000007"/>
    <n v="-29399.101380000015"/>
    <n v="-32339.011518000014"/>
    <n v="-35572.912669800018"/>
    <n v="-39130.203936780024"/>
    <n v="-43043.224330458033"/>
    <n v="-1000637.1828600001"/>
    <n v="-4859.3555999999999"/>
    <n v="-5345.2911599999998"/>
    <n v="-5879.8202760000013"/>
    <n v="-6467.8023036000013"/>
    <n v="-7114.5825339600024"/>
    <n v="-7826.0407873560034"/>
    <n v="-8608.6448660916049"/>
    <n v="-1617608.49486"/>
    <n v="-230507.68763503811"/>
    <n v="-46101.537527007618"/>
    <n v="-222.41357610742423"/>
    <n v="-0.12772837823616537"/>
    <s v="Fase de Degradação"/>
  </r>
  <r>
    <n v="56"/>
    <x v="55"/>
    <s v="BRU063-BRUNIDORA"/>
    <n v="10006697"/>
    <s v="BR01-CIL-UCI-BRUNI2-BRUC29"/>
    <n v="4529"/>
    <n v="55196"/>
    <n v="2021"/>
    <n v="867358.81"/>
    <n v="757761"/>
    <n v="3980.8799999999997"/>
    <n v="0.48"/>
    <n v="5030"/>
    <n v="13606"/>
    <n v="15"/>
    <n v="3"/>
    <n v="6"/>
    <n v="9"/>
    <n v="12"/>
    <n v="15"/>
    <n v="18"/>
    <n v="21"/>
    <n v="463.26"/>
    <n v="516.58000000000004"/>
    <n v="0.1"/>
    <n v="0.1585"/>
    <n v="0.8"/>
    <n v="-867358.81"/>
    <n v="-8347.6140000000014"/>
    <n v="-9182.3754000000026"/>
    <n v="-10100.612940000005"/>
    <n v="-11110.674234000004"/>
    <n v="-12221.741657400005"/>
    <n v="-13443.915823140007"/>
    <n v="-14788.30740545401"/>
    <n v="-1004835.1813850001"/>
    <n v="-1669.5228"/>
    <n v="-1836.4750800000002"/>
    <n v="-2020.1225880000004"/>
    <n v="-2222.1348468000001"/>
    <n v="-2444.3483314800005"/>
    <n v="-2688.7831646280006"/>
    <n v="-2957.6614810908013"/>
    <n v="-1720099.2373850003"/>
    <n v="-79195.241459994038"/>
    <n v="-15839.048291998803"/>
    <n v="-242.74856974528643"/>
    <n v="-0.13772216932555773"/>
    <s v="Confiabilidade em Crescimento"/>
  </r>
  <r>
    <n v="57"/>
    <x v="56"/>
    <s v="BRU064-BRUNIDORA"/>
    <n v="10006699"/>
    <s v="BR01-CIL-UCI-BRUNI2-BRUC29"/>
    <n v="4529"/>
    <n v="55195"/>
    <n v="2021"/>
    <n v="674489.51"/>
    <n v="589263"/>
    <n v="0"/>
    <n v="0.7"/>
    <n v="5030"/>
    <n v="8209"/>
    <n v="6"/>
    <n v="3"/>
    <n v="6"/>
    <n v="9"/>
    <n v="12"/>
    <n v="15"/>
    <n v="18"/>
    <n v="21"/>
    <m/>
    <m/>
    <n v="0.1"/>
    <n v="0.1585"/>
    <n v="0.8"/>
    <n v="-674489.51"/>
    <n v="0"/>
    <n v="0"/>
    <n v="0"/>
    <n v="0"/>
    <n v="0"/>
    <n v="0"/>
    <n v="0"/>
    <n v="-781396.09733500006"/>
    <n v="0"/>
    <n v="0"/>
    <n v="0"/>
    <n v="0"/>
    <n v="0"/>
    <n v="0"/>
    <n v="0"/>
    <n v="-1370659.0973350001"/>
    <n v="0"/>
    <n v="0"/>
    <n v="-195.80844247642858"/>
    <n v="-0.14285714285714285"/>
    <s v="Confiabilidade em Crescimento"/>
  </r>
  <r>
    <n v="58"/>
    <x v="57"/>
    <s v="BRU065-BRUNIDORA"/>
    <n v="10006698"/>
    <s v="BR01-CIL-UCI-BRUNI2-BRUC30"/>
    <n v="4529"/>
    <n v="55197"/>
    <n v="2021"/>
    <n v="867357.48"/>
    <n v="757759"/>
    <n v="13232.259999999998"/>
    <n v="0.52"/>
    <n v="4475"/>
    <n v="13342"/>
    <n v="17"/>
    <n v="3"/>
    <n v="6"/>
    <n v="9"/>
    <n v="12"/>
    <n v="15"/>
    <n v="18"/>
    <n v="21"/>
    <n v="234.1"/>
    <n v="246.01"/>
    <n v="0.1"/>
    <n v="0.1585"/>
    <n v="0.8"/>
    <n v="-867357.48"/>
    <n v="-4019.8620000000005"/>
    <n v="-4421.8482000000004"/>
    <n v="-4864.0330200000017"/>
    <n v="-5350.4363220000014"/>
    <n v="-5885.4799542000019"/>
    <n v="-6474.0279496200028"/>
    <n v="-7121.4307445820041"/>
    <n v="-1004833.64058"/>
    <n v="-803.97239999999988"/>
    <n v="-884.36963999999989"/>
    <n v="-972.80660400000011"/>
    <n v="-1070.0872644000001"/>
    <n v="-1177.09599084"/>
    <n v="-1294.8055899240003"/>
    <n v="-1424.2861489164004"/>
    <n v="-1742127.88858"/>
    <n v="-38137.118190402012"/>
    <n v="-7627.4236380804014"/>
    <n v="-247.44042086109687"/>
    <n v="-0.14038434926159338"/>
    <s v="Confiabilidade em Crescimento"/>
  </r>
  <r>
    <n v="59"/>
    <x v="58"/>
    <s v="BRU066-BRUNIDORA"/>
    <n v="10006700"/>
    <s v="BR01-CIL-UCI-BRUNI2-BRUC30"/>
    <n v="4529"/>
    <n v="55194"/>
    <n v="2021"/>
    <n v="674489.45"/>
    <n v="589262"/>
    <n v="18904.18"/>
    <n v="1.29"/>
    <n v="4475"/>
    <n v="6511"/>
    <n v="7"/>
    <n v="3.5"/>
    <n v="7"/>
    <n v="10.5"/>
    <n v="14"/>
    <n v="17.5"/>
    <n v="21"/>
    <n v="24.5"/>
    <n v="468.57"/>
    <n v="594.16"/>
    <n v="0.1"/>
    <n v="0.1585"/>
    <n v="0.8"/>
    <n v="-674489.45"/>
    <n v="-9646.906500000001"/>
    <n v="-10611.597150000003"/>
    <n v="-11672.756865000005"/>
    <n v="-12840.032551500004"/>
    <n v="-14124.035806650007"/>
    <n v="-15536.439387315009"/>
    <n v="-17090.083326046512"/>
    <n v="-781396.027825"/>
    <n v="-1929.3812999999998"/>
    <n v="-2122.31943"/>
    <n v="-2334.5513730000002"/>
    <n v="-2568.0065103000002"/>
    <n v="-2824.8071613300008"/>
    <n v="-3107.2878774630012"/>
    <n v="-3418.0166652093017"/>
    <n v="-1321546.503825"/>
    <n v="-91521.851586511548"/>
    <n v="-18304.370317302306"/>
    <n v="-185.34864950797009"/>
    <n v="-0.13522603431731745"/>
    <s v="Fase de Degradação"/>
  </r>
  <r>
    <n v="60"/>
    <x v="59"/>
    <s v="BRU067-BRUNIDORA"/>
    <n v="10006701"/>
    <s v="BR01-CIL-UCI-BRUNI2-BRUC26"/>
    <n v="4529"/>
    <n v="55624"/>
    <n v="2021"/>
    <n v="681253.62"/>
    <n v="606155"/>
    <n v="1760.24"/>
    <n v="0.85"/>
    <n v="5094"/>
    <n v="9886"/>
    <n v="5"/>
    <n v="2.5"/>
    <n v="5"/>
    <n v="7.5"/>
    <n v="10"/>
    <n v="12.5"/>
    <n v="15"/>
    <n v="17.5"/>
    <n v="229.76"/>
    <n v="316.41000000000003"/>
    <n v="0.1"/>
    <n v="0.1585"/>
    <n v="0.8"/>
    <n v="-681253.62"/>
    <n v="-4808.4520000000002"/>
    <n v="-5289.2972000000009"/>
    <n v="-5818.226920000001"/>
    <n v="-6400.0496120000016"/>
    <n v="-7040.0545732000019"/>
    <n v="-7744.0600305200032"/>
    <n v="-8518.4660335720055"/>
    <n v="-789232.31877000001"/>
    <n v="-961.69039999999984"/>
    <n v="-1057.8594399999999"/>
    <n v="-1163.6453839999999"/>
    <n v="-1280.0099224000001"/>
    <n v="-1408.01091464"/>
    <n v="-1548.8120061040004"/>
    <n v="-1703.6932067144007"/>
    <n v="-1370907.92677"/>
    <n v="-45618.606369292014"/>
    <n v="-9123.7212738584003"/>
    <n v="-194.12749052493805"/>
    <n v="-0.13912086480480323"/>
    <s v="Confiabilidade em Crescimento"/>
  </r>
  <r>
    <n v="61"/>
    <x v="60"/>
    <s v="BRU068-BRUNIDORA"/>
    <n v="10006765"/>
    <s v="BR01-CIL-UCI-BRUNI1-BRUC31"/>
    <n v="4529"/>
    <n v="56675"/>
    <n v="2021"/>
    <n v="890786.1"/>
    <n v="827534"/>
    <n v="6595.03"/>
    <n v="1"/>
    <n v="4132"/>
    <n v="8573"/>
    <n v="14"/>
    <n v="7"/>
    <n v="14"/>
    <n v="21"/>
    <n v="28"/>
    <n v="35"/>
    <n v="42"/>
    <n v="49"/>
    <n v="561.67999999999995"/>
    <n v="741.63"/>
    <n v="0.1"/>
    <n v="0.1585"/>
    <n v="0.8"/>
    <n v="-890786.1"/>
    <n v="-14114.452000000001"/>
    <n v="-15525.897200000001"/>
    <n v="-17078.486920000003"/>
    <n v="-18786.335612000006"/>
    <n v="-20664.969173200006"/>
    <n v="-22731.466090520011"/>
    <n v="-25004.612699572015"/>
    <n v="-1031975.6968500001"/>
    <n v="-2822.8903999999998"/>
    <n v="-3105.1794399999994"/>
    <n v="-3415.6973840000001"/>
    <n v="-3757.2671224000005"/>
    <n v="-4132.9938346400004"/>
    <n v="-4546.2932181040014"/>
    <n v="-5000.9225399144016"/>
    <n v="-1787654.30485"/>
    <n v="-133906.21969529206"/>
    <n v="-26781.243939058404"/>
    <n v="-250.34067444196663"/>
    <n v="-0.13462724871294968"/>
    <s v="Fase de Vida Útil"/>
  </r>
  <r>
    <n v="62"/>
    <x v="61"/>
    <s v="BRU069-BRUNIDORA"/>
    <n v="10006766"/>
    <s v="BR01-CIL-UCI-BRUNI1-BRUC32"/>
    <n v="4529"/>
    <n v="56680"/>
    <n v="2021"/>
    <n v="893080.09"/>
    <n v="829666"/>
    <n v="3039.2300000000005"/>
    <n v="1.01"/>
    <n v="3800"/>
    <n v="8816"/>
    <n v="15"/>
    <n v="7"/>
    <n v="14"/>
    <n v="21"/>
    <n v="28"/>
    <n v="35"/>
    <n v="42"/>
    <n v="49"/>
    <n v="378.46"/>
    <n v="450.22"/>
    <n v="0.1"/>
    <n v="0.1585"/>
    <n v="0.8"/>
    <n v="-893080.09"/>
    <n v="-8857.0460000000021"/>
    <n v="-9742.750600000003"/>
    <n v="-10717.025660000005"/>
    <n v="-11788.728226000005"/>
    <n v="-12967.601048600005"/>
    <n v="-14264.361153460008"/>
    <n v="-15690.797268806011"/>
    <n v="-1034633.284265"/>
    <n v="-1771.4092000000001"/>
    <n v="-1948.5501200000001"/>
    <n v="-2143.4051320000003"/>
    <n v="-2357.7456452000006"/>
    <n v="-2593.5202097200004"/>
    <n v="-2852.8722306920008"/>
    <n v="-3138.1594537612013"/>
    <n v="-1819208.8682649999"/>
    <n v="-84028.30995686604"/>
    <n v="-16805.661991373203"/>
    <n v="-256.72523375707243"/>
    <n v="-0.13770601958809758"/>
    <s v="Fase de Vida Útil"/>
  </r>
  <r>
    <n v="63"/>
    <x v="62"/>
    <s v="BRU070-BRUNIDORA"/>
    <n v="10006767"/>
    <s v="BR01-CIL-UCI-BRUNI1-BRUC31"/>
    <n v="4529"/>
    <n v="56676"/>
    <n v="2021"/>
    <n v="640938.73"/>
    <n v="595427"/>
    <n v="1301.3700000000001"/>
    <n v="0.95"/>
    <n v="4132"/>
    <n v="5907"/>
    <n v="11"/>
    <n v="6"/>
    <n v="12"/>
    <n v="18"/>
    <n v="24"/>
    <n v="30"/>
    <n v="36"/>
    <n v="42"/>
    <n v="1060.9000000000001"/>
    <n v="751.79"/>
    <n v="0.1"/>
    <n v="0.1585"/>
    <n v="0.8"/>
    <n v="-640938.73"/>
    <n v="-16925.568000000003"/>
    <n v="-18618.124800000005"/>
    <n v="-20479.937280000009"/>
    <n v="-22527.931008000007"/>
    <n v="-24780.724108800012"/>
    <n v="-27258.796519680014"/>
    <n v="-29984.676171648021"/>
    <n v="-742527.51870500005"/>
    <n v="-3385.1135999999997"/>
    <n v="-3723.6249600000001"/>
    <n v="-4095.9874560000007"/>
    <n v="-4505.5862016000001"/>
    <n v="-4956.1448217600009"/>
    <n v="-5451.7593039360017"/>
    <n v="-5996.9352343296032"/>
    <n v="-1251787.9907050002"/>
    <n v="-160575.75788812808"/>
    <n v="-32115.151577625606"/>
    <n v="-172.78484462778536"/>
    <n v="-0.1291410449400201"/>
    <s v="Confiabilidade em Crescimento"/>
  </r>
  <r>
    <n v="64"/>
    <x v="63"/>
    <s v="BRU071-BRUNIDORA"/>
    <n v="10006768"/>
    <s v="BR01-CIL-UCI-BRUNI1-BRUC32"/>
    <n v="4529"/>
    <n v="56681"/>
    <n v="2021"/>
    <n v="643232.25"/>
    <n v="597558"/>
    <n v="738.45"/>
    <n v="1.03"/>
    <n v="3800"/>
    <n v="4941"/>
    <n v="15"/>
    <n v="7.5"/>
    <n v="15"/>
    <n v="22.5"/>
    <n v="30"/>
    <n v="37.5"/>
    <n v="45"/>
    <n v="52.5"/>
    <n v="440.83"/>
    <n v="428.91"/>
    <n v="0.1"/>
    <n v="0.1585"/>
    <n v="0.8"/>
    <n v="-643232.25"/>
    <n v="-9298.4595000000008"/>
    <n v="-10228.305450000002"/>
    <n v="-11251.135995000004"/>
    <n v="-12376.249594500005"/>
    <n v="-13613.874553950005"/>
    <n v="-14975.262009345008"/>
    <n v="-16472.788210279512"/>
    <n v="-745184.56162500009"/>
    <n v="-1859.6918999999998"/>
    <n v="-2045.6610899999998"/>
    <n v="-2250.2271990000004"/>
    <n v="-2475.2499189000005"/>
    <n v="-2722.7749107900004"/>
    <n v="-2995.0524018690007"/>
    <n v="-3294.5576420559019"/>
    <n v="-1295404.9496250001"/>
    <n v="-88216.075313074543"/>
    <n v="-17643.215062614905"/>
    <n v="-181.73852876779148"/>
    <n v="-0.13534875110225875"/>
    <s v="Fase de Vida Útil"/>
  </r>
  <r>
    <n v="65"/>
    <x v="64"/>
    <s v="BRU072-BRUNIDORA"/>
    <n v="10006781"/>
    <s v="BR01-CIL-UCI-BRUNI1-BRUC02"/>
    <n v="4529"/>
    <n v="56703"/>
    <n v="2022"/>
    <n v="859093.25"/>
    <n v="798091"/>
    <n v="8253.86"/>
    <n v="0.99"/>
    <n v="4464"/>
    <n v="9627"/>
    <n v="23"/>
    <n v="11"/>
    <n v="22"/>
    <n v="33"/>
    <n v="44"/>
    <n v="55"/>
    <n v="66"/>
    <n v="77"/>
    <n v="450.93"/>
    <n v="879.23"/>
    <n v="0.1"/>
    <n v="5.79E-2"/>
    <n v="0.8"/>
    <n v="-859093.25"/>
    <n v="-17062.089000000004"/>
    <n v="-18768.297900000005"/>
    <n v="-20645.127690000008"/>
    <n v="-22709.640459000009"/>
    <n v="-24980.604504900009"/>
    <n v="-27478.664955390017"/>
    <n v="-30226.531450929022"/>
    <n v="-908834.749175"/>
    <n v="-3412.4178000000002"/>
    <n v="-3753.65958"/>
    <n v="-4129.0255380000008"/>
    <n v="-4541.9280918000004"/>
    <n v="-4996.1209009800004"/>
    <n v="-5495.7329910780018"/>
    <n v="-6045.3062901858029"/>
    <n v="-1620064.205175"/>
    <n v="-161870.95596021909"/>
    <n v="-32374.191192043807"/>
    <n v="-225.34699777240354"/>
    <n v="-0.13201921517753154"/>
    <s v="Confiabilidade em Crescimento"/>
  </r>
  <r>
    <n v="66"/>
    <x v="65"/>
    <s v="BRU073-BRUNIDORA"/>
    <n v="10006831"/>
    <s v="BR01-CIL-UCI-BRUNI2-BRUC12"/>
    <n v="4529"/>
    <n v="56704"/>
    <n v="2022"/>
    <n v="859093.02"/>
    <n v="798091"/>
    <n v="1753.8100000000004"/>
    <n v="1.07"/>
    <n v="4344"/>
    <n v="3590"/>
    <n v="8"/>
    <n v="8"/>
    <n v="16"/>
    <n v="24"/>
    <n v="32"/>
    <n v="40"/>
    <n v="48"/>
    <n v="56"/>
    <n v="272.76"/>
    <n v="351.79"/>
    <n v="0.1"/>
    <n v="5.79E-2"/>
    <n v="0.8"/>
    <n v="-859093.02"/>
    <n v="-7043.9160000000011"/>
    <n v="-7748.3076000000019"/>
    <n v="-8523.1383600000026"/>
    <n v="-9375.4521960000038"/>
    <n v="-10312.997415600004"/>
    <n v="-11344.297157160006"/>
    <n v="-12478.726872876008"/>
    <n v="-908834.50585800002"/>
    <n v="-1408.7831999999999"/>
    <n v="-1549.6615200000001"/>
    <n v="-1704.6276720000001"/>
    <n v="-1875.0904392000004"/>
    <n v="-2062.5994831200005"/>
    <n v="-2268.8594314320007"/>
    <n v="-2495.7453745752009"/>
    <n v="-1671065.5698579999"/>
    <n v="-66826.835601636019"/>
    <n v="-13365.367120327201"/>
    <n v="-236.20914819667018"/>
    <n v="-0.13838281013789042"/>
    <s v="Fase de Vida Útil"/>
  </r>
  <r>
    <n v="67"/>
    <x v="66"/>
    <s v="BRU090-BRUNIDORA SUNNEN SV - 2015 - 2"/>
    <n v="10006931"/>
    <s v="BR01-MOT-VIR-LBIELA-BRU090"/>
    <n v="3336"/>
    <m/>
    <n v="2022"/>
    <m/>
    <m/>
    <m/>
    <m/>
    <m/>
    <m/>
    <m/>
    <s v=""/>
    <m/>
    <m/>
    <m/>
    <m/>
    <m/>
    <m/>
    <m/>
    <m/>
    <m/>
    <n v="5.79E-2"/>
    <m/>
    <m/>
    <m/>
    <m/>
    <m/>
    <m/>
    <m/>
    <m/>
    <m/>
    <m/>
    <m/>
    <m/>
    <m/>
    <m/>
    <m/>
    <m/>
    <m/>
    <m/>
    <m/>
    <m/>
    <m/>
    <m/>
    <m/>
  </r>
  <r>
    <n v="68"/>
    <x v="67"/>
    <s v="BRU091-BRUNIDORA SUNNEN SV - 2015 - 3"/>
    <n v="10006932"/>
    <s v="BR01-MOT-VIR-LBIELA-BRU091"/>
    <n v="3336"/>
    <m/>
    <n v="2022"/>
    <m/>
    <m/>
    <m/>
    <m/>
    <m/>
    <m/>
    <m/>
    <s v=""/>
    <m/>
    <m/>
    <m/>
    <m/>
    <m/>
    <m/>
    <m/>
    <m/>
    <m/>
    <n v="5.79E-2"/>
    <m/>
    <m/>
    <m/>
    <m/>
    <m/>
    <m/>
    <m/>
    <m/>
    <m/>
    <m/>
    <m/>
    <m/>
    <m/>
    <m/>
    <m/>
    <m/>
    <m/>
    <m/>
    <m/>
    <m/>
    <m/>
    <m/>
    <m/>
  </r>
  <r>
    <n v="69"/>
    <x v="68"/>
    <s v="CAB004-CABINE DE PINTURA"/>
    <n v="10001567"/>
    <s v="BR01-MOT-SAB-LFACAS-CAB004"/>
    <n v="2572"/>
    <n v="8284"/>
    <n v="1991"/>
    <n v="4874.7299999999996"/>
    <n v="0"/>
    <n v="323153.05999999953"/>
    <n v="1.85"/>
    <n v="4864"/>
    <n v="195897"/>
    <n v="508"/>
    <n v="24"/>
    <n v="48"/>
    <n v="72"/>
    <n v="96"/>
    <n v="120"/>
    <n v="144"/>
    <n v="168"/>
    <n v="497.44"/>
    <n v="3538.25"/>
    <n v="0.1"/>
    <n v="2.0259230769230769"/>
    <n v="0.8"/>
    <n v="-4874.7299999999996"/>
    <n v="-59837.315999999999"/>
    <n v="-65821.047600000005"/>
    <n v="-72403.152360000022"/>
    <n v="-79643.467596000017"/>
    <n v="-87607.814355600029"/>
    <n v="-96368.595791160042"/>
    <n v="-106005.45537027606"/>
    <n v="-14750.55800076923"/>
    <n v="-11967.463199999997"/>
    <n v="-13164.209519999999"/>
    <n v="-14480.630472000001"/>
    <n v="-15928.6935192"/>
    <n v="-17521.562871120001"/>
    <n v="-19273.719158232005"/>
    <n v="-21201.091074055206"/>
    <n v="289875.77799923072"/>
    <n v="-567686.84907303611"/>
    <n v="-113537.36981460721"/>
    <n v="62.771274465379953"/>
    <n v="4.2555186361157649"/>
    <s v="Fase de Degradação"/>
  </r>
  <r>
    <n v="70"/>
    <x v="69"/>
    <s v="CAB018-CABINE DE PINTURA"/>
    <n v="10006361"/>
    <s v="BR01-MOT-UMG-PINTUR-CAB018"/>
    <n v="2318"/>
    <n v="900000013851"/>
    <n v="2015"/>
    <n v="50000"/>
    <n v="0"/>
    <n v="202377.44999999998"/>
    <n v="0.96"/>
    <n v="3854"/>
    <n v="67349"/>
    <n v="207"/>
    <n v="12"/>
    <n v="24"/>
    <n v="36"/>
    <n v="48"/>
    <n v="60"/>
    <n v="72"/>
    <n v="84"/>
    <n v="465.44"/>
    <n v="983.13"/>
    <n v="0.1"/>
    <n v="0.4834"/>
    <n v="0.8"/>
    <n v="-50000"/>
    <n v="-19121.124000000003"/>
    <n v="-21033.236400000005"/>
    <n v="-23136.560040000008"/>
    <n v="-25450.216044000008"/>
    <n v="-27995.237648400009"/>
    <n v="-30794.761413240016"/>
    <n v="-33874.237554564024"/>
    <n v="-74170"/>
    <n v="-3824.2248"/>
    <n v="-4206.6472800000001"/>
    <n v="-4627.3120080000008"/>
    <n v="-5090.0432088000007"/>
    <n v="-5599.0475296800005"/>
    <n v="-6158.9522826480015"/>
    <n v="-6774.847510912803"/>
    <n v="23173.90400000001"/>
    <n v="-181405.37310020407"/>
    <n v="-36281.07462004081"/>
    <n v="10.136328354309038"/>
    <n v="0.13666345361074608"/>
    <s v="Confiabilidade em Crescimento"/>
  </r>
  <r>
    <n v="71"/>
    <x v="70"/>
    <s v="CAB028-CABINE DE INSPEÇÃO DE TINTA"/>
    <n v="20001523"/>
    <s v="BR01-MOT-SAB-FINALL-CAB028"/>
    <n v="2525"/>
    <n v="43972"/>
    <n v="2015"/>
    <n v="1278.1600000000001"/>
    <n v="340"/>
    <n v="28360.949999999986"/>
    <n v="0.43"/>
    <n v="5853.5532000000003"/>
    <n v="72045"/>
    <n v="8"/>
    <n v="1"/>
    <n v="2"/>
    <n v="3"/>
    <n v="4"/>
    <n v="5"/>
    <n v="6"/>
    <n v="7"/>
    <n v="219.15"/>
    <n v="185.47"/>
    <n v="0.1"/>
    <n v="0.4834"/>
    <n v="0.8"/>
    <n v="-1278.1600000000001"/>
    <n v="-2689.2690000000002"/>
    <n v="-2958.1959000000006"/>
    <n v="-3254.0154900000011"/>
    <n v="-3579.4170390000008"/>
    <n v="-3937.3587429000013"/>
    <n v="-4331.0946171900023"/>
    <n v="-4764.2040789090024"/>
    <n v="-1896.0225440000002"/>
    <n v="-537.85379999999998"/>
    <n v="-591.63918000000001"/>
    <n v="-650.80309800000009"/>
    <n v="-715.88340779999999"/>
    <n v="-787.47174858000005"/>
    <n v="-866.21892343800027"/>
    <n v="-952.8408157818003"/>
    <n v="11454.801455999999"/>
    <n v="-25513.55486799901"/>
    <n v="-5102.710973599801"/>
    <n v="2.5964030500570296"/>
    <n v="1.1611703365979253"/>
    <s v="Confiabilidade em Crescimento"/>
  </r>
  <r>
    <n v="72"/>
    <x v="71"/>
    <s v="CAB029-CABINE DE INSPEÇÃO"/>
    <n v="10006300"/>
    <s v="BR01-MOT-SAB-FINALL-CAB029"/>
    <n v="2526"/>
    <n v="43973"/>
    <n v="2013"/>
    <n v="799935.56"/>
    <n v="130098"/>
    <n v="251642.46000000002"/>
    <n v="1.1299999999999999"/>
    <n v="4795.2647999999999"/>
    <n v="70240"/>
    <n v="198"/>
    <n v="16"/>
    <n v="32"/>
    <n v="48"/>
    <n v="64"/>
    <n v="80"/>
    <n v="96"/>
    <n v="112"/>
    <n v="1032.25"/>
    <n v="3676.47"/>
    <n v="0.1"/>
    <n v="0.60660000000000003"/>
    <n v="0.8"/>
    <n v="-799935.56"/>
    <n v="-66697.004000000001"/>
    <n v="-73366.704400000017"/>
    <n v="-80703.374840000019"/>
    <n v="-88773.712324000022"/>
    <n v="-97651.08355640003"/>
    <n v="-107416.19191204006"/>
    <n v="-118157.81110324406"/>
    <n v="-1285176.4706960001"/>
    <n v="-13339.400799999998"/>
    <n v="-14673.34088"/>
    <n v="-16140.674967999999"/>
    <n v="-17754.742464800001"/>
    <n v="-19530.216711280002"/>
    <n v="-21483.238382408006"/>
    <n v="-23631.562220648808"/>
    <n v="-1075726.0866960001"/>
    <n v="-632765.88213568414"/>
    <n v="-126553.1764271368"/>
    <n v="-129.86596642677898"/>
    <n v="-9.1760269202703706E-2"/>
    <s v="Fase de Degradação"/>
  </r>
  <r>
    <n v="73"/>
    <x v="72"/>
    <s v="CAB030-CABINE DE CURA UV"/>
    <n v="10006301"/>
    <s v="BR01-MOT-SAB-FINALL-CAB030"/>
    <n v="2526"/>
    <n v="44981"/>
    <n v="2014"/>
    <n v="117782.87"/>
    <n v="49430"/>
    <n v="260686.56000000003"/>
    <n v="0.87"/>
    <n v="5853.5532000000003"/>
    <n v="72028"/>
    <n v="176"/>
    <n v="13"/>
    <n v="26"/>
    <n v="39"/>
    <n v="52"/>
    <n v="65"/>
    <n v="78"/>
    <n v="91"/>
    <n v="404.06"/>
    <n v="449.39"/>
    <n v="0.1"/>
    <n v="0.54749999999999999"/>
    <n v="0.8"/>
    <n v="-117782.87"/>
    <n v="-11710.005999999999"/>
    <n v="-12881.006600000001"/>
    <n v="-14169.107260000002"/>
    <n v="-15586.017986000003"/>
    <n v="-17144.619784600003"/>
    <n v="-18859.081763060007"/>
    <n v="-20744.989939366013"/>
    <n v="-182268.99132499998"/>
    <n v="-2342.0011999999992"/>
    <n v="-2576.2013199999997"/>
    <n v="-2833.8214519999997"/>
    <n v="-3117.2035971999999"/>
    <n v="-3428.9239569199999"/>
    <n v="-3771.8163526120006"/>
    <n v="-4148.997987873202"/>
    <n v="-172084.41532500001"/>
    <n v="-111094.82933302603"/>
    <n v="-22218.965866605202"/>
    <n v="-20.40330397979702"/>
    <n v="-8.8059528714899221E-2"/>
    <s v="Confiabilidade em Crescimento"/>
  </r>
  <r>
    <n v="74"/>
    <x v="73"/>
    <s v="CAB031-CABINE DE FLAMBAGEM"/>
    <n v="20001610"/>
    <s v="BR01-MOT-SAB-FINALL-CAB031"/>
    <n v="2525"/>
    <n v="45008"/>
    <n v="2014"/>
    <n v="98309.82"/>
    <n v="24368"/>
    <n v="76068.679999999993"/>
    <n v="0.97"/>
    <n v="5853.5532000000003"/>
    <n v="69682"/>
    <n v="77"/>
    <n v="7"/>
    <n v="14"/>
    <n v="21"/>
    <n v="28"/>
    <n v="35"/>
    <n v="42"/>
    <n v="49"/>
    <n v="334.27"/>
    <n v="683.30815437984631"/>
    <n v="0.1"/>
    <n v="0.54749999999999999"/>
    <n v="0.8"/>
    <n v="-98309.82"/>
    <n v="-11593.546637813972"/>
    <n v="-12752.90130159537"/>
    <n v="-14028.191431754909"/>
    <n v="-15431.0105749304"/>
    <n v="-16974.111632423443"/>
    <n v="-18671.522795665787"/>
    <n v="-20538.675075232368"/>
    <n v="-152134.44644999999"/>
    <n v="-2318.709327562794"/>
    <n v="-2550.5802603190732"/>
    <n v="-2805.6382863509812"/>
    <n v="-3086.2021149860793"/>
    <n v="-3394.8223264846879"/>
    <n v="-3734.3045591331565"/>
    <n v="-4107.7350150464727"/>
    <n v="-117480.75447567433"/>
    <n v="-109989.95944941626"/>
    <n v="-21997.991889883244"/>
    <n v="-12.644354127209565"/>
    <n v="-7.1638407180896993E-2"/>
    <s v="Confiabilidade em Crescimento"/>
  </r>
  <r>
    <n v="75"/>
    <x v="74"/>
    <s v="CAB032-CABINE DE SECAGEM"/>
    <n v="10006371"/>
    <s v="BR01-MOT-SAB-FINALL-CAB032"/>
    <n v="2525"/>
    <n v="46368"/>
    <n v="2015"/>
    <n v="716413.01"/>
    <n v="253040"/>
    <n v="1855986.5199999996"/>
    <n v="0.88"/>
    <n v="5406"/>
    <n v="64994"/>
    <n v="552"/>
    <n v="41"/>
    <n v="82"/>
    <n v="123"/>
    <n v="164"/>
    <n v="205"/>
    <n v="246"/>
    <n v="287"/>
    <n v="1301.8399999999999"/>
    <n v="12485.47"/>
    <n v="0.1"/>
    <n v="0.4834"/>
    <n v="0.8"/>
    <n v="-716413.01"/>
    <n v="-223521.18799999999"/>
    <n v="-245873.30680000002"/>
    <n v="-270460.63748000009"/>
    <n v="-297506.70122800005"/>
    <n v="-327257.37135080009"/>
    <n v="-359983.10848588013"/>
    <n v="-395981.4193344682"/>
    <n v="-1062727.0590340002"/>
    <n v="-44704.237599999986"/>
    <n v="-49174.661359999991"/>
    <n v="-54092.127496000008"/>
    <n v="-59501.340245599997"/>
    <n v="-65451.474270160004"/>
    <n v="-71996.621697176015"/>
    <n v="-79196.283866893617"/>
    <n v="-177841.01103399997"/>
    <n v="-2120583.7326791482"/>
    <n v="-424116.74653582962"/>
    <n v="54.385703872759777"/>
    <n v="4.1333839070791342E-2"/>
    <s v="Confiabilidade em Crescimento"/>
  </r>
  <r>
    <n v="76"/>
    <x v="75"/>
    <s v="CAB033-CABINE DE RESFRIAMENTO"/>
    <n v="10006372"/>
    <s v="BR01-MOT-SAB-FINALL-CAB033"/>
    <n v="2525"/>
    <n v="46369"/>
    <n v="2015"/>
    <n v="38997.879999999997"/>
    <n v="13418"/>
    <n v="455992.22999999946"/>
    <n v="0.86"/>
    <n v="5406"/>
    <n v="65015"/>
    <n v="271"/>
    <n v="20"/>
    <n v="40"/>
    <n v="60"/>
    <n v="80"/>
    <n v="100"/>
    <n v="120"/>
    <n v="140"/>
    <n v="944.14"/>
    <n v="5718.79"/>
    <n v="0.1"/>
    <n v="0.4834"/>
    <n v="0.8"/>
    <n v="-38997.879999999997"/>
    <n v="-96259.108000000007"/>
    <n v="-105885.01880000002"/>
    <n v="-116473.52068000003"/>
    <n v="-128120.87274800004"/>
    <n v="-140932.96002280005"/>
    <n v="-155026.25602508007"/>
    <n v="-170528.8816275881"/>
    <n v="-57849.455192000001"/>
    <n v="-19251.821599999996"/>
    <n v="-21177.00376"/>
    <n v="-23294.704136"/>
    <n v="-25624.1745496"/>
    <n v="-28186.592004560003"/>
    <n v="-31005.251205016008"/>
    <n v="-34105.776325517611"/>
    <n v="418778.91280799999"/>
    <n v="-913226.61790346832"/>
    <n v="-182645.32358069363"/>
    <n v="94.187691304396381"/>
    <n v="1.3216087350200383"/>
    <s v="Confiabilidade em Crescimento"/>
  </r>
  <r>
    <n v="77"/>
    <x v="76"/>
    <s v="CAB107-CABINE DE TESTE"/>
    <n v="10000219"/>
    <s v="BR01-MOT-MON-LINHA1"/>
    <n v="4023"/>
    <n v="37312"/>
    <n v="2008"/>
    <n v="96683.38"/>
    <n v="12719"/>
    <n v="305704.55000000022"/>
    <n v="1.4"/>
    <n v="4547"/>
    <n v="198057"/>
    <n v="375"/>
    <n v="12"/>
    <n v="24"/>
    <n v="36"/>
    <n v="48"/>
    <n v="60"/>
    <n v="72"/>
    <n v="84"/>
    <n v="534.11"/>
    <n v="1044.73"/>
    <n v="0.1"/>
    <n v="0.89119999999999999"/>
    <n v="0.8"/>
    <n v="-96683.38"/>
    <n v="-20840.688000000002"/>
    <n v="-22924.756800000006"/>
    <n v="-25217.23248000001"/>
    <n v="-27738.955728000012"/>
    <n v="-30512.851300800012"/>
    <n v="-33564.136430880018"/>
    <n v="-36920.550073968028"/>
    <n v="-182847.60825600001"/>
    <n v="-4168.1375999999991"/>
    <n v="-4584.95136"/>
    <n v="-5043.4464960000005"/>
    <n v="-5547.7911456000011"/>
    <n v="-6102.5702601600015"/>
    <n v="-6712.8272861760024"/>
    <n v="-7384.110014793604"/>
    <n v="-89468.560256000026"/>
    <n v="-197719.17081364809"/>
    <n v="-39543.83416272961"/>
    <n v="-5.3416102292973591"/>
    <n v="-2.7313508563308012E-2"/>
    <s v="Fase de Degradação"/>
  </r>
  <r>
    <n v="78"/>
    <x v="77"/>
    <s v="CAB108-CABINE DE TESTE"/>
    <n v="10000222"/>
    <s v="BR01-MOT-MON-LINHA1"/>
    <n v="4023"/>
    <n v="20050"/>
    <n v="1995"/>
    <n v="228817.81"/>
    <n v="0"/>
    <n v="214767.05999999976"/>
    <n v="1.44"/>
    <n v="4547"/>
    <n v="198595"/>
    <n v="325"/>
    <n v="11"/>
    <n v="22"/>
    <n v="33"/>
    <n v="44"/>
    <n v="55"/>
    <n v="66"/>
    <n v="77"/>
    <n v="342.36"/>
    <n v="1079.6500000000001"/>
    <n v="0.1"/>
    <n v="1.7719846153846153"/>
    <n v="0.8"/>
    <n v="-228817.81"/>
    <n v="-18393.936000000005"/>
    <n v="-20233.329600000005"/>
    <n v="-22256.662560000008"/>
    <n v="-24482.328816000008"/>
    <n v="-26930.561697600013"/>
    <n v="-29623.617867360019"/>
    <n v="-32585.979654096023"/>
    <n v="-634279.44904599991"/>
    <n v="-3678.7872000000002"/>
    <n v="-4046.6659199999999"/>
    <n v="-4451.3325120000009"/>
    <n v="-4896.4657632000008"/>
    <n v="-5386.1123395200011"/>
    <n v="-5924.7235734720025"/>
    <n v="-6517.1959308192036"/>
    <n v="-540637.59304599999"/>
    <n v="-174506.41619505611"/>
    <n v="-34901.283239011209"/>
    <n v="-70.667759441422135"/>
    <n v="-0.11141423476310218"/>
    <s v="Fase de Degradação"/>
  </r>
  <r>
    <n v="79"/>
    <x v="78"/>
    <s v="CAB109-CABINE DE TESTE"/>
    <n v="10006180"/>
    <s v="BR01-MOT-MON-LINHA3"/>
    <n v="4022"/>
    <s v="-"/>
    <n v="2000"/>
    <n v="43128.89"/>
    <n v="0"/>
    <n v="112318.2499999999"/>
    <n v="1.1100000000000001"/>
    <n v="2753"/>
    <n v="85032"/>
    <n v="101"/>
    <n v="4"/>
    <n v="8"/>
    <n v="12"/>
    <n v="16"/>
    <n v="20"/>
    <n v="24"/>
    <n v="28"/>
    <n v="362.52"/>
    <n v="770.54"/>
    <n v="0.1"/>
    <n v="1.4548000000000001"/>
    <n v="0.8"/>
    <n v="-43128.89"/>
    <n v="-11766.216"/>
    <n v="-12942.837600000001"/>
    <n v="-14237.121360000003"/>
    <n v="-15660.833496000003"/>
    <n v="-17226.916845600004"/>
    <n v="-18949.608530160007"/>
    <n v="-20844.569383176011"/>
    <n v="-105872.799172"/>
    <n v="-2353.2431999999994"/>
    <n v="-2588.5675199999996"/>
    <n v="-2847.4242719999997"/>
    <n v="-3132.1666992"/>
    <n v="-3445.3833691200002"/>
    <n v="-3789.9217060320007"/>
    <n v="-4168.9138766352016"/>
    <n v="-45972.063171999995"/>
    <n v="-111628.10321493604"/>
    <n v="-22325.6206429872"/>
    <n v="-2.3671880857215957"/>
    <n v="-2.2358793800057019E-2"/>
    <s v="Fase de Degradação"/>
  </r>
  <r>
    <n v="80"/>
    <x v="79"/>
    <s v="CAB110-CABINE DE ESTANQUEIDADE"/>
    <n v="10001830"/>
    <s v="BR01-MOT-MON-LINHA3"/>
    <n v="4022"/>
    <n v="31765"/>
    <n v="2001"/>
    <n v="43128.89"/>
    <n v="0"/>
    <n v="109194.49999999996"/>
    <n v="1.97"/>
    <n v="2753"/>
    <n v="193437"/>
    <n v="163"/>
    <n v="5"/>
    <n v="10"/>
    <n v="15"/>
    <n v="20"/>
    <n v="25"/>
    <n v="30"/>
    <n v="35"/>
    <n v="353.87"/>
    <n v="743.13527777777801"/>
    <n v="0.1"/>
    <n v="1.3951"/>
    <n v="0.8"/>
    <n v="-43128.89"/>
    <n v="-11755.670666666672"/>
    <n v="-12931.237733333341"/>
    <n v="-14224.361506666675"/>
    <n v="-15646.797657333344"/>
    <n v="-17211.477423066677"/>
    <n v="-18932.625165373349"/>
    <n v="-20825.887681910688"/>
    <n v="-103298.00443900001"/>
    <n v="-2351.1341333333339"/>
    <n v="-2586.2475466666674"/>
    <n v="-2844.8723013333342"/>
    <n v="-3129.3595314666682"/>
    <n v="-3442.2954846133348"/>
    <n v="-3786.525033074669"/>
    <n v="-4165.1775363821371"/>
    <n v="-43450.953772333305"/>
    <n v="-111528.05783435074"/>
    <n v="-22305.611566870142"/>
    <n v="-2.0107940245027738"/>
    <n v="-1.9465952274907661E-2"/>
    <s v="Fase de Degradação"/>
  </r>
  <r>
    <n v="81"/>
    <x v="80"/>
    <s v="CAB111-CABINE DE MONTAGEM"/>
    <n v="10003433"/>
    <s v="BR01-MOT-MON-LINHA3"/>
    <n v="4022"/>
    <m/>
    <n v="2003"/>
    <n v="43128.89"/>
    <n v="0"/>
    <n v="77727.95"/>
    <n v="0.92"/>
    <n v="2753"/>
    <n v="141712"/>
    <n v="123"/>
    <n v="3"/>
    <n v="6"/>
    <n v="9"/>
    <n v="12"/>
    <n v="15"/>
    <n v="18"/>
    <n v="21"/>
    <n v="388.14"/>
    <n v="331.92"/>
    <n v="0.1"/>
    <n v="1.1931"/>
    <n v="0.8"/>
    <n v="-43128.89"/>
    <n v="-5662.2060000000001"/>
    <n v="-6228.4266000000007"/>
    <n v="-6851.2692600000019"/>
    <n v="-7536.3961860000018"/>
    <n v="-8290.0358046000038"/>
    <n v="-9119.0393850600049"/>
    <n v="-10030.943323566005"/>
    <n v="-94585.968659000006"/>
    <n v="-1132.4411999999998"/>
    <n v="-1245.6853199999998"/>
    <n v="-1370.2538520000001"/>
    <n v="-1507.2792372000001"/>
    <n v="-1658.0071609200004"/>
    <n v="-1823.8078770120005"/>
    <n v="-2006.1886647132005"/>
    <n v="-65760.192659000022"/>
    <n v="-53718.316559226012"/>
    <n v="-10743.663311845201"/>
    <n v="-7.3730450588027416"/>
    <n v="-7.7950727400000946E-2"/>
    <s v="Confiabilidade em Crescimento"/>
  </r>
  <r>
    <n v="82"/>
    <x v="81"/>
    <s v="CAB112-CABINE DE MONTAGEM"/>
    <n v="10000244"/>
    <s v="BR01-MOT-MON-LINHA3"/>
    <n v="4022"/>
    <m/>
    <n v="2000"/>
    <n v="43128.89"/>
    <n v="0"/>
    <n v="106169.36000000006"/>
    <n v="1.34"/>
    <n v="2753"/>
    <n v="147425"/>
    <n v="114"/>
    <n v="3"/>
    <n v="6"/>
    <n v="9"/>
    <n v="12"/>
    <n v="15"/>
    <n v="18"/>
    <n v="21"/>
    <n v="309.20999999999998"/>
    <n v="779.38"/>
    <n v="0.1"/>
    <n v="1.4548000000000001"/>
    <n v="0.8"/>
    <n v="-43128.89"/>
    <n v="-11308.208999999999"/>
    <n v="-12439.0299"/>
    <n v="-13682.932890000002"/>
    <n v="-15051.226179000003"/>
    <n v="-16556.348796900005"/>
    <n v="-18211.983676590007"/>
    <n v="-20033.18204424901"/>
    <n v="-105872.799172"/>
    <n v="-2261.6417999999994"/>
    <n v="-2487.8059799999992"/>
    <n v="-2736.5865779999999"/>
    <n v="-3010.2452358"/>
    <n v="-3311.2697593800003"/>
    <n v="-3642.3967353180005"/>
    <n v="-4006.6364088498012"/>
    <n v="-48303.735172000001"/>
    <n v="-107282.91248673903"/>
    <n v="-21456.582497347801"/>
    <n v="-2.8637813118012545"/>
    <n v="-2.7049264156592111E-2"/>
    <s v="Fase de Degradação"/>
  </r>
  <r>
    <n v="83"/>
    <x v="82"/>
    <s v="CAB114-CABINE DE MONTAGEM"/>
    <n v="10003420"/>
    <s v="BR01-MOT-MON-LINHA3"/>
    <n v="4022"/>
    <n v="20343"/>
    <n v="2003"/>
    <n v="43128.89"/>
    <n v="0"/>
    <n v="229737.41999999984"/>
    <n v="1.34"/>
    <n v="2753"/>
    <n v="168049"/>
    <n v="312"/>
    <n v="7"/>
    <n v="14"/>
    <n v="21"/>
    <n v="28"/>
    <n v="35"/>
    <n v="42"/>
    <n v="49"/>
    <n v="456.74"/>
    <n v="754.87"/>
    <n v="0.1"/>
    <n v="1.1931"/>
    <n v="0.8"/>
    <n v="-43128.89"/>
    <n v="-13481.182000000003"/>
    <n v="-14829.300200000003"/>
    <n v="-16312.230220000007"/>
    <n v="-17943.453242000007"/>
    <n v="-19737.798566200006"/>
    <n v="-21711.57842282001"/>
    <n v="-23882.736265102016"/>
    <n v="-94585.968659000006"/>
    <n v="-2696.2363999999998"/>
    <n v="-2965.86004"/>
    <n v="-3262.4460440000007"/>
    <n v="-3588.6906484000006"/>
    <n v="-3947.5597132400003"/>
    <n v="-4342.3156845640015"/>
    <n v="-4776.5472530204024"/>
    <n v="-25954.496658999997"/>
    <n v="-127898.27891612204"/>
    <n v="-25579.655783224403"/>
    <n v="1.1046649248425187"/>
    <n v="1.1678951333945113E-2"/>
    <s v="Fase de Degradação"/>
  </r>
  <r>
    <n v="84"/>
    <x v="83"/>
    <s v="CAB115-CABINE DE TESTE"/>
    <n v="10004021"/>
    <s v="BR01-MOT-MON-LINHA3"/>
    <n v="4022"/>
    <n v="20028"/>
    <n v="1994"/>
    <n v="92332.73"/>
    <n v="0"/>
    <n v="177850.68000000005"/>
    <n v="1.1100000000000001"/>
    <n v="2753"/>
    <n v="141297"/>
    <n v="312"/>
    <n v="7"/>
    <n v="14"/>
    <n v="21"/>
    <n v="28"/>
    <n v="35"/>
    <n v="42"/>
    <n v="49"/>
    <n v="423.74"/>
    <n v="956.95"/>
    <n v="0.1"/>
    <n v="1.8354692307692306"/>
    <n v="0.8"/>
    <n v="-92332.73"/>
    <n v="-15894.538000000004"/>
    <n v="-17483.991800000003"/>
    <n v="-19232.390980000007"/>
    <n v="-21155.630078000009"/>
    <n v="-23271.193085800012"/>
    <n v="-25598.312394380016"/>
    <n v="-28158.143633818021"/>
    <n v="-261806.61490792304"/>
    <n v="-3178.9076"/>
    <n v="-3496.7983599999998"/>
    <n v="-3846.4781960000005"/>
    <n v="-4231.1260156000008"/>
    <n v="-4654.238617160001"/>
    <n v="-5119.6624788760018"/>
    <n v="-5631.6287267636026"/>
    <n v="-180888.96690792305"/>
    <n v="-150794.19997199808"/>
    <n v="-30158.839994399608"/>
    <n v="-20.167322132903511"/>
    <n v="-7.7031369661902258E-2"/>
    <s v="Fase de Degradação"/>
  </r>
  <r>
    <n v="85"/>
    <x v="84"/>
    <s v="CAB116-CABINE DE TESTE"/>
    <n v="10006183"/>
    <s v="BR01-MOT-MON-LINHA3"/>
    <n v="4022"/>
    <n v="20383"/>
    <n v="2001"/>
    <n v="133650.03"/>
    <n v="0"/>
    <n v="113622.52000000002"/>
    <n v="1.18"/>
    <n v="2753"/>
    <n v="84636"/>
    <n v="156"/>
    <n v="7"/>
    <n v="14"/>
    <n v="21"/>
    <n v="28"/>
    <n v="35"/>
    <n v="42"/>
    <n v="49"/>
    <n v="460.32"/>
    <n v="1022.92"/>
    <n v="0.1"/>
    <n v="1.3951"/>
    <n v="0.8"/>
    <n v="-133650.03"/>
    <n v="-17047.008000000002"/>
    <n v="-18751.7088"/>
    <n v="-20626.879680000005"/>
    <n v="-22689.567648000004"/>
    <n v="-24958.524412800005"/>
    <n v="-27454.376854080012"/>
    <n v="-30199.814539488016"/>
    <n v="-320105.18685300002"/>
    <n v="-3409.4015999999997"/>
    <n v="-3750.3417599999993"/>
    <n v="-4125.3759360000004"/>
    <n v="-4537.9135295999995"/>
    <n v="-4991.7048825599995"/>
    <n v="-5490.8753708160011"/>
    <n v="-6039.9629078976022"/>
    <n v="-233320.41885299998"/>
    <n v="-161727.87993436804"/>
    <n v="-32345.575986873602"/>
    <n v="-27.24612612935794"/>
    <n v="-8.5116165711710295E-2"/>
    <s v="Fase de Degradação"/>
  </r>
  <r>
    <n v="86"/>
    <x v="85"/>
    <s v="CAB117-CABINE DE REGULAGEM"/>
    <n v="10004567"/>
    <s v="BR01-MOT-MON-LINHA2"/>
    <n v="4026"/>
    <n v="36403"/>
    <n v="2009"/>
    <n v="216216.11"/>
    <n v="11815"/>
    <n v="473760.06999999995"/>
    <n v="1.1599999999999999"/>
    <n v="2994"/>
    <n v="142214"/>
    <n v="378"/>
    <n v="9"/>
    <n v="18"/>
    <n v="27"/>
    <n v="36"/>
    <n v="45"/>
    <n v="54"/>
    <n v="63"/>
    <n v="517.37"/>
    <n v="1892.31"/>
    <n v="0.1"/>
    <n v="0.83220000000000005"/>
    <n v="0.8"/>
    <n v="-216216.11"/>
    <n v="-30100.455000000005"/>
    <n v="-33110.500500000009"/>
    <n v="-36421.550550000014"/>
    <n v="-40063.705605000017"/>
    <n v="-44070.076165500017"/>
    <n v="-48477.083782050031"/>
    <n v="-53324.792160255041"/>
    <n v="-396151.15674199996"/>
    <n v="-6020.0909999999994"/>
    <n v="-6622.1001000000006"/>
    <n v="-7284.3101100000013"/>
    <n v="-8012.7411210000018"/>
    <n v="-8814.0152331000008"/>
    <n v="-9695.4167564100044"/>
    <n v="-10664.958432051006"/>
    <n v="-254727.47674199991"/>
    <n v="-285568.16376280511"/>
    <n v="-57113.632752561018"/>
    <n v="-25.644517961679409"/>
    <n v="-6.2859424826989127E-2"/>
    <s v="Fase de Degradação"/>
  </r>
  <r>
    <n v="87"/>
    <x v="86"/>
    <s v="CAB118-CABINE DE REGULAGEM"/>
    <n v="10004568"/>
    <s v="BR01-MOT-MON-LINHA2"/>
    <n v="4026"/>
    <n v="36401"/>
    <n v="2009"/>
    <n v="221090.19"/>
    <n v="13108"/>
    <n v="310092.51000000018"/>
    <n v="0.99"/>
    <n v="2994"/>
    <n v="144014"/>
    <n v="289"/>
    <n v="6"/>
    <n v="12"/>
    <n v="18"/>
    <n v="24"/>
    <n v="30"/>
    <n v="36"/>
    <n v="42"/>
    <n v="503.21"/>
    <n v="717.25"/>
    <n v="0.1"/>
    <n v="0.83220000000000005"/>
    <n v="0.8"/>
    <n v="-221090.19"/>
    <n v="-12788.886"/>
    <n v="-14067.774600000002"/>
    <n v="-15474.552060000005"/>
    <n v="-17022.007266000004"/>
    <n v="-18724.207992600008"/>
    <n v="-20596.62879186001"/>
    <n v="-22656.291671046016"/>
    <n v="-405081.44611800002"/>
    <n v="-2557.7771999999995"/>
    <n v="-2813.55492"/>
    <n v="-3094.9104120000002"/>
    <n v="-3404.4014532000001"/>
    <n v="-3744.8415985200008"/>
    <n v="-4119.3257583720015"/>
    <n v="-4531.2583342092021"/>
    <n v="-353082.39011800004"/>
    <n v="-121330.34838150603"/>
    <n v="-24266.069676301202"/>
    <n v="-45.875023916113598"/>
    <n v="-0.10969914315620748"/>
    <s v="Confiabilidade em Crescimento"/>
  </r>
  <r>
    <n v="88"/>
    <x v="87"/>
    <s v="CAB119-CABINE DE REGULAGEM"/>
    <n v="10004569"/>
    <s v="BR01-MOT-MON-LINHA2"/>
    <n v="4026"/>
    <n v="36400"/>
    <n v="2009"/>
    <n v="233912.15"/>
    <n v="13108"/>
    <n v="531143.42999999993"/>
    <n v="0.99"/>
    <n v="2994"/>
    <n v="142202"/>
    <n v="320"/>
    <n v="7"/>
    <n v="14"/>
    <n v="21"/>
    <n v="28"/>
    <n v="35"/>
    <n v="42"/>
    <n v="49"/>
    <n v="347.11"/>
    <n v="1234.2"/>
    <n v="0.1"/>
    <n v="0.83220000000000005"/>
    <n v="0.8"/>
    <n v="-233912.15"/>
    <n v="-18964.187000000005"/>
    <n v="-20860.605700000004"/>
    <n v="-22946.666270000009"/>
    <n v="-25241.332897000011"/>
    <n v="-27765.466186700014"/>
    <n v="-30542.012805370017"/>
    <n v="-33596.214085907028"/>
    <n v="-428573.84123000002"/>
    <n v="-3792.8374000000003"/>
    <n v="-4172.1211400000002"/>
    <n v="-4589.333254000001"/>
    <n v="-5048.2665794000013"/>
    <n v="-5553.0932373400019"/>
    <n v="-6108.4025610740018"/>
    <n v="-6719.2428171814045"/>
    <n v="-345136.88922999997"/>
    <n v="-179916.4849449771"/>
    <n v="-35983.296988995411"/>
    <n v="-42.535521896288337"/>
    <n v="-9.6303533280505685E-2"/>
    <s v="Confiabilidade em Crescimento"/>
  </r>
  <r>
    <n v="89"/>
    <x v="88"/>
    <s v="CAB120-CABINE DE REGULAGEM"/>
    <n v="10005906"/>
    <s v="BR01-MOT-MON-LINHA2"/>
    <n v="4026"/>
    <n v="36402"/>
    <n v="2009"/>
    <n v="217489.28"/>
    <n v="13108"/>
    <n v="268944.67999999993"/>
    <n v="1.37"/>
    <n v="2994"/>
    <n v="100949"/>
    <n v="177"/>
    <n v="8"/>
    <n v="16"/>
    <n v="24"/>
    <n v="32"/>
    <n v="40"/>
    <n v="48"/>
    <n v="56"/>
    <n v="569.91999999999996"/>
    <n v="1164.7"/>
    <n v="0.1"/>
    <n v="0.83220000000000005"/>
    <n v="0.8"/>
    <n v="-217489.28"/>
    <n v="-20389.336000000003"/>
    <n v="-22428.269600000007"/>
    <n v="-24671.096560000009"/>
    <n v="-27138.20621600001"/>
    <n v="-29852.026837600013"/>
    <n v="-32837.229521360015"/>
    <n v="-36120.952473496029"/>
    <n v="-398483.85881599999"/>
    <n v="-4077.8671999999997"/>
    <n v="-4485.6539200000007"/>
    <n v="-4934.2193120000011"/>
    <n v="-5427.6412432000006"/>
    <n v="-5970.4053675200012"/>
    <n v="-6567.4459042720018"/>
    <n v="-7224.1904946992045"/>
    <n v="-307791.602816"/>
    <n v="-193437.1172084561"/>
    <n v="-38687.423441691208"/>
    <n v="-36.691737864176446"/>
    <n v="-8.914592715639523E-2"/>
    <s v="Fase de Degradação"/>
  </r>
  <r>
    <n v="90"/>
    <x v="89"/>
    <s v="CAB121-CABINE DE TESTE"/>
    <n v="10005907"/>
    <s v="BR01-MOT-MON-LINHA1"/>
    <n v="4023"/>
    <n v="37313"/>
    <n v="2008"/>
    <n v="154287.62"/>
    <n v="9522"/>
    <n v="180353.57000000004"/>
    <n v="0.99"/>
    <n v="4547"/>
    <n v="92832"/>
    <n v="194"/>
    <n v="10"/>
    <n v="20"/>
    <n v="30"/>
    <n v="40"/>
    <n v="50"/>
    <n v="60"/>
    <n v="70"/>
    <n v="489.23"/>
    <n v="931.69333333333361"/>
    <n v="0.1"/>
    <n v="0.89119999999999999"/>
    <n v="0.8"/>
    <n v="-154287.62"/>
    <n v="-17679.882000000005"/>
    <n v="-19447.870200000005"/>
    <n v="-21392.657220000008"/>
    <n v="-23531.922942000012"/>
    <n v="-25885.115236200014"/>
    <n v="-28473.626759820017"/>
    <n v="-31320.989435802025"/>
    <n v="-291788.74694400001"/>
    <n v="-3535.9764"/>
    <n v="-3889.57404"/>
    <n v="-4278.5314440000011"/>
    <n v="-4706.3845884000011"/>
    <n v="-5177.0230472400017"/>
    <n v="-5694.7253519640026"/>
    <n v="-6264.1978871604033"/>
    <n v="-211304.07494399999"/>
    <n v="-167732.06379382208"/>
    <n v="-33546.412758764411"/>
    <n v="-23.875013701277481"/>
    <n v="-7.9237179368563185E-2"/>
    <s v="Confiabilidade em Crescimento"/>
  </r>
  <r>
    <n v="91"/>
    <x v="90"/>
    <s v="CAB122 CABINE DE REGULAGEM E TESTE"/>
    <n v="10004516"/>
    <s v="BR01-MOT-MON-LINHA5"/>
    <n v="4032"/>
    <n v="35245"/>
    <n v="2008"/>
    <n v="66741.66"/>
    <n v="5398"/>
    <n v="151255.24999999991"/>
    <n v="1.01"/>
    <n v="3159"/>
    <n v="144753"/>
    <n v="120"/>
    <n v="3"/>
    <n v="6"/>
    <n v="9"/>
    <n v="12"/>
    <n v="15"/>
    <n v="18"/>
    <n v="21"/>
    <n v="600.88"/>
    <n v="1323.37"/>
    <n v="0.1"/>
    <n v="0.89119999999999999"/>
    <n v="0.8"/>
    <n v="-66741.66"/>
    <n v="-19451.387999999999"/>
    <n v="-21396.5268"/>
    <n v="-23536.179480000006"/>
    <n v="-25889.797428000005"/>
    <n v="-28478.777170800007"/>
    <n v="-31326.654887880013"/>
    <n v="-34459.320376668016"/>
    <n v="-126221.82739200001"/>
    <n v="-3890.277599999999"/>
    <n v="-4279.3053599999994"/>
    <n v="-4707.2358960000001"/>
    <n v="-5177.9594856000003"/>
    <n v="-5695.7554341599998"/>
    <n v="-6265.3309775760008"/>
    <n v="-6891.8640753336022"/>
    <n v="-32594.579392"/>
    <n v="-184538.64414334804"/>
    <n v="-36907.728828669598"/>
    <n v="2.2872982746683466"/>
    <n v="1.7378067727259236E-2"/>
    <s v="Fase de Vida Útil"/>
  </r>
  <r>
    <n v="92"/>
    <x v="91"/>
    <s v="CAB124-CABINE DE REGULAGEM"/>
    <n v="10006741"/>
    <s v="BR01-MOT-MON-LINHA4"/>
    <n v="4024"/>
    <n v="55737"/>
    <n v="2021"/>
    <n v="176429.67"/>
    <n v="159159"/>
    <n v="34694.160000000003"/>
    <n v="0.77"/>
    <n v="4441"/>
    <n v="7481"/>
    <n v="62"/>
    <n v="27"/>
    <n v="54"/>
    <n v="81"/>
    <n v="108"/>
    <n v="135"/>
    <n v="162"/>
    <n v="189"/>
    <n v="733.28"/>
    <n v="2590.8200000000002"/>
    <n v="0.1"/>
    <n v="0.1585"/>
    <n v="0.8"/>
    <n v="-176429.67"/>
    <n v="-55977.240000000005"/>
    <n v="-61574.964000000014"/>
    <n v="-67732.460400000025"/>
    <n v="-74505.706440000024"/>
    <n v="-81956.27708400003"/>
    <n v="-90151.904792400048"/>
    <n v="-99167.095271640064"/>
    <n v="-204393.77269500002"/>
    <n v="-11195.447999999999"/>
    <n v="-12314.9928"/>
    <n v="-13546.492080000002"/>
    <n v="-14901.141288000001"/>
    <n v="-16391.255416800002"/>
    <n v="-18030.380958480004"/>
    <n v="-19833.419054328009"/>
    <n v="-78577.732695000072"/>
    <n v="-531065.64798804035"/>
    <n v="-106213.12959760801"/>
    <n v="8.7571065279189035"/>
    <n v="2.4087580086387114E-2"/>
    <s v="Confiabilidade em Crescimento"/>
  </r>
  <r>
    <n v="93"/>
    <x v="92"/>
    <s v="CAB125-CABINE DE REGULAGEM"/>
    <n v="10006742"/>
    <s v="BR01-MOT-MON-LINHA4"/>
    <n v="4024"/>
    <n v="55738"/>
    <n v="2021"/>
    <n v="175448.4"/>
    <n v="158272"/>
    <n v="47726.37"/>
    <n v="0.68"/>
    <n v="4441"/>
    <n v="6030"/>
    <n v="42"/>
    <n v="14"/>
    <n v="28"/>
    <n v="42"/>
    <n v="56"/>
    <n v="70"/>
    <n v="84"/>
    <n v="98"/>
    <n v="589.84"/>
    <n v="1635.15"/>
    <n v="0.1"/>
    <n v="0.1585"/>
    <n v="0.8"/>
    <n v="-175448.4"/>
    <n v="-30667.516000000007"/>
    <n v="-33734.267600000014"/>
    <n v="-37107.694360000016"/>
    <n v="-40818.463796000018"/>
    <n v="-44900.310175600025"/>
    <n v="-49390.341193160035"/>
    <n v="-54329.375312476041"/>
    <n v="-203256.97140000001"/>
    <n v="-6133.5032000000001"/>
    <n v="-6746.8535200000015"/>
    <n v="-7421.5388720000019"/>
    <n v="-8163.692759200002"/>
    <n v="-8980.0620351200032"/>
    <n v="-9878.0682386320041"/>
    <n v="-10865.875062495206"/>
    <n v="-205403.43540000005"/>
    <n v="-290947.96843723615"/>
    <n v="-58189.593687447225"/>
    <n v="-18.395799521458727"/>
    <n v="-5.0883334329257374E-2"/>
    <s v="Confiabilidade em Crescimento"/>
  </r>
  <r>
    <n v="94"/>
    <x v="93"/>
    <s v="CAB126-CABINE DE REGULAGEM"/>
    <n v="10006743"/>
    <s v="BR01-MOT-MON-LINHA4"/>
    <n v="4024"/>
    <n v="55629"/>
    <n v="2021"/>
    <n v="289002.02"/>
    <n v="260711"/>
    <n v="9245.23"/>
    <n v="3.46"/>
    <n v="4441"/>
    <n v="8214"/>
    <n v="6"/>
    <n v="3"/>
    <n v="6"/>
    <n v="9"/>
    <n v="12"/>
    <n v="15"/>
    <n v="18"/>
    <n v="21"/>
    <n v="267.83999999999997"/>
    <n v="230.2"/>
    <n v="0.1"/>
    <n v="0.1585"/>
    <n v="0.8"/>
    <n v="-289002.02"/>
    <n v="-3922.5119999999997"/>
    <n v="-4314.7632000000003"/>
    <n v="-4746.239520000001"/>
    <n v="-5220.8634720000009"/>
    <n v="-5742.949819200001"/>
    <n v="-6317.2448011200022"/>
    <n v="-6948.9692812320036"/>
    <n v="-334808.84017000004"/>
    <n v="-784.50239999999974"/>
    <n v="-862.95263999999986"/>
    <n v="-949.24790399999995"/>
    <n v="-1044.1726944"/>
    <n v="-1148.5899638399999"/>
    <n v="-1263.4489602240001"/>
    <n v="-1389.7938562464003"/>
    <n v="-575550.68816999998"/>
    <n v="-37213.542093552016"/>
    <n v="-7442.7084187104001"/>
    <n v="-80.821286642165489"/>
    <n v="-0.13571552312865653"/>
    <s v="Fase de Degradação"/>
  </r>
  <r>
    <n v="95"/>
    <x v="94"/>
    <s v="CAB127-CABINE DE REGULAGEM"/>
    <n v="10006744"/>
    <s v="BR01-MOT-MON-LINHA3"/>
    <n v="4022"/>
    <n v="55742"/>
    <n v="2021"/>
    <n v="130057.95"/>
    <n v="117326"/>
    <n v="43158.84"/>
    <n v="1.49"/>
    <n v="2753"/>
    <n v="11841"/>
    <n v="53"/>
    <n v="20"/>
    <n v="40"/>
    <n v="60"/>
    <n v="80"/>
    <n v="100"/>
    <n v="120"/>
    <n v="140"/>
    <n v="671.84"/>
    <n v="1924.85"/>
    <n v="0.1"/>
    <n v="0.1585"/>
    <n v="0.8"/>
    <n v="-130057.95"/>
    <n v="-40188.5"/>
    <n v="-44207.350000000006"/>
    <n v="-48628.085000000014"/>
    <n v="-53490.893500000013"/>
    <n v="-58839.982850000022"/>
    <n v="-64723.981135000031"/>
    <n v="-71196.379248500045"/>
    <n v="-150672.135075"/>
    <n v="-8037.699999999998"/>
    <n v="-8841.4699999999993"/>
    <n v="-9725.6170000000002"/>
    <n v="-10698.1787"/>
    <n v="-11767.996570000001"/>
    <n v="-12944.796227000003"/>
    <n v="-14239.275849700005"/>
    <n v="-63402.135075000027"/>
    <n v="-381275.17173350014"/>
    <n v="-76255.034346700006"/>
    <n v="5.2888574731143088"/>
    <n v="1.9734680137360686E-2"/>
    <s v="Fase de Degradação"/>
  </r>
  <r>
    <n v="96"/>
    <x v="95"/>
    <s v="CAB128-CABINE DE REGULAGEM"/>
    <n v="10006745"/>
    <s v="BR01-MOT-MON-LINHA3"/>
    <n v="4022"/>
    <n v="55743"/>
    <n v="2021"/>
    <n v="130018.94"/>
    <n v="117292"/>
    <n v="25960.21999999999"/>
    <n v="0.87"/>
    <n v="2753"/>
    <n v="8199"/>
    <n v="53"/>
    <n v="15"/>
    <n v="30"/>
    <n v="45"/>
    <n v="60"/>
    <n v="75"/>
    <n v="90"/>
    <n v="105"/>
    <n v="503.81"/>
    <n v="1810.35"/>
    <n v="0.1"/>
    <n v="0.1585"/>
    <n v="0.8"/>
    <n v="-130018.94"/>
    <n v="-32209.485000000001"/>
    <n v="-35430.433500000006"/>
    <n v="-38973.476850000006"/>
    <n v="-42870.824535000007"/>
    <n v="-47157.906988500014"/>
    <n v="-51873.697687350024"/>
    <n v="-57061.067456085031"/>
    <n v="-150626.94199000002"/>
    <n v="-6441.896999999999"/>
    <n v="-7086.0866999999998"/>
    <n v="-7794.6953699999995"/>
    <n v="-8574.1649070000003"/>
    <n v="-9431.5813976999998"/>
    <n v="-10374.739537470003"/>
    <n v="-11412.213491217004"/>
    <n v="-103943.38199000002"/>
    <n v="-305576.89201693505"/>
    <n v="-61115.378403387003"/>
    <n v="-3.3510611966359924"/>
    <n v="-1.2507742721532059E-2"/>
    <s v="Confiabilidade em Crescimento"/>
  </r>
  <r>
    <n v="97"/>
    <x v="96"/>
    <s v="CAB129-CABINE DE REGULAGEM"/>
    <n v="10006746"/>
    <s v="BR01-MOT-MON-LINHA3"/>
    <n v="4022"/>
    <n v="55744"/>
    <n v="2021"/>
    <n v="130018.84"/>
    <n v="117292"/>
    <n v="26661.210000000003"/>
    <n v="1.51"/>
    <n v="2753"/>
    <n v="11561"/>
    <n v="51"/>
    <n v="20"/>
    <n v="40"/>
    <n v="60"/>
    <n v="80"/>
    <n v="100"/>
    <n v="120"/>
    <n v="140"/>
    <n v="570.87"/>
    <n v="1923.27"/>
    <n v="0.1"/>
    <n v="0.1585"/>
    <n v="0.8"/>
    <n v="-130018.84"/>
    <n v="-37946.304000000004"/>
    <n v="-41740.934400000006"/>
    <n v="-45915.02784000001"/>
    <n v="-50506.530624000014"/>
    <n v="-55557.183686400022"/>
    <n v="-61112.902055040031"/>
    <n v="-67224.192260544034"/>
    <n v="-150626.82614000002"/>
    <n v="-7589.2607999999991"/>
    <n v="-8348.1868799999993"/>
    <n v="-9183.0055680000005"/>
    <n v="-10101.306124800001"/>
    <n v="-11111.436737280002"/>
    <n v="-12222.580411008004"/>
    <n v="-13444.838452108805"/>
    <n v="-74737.642139999982"/>
    <n v="-360003.07486598415"/>
    <n v="-72000.614973196818"/>
    <n v="2.8690905361124663"/>
    <n v="1.0708805265566643E-2"/>
    <s v="Fase de Degradação"/>
  </r>
  <r>
    <n v="98"/>
    <x v="97"/>
    <s v="CAB131-CABINE DE TESTE DE ESTANQUIEDADE"/>
    <n v="20004430"/>
    <s v="BR01-MOT-MON-LINHA1-LMB01"/>
    <n v="4023"/>
    <n v="59264"/>
    <n v="2022"/>
    <n v="129276.19"/>
    <n v="126198"/>
    <m/>
    <m/>
    <n v="4547"/>
    <m/>
    <m/>
    <s v=""/>
    <m/>
    <m/>
    <m/>
    <m/>
    <m/>
    <m/>
    <s v="-"/>
    <s v="-"/>
    <m/>
    <n v="5.79E-2"/>
    <m/>
    <m/>
    <m/>
    <m/>
    <m/>
    <m/>
    <m/>
    <m/>
    <m/>
    <m/>
    <m/>
    <m/>
    <m/>
    <m/>
    <m/>
    <m/>
    <m/>
    <m/>
    <m/>
    <m/>
    <m/>
    <m/>
    <m/>
  </r>
  <r>
    <n v="99"/>
    <x v="98"/>
    <s v="CAB132-CABINE DE REGULAGEM"/>
    <n v="20004431"/>
    <s v="BR01-MOT-MON-LINHA1-LMB01"/>
    <n v="4023"/>
    <n v="59257"/>
    <n v="2022"/>
    <n v="339264.69"/>
    <n v="332196"/>
    <m/>
    <m/>
    <n v="4547"/>
    <m/>
    <m/>
    <s v=""/>
    <m/>
    <m/>
    <m/>
    <m/>
    <m/>
    <m/>
    <s v="-"/>
    <s v="-"/>
    <m/>
    <n v="5.79E-2"/>
    <m/>
    <m/>
    <m/>
    <m/>
    <m/>
    <m/>
    <m/>
    <m/>
    <m/>
    <m/>
    <m/>
    <m/>
    <m/>
    <m/>
    <m/>
    <m/>
    <m/>
    <m/>
    <m/>
    <m/>
    <m/>
    <m/>
    <m/>
  </r>
  <r>
    <n v="100"/>
    <x v="99"/>
    <s v="CAB133-CABINE PRÉ MONTAR PISTÃO"/>
    <n v="20004432"/>
    <s v="BR01-MOT-MON-LINHA1-LMB01"/>
    <n v="4023"/>
    <n v="59260"/>
    <n v="2022"/>
    <n v="293778.64"/>
    <n v="287250"/>
    <m/>
    <m/>
    <n v="4547"/>
    <m/>
    <m/>
    <s v=""/>
    <m/>
    <m/>
    <m/>
    <m/>
    <m/>
    <m/>
    <s v="-"/>
    <s v="-"/>
    <m/>
    <n v="5.79E-2"/>
    <m/>
    <m/>
    <m/>
    <m/>
    <m/>
    <m/>
    <m/>
    <m/>
    <m/>
    <m/>
    <m/>
    <m/>
    <m/>
    <m/>
    <m/>
    <m/>
    <m/>
    <m/>
    <m/>
    <m/>
    <m/>
    <m/>
    <m/>
  </r>
  <r>
    <n v="101"/>
    <x v="100"/>
    <s v="CAB134-CABINE PRÉ MONTAR ARRANQUE"/>
    <n v="20004433"/>
    <s v="BR01-MOT-MON-LINHA1-LMB01"/>
    <n v="4023"/>
    <n v="59262"/>
    <n v="2022"/>
    <n v="177840.39"/>
    <n v="173888"/>
    <m/>
    <m/>
    <n v="4547"/>
    <m/>
    <m/>
    <s v=""/>
    <m/>
    <m/>
    <m/>
    <m/>
    <m/>
    <m/>
    <s v="-"/>
    <s v="-"/>
    <m/>
    <n v="5.79E-2"/>
    <m/>
    <m/>
    <m/>
    <m/>
    <m/>
    <m/>
    <m/>
    <m/>
    <m/>
    <m/>
    <m/>
    <m/>
    <m/>
    <m/>
    <m/>
    <m/>
    <m/>
    <m/>
    <m/>
    <m/>
    <m/>
    <m/>
    <m/>
  </r>
  <r>
    <n v="102"/>
    <x v="101"/>
    <s v="CAB135-ESTAÇÃO MONTAGEM VIRABREQUIM"/>
    <n v="20004434"/>
    <s v="BR01-MOT-MON-LINHA1-LMB01"/>
    <n v="4023"/>
    <n v="59259"/>
    <n v="2022"/>
    <n v="537652.19999999995"/>
    <n v="524947.91"/>
    <m/>
    <m/>
    <n v="4547"/>
    <m/>
    <m/>
    <s v=""/>
    <m/>
    <m/>
    <m/>
    <m/>
    <m/>
    <m/>
    <s v="-"/>
    <s v="-"/>
    <m/>
    <n v="5.79E-2"/>
    <m/>
    <m/>
    <m/>
    <m/>
    <m/>
    <m/>
    <m/>
    <m/>
    <m/>
    <m/>
    <m/>
    <m/>
    <m/>
    <m/>
    <m/>
    <m/>
    <m/>
    <m/>
    <m/>
    <m/>
    <m/>
    <m/>
    <m/>
  </r>
  <r>
    <n v="103"/>
    <x v="102"/>
    <s v="CAB136-ESTAÇÃO PARAFUSAMENTO CILINDROS"/>
    <n v="20004435"/>
    <s v="BR01-MOT-MON-LINHA1-LMB01"/>
    <n v="4023"/>
    <n v="59263"/>
    <n v="2022"/>
    <n v="183312.46"/>
    <n v="179238"/>
    <m/>
    <m/>
    <n v="4547"/>
    <m/>
    <m/>
    <s v=""/>
    <m/>
    <m/>
    <m/>
    <m/>
    <m/>
    <m/>
    <s v="-"/>
    <s v="-"/>
    <m/>
    <n v="5.79E-2"/>
    <m/>
    <m/>
    <m/>
    <m/>
    <m/>
    <m/>
    <m/>
    <m/>
    <m/>
    <m/>
    <m/>
    <m/>
    <m/>
    <m/>
    <m/>
    <m/>
    <m/>
    <m/>
    <m/>
    <m/>
    <m/>
    <m/>
    <m/>
  </r>
  <r>
    <n v="104"/>
    <x v="103"/>
    <s v="CAR006-CARRO TRANSPORTADOR"/>
    <n v="10006423"/>
    <s v="BR01-MOT-VIR-TRTTRM-CAR006"/>
    <n v="3342"/>
    <n v="46814"/>
    <n v="2016"/>
    <n v="254328.7"/>
    <n v="95581"/>
    <n v="116440.29000000004"/>
    <n v="1.17"/>
    <n v="4800"/>
    <n v="60425"/>
    <n v="158"/>
    <n v="15"/>
    <n v="30"/>
    <n v="45"/>
    <n v="60"/>
    <n v="75"/>
    <n v="90"/>
    <n v="105"/>
    <n v="382"/>
    <n v="762.76"/>
    <n v="0.1"/>
    <n v="0.37669999999999998"/>
    <n v="0.8"/>
    <n v="-254328.7"/>
    <n v="-16371.432000000001"/>
    <n v="-18008.575200000003"/>
    <n v="-19809.432720000004"/>
    <n v="-21790.375992000005"/>
    <n v="-23969.413591200006"/>
    <n v="-26366.354950320012"/>
    <n v="-29002.990445352018"/>
    <n v="-350134.32129000005"/>
    <n v="-3274.2863999999995"/>
    <n v="-3601.7150399999996"/>
    <n v="-3961.886544"/>
    <n v="-4358.0751983999999"/>
    <n v="-4793.88271824"/>
    <n v="-5273.2709900640011"/>
    <n v="-5800.5980890704022"/>
    <n v="-362369.84929000004"/>
    <n v="-155318.57489887206"/>
    <n v="-31063.714979774402"/>
    <n v="-45.922923052986064"/>
    <n v="-0.10303195977215866"/>
    <s v="Fase de Degradação"/>
  </r>
  <r>
    <n v="105"/>
    <x v="104"/>
    <s v="CAR007-CARRO TRANSPORTADOR"/>
    <n v="20004225"/>
    <s v="BR01-MOT-VIR-TRTTRM-CAR007"/>
    <n v="3342"/>
    <n v="59292"/>
    <n v="2023"/>
    <n v="77707.570000000007"/>
    <n v="76268"/>
    <n v="40165.06"/>
    <n v="1.01"/>
    <n v="4800"/>
    <n v="6526"/>
    <n v="22"/>
    <n v="16"/>
    <n v="32"/>
    <n v="48"/>
    <n v="64"/>
    <n v="80"/>
    <n v="96"/>
    <n v="112"/>
    <n v="955.81"/>
    <n v="3103.88"/>
    <n v="0.1"/>
    <n v="0"/>
    <n v="0.8"/>
    <n v="-77707.570000000007"/>
    <n v="-57793.472000000002"/>
    <n v="-63572.819200000005"/>
    <n v="-69930.101120000021"/>
    <n v="-76923.11123200001"/>
    <n v="-84615.422355200019"/>
    <n v="-93076.964590720032"/>
    <n v="-102384.66104979206"/>
    <n v="-77707.570000000007"/>
    <n v="-11558.694399999998"/>
    <n v="-12714.563839999999"/>
    <n v="-13986.020224000002"/>
    <n v="-15384.622246399998"/>
    <n v="-16923.084471040002"/>
    <n v="-18615.392918144003"/>
    <n v="-20476.93220995841"/>
    <n v="140245.74199999997"/>
    <n v="-548296.55154771218"/>
    <n v="-109659.3103095424"/>
    <n v="40.66595303402427"/>
    <n v="0.26410652699012099"/>
    <s v="Fase de Vida Útil"/>
  </r>
  <r>
    <n v="106"/>
    <x v="105"/>
    <s v="CAR010-CARRO TRANSPORTADOR"/>
    <n v="10004431"/>
    <s v="BR01-CIL-CRO-LINHA2-CAR010"/>
    <n v="4552"/>
    <n v="34162"/>
    <n v="2006"/>
    <n v="85299.82"/>
    <n v="1018"/>
    <n v="749393.37000000069"/>
    <n v="1.65"/>
    <n v="3896"/>
    <n v="148643"/>
    <n v="957"/>
    <n v="42"/>
    <n v="84"/>
    <n v="126"/>
    <n v="168"/>
    <n v="210"/>
    <n v="252"/>
    <n v="294"/>
    <n v="469.66"/>
    <n v="2078.1799999999998"/>
    <n v="0.1"/>
    <n v="0.96719999999999995"/>
    <n v="0.8"/>
    <n v="-85299.82"/>
    <n v="-49130.268000000004"/>
    <n v="-54043.294800000003"/>
    <n v="-59447.624280000018"/>
    <n v="-65392.386708000013"/>
    <n v="-71931.625378800018"/>
    <n v="-79124.787916680027"/>
    <n v="-87037.266708348048"/>
    <n v="-167801.80590400001"/>
    <n v="-9826.0535999999993"/>
    <n v="-10808.658959999999"/>
    <n v="-11889.524856000002"/>
    <n v="-13078.477341599999"/>
    <n v="-14386.32507576"/>
    <n v="-15824.957583336001"/>
    <n v="-17407.453341669607"/>
    <n v="81297.922095999907"/>
    <n v="-466107.25379182817"/>
    <n v="-93221.450758365609"/>
    <n v="29.152285304208931"/>
    <n v="0.17268285049910839"/>
    <s v="Fase de Degradação"/>
  </r>
  <r>
    <n v="107"/>
    <x v="106"/>
    <s v="CAR011-CARRO TRANSPORTADOR"/>
    <n v="10004432"/>
    <s v="BR01-CIL-CRO-LINHA2-CAR011"/>
    <n v="4552"/>
    <n v="34161"/>
    <n v="2006"/>
    <n v="85299.81"/>
    <n v="1018"/>
    <n v="476152.33000000007"/>
    <n v="1.58"/>
    <n v="3896"/>
    <n v="147095"/>
    <n v="514"/>
    <n v="22"/>
    <n v="44"/>
    <n v="66"/>
    <n v="88"/>
    <n v="110"/>
    <n v="132"/>
    <n v="154"/>
    <n v="434.45"/>
    <n v="1339.47"/>
    <n v="0.1"/>
    <n v="0.96719999999999995"/>
    <n v="0.8"/>
    <n v="-85299.81"/>
    <n v="-28194.694000000003"/>
    <n v="-31014.163400000005"/>
    <n v="-34115.579740000008"/>
    <n v="-37527.137714000011"/>
    <n v="-41279.851485400017"/>
    <n v="-45407.836633940024"/>
    <n v="-49948.620297334033"/>
    <n v="-167801.78623200001"/>
    <n v="-5638.938799999999"/>
    <n v="-6202.8326799999995"/>
    <n v="-6823.1159480000006"/>
    <n v="-7505.427542800001"/>
    <n v="-8255.9702970800008"/>
    <n v="-9081.5673267880029"/>
    <n v="-9989.7240594668037"/>
    <n v="-25283.162232000002"/>
    <n v="-267487.88327067409"/>
    <n v="-53497.576654134813"/>
    <n v="6.452931483505612"/>
    <n v="3.8223786604241361E-2"/>
    <s v="Fase de Degradação"/>
  </r>
  <r>
    <n v="108"/>
    <x v="107"/>
    <s v="CAR012-CARRO TRANSPORTADOR"/>
    <n v="10004433"/>
    <s v="BR01-CIL-CRO-LINHA2-CAR012"/>
    <n v="4552"/>
    <n v="34159"/>
    <n v="2006"/>
    <n v="85299.81"/>
    <n v="1018"/>
    <n v="471635.50999999995"/>
    <n v="1.45"/>
    <n v="3896"/>
    <n v="149365"/>
    <n v="554"/>
    <n v="21"/>
    <n v="42"/>
    <n v="63"/>
    <n v="84"/>
    <n v="105"/>
    <n v="126"/>
    <n v="147"/>
    <n v="410.8"/>
    <n v="716.95"/>
    <n v="0.1"/>
    <n v="0.96719999999999995"/>
    <n v="0.8"/>
    <n v="-85299.81"/>
    <n v="-18953.220000000005"/>
    <n v="-20848.542000000009"/>
    <n v="-22933.396200000014"/>
    <n v="-25226.735820000013"/>
    <n v="-27749.409402000016"/>
    <n v="-30524.350342200021"/>
    <n v="-33576.785376420026"/>
    <n v="-167801.78623200001"/>
    <n v="-3790.6440000000002"/>
    <n v="-4169.7084000000004"/>
    <n v="-4586.6792400000013"/>
    <n v="-5045.3471640000016"/>
    <n v="-5549.881880400002"/>
    <n v="-6104.8700684400028"/>
    <n v="-6715.3570752840042"/>
    <n v="-72330.666231999989"/>
    <n v="-179812.43914062012"/>
    <n v="-35962.487828124009"/>
    <n v="-3.5671192742148468"/>
    <n v="-2.1129746422689728E-2"/>
    <s v="Fase de Degradação"/>
  </r>
  <r>
    <n v="109"/>
    <x v="108"/>
    <s v="CAR013-CARRO TRANSPORTADOR"/>
    <n v="10004434"/>
    <s v="BR01-CIL-CRO-LINHA2-CAR013"/>
    <n v="4552"/>
    <n v="34163"/>
    <n v="2006"/>
    <n v="72737.7"/>
    <n v="868"/>
    <n v="422651.08999999985"/>
    <n v="1.24"/>
    <n v="3896"/>
    <n v="147608"/>
    <n v="409"/>
    <n v="14"/>
    <n v="28"/>
    <n v="42"/>
    <n v="56"/>
    <n v="70"/>
    <n v="84"/>
    <n v="98"/>
    <n v="383.56"/>
    <n v="1070.5999999999999"/>
    <n v="0.1"/>
    <n v="0.96719999999999995"/>
    <n v="0.8"/>
    <n v="-72737.7"/>
    <n v="-20038.744000000002"/>
    <n v="-22042.618400000003"/>
    <n v="-24246.88024000001"/>
    <n v="-26671.568264000009"/>
    <n v="-29338.72509040001"/>
    <n v="-32272.597599440018"/>
    <n v="-35499.857359384026"/>
    <n v="-143089.60344000001"/>
    <n v="-4007.7487999999994"/>
    <n v="-4408.5236799999993"/>
    <n v="-4849.376048000001"/>
    <n v="-5334.3136528000005"/>
    <n v="-5867.7450180800006"/>
    <n v="-6454.5195198880019"/>
    <n v="-7099.9714718768037"/>
    <n v="-41942.179440000007"/>
    <n v="-190110.99095322407"/>
    <n v="-38022.198190644805"/>
    <n v="1.1615984746541792"/>
    <n v="8.0690317628017549E-3"/>
    <s v="Fase de Degradação"/>
  </r>
  <r>
    <n v="110"/>
    <x v="109"/>
    <s v="CAR014-CARRO TRANSPORTADOR"/>
    <n v="10004435"/>
    <s v="BR01-CIL-CRO-LINHA2-CAR014"/>
    <n v="4552"/>
    <n v="34164"/>
    <n v="2006"/>
    <n v="72737.7"/>
    <n v="868"/>
    <n v="423356.85"/>
    <n v="1.27"/>
    <n v="3896"/>
    <n v="147191"/>
    <n v="418"/>
    <n v="15"/>
    <n v="30"/>
    <n v="45"/>
    <n v="60"/>
    <n v="75"/>
    <n v="90"/>
    <n v="105"/>
    <n v="527.91"/>
    <n v="1266.53"/>
    <n v="0.1"/>
    <n v="0.96719999999999995"/>
    <n v="0.8"/>
    <n v="-72737.7"/>
    <n v="-25428.711000000003"/>
    <n v="-27971.582100000007"/>
    <n v="-30768.740310000012"/>
    <n v="-33845.614341000015"/>
    <n v="-37230.175775100019"/>
    <n v="-40953.193352610026"/>
    <n v="-45048.512687871029"/>
    <n v="-143089.60344000001"/>
    <n v="-5085.7421999999997"/>
    <n v="-5594.3164200000001"/>
    <n v="-6153.7480620000006"/>
    <n v="-6769.1228682000019"/>
    <n v="-7446.0351550200021"/>
    <n v="-8190.6386705220029"/>
    <n v="-9009.7025375742032"/>
    <n v="-14502.347439999954"/>
    <n v="-241246.5295665811"/>
    <n v="-48249.30591331621"/>
    <n v="7.0056600304664078"/>
    <n v="4.8664744779432868E-2"/>
    <s v="Fase de Degradação"/>
  </r>
  <r>
    <n v="111"/>
    <x v="110"/>
    <s v="CAR018-CARRO TRANSPORTADOR"/>
    <n v="10005996"/>
    <s v="BR01-CIL-CRO-LINHA3-CAR018"/>
    <n v="4552"/>
    <n v="41313"/>
    <n v="2012"/>
    <n v="92289.61"/>
    <n v="234"/>
    <n v="239091.45000000004"/>
    <n v="1.28"/>
    <n v="3896"/>
    <n v="93653"/>
    <n v="323"/>
    <n v="18"/>
    <n v="36"/>
    <n v="54"/>
    <n v="72"/>
    <n v="90"/>
    <n v="108"/>
    <n v="126"/>
    <n v="398.2"/>
    <n v="1271.3"/>
    <n v="0.1"/>
    <n v="0.66500000000000004"/>
    <n v="0.8"/>
    <n v="-92289.61"/>
    <n v="-24665.52"/>
    <n v="-27132.072"/>
    <n v="-29845.279200000004"/>
    <n v="-32829.807120000005"/>
    <n v="-36112.787832000009"/>
    <n v="-39724.066615200012"/>
    <n v="-43696.473276720018"/>
    <n v="-153662.20065000001"/>
    <n v="-4933.1039999999994"/>
    <n v="-5426.4143999999987"/>
    <n v="-5969.05584"/>
    <n v="-6565.9614239999992"/>
    <n v="-7222.5575663999998"/>
    <n v="-7944.8133230400008"/>
    <n v="-8739.2946553440015"/>
    <n v="-28326.280650000059"/>
    <n v="-234006.00604392006"/>
    <n v="-46801.201208783998"/>
    <n v="4.7583720264480052"/>
    <n v="3.0919359973478361E-2"/>
    <s v="Fase de Degradação"/>
  </r>
  <r>
    <n v="112"/>
    <x v="111"/>
    <s v="CAR019-CARRO TRANSPORTADOR"/>
    <n v="10005997"/>
    <s v="BR01-CIL-CRO-LINHA3-CAR019"/>
    <n v="4552"/>
    <n v="41318"/>
    <n v="2012"/>
    <n v="111816.5"/>
    <n v="0"/>
    <n v="187460.49000000005"/>
    <n v="1.06"/>
    <n v="3896"/>
    <n v="93126"/>
    <n v="215"/>
    <n v="10"/>
    <n v="20"/>
    <n v="30"/>
    <n v="40"/>
    <n v="50"/>
    <n v="60"/>
    <n v="70"/>
    <n v="524.29999999999995"/>
    <n v="1282.3499999999999"/>
    <n v="0.1"/>
    <n v="0.66500000000000004"/>
    <n v="0.8"/>
    <n v="-111816.5"/>
    <n v="-22694.32"/>
    <n v="-24963.752"/>
    <n v="-27460.127200000006"/>
    <n v="-30206.139920000005"/>
    <n v="-33226.753912000007"/>
    <n v="-36549.429303200013"/>
    <n v="-40204.372233520022"/>
    <n v="-186174.4725"/>
    <n v="-4538.8639999999987"/>
    <n v="-4992.750399999999"/>
    <n v="-5492.0254400000003"/>
    <n v="-6041.2279840000001"/>
    <n v="-6645.3507823999998"/>
    <n v="-7309.8858606400008"/>
    <n v="-8040.8744467040024"/>
    <n v="-70639.752500000002"/>
    <n v="-215304.89456872005"/>
    <n v="-43060.978913744002"/>
    <n v="-1.9900795492891383"/>
    <n v="-1.0689325569536062E-2"/>
    <s v="Fase de Vida Útil"/>
  </r>
  <r>
    <n v="113"/>
    <x v="112"/>
    <s v="CAR020-CARRO TRANSPORTADOR"/>
    <n v="10005998"/>
    <s v="BR01-CIL-CRO-LINHA3-CAR020"/>
    <n v="4552"/>
    <n v="41319"/>
    <n v="2012"/>
    <n v="111816.5"/>
    <n v="0"/>
    <n v="192375.51999999993"/>
    <n v="1.5"/>
    <n v="3896"/>
    <n v="92808"/>
    <n v="225"/>
    <n v="15"/>
    <n v="30"/>
    <n v="45"/>
    <n v="60"/>
    <n v="75"/>
    <n v="90"/>
    <n v="105"/>
    <n v="604.13"/>
    <n v="1930.18"/>
    <n v="0.1"/>
    <n v="0.66500000000000004"/>
    <n v="0.8"/>
    <n v="-111816.5"/>
    <n v="-35446.521000000001"/>
    <n v="-38991.173100000007"/>
    <n v="-42890.290410000016"/>
    <n v="-47179.31945100001"/>
    <n v="-51897.251396100022"/>
    <n v="-57086.976535710026"/>
    <n v="-62795.674189281039"/>
    <n v="-186174.4725"/>
    <n v="-7089.3041999999987"/>
    <n v="-7798.2346199999993"/>
    <n v="-8578.0580820000014"/>
    <n v="-9435.8638902000002"/>
    <n v="-10379.450279220002"/>
    <n v="-11417.395307142002"/>
    <n v="-12559.134837856205"/>
    <n v="-5719.4564999999711"/>
    <n v="-336287.20608209108"/>
    <n v="-67257.441216418214"/>
    <n v="11.836470337953269"/>
    <n v="6.3577300255024324E-2"/>
    <s v="Fase de Degradação"/>
  </r>
  <r>
    <n v="114"/>
    <x v="113"/>
    <s v="CAR021-CARRO TRANSPORTADOR"/>
    <n v="10005999"/>
    <s v="BR01-CIL-CRO-LINHA3-CAR021"/>
    <n v="4552"/>
    <n v="41367"/>
    <n v="2012"/>
    <n v="133839.82"/>
    <n v="0"/>
    <n v="86052.340000000026"/>
    <n v="1.74"/>
    <n v="3896"/>
    <n v="84392"/>
    <n v="75"/>
    <n v="7"/>
    <n v="14"/>
    <n v="21"/>
    <n v="28"/>
    <n v="35"/>
    <n v="42"/>
    <n v="49"/>
    <n v="607.30999999999995"/>
    <n v="1044.54"/>
    <n v="0.1"/>
    <n v="0.66500000000000004"/>
    <n v="0.8"/>
    <n v="-133839.82"/>
    <n v="-18464.215000000004"/>
    <n v="-20310.636500000004"/>
    <n v="-22341.700150000008"/>
    <n v="-24575.870165000008"/>
    <n v="-27033.457181500013"/>
    <n v="-29736.802899650018"/>
    <n v="-32710.483189615024"/>
    <n v="-222843.3003"/>
    <n v="-3692.8429999999998"/>
    <n v="-4062.1273000000001"/>
    <n v="-4468.3400300000003"/>
    <n v="-4915.1740330000002"/>
    <n v="-5406.6914363000014"/>
    <n v="-5947.3605799300021"/>
    <n v="-6542.0966379230031"/>
    <n v="-128843.66030000002"/>
    <n v="-175173.16508576504"/>
    <n v="-35034.633017153006"/>
    <n v="-11.814966890198285"/>
    <n v="-5.3019170306186157E-2"/>
    <s v="Fase de Degradação"/>
  </r>
  <r>
    <n v="115"/>
    <x v="114"/>
    <s v="CAR022-CARRO TRANSPORTADOR"/>
    <n v="10006000"/>
    <s v="BR01-CIL-CRO-LINHA3-CAR022"/>
    <n v="4552"/>
    <n v="41368"/>
    <n v="2012"/>
    <n v="133839.82999999999"/>
    <n v="0"/>
    <n v="138981.05999999997"/>
    <n v="1.37"/>
    <n v="3896"/>
    <n v="90671"/>
    <n v="210"/>
    <n v="13"/>
    <n v="26"/>
    <n v="39"/>
    <n v="52"/>
    <n v="65"/>
    <n v="78"/>
    <n v="91"/>
    <n v="500.57"/>
    <n v="1494.92"/>
    <n v="0.1"/>
    <n v="0.66500000000000004"/>
    <n v="0.8"/>
    <n v="-133839.82999999999"/>
    <n v="-26891.095000000001"/>
    <n v="-29580.204500000007"/>
    <n v="-32538.224950000011"/>
    <n v="-35792.047445000011"/>
    <n v="-39371.252189500017"/>
    <n v="-43308.377408450018"/>
    <n v="-47639.215149295029"/>
    <n v="-222843.31694999998"/>
    <n v="-5378.2189999999991"/>
    <n v="-5916.0409"/>
    <n v="-6507.6449900000007"/>
    <n v="-7158.4094890000006"/>
    <n v="-7874.250437900002"/>
    <n v="-8661.6754816900011"/>
    <n v="-9527.8430298590029"/>
    <n v="-85943.196949999983"/>
    <n v="-255120.41664224511"/>
    <n v="-51024.083328449007"/>
    <n v="-2.678140519457699"/>
    <n v="-1.2018042793980676E-2"/>
    <s v="Fase de Degradação"/>
  </r>
  <r>
    <n v="116"/>
    <x v="115"/>
    <s v="CAR023-CARRO TRANSPORTADOR"/>
    <n v="10006001"/>
    <s v="BR01-CIL-CRO-LINHA3-CAR023"/>
    <n v="4552"/>
    <n v="41369"/>
    <n v="2012"/>
    <n v="133839.82999999999"/>
    <n v="0"/>
    <n v="421590.30999999971"/>
    <n v="0.98"/>
    <n v="3896"/>
    <n v="93168"/>
    <n v="341"/>
    <n v="14"/>
    <n v="28"/>
    <n v="42"/>
    <n v="56"/>
    <n v="70"/>
    <n v="84"/>
    <n v="98"/>
    <n v="700.65"/>
    <n v="1819.78"/>
    <n v="0.1"/>
    <n v="0.66500000000000004"/>
    <n v="0.8"/>
    <n v="-133839.82999999999"/>
    <n v="-34811.106"/>
    <n v="-38292.216600000007"/>
    <n v="-42121.43826000001"/>
    <n v="-46333.582086000009"/>
    <n v="-50966.940294600019"/>
    <n v="-56063.634324060025"/>
    <n v="-61669.997756466037"/>
    <n v="-222843.31694999998"/>
    <n v="-6962.2211999999981"/>
    <n v="-7658.4433199999994"/>
    <n v="-8424.2876520000009"/>
    <n v="-9266.7164171999993"/>
    <n v="-10193.388058920002"/>
    <n v="-11212.726864812003"/>
    <n v="-12333.999551293204"/>
    <n v="-45623.140949999972"/>
    <n v="-330258.91532112611"/>
    <n v="-66051.783064225194"/>
    <n v="5.9091164724144249"/>
    <n v="2.6516911313702405E-2"/>
    <s v="Confiabilidade em Crescimento"/>
  </r>
  <r>
    <n v="117"/>
    <x v="116"/>
    <s v="CAR024-CARRO TRANSPORTADOR"/>
    <n v="10006002"/>
    <s v="BR01-CIL-CRO-LINHA3-CAR024"/>
    <n v="4552"/>
    <n v="41370"/>
    <n v="2012"/>
    <n v="133839.82"/>
    <n v="0"/>
    <n v="371978.02999999956"/>
    <n v="0.82"/>
    <n v="3896"/>
    <n v="93249"/>
    <n v="371"/>
    <n v="13"/>
    <n v="26"/>
    <n v="39"/>
    <n v="52"/>
    <n v="65"/>
    <n v="78"/>
    <n v="91"/>
    <n v="428.22"/>
    <n v="882.71"/>
    <n v="0.1"/>
    <n v="0.66500000000000004"/>
    <n v="0.8"/>
    <n v="-133839.82"/>
    <n v="-17775.318000000003"/>
    <n v="-19552.849800000004"/>
    <n v="-21508.134780000008"/>
    <n v="-23658.948258000008"/>
    <n v="-26024.843083800009"/>
    <n v="-28627.327392180014"/>
    <n v="-31490.060131398022"/>
    <n v="-222843.3003"/>
    <n v="-3555.0636"/>
    <n v="-3910.5699599999998"/>
    <n v="-4301.626956000001"/>
    <n v="-4731.7896516000001"/>
    <n v="-5204.9686167600012"/>
    <n v="-5725.4654784360018"/>
    <n v="-6298.0120262796027"/>
    <n v="-132350.77230000001"/>
    <n v="-168637.48144537807"/>
    <n v="-33727.496289075607"/>
    <n v="-12.561902163385362"/>
    <n v="-5.6371011138652401E-2"/>
    <s v="Confiabilidade em Crescimento"/>
  </r>
  <r>
    <n v="118"/>
    <x v="117"/>
    <s v="CAR025-CARRO TRANSPORTADOR"/>
    <n v="10006003"/>
    <s v="BR01-CIL-CRO-LINHA3-CAR025"/>
    <n v="4552"/>
    <n v="41371"/>
    <n v="2012"/>
    <n v="133839.82"/>
    <n v="0"/>
    <n v="209265.18999999992"/>
    <n v="1.27"/>
    <n v="3896"/>
    <n v="91738"/>
    <n v="408"/>
    <n v="22"/>
    <n v="44"/>
    <n v="66"/>
    <n v="88"/>
    <n v="110"/>
    <n v="132"/>
    <n v="154"/>
    <n v="547.82000000000005"/>
    <n v="2746.02"/>
    <n v="0.1"/>
    <n v="0.66500000000000004"/>
    <n v="0.8"/>
    <n v="-133839.82"/>
    <n v="-49504.708000000006"/>
    <n v="-54455.178800000009"/>
    <n v="-59900.696680000015"/>
    <n v="-65890.766348000019"/>
    <n v="-72479.842982800023"/>
    <n v="-79727.827281080041"/>
    <n v="-87700.610009188051"/>
    <n v="-222843.3003"/>
    <n v="-9900.9415999999983"/>
    <n v="-10891.035759999999"/>
    <n v="-11980.139336"/>
    <n v="-13178.153269600001"/>
    <n v="-14495.968596560002"/>
    <n v="-15945.565456216005"/>
    <n v="-17540.122001837608"/>
    <n v="29180.667699999933"/>
    <n v="-469659.63010106818"/>
    <n v="-93931.926020213607"/>
    <n v="21.840629111550655"/>
    <n v="9.8008910665691909E-2"/>
    <s v="Fase de Degradação"/>
  </r>
  <r>
    <n v="119"/>
    <x v="118"/>
    <s v="CAR026-CARRO TRANSPORTADOR"/>
    <n v="10006493"/>
    <s v="BR01-CIL-CRO-LINHA3-CAR026"/>
    <n v="4552"/>
    <n v="49004"/>
    <n v="2017"/>
    <n v="312988.94"/>
    <n v="175679"/>
    <n v="229569.63000000003"/>
    <n v="1.08"/>
    <n v="3896"/>
    <n v="44248"/>
    <n v="213"/>
    <n v="21"/>
    <n v="42"/>
    <n v="63"/>
    <n v="84"/>
    <n v="105"/>
    <n v="126"/>
    <n v="147"/>
    <n v="422.52"/>
    <n v="1336.13"/>
    <n v="0.1"/>
    <n v="0.31379999999999997"/>
    <n v="0.8"/>
    <n v="-312988.94"/>
    <n v="-27397.128000000004"/>
    <n v="-30136.840800000009"/>
    <n v="-33150.524880000012"/>
    <n v="-36465.577368000013"/>
    <n v="-40112.135104800022"/>
    <n v="-44123.348615280025"/>
    <n v="-48535.683476808037"/>
    <n v="-411204.86937200004"/>
    <n v="-5479.4255999999996"/>
    <n v="-6027.3681600000009"/>
    <n v="-6630.1049760000005"/>
    <n v="-7293.1154736000008"/>
    <n v="-8022.4270209600027"/>
    <n v="-8824.6697230560039"/>
    <n v="-9707.1366953616052"/>
    <n v="-447407.58137200004"/>
    <n v="-259921.23824488814"/>
    <n v="-51984.247648977616"/>
    <n v="-54.135268396584223"/>
    <n v="-9.2241874792899178E-2"/>
    <s v="Fase de Vida Útil"/>
  </r>
  <r>
    <n v="120"/>
    <x v="119"/>
    <s v="CAR027-CARRO TRANSPORTADOR"/>
    <n v="10006494"/>
    <s v="BR01-CIL-CRO-LINHA3-CAR027"/>
    <n v="4552"/>
    <n v="49005"/>
    <n v="2017"/>
    <n v="312988.94"/>
    <n v="175679"/>
    <n v="284489.5"/>
    <n v="1.51"/>
    <n v="3896"/>
    <n v="44992"/>
    <n v="248"/>
    <n v="34"/>
    <n v="68"/>
    <n v="102"/>
    <n v="136"/>
    <n v="170"/>
    <n v="204"/>
    <n v="238"/>
    <n v="596.48"/>
    <n v="2236.54"/>
    <n v="0.1"/>
    <n v="0.31379999999999997"/>
    <n v="0.8"/>
    <n v="-312988.94"/>
    <n v="-51830.680000000008"/>
    <n v="-57013.748000000014"/>
    <n v="-62715.122800000026"/>
    <n v="-68986.635080000022"/>
    <n v="-75885.298588000034"/>
    <n v="-83473.828446800049"/>
    <n v="-91821.211291480067"/>
    <n v="-411204.86937200004"/>
    <n v="-10366.135999999999"/>
    <n v="-11402.749600000001"/>
    <n v="-12543.024560000002"/>
    <n v="-13797.327016000001"/>
    <n v="-15177.059717600003"/>
    <n v="-16694.765689360007"/>
    <n v="-18364.24225829601"/>
    <n v="-323018.58937199996"/>
    <n v="-491726.52420628024"/>
    <n v="-98345.304841256017"/>
    <n v="-27.643235715282252"/>
    <n v="-4.7101713231379364E-2"/>
    <s v="Fase de Degradação"/>
  </r>
  <r>
    <n v="121"/>
    <x v="120"/>
    <s v="CAR030-CARRO TRANSFERIDOR"/>
    <n v="10006004"/>
    <s v="BR01-CIL-CRO-LINHA3-CAR030"/>
    <n v="4552"/>
    <n v="41359"/>
    <n v="2012"/>
    <n v="62084.79"/>
    <n v="26951"/>
    <n v="22436.62"/>
    <n v="1.82"/>
    <n v="3896"/>
    <n v="93072"/>
    <n v="40"/>
    <n v="3.6363636363636362"/>
    <n v="7.2727272727272725"/>
    <n v="10.909090909090908"/>
    <n v="14.545454545454545"/>
    <n v="18.18181818181818"/>
    <n v="21.818181818181817"/>
    <n v="25.454545454545453"/>
    <n v="326.56"/>
    <n v="472.98"/>
    <n v="0.1"/>
    <n v="0.66500000000000004"/>
    <n v="0.8"/>
    <n v="-62084.79"/>
    <n v="-7549.5760000000009"/>
    <n v="-8304.5336000000025"/>
    <n v="-9134.986960000002"/>
    <n v="-10048.485656000004"/>
    <n v="-11053.334221600004"/>
    <n v="-12158.667643760007"/>
    <n v="-13374.534408136009"/>
    <n v="-103371.17535"/>
    <n v="-1509.9151999999999"/>
    <n v="-1660.9067200000002"/>
    <n v="-1826.997392"/>
    <n v="-2009.6971312000005"/>
    <n v="-2210.6668443200001"/>
    <n v="-2431.7335287520009"/>
    <n v="-2674.9068816272011"/>
    <n v="-91887.9702590909"/>
    <n v="-71624.118489496032"/>
    <n v="-14324.823697899203"/>
    <n v="-10.431840079771881"/>
    <n v="-8.0046546581620429E-2"/>
    <s v="Fase de Degradação"/>
  </r>
  <r>
    <n v="122"/>
    <x v="121"/>
    <s v="CAR031-CARRO TRANSFERIDOR"/>
    <n v="10006005"/>
    <s v="BR01-CIL-CRO-LINHA3-CAR031"/>
    <n v="4552"/>
    <n v="41360"/>
    <n v="2012"/>
    <n v="62084.79"/>
    <n v="26951"/>
    <n v="19421.010000000002"/>
    <n v="1.43"/>
    <n v="3896"/>
    <n v="92189"/>
    <n v="46"/>
    <n v="3"/>
    <n v="6"/>
    <n v="9"/>
    <n v="12"/>
    <n v="15"/>
    <n v="18"/>
    <n v="21"/>
    <n v="232.38"/>
    <n v="242.42"/>
    <n v="0.1"/>
    <n v="0.66500000000000004"/>
    <n v="0.8"/>
    <n v="-62084.79"/>
    <n v="-3966.7980000000002"/>
    <n v="-4363.4778000000006"/>
    <n v="-4799.8255800000015"/>
    <n v="-5279.8081380000012"/>
    <n v="-5807.788951800002"/>
    <n v="-6388.5678469800023"/>
    <n v="-7027.4246316780036"/>
    <n v="-103371.17535"/>
    <n v="-793.35959999999989"/>
    <n v="-872.69555999999989"/>
    <n v="-959.96511600000008"/>
    <n v="-1055.9616275999999"/>
    <n v="-1161.5577903600001"/>
    <n v="-1277.7135693960001"/>
    <n v="-1405.4849263356004"/>
    <n v="-110127.56735000001"/>
    <n v="-37633.69094845801"/>
    <n v="-7526.7381896915995"/>
    <n v="-14.316460370176227"/>
    <n v="-0.10985436923322678"/>
    <s v="Fase de Degradação"/>
  </r>
  <r>
    <n v="123"/>
    <x v="122"/>
    <s v="CAR032-CARRO TRANSFERIDOR"/>
    <n v="10006006"/>
    <s v="BR01-CIL-CRO-LINHA3-CAR032"/>
    <n v="4552"/>
    <n v="41361"/>
    <n v="2012"/>
    <n v="62084.79"/>
    <n v="26951"/>
    <n v="12048.7"/>
    <n v="3.58"/>
    <n v="3896"/>
    <n v="87257"/>
    <n v="27"/>
    <n v="2.4545454545454546"/>
    <n v="4.9090909090909092"/>
    <n v="7.3636363636363633"/>
    <n v="9.8181818181818183"/>
    <n v="12.272727272727273"/>
    <n v="14.727272727272728"/>
    <n v="17.181818181818183"/>
    <n v="263.55"/>
    <n v="409.77"/>
    <n v="0.1"/>
    <n v="0.66500000000000004"/>
    <n v="0.8"/>
    <n v="-62084.79"/>
    <n v="-6120.549"/>
    <n v="-6732.603900000001"/>
    <n v="-7405.8642900000013"/>
    <n v="-8146.4507190000013"/>
    <n v="-8961.0957909000026"/>
    <n v="-9857.2053699900043"/>
    <n v="-10842.925906989007"/>
    <n v="-103371.17535"/>
    <n v="-1224.1097999999997"/>
    <n v="-1346.5207799999998"/>
    <n v="-1481.1728579999999"/>
    <n v="-1629.2901437999999"/>
    <n v="-1792.21915818"/>
    <n v="-1971.4410739980003"/>
    <n v="-2168.5851813978011"/>
    <n v="-99163.016804545448"/>
    <n v="-58066.694976879022"/>
    <n v="-11613.338995375801"/>
    <n v="-11.981259909785255"/>
    <n v="-9.1935696113173065E-2"/>
    <s v="Fase de Degradação"/>
  </r>
  <r>
    <n v="124"/>
    <x v="123"/>
    <s v="CAR033-CARRO TRANSPORTADOR"/>
    <n v="10006849"/>
    <s v="BR01-CIL-CRO-LINHA3-CAR033"/>
    <n v="4552"/>
    <n v="59233"/>
    <n v="2022"/>
    <n v="933346.58"/>
    <n v="916062"/>
    <n v="2745.51"/>
    <n v="1.25"/>
    <n v="3896"/>
    <n v="1405"/>
    <n v="5"/>
    <n v="5"/>
    <n v="10"/>
    <n v="15"/>
    <n v="20"/>
    <n v="25"/>
    <n v="30"/>
    <n v="35"/>
    <n v="660.05"/>
    <n v="901.88"/>
    <n v="0.1"/>
    <n v="5.79E-2"/>
    <n v="0.8"/>
    <n v="-933346.58"/>
    <n v="-15535.091"/>
    <n v="-17088.600100000003"/>
    <n v="-18797.460110000004"/>
    <n v="-20677.206121000007"/>
    <n v="-22744.926733100008"/>
    <n v="-25019.419406410012"/>
    <n v="-27521.361347051017"/>
    <n v="-987387.34698200005"/>
    <n v="-3107.0181999999995"/>
    <n v="-3417.7200199999997"/>
    <n v="-3759.4920219999999"/>
    <n v="-4135.4412242000008"/>
    <n v="-4548.9853466200002"/>
    <n v="-5003.8838812820013"/>
    <n v="-5504.2722694102022"/>
    <n v="-1824361.6109819999"/>
    <n v="-147384.06481756107"/>
    <n v="-29476.812963512206"/>
    <n v="-255.07744216113588"/>
    <n v="-0.13400800108790498"/>
    <s v="Fase de Degradação"/>
  </r>
  <r>
    <n v="125"/>
    <x v="124"/>
    <s v="CAR034-CARRO TRANSPORTADOR"/>
    <n v="10006850"/>
    <s v="BR01-CIL-CRO-LINHA3-CAR034"/>
    <n v="4552"/>
    <n v="59234"/>
    <n v="2022"/>
    <n v="933346.58"/>
    <n v="916062"/>
    <n v="12907.000000000002"/>
    <n v="1.1200000000000001"/>
    <n v="3896"/>
    <n v="3017"/>
    <n v="17"/>
    <n v="17"/>
    <n v="34"/>
    <n v="51"/>
    <n v="68"/>
    <n v="85"/>
    <n v="102"/>
    <n v="119"/>
    <n v="302.60000000000002"/>
    <n v="1985.35"/>
    <n v="0.1"/>
    <n v="5.79E-2"/>
    <n v="0.8"/>
    <n v="-933346.58"/>
    <n v="-31865.24"/>
    <n v="-35051.764000000003"/>
    <n v="-38556.940400000007"/>
    <n v="-42412.634440000009"/>
    <n v="-46653.897884000013"/>
    <n v="-51319.287672400023"/>
    <n v="-56451.216439640033"/>
    <n v="-987387.34698200005"/>
    <n v="-6373.0479999999989"/>
    <n v="-7010.3527999999988"/>
    <n v="-7711.3880799999997"/>
    <n v="-8482.5268880000003"/>
    <n v="-9330.7795767999996"/>
    <n v="-10263.857534480003"/>
    <n v="-11290.243287928004"/>
    <n v="-1741226.3069819999"/>
    <n v="-302310.98083604011"/>
    <n v="-60462.196167208"/>
    <n v="-237.37150890188113"/>
    <n v="-0.12470597616807812"/>
    <s v="Fase de Degradação"/>
  </r>
  <r>
    <n v="126"/>
    <x v="125"/>
    <s v="CEN004-CENTRO DE USINAGEM MIKRON VCP800"/>
    <n v="10004103"/>
    <s v="BR01-CIL-FER-FABMOL"/>
    <n v="1075"/>
    <n v="33792"/>
    <n v="2004"/>
    <n v="350000"/>
    <n v="0"/>
    <n v="551432.01999999932"/>
    <n v="1.45"/>
    <n v="3668"/>
    <n v="137538"/>
    <n v="286"/>
    <n v="11"/>
    <n v="22"/>
    <n v="33"/>
    <n v="44"/>
    <n v="55"/>
    <n v="66"/>
    <n v="77"/>
    <n v="807.65617717511952"/>
    <n v="261.33"/>
    <n v="0.1"/>
    <n v="1.1001000000000001"/>
    <n v="0.8"/>
    <n v="-350000"/>
    <n v="-13222.195743818946"/>
    <n v="-14544.415318200841"/>
    <n v="-15998.856850020928"/>
    <n v="-17598.742535023019"/>
    <n v="-19358.616788525323"/>
    <n v="-21294.478467377859"/>
    <n v="-23423.926314115648"/>
    <n v="-735035.00000000012"/>
    <n v="-2644.4391487637886"/>
    <n v="-2908.8830636401676"/>
    <n v="-3199.771370004185"/>
    <n v="-3519.7485070046027"/>
    <n v="-3871.7233577050638"/>
    <n v="-4258.8956934755706"/>
    <n v="-4684.7852628231285"/>
    <n v="-667722.00348601281"/>
    <n v="-125441.23201708257"/>
    <n v="-25088.24640341651"/>
    <n v="-90.668859198047713"/>
    <n v="-0.1233531181481803"/>
    <s v="Fase de Degradação"/>
  </r>
  <r>
    <n v="127"/>
    <x v="126"/>
    <s v="CEN010-CENTRO DE USINAGEM"/>
    <n v="10001255"/>
    <s v="BR01-MOT-UMG-CARTER-CEN010"/>
    <n v="2366"/>
    <n v="20168"/>
    <n v="1998"/>
    <n v="196768.33"/>
    <n v="0"/>
    <n v="497128.1"/>
    <n v="1.73"/>
    <n v="3854"/>
    <n v="196557"/>
    <n v="284"/>
    <n v="10"/>
    <n v="20"/>
    <n v="30"/>
    <n v="40"/>
    <n v="50"/>
    <n v="60"/>
    <n v="70"/>
    <n v="728.32"/>
    <n v="2105.38"/>
    <n v="0.1"/>
    <n v="1.5607"/>
    <n v="0.8"/>
    <n v="-196768.33"/>
    <n v="-35802.536000000007"/>
    <n v="-39382.789600000011"/>
    <n v="-43321.068560000014"/>
    <n v="-47653.175416000013"/>
    <n v="-52418.492957600021"/>
    <n v="-57660.342253360031"/>
    <n v="-63426.376478696046"/>
    <n v="-503864.66263099993"/>
    <n v="-7160.5072"/>
    <n v="-7876.5579200000002"/>
    <n v="-8664.2137120000007"/>
    <n v="-9530.6350832000007"/>
    <n v="-10483.698591520002"/>
    <n v="-11532.068450672004"/>
    <n v="-12685.275295739206"/>
    <n v="-321597.20663099986"/>
    <n v="-339664.78126565617"/>
    <n v="-67932.956253131211"/>
    <n v="-33.161833945496419"/>
    <n v="-6.5814962637659999E-2"/>
    <s v="Fase de Degradação"/>
  </r>
  <r>
    <n v="128"/>
    <x v="127"/>
    <s v="CEN017-CENTRO DE USINAGEM"/>
    <n v="10001692"/>
    <s v="BR01-CIL-UCI-USINA1-CEN017"/>
    <n v="4531"/>
    <n v="20559"/>
    <n v="2003"/>
    <n v="1412521.22"/>
    <n v="0"/>
    <n v="2457667.320000011"/>
    <n v="1.42"/>
    <n v="5828"/>
    <n v="173567"/>
    <n v="2719"/>
    <n v="131"/>
    <n v="262"/>
    <n v="393"/>
    <n v="524"/>
    <n v="655"/>
    <n v="786"/>
    <n v="917"/>
    <n v="505.46"/>
    <n v="7611.64"/>
    <n v="0.1"/>
    <n v="1.1931"/>
    <n v="0.8"/>
    <n v="-1412521.22"/>
    <n v="-173310.43400000001"/>
    <n v="-190641.47740000003"/>
    <n v="-209705.62514000008"/>
    <n v="-230676.18765400007"/>
    <n v="-253743.80641940009"/>
    <n v="-279118.18706134014"/>
    <n v="-307030.00576747418"/>
    <n v="-3097800.2875820003"/>
    <n v="-34662.086799999997"/>
    <n v="-38128.295480000001"/>
    <n v="-41941.125028000009"/>
    <n v="-46135.237530800005"/>
    <n v="-50748.761283880005"/>
    <n v="-55823.637412268014"/>
    <n v="-61406.001153494821"/>
    <n v="-2215492.6235819999"/>
    <n v="-1644225.7234422145"/>
    <n v="-328845.14468844282"/>
    <n v="-254.63138697546123"/>
    <n v="-8.2197483161257856E-2"/>
    <s v="Fase de Degradação"/>
  </r>
  <r>
    <n v="129"/>
    <x v="128"/>
    <s v="CEN018-CENTRO DE USINAGEM"/>
    <n v="10002662"/>
    <s v="BR01-CIL-UCI-USINA1-CEN018"/>
    <n v="4531"/>
    <n v="33663"/>
    <n v="2004"/>
    <n v="1514831.66"/>
    <n v="0"/>
    <n v="2469972.8100000122"/>
    <n v="1.45"/>
    <n v="6051"/>
    <n v="168984"/>
    <n v="2541"/>
    <n v="134"/>
    <n v="268"/>
    <n v="402"/>
    <n v="536"/>
    <n v="670"/>
    <n v="804"/>
    <n v="938"/>
    <n v="475.06"/>
    <n v="6113.89"/>
    <n v="0.1"/>
    <n v="1.1001000000000001"/>
    <n v="0.8"/>
    <n v="-1514831.66"/>
    <n v="-150727.19200000001"/>
    <n v="-165799.91120000003"/>
    <n v="-182379.90232000005"/>
    <n v="-200617.89255200006"/>
    <n v="-220679.68180720008"/>
    <n v="-242747.64998792013"/>
    <n v="-267022.41498671216"/>
    <n v="-3181297.9691660004"/>
    <n v="-30145.438399999995"/>
    <n v="-33159.982239999998"/>
    <n v="-36475.980464"/>
    <n v="-40123.578510400002"/>
    <n v="-44135.936361440006"/>
    <n v="-48549.529997584017"/>
    <n v="-53404.48299734242"/>
    <n v="-2413959.5371660003"/>
    <n v="-1429974.6448538324"/>
    <n v="-285994.92897076643"/>
    <n v="-291.04546475470488"/>
    <n v="-9.1486389384331859E-2"/>
    <s v="Fase de Degradação"/>
  </r>
  <r>
    <n v="130"/>
    <x v="129"/>
    <s v="CEN019-CENTRO DE USINAGEM"/>
    <n v="10002663"/>
    <s v="BR01-CIL-UCI-USINA1-CEN019"/>
    <n v="4531"/>
    <n v="33664"/>
    <n v="2004"/>
    <n v="1447686.85"/>
    <n v="0"/>
    <n v="2170090.7500000158"/>
    <n v="1.93"/>
    <n v="5390"/>
    <n v="182957"/>
    <n v="2522"/>
    <n v="146"/>
    <n v="292"/>
    <n v="438"/>
    <n v="584"/>
    <n v="730"/>
    <n v="876"/>
    <n v="1022"/>
    <n v="475.38"/>
    <n v="5978.25"/>
    <n v="0.1"/>
    <n v="1.1001000000000001"/>
    <n v="0.8"/>
    <n v="-1447686.85"/>
    <n v="-155258.92799999999"/>
    <n v="-170784.82080000002"/>
    <n v="-187863.30288000003"/>
    <n v="-206649.63316800003"/>
    <n v="-227314.59648480004"/>
    <n v="-250046.05613328007"/>
    <n v="-275050.66174660815"/>
    <n v="-3040287.1536850007"/>
    <n v="-31051.785599999992"/>
    <n v="-34156.964159999996"/>
    <n v="-37572.660575999995"/>
    <n v="-41329.9266336"/>
    <n v="-45462.919296959997"/>
    <n v="-50009.211226656"/>
    <n v="-55010.132349321619"/>
    <n v="-2249878.0656850007"/>
    <n v="-1472967.9992126883"/>
    <n v="-294593.5998425376"/>
    <n v="-265.98753633069288"/>
    <n v="-8.7487636162360813E-2"/>
    <s v="Fase de Degradação"/>
  </r>
  <r>
    <n v="131"/>
    <x v="130"/>
    <s v="CEN021-CENTRO DE USINAGEM"/>
    <n v="10001783"/>
    <s v="BR01-MOT-UMG-CARTER-CEN021"/>
    <n v="2368"/>
    <n v="20354"/>
    <n v="2001"/>
    <n v="257233.01"/>
    <n v="0"/>
    <n v="1345274.280000001"/>
    <n v="1.05"/>
    <n v="3854"/>
    <n v="193294"/>
    <n v="685"/>
    <n v="15"/>
    <n v="30"/>
    <n v="45"/>
    <n v="60"/>
    <n v="75"/>
    <n v="90"/>
    <n v="105"/>
    <n v="1129.0899999999999"/>
    <n v="6070.38"/>
    <n v="0.1"/>
    <n v="1.3951"/>
    <n v="0.8"/>
    <n v="-257233.01"/>
    <n v="-98759.001000000018"/>
    <n v="-108634.90110000002"/>
    <n v="-119498.39121000005"/>
    <n v="-131448.23033100003"/>
    <n v="-144593.05336410005"/>
    <n v="-159052.35870051009"/>
    <n v="-174957.59457056111"/>
    <n v="-616098.78225100006"/>
    <n v="-19751.800199999998"/>
    <n v="-21726.980219999998"/>
    <n v="-23899.678242000005"/>
    <n v="-26289.646066199999"/>
    <n v="-28918.610672820003"/>
    <n v="-31810.47174010201"/>
    <n v="-34991.518914112217"/>
    <n v="-113325.68625100004"/>
    <n v="-936943.5302761714"/>
    <n v="-187388.70605523424"/>
    <n v="19.065148852848168"/>
    <n v="3.0944954611322347E-2"/>
    <s v="Fase de Vida Útil"/>
  </r>
  <r>
    <n v="132"/>
    <x v="131"/>
    <s v="CEN022-CENTRO DE USINAGEM"/>
    <n v="10004025"/>
    <s v="BR01-CIL-UCI-USINA1-CEN022"/>
    <n v="4531"/>
    <n v="33912"/>
    <n v="2004"/>
    <n v="1681971.6"/>
    <n v="0"/>
    <n v="1910536.0500000038"/>
    <n v="1.23"/>
    <n v="4693"/>
    <n v="163917"/>
    <n v="1900"/>
    <n v="68"/>
    <n v="136"/>
    <n v="204"/>
    <n v="272"/>
    <n v="340"/>
    <n v="408"/>
    <n v="476"/>
    <n v="473.21"/>
    <n v="4975.3500000000004"/>
    <n v="0.1"/>
    <n v="1.1001000000000001"/>
    <n v="0.8"/>
    <n v="-1681971.6"/>
    <n v="-101070.72800000002"/>
    <n v="-111177.80080000003"/>
    <n v="-122295.58088000005"/>
    <n v="-134525.13896800004"/>
    <n v="-147977.65286480007"/>
    <n v="-162775.41815128009"/>
    <n v="-179052.95996640812"/>
    <n v="-3532308.5571600008"/>
    <n v="-20214.1456"/>
    <n v="-22235.560160000001"/>
    <n v="-24459.116176000007"/>
    <n v="-26905.027793600002"/>
    <n v="-29595.530572960008"/>
    <n v="-32555.083630256009"/>
    <n v="-35810.591993281618"/>
    <n v="-3017766.669160001"/>
    <n v="-958875.27963048848"/>
    <n v="-191775.05592609764"/>
    <n v="-395.02976192223002"/>
    <n v="-0.11183331114194524"/>
    <s v="Fase de Degradação"/>
  </r>
  <r>
    <n v="133"/>
    <x v="132"/>
    <s v="CEN023-CENTRO DE USINAGEM"/>
    <n v="10004163"/>
    <s v="BR01-CIL-UCI-USINA1-CEN023"/>
    <n v="4531"/>
    <n v="34061"/>
    <n v="2005"/>
    <n v="1437083.56"/>
    <n v="0"/>
    <n v="1818989.0900000036"/>
    <n v="1.41"/>
    <n v="6118"/>
    <n v="154538"/>
    <n v="1731"/>
    <n v="98"/>
    <n v="196"/>
    <n v="294"/>
    <n v="392"/>
    <n v="490"/>
    <n v="588"/>
    <n v="686"/>
    <n v="380.31"/>
    <n v="6083.8319629999996"/>
    <n v="0.1"/>
    <n v="1.0241"/>
    <n v="0.8"/>
    <n v="-1437083.56"/>
    <n v="-121303.99991160001"/>
    <n v="-133434.39990276002"/>
    <n v="-146777.83989303603"/>
    <n v="-161455.62388233963"/>
    <n v="-177601.18627057361"/>
    <n v="-195361.30489763099"/>
    <n v="-214897.43538739413"/>
    <n v="-2908800.8337959996"/>
    <n v="-24260.799982319997"/>
    <n v="-26686.879980551999"/>
    <n v="-29355.5679786072"/>
    <n v="-32291.124776467917"/>
    <n v="-35520.237254114712"/>
    <n v="-39072.260979526189"/>
    <n v="-42979.487077478814"/>
    <n v="-2291253.1978823994"/>
    <n v="-1150831.7901453346"/>
    <n v="-230166.35802906682"/>
    <n v="-284.01934309710452"/>
    <n v="-9.7641385342446388E-2"/>
    <s v="Fase de Degradação"/>
  </r>
  <r>
    <n v="134"/>
    <x v="133"/>
    <s v="CEN024-CENTRO DE USINAGEM"/>
    <n v="10004164"/>
    <s v="BR01-CIL-UCI-USINA1-CEN024"/>
    <n v="4531"/>
    <n v="34062"/>
    <n v="2005"/>
    <n v="1437083.55"/>
    <n v="0"/>
    <n v="1879770.1399999976"/>
    <n v="1.4"/>
    <n v="4902"/>
    <n v="154485"/>
    <n v="1676"/>
    <n v="76"/>
    <n v="152"/>
    <n v="228"/>
    <n v="304"/>
    <n v="380"/>
    <n v="456"/>
    <n v="532"/>
    <n v="611.12"/>
    <n v="5597.78"/>
    <n v="0.1"/>
    <n v="1.0241"/>
    <n v="0.8"/>
    <n v="-1437083.55"/>
    <n v="-124980.32800000002"/>
    <n v="-137478.36080000002"/>
    <n v="-151226.19688000006"/>
    <n v="-166348.81656800007"/>
    <n v="-182983.69822480009"/>
    <n v="-201282.0680472801"/>
    <n v="-221410.27485200815"/>
    <n v="-2908800.8135549999"/>
    <n v="-24996.065599999998"/>
    <n v="-27495.672159999998"/>
    <n v="-30245.239376000005"/>
    <n v="-33269.763313600008"/>
    <n v="-36596.739644960006"/>
    <n v="-40256.413609456009"/>
    <n v="-44282.054970401623"/>
    <n v="-2272537.325555"/>
    <n v="-1185709.7433720885"/>
    <n v="-237141.94867441765"/>
    <n v="-280.03328840818983"/>
    <n v="-9.6271043071507634E-2"/>
    <s v="Fase de Degradação"/>
  </r>
  <r>
    <n v="135"/>
    <x v="134"/>
    <s v="CEN025-CENTRO DE USINAGEM"/>
    <n v="10004165"/>
    <s v="BR01-CIL-UCI-USINA1-CEN025"/>
    <n v="4531"/>
    <n v="34459"/>
    <n v="2006"/>
    <n v="1249557.31"/>
    <n v="22037"/>
    <n v="2099308.7900000028"/>
    <n v="1.52"/>
    <n v="6107"/>
    <n v="145458"/>
    <n v="1819"/>
    <n v="107"/>
    <n v="214"/>
    <n v="321"/>
    <n v="428"/>
    <n v="535"/>
    <n v="642"/>
    <n v="749"/>
    <n v="649.16999999999996"/>
    <n v="7445.48"/>
    <n v="0.1"/>
    <n v="0.96719999999999995"/>
    <n v="0.8"/>
    <n v="-1249557.31"/>
    <n v="-174687.64500000002"/>
    <n v="-192156.40950000004"/>
    <n v="-211372.05045000007"/>
    <n v="-232509.25549500008"/>
    <n v="-255760.18104450012"/>
    <n v="-281336.19914895017"/>
    <n v="-309469.81906384521"/>
    <n v="-2458129.140232"/>
    <n v="-34937.528999999995"/>
    <n v="-38431.281900000002"/>
    <n v="-42274.410090000005"/>
    <n v="-46501.851099000007"/>
    <n v="-51152.036208900012"/>
    <n v="-56267.239829790022"/>
    <n v="-61893.963812769027"/>
    <n v="-1590847.2202319999"/>
    <n v="-1657291.5597022958"/>
    <n v="-331458.31194045907"/>
    <n v="-164.90469892430903"/>
    <n v="-6.648937595321075E-2"/>
    <s v="Fase de Degradação"/>
  </r>
  <r>
    <n v="136"/>
    <x v="135"/>
    <s v="CEN026-CENTRO DE USINAGEM"/>
    <n v="10004166"/>
    <s v="BR01-CIL-UCI-USINA1-CEN026"/>
    <n v="4531"/>
    <n v="34600"/>
    <n v="2006"/>
    <n v="1209932.6299999999"/>
    <n v="21980"/>
    <n v="2315501.7700000023"/>
    <n v="1.53"/>
    <n v="6064"/>
    <n v="149956"/>
    <n v="1719"/>
    <n v="108"/>
    <n v="216"/>
    <n v="324"/>
    <n v="432"/>
    <n v="540"/>
    <n v="648"/>
    <n v="756"/>
    <n v="618.26"/>
    <n v="7107.74"/>
    <n v="0.1"/>
    <n v="0.96719999999999995"/>
    <n v="0.8"/>
    <n v="-1209932.6299999999"/>
    <n v="-167271.45600000003"/>
    <n v="-183998.60160000005"/>
    <n v="-202398.46176000009"/>
    <n v="-222638.30793600008"/>
    <n v="-244902.13872960012"/>
    <n v="-269392.35260256019"/>
    <n v="-296331.58786281623"/>
    <n v="-2380179.4697360001"/>
    <n v="-33454.2912"/>
    <n v="-36799.72032"/>
    <n v="-40479.692352000013"/>
    <n v="-44527.661587200004"/>
    <n v="-48980.427745920017"/>
    <n v="-53878.470520512026"/>
    <n v="-59266.317572563232"/>
    <n v="-1550595.693736"/>
    <n v="-1586932.9064909767"/>
    <n v="-317386.58129819529"/>
    <n v="-161.80187779188836"/>
    <n v="-6.7356842803475717E-2"/>
    <s v="Fase de Degradação"/>
  </r>
  <r>
    <n v="137"/>
    <x v="136"/>
    <s v="CEN027-CENTRO DE USINAGEM"/>
    <n v="10004167"/>
    <s v="BR01-CIL-UCI-USINA1-CEN027"/>
    <n v="4531"/>
    <n v="34460"/>
    <n v="2006"/>
    <n v="1159882.19"/>
    <n v="0"/>
    <n v="1825612.85"/>
    <n v="1.56"/>
    <n v="3477"/>
    <n v="148433"/>
    <n v="1585"/>
    <n v="59"/>
    <n v="118"/>
    <n v="177"/>
    <n v="236"/>
    <n v="295"/>
    <n v="354"/>
    <n v="413"/>
    <n v="536.16999999999996"/>
    <n v="6960.88"/>
    <n v="0.1"/>
    <n v="0.96719999999999995"/>
    <n v="0.8"/>
    <n v="-1159882.19"/>
    <n v="-126681.04900000001"/>
    <n v="-139349.1539"/>
    <n v="-153284.06929000004"/>
    <n v="-168612.47621900003"/>
    <n v="-185473.72384090006"/>
    <n v="-204021.09622499009"/>
    <n v="-224423.20584748912"/>
    <n v="-2281720.2441679998"/>
    <n v="-25336.209799999997"/>
    <n v="-27869.830779999993"/>
    <n v="-30656.813858000001"/>
    <n v="-33722.495243799996"/>
    <n v="-37094.744768180004"/>
    <n v="-40804.219244998007"/>
    <n v="-44884.641169497816"/>
    <n v="-1636798.5401679999"/>
    <n v="-1201844.7743223794"/>
    <n v="-240368.95486447582"/>
    <n v="-188.60634638715658"/>
    <n v="-8.2659715567334799E-2"/>
    <s v="Fase de Degradação"/>
  </r>
  <r>
    <n v="138"/>
    <x v="137"/>
    <s v="CEN028-CENTRO DE USINAGEM"/>
    <n v="10004168"/>
    <s v="BR01-CIL-UCI-USINA1-CEN028"/>
    <n v="4531"/>
    <n v="34084"/>
    <n v="2006"/>
    <n v="1062148.02"/>
    <n v="0"/>
    <n v="1955630.9499999983"/>
    <n v="1.64"/>
    <n v="5695"/>
    <n v="149865"/>
    <n v="1868"/>
    <n v="118"/>
    <n v="236"/>
    <n v="354"/>
    <n v="472"/>
    <n v="590"/>
    <n v="708"/>
    <n v="826"/>
    <n v="505.73"/>
    <n v="6317.8"/>
    <n v="0.1"/>
    <n v="0.96719999999999995"/>
    <n v="0.8"/>
    <n v="-1062148.02"/>
    <n v="-149038.71400000001"/>
    <n v="-163942.58540000001"/>
    <n v="-180336.84394000005"/>
    <n v="-198370.52833400003"/>
    <n v="-218207.58116740006"/>
    <n v="-240028.33928414009"/>
    <n v="-264031.17321255413"/>
    <n v="-2089457.584944"/>
    <n v="-29807.742799999996"/>
    <n v="-32788.517079999998"/>
    <n v="-36067.368788"/>
    <n v="-39674.105666799995"/>
    <n v="-43641.516233480004"/>
    <n v="-48005.667856828011"/>
    <n v="-52806.234642510812"/>
    <n v="-1330715.0409440002"/>
    <n v="-1413955.7653380944"/>
    <n v="-282791.15306761884"/>
    <n v="-136.89899609621773"/>
    <n v="-6.5518916049155787E-2"/>
    <s v="Fase de Degradação"/>
  </r>
  <r>
    <n v="139"/>
    <x v="138"/>
    <s v="CEN029-CENTRO DE USINAGEM"/>
    <n v="10004169"/>
    <s v="BR01-CIL-UCI-USINA1-CEN029"/>
    <n v="4531"/>
    <n v="34082"/>
    <n v="2006"/>
    <n v="1062148.01"/>
    <n v="0"/>
    <n v="1761772.3799999985"/>
    <n v="1.66"/>
    <n v="6089"/>
    <n v="150077"/>
    <n v="1419"/>
    <n v="67"/>
    <n v="134"/>
    <n v="201"/>
    <n v="268"/>
    <n v="335"/>
    <n v="402"/>
    <n v="469"/>
    <n v="479.73"/>
    <n v="4926.04"/>
    <n v="0.1"/>
    <n v="0.96719999999999995"/>
    <n v="0.8"/>
    <n v="-1062148.01"/>
    <n v="-100379.82900000001"/>
    <n v="-110417.81190000002"/>
    <n v="-121459.59309000004"/>
    <n v="-133605.55239900004"/>
    <n v="-146966.10763890005"/>
    <n v="-161662.71840279008"/>
    <n v="-177828.9902430691"/>
    <n v="-2089457.5652720002"/>
    <n v="-20075.965799999998"/>
    <n v="-22083.562379999999"/>
    <n v="-24291.918618000003"/>
    <n v="-26721.110479800001"/>
    <n v="-29393.221527780002"/>
    <n v="-32332.54368055801"/>
    <n v="-35565.798048613811"/>
    <n v="-1578432.9812720004"/>
    <n v="-952320.60267375945"/>
    <n v="-190464.1205347518"/>
    <n v="-189.65729759042745"/>
    <n v="-9.0768676398430878E-2"/>
    <s v="Fase de Degradação"/>
  </r>
  <r>
    <n v="140"/>
    <x v="139"/>
    <s v="CEN030-CENTRO DE USINAGEM"/>
    <n v="10004170"/>
    <s v="BR01-CIL-UCI-USINA1-CEN030"/>
    <n v="4531"/>
    <n v="34083"/>
    <n v="2006"/>
    <n v="1062148.02"/>
    <n v="0"/>
    <n v="2007905.3599999959"/>
    <n v="1.71"/>
    <n v="5832"/>
    <n v="150588"/>
    <n v="1404"/>
    <n v="82.588235294117652"/>
    <n v="165.1764705882353"/>
    <n v="247.76470588235296"/>
    <n v="330.35294117647061"/>
    <n v="412.94117647058829"/>
    <n v="495.52941176470597"/>
    <n v="578.11764705882365"/>
    <n v="620.16"/>
    <n v="7864.85"/>
    <n v="0.1"/>
    <n v="0.96719999999999995"/>
    <n v="0.8"/>
    <n v="-1062148.02"/>
    <n v="-160155.73200000002"/>
    <n v="-176171.30520000003"/>
    <n v="-193788.43572000007"/>
    <n v="-213167.27929200005"/>
    <n v="-234484.00722120013"/>
    <n v="-257932.40794332017"/>
    <n v="-283725.64873765223"/>
    <n v="-2089457.584944"/>
    <n v="-32031.146399999998"/>
    <n v="-35234.261039999998"/>
    <n v="-38757.687144000003"/>
    <n v="-42633.455858399997"/>
    <n v="-46896.801444240016"/>
    <n v="-51586.481588664021"/>
    <n v="-56745.129747530431"/>
    <n v="-1274119.3129439997"/>
    <n v="-1519424.8161141726"/>
    <n v="-303884.96322283446"/>
    <n v="-124.84539029323739"/>
    <n v="-5.9750143383065328E-2"/>
    <s v="Fase de Degradação"/>
  </r>
  <r>
    <n v="141"/>
    <x v="140"/>
    <s v="CEN031-CENTRO DE USINAGEM"/>
    <n v="10004171"/>
    <s v="BR01-CIL-UCI-USINA1-CEN031"/>
    <n v="4531"/>
    <n v="34370"/>
    <n v="2006"/>
    <n v="1124613.27"/>
    <n v="0"/>
    <n v="2237052.7299999981"/>
    <n v="1.57"/>
    <n v="5927"/>
    <n v="148451"/>
    <n v="1952"/>
    <n v="124"/>
    <n v="248"/>
    <n v="372"/>
    <n v="496"/>
    <n v="620"/>
    <n v="744"/>
    <n v="868"/>
    <n v="533.72"/>
    <n v="6975.62"/>
    <n v="0.1"/>
    <n v="0.96719999999999995"/>
    <n v="0.8"/>
    <n v="-1124613.27"/>
    <n v="-164877.592"/>
    <n v="-181365.35120000003"/>
    <n v="-199501.88632000005"/>
    <n v="-219452.07495200005"/>
    <n v="-241397.28244720009"/>
    <n v="-265537.01069192012"/>
    <n v="-292090.71176111221"/>
    <n v="-2212339.224744"/>
    <n v="-32975.518399999994"/>
    <n v="-36273.070240000001"/>
    <n v="-39900.377264000002"/>
    <n v="-43890.414990400001"/>
    <n v="-48279.45648944001"/>
    <n v="-53107.402138384015"/>
    <n v="-58418.142352222429"/>
    <n v="-1372962.3927440003"/>
    <n v="-1564221.9093722324"/>
    <n v="-312844.38187444641"/>
    <n v="-137.28024246374488"/>
    <n v="-6.2052076339979105E-2"/>
    <s v="Fase de Degradação"/>
  </r>
  <r>
    <n v="142"/>
    <x v="141"/>
    <s v="CEN032-CENTRO DE USINAGEM"/>
    <n v="10004172"/>
    <s v="BR01-CIL-UCI-USINA1-CEN032"/>
    <n v="4531"/>
    <n v="34487"/>
    <n v="2006"/>
    <n v="1159882.23"/>
    <n v="0"/>
    <n v="1765004.5300000026"/>
    <n v="1.6"/>
    <n v="5721"/>
    <n v="135889"/>
    <n v="1624"/>
    <n v="95.529411764705884"/>
    <n v="191.05882352941177"/>
    <n v="286.58823529411768"/>
    <n v="382.11764705882354"/>
    <n v="477.64705882352939"/>
    <n v="573.17647058823525"/>
    <n v="668.7058823529411"/>
    <n v="511.96"/>
    <n v="8643.77"/>
    <n v="0.1"/>
    <n v="0.96719999999999995"/>
    <n v="0.8"/>
    <n v="-1159882.23"/>
    <n v="-167895.72541176472"/>
    <n v="-184685.29795294121"/>
    <n v="-203153.82774823537"/>
    <n v="-223469.21052305886"/>
    <n v="-245816.13157536477"/>
    <n v="-270397.74473290128"/>
    <n v="-297437.51920619147"/>
    <n v="-2281720.3228560002"/>
    <n v="-33579.145082352938"/>
    <n v="-36937.059590588236"/>
    <n v="-40630.765549647069"/>
    <n v="-44693.842104611766"/>
    <n v="-49163.226315072941"/>
    <n v="-54079.548946580246"/>
    <n v="-59487.503841238278"/>
    <n v="-1426978.4480324707"/>
    <n v="-1592855.4571504577"/>
    <n v="-318571.09143009147"/>
    <n v="-143.91942244794774"/>
    <n v="-6.3074961907603838E-2"/>
    <s v="Fase de Degradação"/>
  </r>
  <r>
    <n v="143"/>
    <x v="142"/>
    <s v="CEN033-CENTRO DE USINAGEM"/>
    <n v="10004173"/>
    <s v="BR01-CIL-UCI-USINA1-CEN033"/>
    <n v="4531"/>
    <n v="34596"/>
    <n v="2007"/>
    <n v="1120523.54"/>
    <n v="0"/>
    <n v="1526171.36"/>
    <n v="1.32"/>
    <n v="6084"/>
    <n v="144014"/>
    <n v="1456"/>
    <n v="82"/>
    <n v="164"/>
    <n v="246"/>
    <n v="328"/>
    <n v="410"/>
    <n v="492"/>
    <n v="574"/>
    <n v="546.12"/>
    <n v="5656"/>
    <n v="0.1"/>
    <n v="0.93579999999999997"/>
    <n v="0.8"/>
    <n v="-1120523.54"/>
    <n v="-123919.224"/>
    <n v="-136311.14640000003"/>
    <n v="-149942.26104000004"/>
    <n v="-164936.48714400004"/>
    <n v="-181430.13585840006"/>
    <n v="-199573.14944424009"/>
    <n v="-219530.46438866414"/>
    <n v="-2169109.4687319999"/>
    <n v="-24783.844799999995"/>
    <n v="-27262.22928"/>
    <n v="-29988.452208000002"/>
    <n v="-32987.297428800004"/>
    <n v="-36286.027171680005"/>
    <n v="-39914.629888848009"/>
    <n v="-43906.092877732815"/>
    <n v="-1538247.9647320001"/>
    <n v="-1175642.8682753043"/>
    <n v="-235128.57365506084"/>
    <n v="-175.51359630167946"/>
    <n v="-8.0915047779621635E-2"/>
    <s v="Fase de Degradação"/>
  </r>
  <r>
    <n v="144"/>
    <x v="143"/>
    <s v="CEN034-CENTRO DE USINAGEM"/>
    <n v="10004174"/>
    <s v="BR01-CIL-UCI-USINA1-CEN034"/>
    <n v="4531"/>
    <n v="34597"/>
    <n v="2007"/>
    <n v="1570038.08"/>
    <n v="365815"/>
    <n v="2148000.6199999982"/>
    <n v="1.43"/>
    <n v="5754"/>
    <n v="143894"/>
    <n v="1816"/>
    <n v="105"/>
    <n v="210"/>
    <n v="315"/>
    <n v="420"/>
    <n v="525"/>
    <n v="630"/>
    <n v="735"/>
    <n v="533.77"/>
    <n v="7355.74"/>
    <n v="0.1"/>
    <n v="0.93579999999999997"/>
    <n v="0.8"/>
    <n v="-1570038.08"/>
    <n v="-158746.20300000004"/>
    <n v="-174620.82330000005"/>
    <n v="-192082.90563000008"/>
    <n v="-211291.19619300007"/>
    <n v="-232420.3158123001"/>
    <n v="-255662.34739353013"/>
    <n v="-281228.5821328832"/>
    <n v="-3039279.715264"/>
    <n v="-31749.240600000001"/>
    <n v="-34924.164660000002"/>
    <n v="-38416.581126000005"/>
    <n v="-42258.239238600007"/>
    <n v="-46484.063162460014"/>
    <n v="-51132.469478706014"/>
    <n v="-56245.716426576626"/>
    <n v="-2596932.2272640001"/>
    <n v="-1506052.3734617135"/>
    <n v="-301210.47469234269"/>
    <n v="-314.32183092780417"/>
    <n v="-9.2309276895821829E-2"/>
    <s v="Fase de Degradação"/>
  </r>
  <r>
    <n v="145"/>
    <x v="144"/>
    <s v="CEN035-CENTRO DE USINAGEM"/>
    <n v="10004175"/>
    <s v="BR01-CIL-UCI-USINA1-CEN035"/>
    <n v="4531"/>
    <n v="34369"/>
    <n v="2006"/>
    <n v="1248101.46"/>
    <n v="31392"/>
    <n v="2017860.7900000024"/>
    <n v="1.27"/>
    <n v="6337"/>
    <n v="142992"/>
    <n v="1658"/>
    <n v="94"/>
    <n v="188"/>
    <n v="282"/>
    <n v="376"/>
    <n v="470"/>
    <n v="564"/>
    <n v="658"/>
    <n v="636.79"/>
    <n v="6316.43"/>
    <n v="0.1"/>
    <n v="0.96719999999999995"/>
    <n v="0.8"/>
    <n v="-1248101.46"/>
    <n v="-149220.962"/>
    <n v="-164143.0582"/>
    <n v="-180557.36402000004"/>
    <n v="-198613.10042200002"/>
    <n v="-218474.41046420005"/>
    <n v="-240321.85151062009"/>
    <n v="-264354.03666168213"/>
    <n v="-2455265.1921120002"/>
    <n v="-29844.192399999993"/>
    <n v="-32828.611639999996"/>
    <n v="-36111.472803999997"/>
    <n v="-39722.620084399998"/>
    <n v="-43694.882092840002"/>
    <n v="-48064.370302124007"/>
    <n v="-52870.807332336415"/>
    <n v="-1726986.8401120005"/>
    <n v="-1415684.7832785025"/>
    <n v="-283136.9566557004"/>
    <n v="-193.44419506988538"/>
    <n v="-7.7792868145844768E-2"/>
    <s v="Fase de Degradação"/>
  </r>
  <r>
    <n v="146"/>
    <x v="145"/>
    <s v="CEN036-CENTRO DE USINAGEM"/>
    <n v="10004176"/>
    <s v="BR01-CIL-UCI-USINA1-CEN036"/>
    <n v="4531"/>
    <n v="34675"/>
    <n v="2007"/>
    <n v="1078959.78"/>
    <n v="0"/>
    <n v="1408269.6500000013"/>
    <n v="1.4"/>
    <n v="5491"/>
    <n v="142760"/>
    <n v="1566"/>
    <n v="85"/>
    <n v="170"/>
    <n v="255"/>
    <n v="340"/>
    <n v="425"/>
    <n v="510"/>
    <n v="595"/>
    <n v="523.39"/>
    <n v="5371.11"/>
    <n v="0.1"/>
    <n v="0.93579999999999997"/>
    <n v="0.8"/>
    <n v="-1078959.78"/>
    <n v="-119835.61700000001"/>
    <n v="-131819.17870000002"/>
    <n v="-145001.09657000005"/>
    <n v="-159501.20622700005"/>
    <n v="-175451.32684970007"/>
    <n v="-192996.45953467008"/>
    <n v="-212296.10548813714"/>
    <n v="-2088650.342124"/>
    <n v="-23967.123399999997"/>
    <n v="-26363.835739999999"/>
    <n v="-29000.219314000005"/>
    <n v="-31900.2412454"/>
    <n v="-35090.265369940003"/>
    <n v="-38599.291906934006"/>
    <n v="-42459.221097627422"/>
    <n v="-1478578.1101240001"/>
    <n v="-1136900.9903695073"/>
    <n v="-227380.19807390141"/>
    <n v="-168.44707854691345"/>
    <n v="-8.0648768800437642E-2"/>
    <s v="Fase de Degradação"/>
  </r>
  <r>
    <n v="147"/>
    <x v="146"/>
    <s v="CEN037-CENTRO DE USINAGEM"/>
    <n v="10004177"/>
    <s v="BR01-CIL-UCI-USINA1-CEN037"/>
    <n v="4531"/>
    <n v="34676"/>
    <n v="2007"/>
    <n v="1089892.99"/>
    <n v="0"/>
    <n v="1667086.5099999993"/>
    <n v="1.1399999999999999"/>
    <n v="5557"/>
    <n v="142393"/>
    <n v="1492"/>
    <n v="67"/>
    <n v="134"/>
    <n v="201"/>
    <n v="268"/>
    <n v="335"/>
    <n v="402"/>
    <n v="469"/>
    <n v="618.51"/>
    <n v="6884.96"/>
    <n v="0.1"/>
    <n v="0.93579999999999997"/>
    <n v="0.8"/>
    <n v="-1089892.99"/>
    <n v="-136465.65900000001"/>
    <n v="-150112.22490000003"/>
    <n v="-165123.44739000004"/>
    <n v="-181635.79212900007"/>
    <n v="-199799.37134190009"/>
    <n v="-219779.30847609011"/>
    <n v="-241757.23932369915"/>
    <n v="-2109814.8500419999"/>
    <n v="-27293.131799999996"/>
    <n v="-30022.44498"/>
    <n v="-33024.689478"/>
    <n v="-36327.158425800008"/>
    <n v="-39959.874268380008"/>
    <n v="-43955.861695218009"/>
    <n v="-48351.447864739821"/>
    <n v="-1415080.586042"/>
    <n v="-1294673.0425606894"/>
    <n v="-258934.60851213784"/>
    <n v="-153.439487999064"/>
    <n v="-7.2726518156799161E-2"/>
    <s v="Fase de Degradação"/>
  </r>
  <r>
    <n v="148"/>
    <x v="147"/>
    <s v="CEN038-CENTRO DE USINAGEM"/>
    <n v="10004178"/>
    <s v="BR01-CIL-UCI-USINA1-CEN038"/>
    <n v="4531"/>
    <n v="34677"/>
    <n v="2007"/>
    <n v="1078959.79"/>
    <n v="0"/>
    <n v="2012994.9999999974"/>
    <n v="1.36"/>
    <n v="5739"/>
    <n v="142020"/>
    <n v="1575"/>
    <n v="88"/>
    <n v="176"/>
    <n v="264"/>
    <n v="352"/>
    <n v="440"/>
    <n v="528"/>
    <n v="616"/>
    <n v="606.22"/>
    <n v="5887.81"/>
    <n v="0.1"/>
    <n v="0.93579999999999997"/>
    <n v="0.8"/>
    <n v="-1078959.79"/>
    <n v="-136401.18800000002"/>
    <n v="-150041.30680000002"/>
    <n v="-165045.43748000005"/>
    <n v="-181549.98122800005"/>
    <n v="-199704.97935080007"/>
    <n v="-219675.4772858801"/>
    <n v="-241643.02501446815"/>
    <n v="-2088650.361482"/>
    <n v="-27280.2376"/>
    <n v="-30008.261359999997"/>
    <n v="-33009.087496"/>
    <n v="-36309.996245599999"/>
    <n v="-39940.995870160004"/>
    <n v="-43935.095457176008"/>
    <n v="-48328.605002893622"/>
    <n v="-1394244.313482"/>
    <n v="-1294061.3951591484"/>
    <n v="-258812.27903182962"/>
    <n v="-150.48589219352584"/>
    <n v="-7.2049345820977301E-2"/>
    <s v="Fase de Degradação"/>
  </r>
  <r>
    <n v="149"/>
    <x v="148"/>
    <s v="CEN039-CENTRO DE USINAGEM"/>
    <n v="10004179"/>
    <s v="BR01-CIL-UCI-USINA1-CEN039"/>
    <n v="4531"/>
    <n v="34678"/>
    <n v="2007"/>
    <n v="1078959.79"/>
    <n v="0"/>
    <n v="2142149.7799999993"/>
    <n v="1.76"/>
    <n v="5924"/>
    <n v="142192"/>
    <n v="1819"/>
    <n v="113.6875"/>
    <n v="227.375"/>
    <n v="341.0625"/>
    <n v="454.75"/>
    <n v="568.4375"/>
    <n v="682.125"/>
    <n v="795.8125"/>
    <n v="532.45000000000005"/>
    <n v="7616.62"/>
    <n v="0.1"/>
    <n v="0.93579999999999997"/>
    <n v="0.8"/>
    <n v="-1078959.79"/>
    <n v="-167125.5843125"/>
    <n v="-183838.14274375001"/>
    <n v="-202221.95701812505"/>
    <n v="-222444.15271993756"/>
    <n v="-244688.56799193131"/>
    <n v="-269157.42479112447"/>
    <n v="-296073.167270237"/>
    <n v="-2088650.361482"/>
    <n v="-33425.116862499992"/>
    <n v="-36767.628548749992"/>
    <n v="-40444.391403624999"/>
    <n v="-44488.830543987504"/>
    <n v="-48937.713598386254"/>
    <n v="-53831.484958224886"/>
    <n v="-59214.633454047384"/>
    <n v="-1237829.2049820002"/>
    <n v="-1585548.9968476053"/>
    <n v="-317109.79936952097"/>
    <n v="-117.17302342913078"/>
    <n v="-5.6099874631956481E-2"/>
    <s v="Fase de Degradação"/>
  </r>
  <r>
    <n v="150"/>
    <x v="149"/>
    <s v="CEN040-CENTRO DE USINAGEM"/>
    <n v="10004180"/>
    <s v="BR01-CIL-UCI-USINA1-CEN040"/>
    <n v="4531"/>
    <n v="34679"/>
    <n v="2007"/>
    <n v="1078959.75"/>
    <n v="0"/>
    <n v="1524263.9900000046"/>
    <n v="1.44"/>
    <n v="5372"/>
    <n v="142725"/>
    <n v="1914"/>
    <n v="105"/>
    <n v="210"/>
    <n v="315"/>
    <n v="420"/>
    <n v="525"/>
    <n v="630"/>
    <n v="735"/>
    <n v="506.2"/>
    <n v="7600.93"/>
    <n v="0.1"/>
    <n v="0.93579999999999997"/>
    <n v="0.8"/>
    <n v="-1078959.75"/>
    <n v="-158798.37600000002"/>
    <n v="-174678.21360000002"/>
    <n v="-192146.03496000008"/>
    <n v="-211360.63845600007"/>
    <n v="-232496.70230160007"/>
    <n v="-255746.37253176013"/>
    <n v="-281321.00978493621"/>
    <n v="-2088650.2840499999"/>
    <n v="-31759.675199999998"/>
    <n v="-34935.642719999996"/>
    <n v="-38429.206992000007"/>
    <n v="-42272.127691200003"/>
    <n v="-46499.340460320003"/>
    <n v="-51149.274506352012"/>
    <n v="-56264.201956987228"/>
    <n v="-1280222.18805"/>
    <n v="-1506547.3476342966"/>
    <n v="-301309.46952685923"/>
    <n v="-126.20177227750889"/>
    <n v="-6.0422643867788721E-2"/>
    <s v="Fase de Degradação"/>
  </r>
  <r>
    <n v="151"/>
    <x v="150"/>
    <s v="CEN041-CENTRO DE USINAGEM"/>
    <n v="10004181"/>
    <s v="BR01-CIL-UCI-USINA1-CEN041"/>
    <n v="4531"/>
    <n v="34917"/>
    <n v="2007"/>
    <n v="1002246.01"/>
    <n v="0"/>
    <n v="1847379.6100000003"/>
    <n v="1.68"/>
    <n v="6064"/>
    <n v="150142"/>
    <n v="1540"/>
    <n v="96.25"/>
    <n v="192.5"/>
    <n v="288.75"/>
    <n v="385"/>
    <n v="481.25"/>
    <n v="577.5"/>
    <n v="673.75"/>
    <n v="601.20000000000005"/>
    <n v="8056.34"/>
    <n v="0.1"/>
    <n v="0.93579999999999997"/>
    <n v="0.8"/>
    <n v="-1002246.01"/>
    <n v="-169995.73800000004"/>
    <n v="-186995.31180000005"/>
    <n v="-205694.84298000007"/>
    <n v="-226264.3272780001"/>
    <n v="-248890.76000580011"/>
    <n v="-273779.83600638015"/>
    <n v="-301157.8196070182"/>
    <n v="-1940147.8261579999"/>
    <n v="-33999.147600000004"/>
    <n v="-37399.062360000004"/>
    <n v="-41138.968596000006"/>
    <n v="-45252.865455600011"/>
    <n v="-49778.152001160008"/>
    <n v="-54755.96720127602"/>
    <n v="-60231.563921403627"/>
    <n v="-1074714.9781579999"/>
    <n v="-1612778.6356771986"/>
    <n v="-322555.72713543969"/>
    <n v="-92.846416802320164"/>
    <n v="-4.7855331202355009E-2"/>
    <s v="Fase de Degradação"/>
  </r>
  <r>
    <n v="152"/>
    <x v="151"/>
    <s v="CEN042-CENTRO DE USINAGEM"/>
    <n v="10004477"/>
    <s v="BR01-CIL-UCI-USINA1-CEN042"/>
    <n v="4531"/>
    <n v="34918"/>
    <n v="2007"/>
    <n v="1002246.03"/>
    <n v="0"/>
    <n v="1470998.8500000013"/>
    <n v="1.66"/>
    <n v="5901"/>
    <n v="141527"/>
    <n v="1561"/>
    <n v="97.5625"/>
    <n v="195.125"/>
    <n v="292.6875"/>
    <n v="390.25"/>
    <n v="487.8125"/>
    <n v="585.375"/>
    <n v="682.9375"/>
    <n v="429.28"/>
    <n v="6431.4"/>
    <n v="0.1"/>
    <n v="0.93579999999999997"/>
    <n v="0.8"/>
    <n v="-1002246.03"/>
    <n v="-130964.273"/>
    <n v="-144060.70030000003"/>
    <n v="-158466.77033000003"/>
    <n v="-174313.44736300004"/>
    <n v="-191744.79209930004"/>
    <n v="-210919.2713092301"/>
    <n v="-232011.19844015312"/>
    <n v="-1940147.864874"/>
    <n v="-26192.854599999995"/>
    <n v="-28812.140059999998"/>
    <n v="-31693.354066"/>
    <n v="-34862.689472600003"/>
    <n v="-38348.958419859999"/>
    <n v="-42183.854261846012"/>
    <n v="-46402.239688030611"/>
    <n v="-1273420.6568739999"/>
    <n v="-1242480.4528416833"/>
    <n v="-248496.09056833663"/>
    <n v="-135.1662146572362"/>
    <n v="-6.9667996498820661E-2"/>
    <s v="Fase de Degradação"/>
  </r>
  <r>
    <n v="153"/>
    <x v="152"/>
    <s v="CEN043-CENTRO DE USINAGEM"/>
    <n v="10004772"/>
    <s v="BR01-CIL-UCI-USINA2-CEN043"/>
    <n v="4531"/>
    <n v="40206"/>
    <n v="2011"/>
    <n v="1204729.6200000001"/>
    <n v="19234"/>
    <n v="780071.1099999994"/>
    <n v="2.39"/>
    <n v="4591"/>
    <n v="140757"/>
    <n v="705"/>
    <n v="57"/>
    <n v="114"/>
    <n v="171"/>
    <n v="228"/>
    <n v="285"/>
    <n v="342"/>
    <n v="399"/>
    <n v="584.71"/>
    <n v="3843.92"/>
    <n v="0.1"/>
    <n v="0.73"/>
    <n v="0.8"/>
    <n v="-1204729.6200000001"/>
    <n v="-87401.061000000016"/>
    <n v="-96141.167100000021"/>
    <n v="-105755.28381000005"/>
    <n v="-116330.81219100005"/>
    <n v="-127963.89341010006"/>
    <n v="-140760.28275111009"/>
    <n v="-154836.31102622111"/>
    <n v="-2084182.2426000002"/>
    <n v="-17480.212199999998"/>
    <n v="-19228.23342"/>
    <n v="-21151.056762000007"/>
    <n v="-23266.162438200005"/>
    <n v="-25592.778682020005"/>
    <n v="-28152.056550222012"/>
    <n v="-30967.262205244217"/>
    <n v="-1658465.3866000008"/>
    <n v="-829188.81128843152"/>
    <n v="-165837.76225768623"/>
    <n v="-205.72359908132213"/>
    <n v="-9.7804511971929242E-2"/>
    <s v="Fase de Degradação"/>
  </r>
  <r>
    <n v="154"/>
    <x v="153"/>
    <s v="CEN044-CENTRO DE USINAGEM"/>
    <n v="10004773"/>
    <s v="BR01-CIL-UCI-USINA2-CEN044"/>
    <n v="4531"/>
    <n v="40207"/>
    <n v="2011"/>
    <n v="1183807.4099999999"/>
    <n v="11016"/>
    <n v="607632.25000000012"/>
    <n v="1.3"/>
    <n v="5592"/>
    <n v="105295"/>
    <n v="668"/>
    <n v="47"/>
    <n v="94"/>
    <n v="141"/>
    <n v="188"/>
    <n v="235"/>
    <n v="282"/>
    <n v="329"/>
    <n v="467.55"/>
    <n v="2895.28"/>
    <n v="0.1"/>
    <n v="0.73"/>
    <n v="0.8"/>
    <n v="-1183807.4099999999"/>
    <n v="-62390.03100000001"/>
    <n v="-68629.034100000019"/>
    <n v="-75491.937510000032"/>
    <n v="-83041.131261000031"/>
    <n v="-91345.244387100043"/>
    <n v="-100479.76882581005"/>
    <n v="-110527.74570839108"/>
    <n v="-2047986.8192999999"/>
    <n v="-12478.0062"/>
    <n v="-13725.806820000002"/>
    <n v="-15098.387502000003"/>
    <n v="-16608.226252200002"/>
    <n v="-18269.048877420006"/>
    <n v="-20095.953765162005"/>
    <n v="-22105.549141678213"/>
    <n v="-1741380.8432999998"/>
    <n v="-591904.89279230137"/>
    <n v="-118380.97855846024"/>
    <n v="-226.49698643802267"/>
    <n v="-0.11000324249921375"/>
    <s v="Fase de Degradação"/>
  </r>
  <r>
    <n v="155"/>
    <x v="154"/>
    <s v="CEN045-CENTRO DE USINAGEM"/>
    <n v="10004774"/>
    <s v="BR01-CIL-UCI-USINA2-CEN045"/>
    <n v="4531"/>
    <n v="40332"/>
    <n v="2011"/>
    <n v="962550.99"/>
    <n v="8678"/>
    <n v="706637.04000000085"/>
    <n v="1.57"/>
    <n v="4704"/>
    <n v="102674"/>
    <n v="936"/>
    <n v="69"/>
    <n v="138"/>
    <n v="207"/>
    <n v="276"/>
    <n v="345"/>
    <n v="414"/>
    <n v="483"/>
    <n v="461.07"/>
    <n v="3890.87"/>
    <n v="0.1"/>
    <n v="0.73"/>
    <n v="0.8"/>
    <n v="-962550.99"/>
    <n v="-86354.697000000015"/>
    <n v="-94990.166700000016"/>
    <n v="-104489.18337000004"/>
    <n v="-114938.10170700004"/>
    <n v="-126431.91187770005"/>
    <n v="-139075.10306547006"/>
    <n v="-152982.61337201711"/>
    <n v="-1665213.2127"/>
    <n v="-17270.939399999999"/>
    <n v="-18998.033339999998"/>
    <n v="-20897.836674000006"/>
    <n v="-22987.620341400001"/>
    <n v="-25286.382375540004"/>
    <n v="-27815.020613094006"/>
    <n v="-30596.522674403415"/>
    <n v="-1234267.3007"/>
    <n v="-819261.77709218743"/>
    <n v="-163852.35541843742"/>
    <n v="-145.49739871803573"/>
    <n v="-8.6921657521188161E-2"/>
    <s v="Fase de Degradação"/>
  </r>
  <r>
    <n v="156"/>
    <x v="155"/>
    <s v="CEN046-CENTRO DE USINAGEM"/>
    <n v="10004775"/>
    <s v="BR01-CIL-UCI-USINA2-CEN046"/>
    <n v="4531"/>
    <n v="40333"/>
    <n v="2011"/>
    <n v="962720.57"/>
    <n v="8728"/>
    <n v="920557.4599999995"/>
    <n v="1.8"/>
    <n v="3328"/>
    <n v="104671"/>
    <n v="909"/>
    <n v="53"/>
    <n v="106"/>
    <n v="159"/>
    <n v="212"/>
    <n v="265"/>
    <n v="318"/>
    <n v="371"/>
    <n v="455.65"/>
    <n v="4118.88"/>
    <n v="0.1"/>
    <n v="0.73"/>
    <n v="0.8"/>
    <n v="-962720.57"/>
    <n v="-80933.611000000004"/>
    <n v="-89026.972100000014"/>
    <n v="-97929.669310000027"/>
    <n v="-107722.63624100001"/>
    <n v="-118494.89986510003"/>
    <n v="-130344.38985161005"/>
    <n v="-143378.82883677108"/>
    <n v="-1665506.5861"/>
    <n v="-16186.722199999997"/>
    <n v="-17805.394420000001"/>
    <n v="-19585.933862000002"/>
    <n v="-21544.527248199996"/>
    <n v="-23698.979973019999"/>
    <n v="-26068.877970322003"/>
    <n v="-28675.765767354209"/>
    <n v="-1262208.9301"/>
    <n v="-767831.00720448128"/>
    <n v="-153566.20144089623"/>
    <n v="-151.42425433377355"/>
    <n v="-9.0443869449922568E-2"/>
    <s v="Fase de Degradação"/>
  </r>
  <r>
    <n v="157"/>
    <x v="156"/>
    <s v="CEN047-CENTRO DE USINAGEM"/>
    <n v="10004776"/>
    <s v="BR01-CIL-UCI-USINA2-CEN047"/>
    <n v="4531"/>
    <n v="40334"/>
    <n v="2011"/>
    <n v="963979.99"/>
    <n v="8769"/>
    <n v="721288.87"/>
    <n v="1.44"/>
    <n v="5844"/>
    <n v="102368"/>
    <n v="1007"/>
    <n v="84"/>
    <n v="168"/>
    <n v="252"/>
    <n v="336"/>
    <n v="420"/>
    <n v="504"/>
    <n v="588"/>
    <n v="395.11"/>
    <n v="3852.24"/>
    <n v="0.1"/>
    <n v="0.73"/>
    <n v="0.8"/>
    <n v="-963979.99"/>
    <n v="-87357.732000000004"/>
    <n v="-96093.505200000014"/>
    <n v="-105702.85572000002"/>
    <n v="-116273.14129200003"/>
    <n v="-127900.45542120004"/>
    <n v="-140690.50096332005"/>
    <n v="-154759.55105965209"/>
    <n v="-1667685.3827"/>
    <n v="-17471.546399999996"/>
    <n v="-19218.70104"/>
    <n v="-21140.571144000001"/>
    <n v="-23254.6282584"/>
    <n v="-25580.091084240001"/>
    <n v="-28138.100192664006"/>
    <n v="-30951.910211930412"/>
    <n v="-1231724.1107000001"/>
    <n v="-828777.74165617232"/>
    <n v="-165755.5483312344"/>
    <n v="-144.77602705358029"/>
    <n v="-8.6358464952927885E-2"/>
    <s v="Fase de Degradação"/>
  </r>
  <r>
    <n v="158"/>
    <x v="157"/>
    <s v="CEN048-CENTRO DE USINAGEM"/>
    <n v="10004777"/>
    <s v="BR01-CIL-UCI-USINA2-CEN048"/>
    <n v="4531"/>
    <n v="41564"/>
    <n v="2012"/>
    <n v="1081357.25"/>
    <n v="13073"/>
    <n v="748247.16999999993"/>
    <n v="1.43"/>
    <n v="5717"/>
    <n v="96151"/>
    <n v="853"/>
    <n v="74"/>
    <n v="148"/>
    <n v="222"/>
    <n v="296"/>
    <n v="370"/>
    <n v="444"/>
    <n v="518"/>
    <n v="431.06"/>
    <n v="4600.1000000000004"/>
    <n v="0.1"/>
    <n v="0.66500000000000004"/>
    <n v="0.8"/>
    <n v="-1081357.25"/>
    <n v="-95809.604000000007"/>
    <n v="-105390.56440000002"/>
    <n v="-115929.62084000003"/>
    <n v="-127522.58292400003"/>
    <n v="-140274.84121640003"/>
    <n v="-154302.32533804007"/>
    <n v="-169732.5578718441"/>
    <n v="-1800459.82125"/>
    <n v="-19161.920799999996"/>
    <n v="-21078.112880000001"/>
    <n v="-23185.924168000001"/>
    <n v="-25504.5165848"/>
    <n v="-28054.96824328"/>
    <n v="-30860.465067608009"/>
    <n v="-33946.511574368815"/>
    <n v="-1325774.8372499999"/>
    <n v="-908962.09659028426"/>
    <n v="-181792.41931805681"/>
    <n v="-155.1947348539675"/>
    <n v="-8.5575917367184784E-2"/>
    <s v="Fase de Degradação"/>
  </r>
  <r>
    <n v="159"/>
    <x v="158"/>
    <s v="CEN049-CENTRO DE USINAGEM"/>
    <n v="10004778"/>
    <s v="BR01-CIL-UCI-USINA2-CEN049"/>
    <n v="4531"/>
    <n v="41561"/>
    <n v="2012"/>
    <n v="1111731.55"/>
    <n v="17569"/>
    <n v="650735.12000000011"/>
    <n v="1.32"/>
    <n v="5850"/>
    <n v="96280"/>
    <n v="814"/>
    <n v="66"/>
    <n v="132"/>
    <n v="198"/>
    <n v="264"/>
    <n v="330"/>
    <n v="396"/>
    <n v="462"/>
    <n v="444.35"/>
    <n v="3630.74"/>
    <n v="0.1"/>
    <n v="0.66500000000000004"/>
    <n v="0.8"/>
    <n v="-1111731.55"/>
    <n v="-80185.578000000009"/>
    <n v="-88204.135800000004"/>
    <n v="-97024.549380000026"/>
    <n v="-106727.00431800002"/>
    <n v="-117399.70474980003"/>
    <n v="-129139.67522478005"/>
    <n v="-142053.64274725807"/>
    <n v="-1851033.0307500002"/>
    <n v="-16037.115599999997"/>
    <n v="-17640.827159999997"/>
    <n v="-19404.909876000002"/>
    <n v="-21345.4008636"/>
    <n v="-23479.940949960001"/>
    <n v="-25827.935044956004"/>
    <n v="-28410.728549451607"/>
    <n v="-1460384.5427500003"/>
    <n v="-760734.29021983827"/>
    <n v="-152146.8580439676"/>
    <n v="-180.00208551058989"/>
    <n v="-9.6329813704816816E-2"/>
    <s v="Fase de Degradação"/>
  </r>
  <r>
    <n v="160"/>
    <x v="159"/>
    <s v="CEN050-CENTRO USINAGEM"/>
    <n v="10004229"/>
    <s v="BR01-MOT-UMG-MISCEL-CEN050"/>
    <n v="2370"/>
    <n v="900000002474"/>
    <n v="2005"/>
    <n v="257233.01"/>
    <n v="0"/>
    <n v="1075929.1700000004"/>
    <n v="0.78"/>
    <n v="2506.1579999999999"/>
    <n v="150019"/>
    <n v="575"/>
    <n v="8"/>
    <n v="16"/>
    <n v="24"/>
    <n v="32"/>
    <n v="40"/>
    <n v="48"/>
    <n v="56"/>
    <n v="527.07000000000005"/>
    <n v="5555.4263888888827"/>
    <n v="0.1"/>
    <n v="1.0241"/>
    <n v="0.8"/>
    <n v="-257233.01"/>
    <n v="-77969.844333333254"/>
    <n v="-85766.828766666586"/>
    <n v="-94343.511643333259"/>
    <n v="-103777.86280766659"/>
    <n v="-114155.64908843326"/>
    <n v="-125571.2139972766"/>
    <n v="-138128.33539700427"/>
    <n v="-520665.33554099995"/>
    <n v="-15593.968866666648"/>
    <n v="-17153.365753333313"/>
    <n v="-18868.702328666648"/>
    <n v="-20755.572561533314"/>
    <n v="-22831.129817686648"/>
    <n v="-25114.242799455315"/>
    <n v="-27625.667079400846"/>
    <n v="-123727.94620766694"/>
    <n v="-739713.2460337138"/>
    <n v="-147942.64920674273"/>
    <n v="10.157894469424434"/>
    <n v="1.9509450266877903E-2"/>
    <s v="Confiabilidade em Crescimento"/>
  </r>
  <r>
    <n v="161"/>
    <x v="160"/>
    <s v="CEN051-CENTRO DE USINAGEM"/>
    <n v="10004462"/>
    <s v="BR01-MOT-UMG-CARTER-CEN051"/>
    <n v="2370"/>
    <n v="33969"/>
    <n v="2006"/>
    <n v="459538.02"/>
    <n v="43471"/>
    <n v="1321099.7299999974"/>
    <n v="1.79"/>
    <n v="3054.2759999999998"/>
    <n v="149139"/>
    <n v="583"/>
    <n v="22"/>
    <n v="44"/>
    <n v="66"/>
    <n v="88"/>
    <n v="110"/>
    <n v="132"/>
    <n v="154"/>
    <n v="595.59"/>
    <n v="4557.59"/>
    <n v="0.1"/>
    <n v="0.96719999999999995"/>
    <n v="0.8"/>
    <n v="-459538.02"/>
    <n v="-74573.466"/>
    <n v="-82030.812600000005"/>
    <n v="-90233.893860000026"/>
    <n v="-99257.283246000021"/>
    <n v="-109183.01157060004"/>
    <n v="-120101.31272766006"/>
    <n v="-132111.44400042607"/>
    <n v="-904003.19294400001"/>
    <n v="-14914.693199999996"/>
    <n v="-16406.162519999998"/>
    <n v="-18046.778772000001"/>
    <n v="-19851.456649200001"/>
    <n v="-21836.602314120002"/>
    <n v="-24020.262545532005"/>
    <n v="-26422.288800085207"/>
    <n v="-567827.45694400009"/>
    <n v="-707491.22400468623"/>
    <n v="-141498.24480093722"/>
    <n v="-54.497316248607291"/>
    <n v="-5.751852309483254E-2"/>
    <s v="Fase de Degradação"/>
  </r>
  <r>
    <n v="162"/>
    <x v="161"/>
    <s v="CEN052-CENTRO USINAGEM"/>
    <n v="10004463"/>
    <s v="BR01-MOT-SAB-FINALL-CEN052"/>
    <n v="2537"/>
    <n v="34043"/>
    <n v="2006"/>
    <n v="466236.01"/>
    <n v="0"/>
    <n v="590999.61000000022"/>
    <n v="0.86"/>
    <n v="5512"/>
    <n v="147880"/>
    <n v="244"/>
    <n v="8"/>
    <n v="16"/>
    <n v="24"/>
    <n v="32"/>
    <n v="40"/>
    <n v="48"/>
    <n v="56"/>
    <n v="399.24"/>
    <n v="1048.47"/>
    <n v="0.1"/>
    <n v="0.96719999999999995"/>
    <n v="0.8"/>
    <n v="-466236.01"/>
    <n v="-17353.116000000002"/>
    <n v="-19088.427600000003"/>
    <n v="-20997.270360000006"/>
    <n v="-23096.997396000006"/>
    <n v="-25406.697135600007"/>
    <n v="-27947.366849160011"/>
    <n v="-30742.103534076017"/>
    <n v="-917179.47887200001"/>
    <n v="-3470.6231999999995"/>
    <n v="-3817.6855199999995"/>
    <n v="-4199.4540720000005"/>
    <n v="-4619.3994792000003"/>
    <n v="-5081.3394271200004"/>
    <n v="-5589.4733698320006"/>
    <n v="-6148.4207068152018"/>
    <n v="-828836.34287200007"/>
    <n v="-164631.97887483606"/>
    <n v="-32926.395774967204"/>
    <n v="-112.21055653887586"/>
    <n v="-0.12234307365541895"/>
    <s v="Confiabilidade em Crescimento"/>
  </r>
  <r>
    <n v="163"/>
    <x v="162"/>
    <s v="CEN053-CENTRO DE USINAGEM"/>
    <n v="10004530"/>
    <s v="BR01-MOT-UMG-CARTER-CEN053"/>
    <n v="2342"/>
    <n v="34420"/>
    <n v="2006"/>
    <n v="248236.7"/>
    <n v="0"/>
    <n v="1064510.6599999983"/>
    <n v="1.51"/>
    <n v="4835.0807999999997"/>
    <n v="140945"/>
    <n v="509"/>
    <n v="27"/>
    <n v="54"/>
    <n v="81"/>
    <n v="108"/>
    <n v="135"/>
    <n v="162"/>
    <n v="189"/>
    <n v="562.89"/>
    <n v="6192.8645960000003"/>
    <n v="0.1"/>
    <n v="0.96719999999999995"/>
    <n v="0.8"/>
    <n v="-248236.7"/>
    <n v="-98463.64566720002"/>
    <n v="-108310.01023392002"/>
    <n v="-119141.01125731204"/>
    <n v="-131055.11238304325"/>
    <n v="-144160.62362134759"/>
    <n v="-158576.68598348237"/>
    <n v="-174434.35458183062"/>
    <n v="-488331.23624000006"/>
    <n v="-19692.72913344"/>
    <n v="-21662.002046784"/>
    <n v="-23828.202251462404"/>
    <n v="-26211.022476608643"/>
    <n v="-28832.124724269514"/>
    <n v="-31715.337196696466"/>
    <n v="-34886.870916366119"/>
    <n v="12938.232611199841"/>
    <n v="-934141.4437281359"/>
    <n v="-186828.28874562713"/>
    <n v="36.997416963215528"/>
    <n v="7.5762953949217393E-2"/>
    <s v="Fase de Degradação"/>
  </r>
  <r>
    <n v="164"/>
    <x v="163"/>
    <s v="CEN054-CENTRO DE USINAGEM"/>
    <n v="10004634"/>
    <s v="BR01-MOT-UMG-CARTER-CEN054"/>
    <n v="2370"/>
    <n v="34343"/>
    <n v="2006"/>
    <n v="364123.39"/>
    <n v="0"/>
    <n v="1051073.0599999994"/>
    <n v="1.27"/>
    <n v="3054.2759999999998"/>
    <n v="143555"/>
    <n v="483"/>
    <n v="13"/>
    <n v="26"/>
    <n v="39"/>
    <n v="52"/>
    <n v="65"/>
    <n v="78"/>
    <n v="91"/>
    <n v="620.82000000000005"/>
    <n v="3325.67"/>
    <n v="0.1"/>
    <n v="0.96719999999999995"/>
    <n v="0.8"/>
    <n v="-364123.39"/>
    <n v="-52776.570000000007"/>
    <n v="-58054.227000000014"/>
    <n v="-63859.649700000024"/>
    <n v="-70245.614670000024"/>
    <n v="-77270.176137000031"/>
    <n v="-84997.19375070004"/>
    <n v="-93496.913125770065"/>
    <n v="-716303.53280800011"/>
    <n v="-10555.313999999998"/>
    <n v="-11610.8454"/>
    <n v="-12771.929940000002"/>
    <n v="-14049.122934000001"/>
    <n v="-15454.035227400003"/>
    <n v="-16999.438750140005"/>
    <n v="-18699.382625154009"/>
    <n v="-447622.81280800002"/>
    <n v="-500700.34438347019"/>
    <n v="-100140.06887669401"/>
    <n v="-45.106179614460565"/>
    <n v="-6.2970762461045882E-2"/>
    <s v="Fase de Degradação"/>
  </r>
  <r>
    <n v="165"/>
    <x v="164"/>
    <s v="CEN055-CENTRO USINAGEM"/>
    <n v="10004635"/>
    <s v="BR01-MOT-UMG-MISCEL-CEN055"/>
    <n v="2370"/>
    <n v="34344"/>
    <n v="2006"/>
    <n v="271461.53999999998"/>
    <n v="0"/>
    <n v="1256241.8699999996"/>
    <n v="1.57"/>
    <n v="2506.1579999999999"/>
    <n v="140839"/>
    <n v="583"/>
    <n v="17"/>
    <n v="34"/>
    <n v="51"/>
    <n v="68"/>
    <n v="85"/>
    <n v="102"/>
    <n v="119"/>
    <n v="637.12"/>
    <n v="5734.49"/>
    <n v="0.1"/>
    <n v="0.96719999999999995"/>
    <n v="0.8"/>
    <n v="-271461.53999999998"/>
    <n v="-87609.412000000026"/>
    <n v="-96370.353200000027"/>
    <n v="-106007.38852000005"/>
    <n v="-116608.12737200005"/>
    <n v="-128268.94010920006"/>
    <n v="-141095.8341201201"/>
    <n v="-155205.41753213212"/>
    <n v="-534019.14148799994"/>
    <n v="-17521.882400000002"/>
    <n v="-19274.070640000002"/>
    <n v="-21201.477704000004"/>
    <n v="-23321.625474400003"/>
    <n v="-25653.788021840006"/>
    <n v="-28219.166824024014"/>
    <n v="-31041.083506426417"/>
    <n v="-88007.58948799991"/>
    <n v="-831165.47285345255"/>
    <n v="-166233.09457069047"/>
    <n v="18.701890970680296"/>
    <n v="3.5021012390246971E-2"/>
    <s v="Fase de Degradação"/>
  </r>
  <r>
    <n v="166"/>
    <x v="165"/>
    <s v="CEN056-CENTRO DE USINAGEM"/>
    <n v="10004867"/>
    <s v="BR01-MOT-VIR-LBIELA-CEN056"/>
    <n v="3340"/>
    <n v="34776"/>
    <n v="2007"/>
    <n v="230268.1"/>
    <n v="0"/>
    <n v="1406268.1599999997"/>
    <n v="1.1499999999999999"/>
    <n v="4800"/>
    <n v="140073"/>
    <n v="947"/>
    <n v="37"/>
    <n v="74"/>
    <n v="111"/>
    <n v="148"/>
    <n v="185"/>
    <n v="222"/>
    <n v="259"/>
    <n v="732.77"/>
    <n v="7676.11"/>
    <n v="0.1"/>
    <n v="0.93579999999999997"/>
    <n v="0.8"/>
    <n v="-230268.1"/>
    <n v="-131148.391"/>
    <n v="-144263.23010000002"/>
    <n v="-158689.55311000004"/>
    <n v="-174558.50842100004"/>
    <n v="-192014.35926310005"/>
    <n v="-211215.7951894101"/>
    <n v="-232337.37470835113"/>
    <n v="-445752.98797999998"/>
    <n v="-26229.678199999995"/>
    <n v="-28852.646019999996"/>
    <n v="-31737.910621999999"/>
    <n v="-34911.701684200001"/>
    <n v="-38402.871852620003"/>
    <n v="-42243.159037882011"/>
    <n v="-46467.474941670218"/>
    <n v="221911.54801999999"/>
    <n v="-1244227.2117918613"/>
    <n v="-248845.44235837224"/>
    <n v="78.518397350498418"/>
    <n v="0.1761477757138924"/>
    <s v="Fase de Degradação"/>
  </r>
  <r>
    <n v="167"/>
    <x v="166"/>
    <s v="CEN057-CENTRO DE USINAGEM"/>
    <n v="10004868"/>
    <s v="BR01-MOT-VIR-LBIELA-CEN057"/>
    <n v="3340"/>
    <n v="34775"/>
    <n v="2007"/>
    <n v="210230.48"/>
    <n v="0"/>
    <n v="1033536.4599999991"/>
    <n v="1.22"/>
    <n v="4800"/>
    <n v="139930"/>
    <n v="909"/>
    <n v="38"/>
    <n v="76"/>
    <n v="114"/>
    <n v="152"/>
    <n v="190"/>
    <n v="228"/>
    <n v="266"/>
    <n v="699.67"/>
    <n v="6122.87"/>
    <n v="0.1"/>
    <n v="0.93579999999999997"/>
    <n v="0.8"/>
    <n v="-210230.48"/>
    <n v="-110068.09"/>
    <n v="-121074.899"/>
    <n v="-133182.38890000002"/>
    <n v="-146500.62779000003"/>
    <n v="-161150.69056900006"/>
    <n v="-177265.75962590007"/>
    <n v="-194992.3355884901"/>
    <n v="-406964.163184"/>
    <n v="-22013.617999999995"/>
    <n v="-24214.979799999997"/>
    <n v="-26636.477779999997"/>
    <n v="-29300.125558"/>
    <n v="-32230.138113800003"/>
    <n v="-35453.151925180005"/>
    <n v="-38998.467117698012"/>
    <n v="153382.47681599983"/>
    <n v="-1044234.7914733903"/>
    <n v="-208846.95829467804"/>
    <n v="61.203381427816026"/>
    <n v="0.15039010056554844"/>
    <s v="Fase de Degradação"/>
  </r>
  <r>
    <n v="168"/>
    <x v="167"/>
    <s v="CEN058-CENTRO DE USINAGEM MIKRON VCE800"/>
    <n v="10004973"/>
    <s v="BR01-CIL-FER-FABMOL"/>
    <n v="1075"/>
    <n v="34911"/>
    <n v="2007"/>
    <n v="405492.45"/>
    <n v="0"/>
    <n v="922479.63999999932"/>
    <n v="2"/>
    <n v="3370"/>
    <n v="136162"/>
    <n v="384"/>
    <n v="20"/>
    <n v="40"/>
    <n v="60"/>
    <n v="80"/>
    <n v="100"/>
    <n v="120"/>
    <n v="140"/>
    <n v="896.56"/>
    <n v="4228.43"/>
    <n v="0.1"/>
    <n v="0.93579999999999997"/>
    <n v="0.8"/>
    <n v="-405492.45"/>
    <n v="-75539.596000000005"/>
    <n v="-83093.555600000007"/>
    <n v="-91402.911160000032"/>
    <n v="-100543.20227600003"/>
    <n v="-110597.52250360003"/>
    <n v="-121657.27475396005"/>
    <n v="-133823.00222935609"/>
    <n v="-784952.28471000004"/>
    <n v="-15107.919199999998"/>
    <n v="-16618.711119999996"/>
    <n v="-18280.582232000001"/>
    <n v="-20108.640455200002"/>
    <n v="-22119.504500720002"/>
    <n v="-24331.454950792006"/>
    <n v="-26764.600445871212"/>
    <n v="-400387.06871000008"/>
    <n v="-716657.06452291622"/>
    <n v="-143331.41290458321"/>
    <n v="-30.232376155952451"/>
    <n v="-3.8514922174055173E-2"/>
    <s v="Fase de Degradação"/>
  </r>
  <r>
    <n v="169"/>
    <x v="168"/>
    <s v="CEN059-CENTRO DE USINAGEM"/>
    <n v="10005079"/>
    <s v="BR01-MOT-UMG-CARTER-CEN059"/>
    <n v="2379"/>
    <n v="34912"/>
    <n v="2007"/>
    <n v="870237.82"/>
    <n v="77092"/>
    <n v="1260195.4700000002"/>
    <n v="1.54"/>
    <n v="4835.0807999999997"/>
    <n v="133518"/>
    <n v="655"/>
    <n v="37"/>
    <n v="74"/>
    <n v="111"/>
    <n v="148"/>
    <n v="185"/>
    <n v="222"/>
    <n v="259"/>
    <n v="625.28"/>
    <n v="5631.84"/>
    <n v="0.1"/>
    <n v="0.93579999999999997"/>
    <n v="0.8"/>
    <n v="-870237.82"/>
    <n v="-99789.184000000008"/>
    <n v="-109768.10240000002"/>
    <n v="-120744.91264000004"/>
    <n v="-132819.40390400004"/>
    <n v="-146101.34429440004"/>
    <n v="-160711.47872384009"/>
    <n v="-176782.62659622412"/>
    <n v="-1684606.3719559999"/>
    <n v="-19957.836799999997"/>
    <n v="-21953.620479999998"/>
    <n v="-24148.982528000004"/>
    <n v="-26563.880780800002"/>
    <n v="-29220.268858880001"/>
    <n v="-32142.295744768009"/>
    <n v="-35356.525319244814"/>
    <n v="-1253680.7079559998"/>
    <n v="-946717.05255846446"/>
    <n v="-189343.41051169281"/>
    <n v="-143.47496141560404"/>
    <n v="-8.1441274908090486E-2"/>
    <s v="Fase de Degradação"/>
  </r>
  <r>
    <n v="170"/>
    <x v="169"/>
    <s v="CEN060-CENTRO DE USINAGEM DECKEL MAHO"/>
    <n v="10005081"/>
    <s v="BR01-CIL-FER-FABMOL"/>
    <n v="1075"/>
    <n v="34598"/>
    <n v="2006"/>
    <n v="233330.31"/>
    <n v="0"/>
    <n v="569931.07999999984"/>
    <n v="1.18"/>
    <n v="3207"/>
    <n v="93482"/>
    <n v="254"/>
    <n v="12"/>
    <n v="24"/>
    <n v="36"/>
    <n v="48"/>
    <n v="60"/>
    <n v="72"/>
    <n v="84"/>
    <n v="624.66999999999996"/>
    <n v="3753.7217777777778"/>
    <n v="0.1"/>
    <n v="0.96719999999999995"/>
    <n v="0.8"/>
    <n v="-233330.31"/>
    <n v="-57794.77146666668"/>
    <n v="-63574.248613333351"/>
    <n v="-69931.673474666692"/>
    <n v="-76924.840822133367"/>
    <n v="-84617.324904346708"/>
    <n v="-93079.057394781383"/>
    <n v="-102386.96313425954"/>
    <n v="-459007.385832"/>
    <n v="-11558.954293333334"/>
    <n v="-12714.849722666668"/>
    <n v="-13986.334694933335"/>
    <n v="-15384.968164426669"/>
    <n v="-16923.464980869339"/>
    <n v="-18615.811478956271"/>
    <n v="-20477.392626851903"/>
    <n v="-164779.45836533332"/>
    <n v="-548308.87981018773"/>
    <n v="-109661.77596203751"/>
    <n v="-2.9086117119785513"/>
    <n v="-6.3367427230095249E-3"/>
    <s v="Fase de Degradação"/>
  </r>
  <r>
    <n v="171"/>
    <x v="170"/>
    <s v="CEN061-CENTRO DE USINAGEM"/>
    <n v="10005285"/>
    <s v="BR01-MOT-UMG-CARTER-CEN061"/>
    <n v="2352"/>
    <n v="35249"/>
    <n v="2008"/>
    <n v="367847.82"/>
    <n v="0"/>
    <n v="235299.75"/>
    <n v="1.63"/>
    <n v="4044.3242042648785"/>
    <n v="125089"/>
    <n v="138"/>
    <n v="8"/>
    <n v="16"/>
    <n v="24"/>
    <n v="32"/>
    <n v="40"/>
    <n v="48"/>
    <n v="56"/>
    <n v="541.42999999999995"/>
    <n v="1588.256275"/>
    <n v="0.1"/>
    <n v="0.89119999999999999"/>
    <n v="0.8"/>
    <n v="-367847.82"/>
    <n v="-25729.56683"/>
    <n v="-28302.523513000004"/>
    <n v="-31132.775864300009"/>
    <n v="-34246.053450730011"/>
    <n v="-37670.658795803014"/>
    <n v="-41437.724675383317"/>
    <n v="-45581.497142921653"/>
    <n v="-695673.79718400002"/>
    <n v="-5145.9133659999989"/>
    <n v="-5660.5047025999993"/>
    <n v="-6226.5551728600003"/>
    <n v="-6849.2106901460011"/>
    <n v="-7534.1317591606012"/>
    <n v="-8287.5449350766612"/>
    <n v="-9116.2994285843288"/>
    <n v="-564686.91150399996"/>
    <n v="-244100.80027213803"/>
    <n v="-48820.160054427593"/>
    <n v="-71.484736709469928"/>
    <n v="-0.10275611500509454"/>
    <s v="Fase de Degradação"/>
  </r>
  <r>
    <n v="172"/>
    <x v="171"/>
    <s v="CEN062-CENTRO USINAGEM"/>
    <n v="10005298"/>
    <s v="BR01-MOT-SAB-FINALL-CEN062"/>
    <n v="2537"/>
    <n v="35606"/>
    <n v="2008"/>
    <n v="360687.06"/>
    <n v="754"/>
    <n v="707074.41000000027"/>
    <n v="1.1399999999999999"/>
    <n v="5512"/>
    <n v="125976"/>
    <n v="176"/>
    <n v="9"/>
    <n v="18"/>
    <n v="27"/>
    <n v="36"/>
    <n v="45"/>
    <n v="54"/>
    <n v="63"/>
    <n v="534.32000000000005"/>
    <n v="1338.26"/>
    <n v="0.1"/>
    <n v="0.89119999999999999"/>
    <n v="0.8"/>
    <n v="-360687.06"/>
    <n v="-22954.800000000003"/>
    <n v="-25250.280000000002"/>
    <n v="-27775.308000000008"/>
    <n v="-30552.838800000009"/>
    <n v="-33608.122680000015"/>
    <n v="-36968.934948000016"/>
    <n v="-40665.828442800026"/>
    <n v="-682131.36787199997"/>
    <n v="-4590.9599999999991"/>
    <n v="-5050.0559999999996"/>
    <n v="-5555.0616"/>
    <n v="-6110.5677600000008"/>
    <n v="-6721.6245360000012"/>
    <n v="-7393.786989600002"/>
    <n v="-8133.1656885600032"/>
    <n v="-566024.56787199993"/>
    <n v="-217776.11287080008"/>
    <n v="-43555.222574160012"/>
    <n v="-72.666353939337114"/>
    <n v="-0.10641076432165947"/>
    <s v="Fase de Degradação"/>
  </r>
  <r>
    <n v="173"/>
    <x v="172"/>
    <s v="CEN064-CENTRO DE USINAGEM DECKEL MAHO"/>
    <n v="10005711"/>
    <s v="BR01-CIL-FER-MANMOL"/>
    <n v="1075"/>
    <n v="36927"/>
    <n v="2006"/>
    <n v="233330.31"/>
    <n v="0"/>
    <n v="698296.86"/>
    <n v="1.88"/>
    <n v="3043"/>
    <n v="106467"/>
    <n v="256"/>
    <n v="14"/>
    <n v="28"/>
    <n v="42"/>
    <n v="56"/>
    <n v="70"/>
    <n v="84"/>
    <n v="98"/>
    <n v="683.09"/>
    <n v="2486.39"/>
    <n v="0.1"/>
    <n v="0.96719999999999995"/>
    <n v="0.8"/>
    <n v="-233330.31"/>
    <n v="-43339.934000000008"/>
    <n v="-47673.927400000008"/>
    <n v="-52441.320140000018"/>
    <n v="-57685.452154000021"/>
    <n v="-63453.997369400029"/>
    <n v="-69799.397106340039"/>
    <n v="-76779.336816974057"/>
    <n v="-459007.385832"/>
    <n v="-8667.9868000000006"/>
    <n v="-9534.7854799999986"/>
    <n v="-10488.264028000001"/>
    <n v="-11537.090430800001"/>
    <n v="-12690.799473880003"/>
    <n v="-13959.879421268004"/>
    <n v="-15355.867363394807"/>
    <n v="-238367.72183199995"/>
    <n v="-411173.36498671421"/>
    <n v="-82234.672997342816"/>
    <n v="-18.581241977518381"/>
    <n v="-4.0481357274541219E-2"/>
    <s v="Fase de Degradação"/>
  </r>
  <r>
    <n v="174"/>
    <x v="173"/>
    <s v="CEN065-CENTRO DE USINAGEM"/>
    <n v="10005869"/>
    <s v="BR01-MOT-SAB-LFACAS-CEN065"/>
    <n v="2540"/>
    <n v="36639"/>
    <n v="2010"/>
    <n v="92303.7"/>
    <n v="1458"/>
    <n v="483700.99999999907"/>
    <n v="1.94"/>
    <n v="4863.5652"/>
    <n v="100969"/>
    <n v="249"/>
    <n v="19.153846153846153"/>
    <n v="38.307692307692307"/>
    <n v="57.46153846153846"/>
    <n v="76.615384615384613"/>
    <n v="95.769230769230774"/>
    <n v="114.92307692307693"/>
    <n v="134.07692307692309"/>
    <n v="643.17999999999995"/>
    <n v="3052.01"/>
    <n v="0.1"/>
    <n v="0.78910000000000002"/>
    <n v="0.8"/>
    <n v="-92303.7"/>
    <n v="-53837.839846153845"/>
    <n v="-59221.62383076924"/>
    <n v="-65143.786213846171"/>
    <n v="-71658.164835230782"/>
    <n v="-78823.981318753882"/>
    <n v="-86706.379450629276"/>
    <n v="-95377.017395692223"/>
    <n v="-165140.54966999998"/>
    <n v="-10767.567969230766"/>
    <n v="-11844.324766153846"/>
    <n v="-13028.757242769232"/>
    <n v="-14331.632967046153"/>
    <n v="-15764.796263750774"/>
    <n v="-17341.275890125853"/>
    <n v="-19075.40347913844"/>
    <n v="107484.99863769233"/>
    <n v="-510768.79289107549"/>
    <n v="-102153.75857821506"/>
    <n v="34.573783520408632"/>
    <n v="0.20752751802997516"/>
    <s v="Fase de Degradação"/>
  </r>
  <r>
    <n v="175"/>
    <x v="174"/>
    <s v="CEN067-CENTRO USINAGEM MIKRON VCE800 PRO"/>
    <n v="10005917"/>
    <s v="BR01-CIL-FER-MANMOL"/>
    <n v="1075"/>
    <n v="40336"/>
    <n v="2011"/>
    <n v="377866.85"/>
    <n v="0"/>
    <n v="396753.88000000035"/>
    <n v="1.51"/>
    <n v="3812"/>
    <n v="98737"/>
    <n v="185"/>
    <n v="11"/>
    <n v="22"/>
    <n v="33"/>
    <n v="44"/>
    <n v="55"/>
    <n v="66"/>
    <n v="77"/>
    <n v="605.9"/>
    <n v="1767.57"/>
    <n v="0.1"/>
    <n v="0.73"/>
    <n v="0.8"/>
    <n v="-377866.85"/>
    <n v="-30663.313999999998"/>
    <n v="-33729.645400000001"/>
    <n v="-37102.609940000009"/>
    <n v="-40812.870934000006"/>
    <n v="-44894.158027400015"/>
    <n v="-49383.57383014002"/>
    <n v="-54321.931213154028"/>
    <n v="-653709.65049999999"/>
    <n v="-6132.6627999999982"/>
    <n v="-6745.929079999999"/>
    <n v="-7420.5219880000004"/>
    <n v="-8162.5741867999996"/>
    <n v="-8978.8316054800016"/>
    <n v="-9876.7147660280025"/>
    <n v="-10864.386242630802"/>
    <n v="-497605.5064999999"/>
    <n v="-290908.10334469407"/>
    <n v="-58181.620668938805"/>
    <n v="-60.140452546320667"/>
    <n v="-9.1998722216080658E-2"/>
    <s v="Fase de Degradação"/>
  </r>
  <r>
    <n v="176"/>
    <x v="175"/>
    <s v="CEN068-CENTRO USINAGEM MIKRON VCE800 PRO"/>
    <n v="10005918"/>
    <s v="BR01-CIL-FER-MANMOL"/>
    <n v="1075"/>
    <n v="40335"/>
    <n v="2011"/>
    <n v="377866.85"/>
    <n v="0"/>
    <n v="514054.17000000039"/>
    <n v="1.33"/>
    <n v="4155"/>
    <n v="93481"/>
    <n v="213"/>
    <n v="13"/>
    <n v="26"/>
    <n v="39"/>
    <n v="52"/>
    <n v="65"/>
    <n v="78"/>
    <n v="91"/>
    <n v="798.98"/>
    <n v="1899.85"/>
    <n v="0.1"/>
    <n v="0.73"/>
    <n v="0.8"/>
    <n v="-377866.85"/>
    <n v="-36503.434000000001"/>
    <n v="-40153.777399999999"/>
    <n v="-44169.15514000001"/>
    <n v="-48586.070654000003"/>
    <n v="-53444.67771940001"/>
    <n v="-58789.145491340016"/>
    <n v="-64668.060040474033"/>
    <n v="-653709.65049999999"/>
    <n v="-7300.6867999999986"/>
    <n v="-8030.755479999998"/>
    <n v="-8833.8310280000005"/>
    <n v="-9717.2141307999991"/>
    <n v="-10688.935543879999"/>
    <n v="-11757.829098268001"/>
    <n v="-12933.612008094804"/>
    <n v="-467873.9865"/>
    <n v="-346314.32044521411"/>
    <n v="-69262.864089042792"/>
    <n v="-53.808313449118373"/>
    <n v="-8.2312251942375722E-2"/>
    <s v="Fase de Degradação"/>
  </r>
  <r>
    <n v="177"/>
    <x v="176"/>
    <s v="CEN069-CENTRO DE USINAGEM"/>
    <n v="10005935"/>
    <s v="BR01-CIL-UCI-USINA2-CEN069"/>
    <n v="4531"/>
    <n v="41562"/>
    <n v="2012"/>
    <n v="1081800.1100000001"/>
    <n v="13217"/>
    <n v="760274.32999999949"/>
    <n v="1.35"/>
    <n v="5580"/>
    <n v="96007"/>
    <n v="1036"/>
    <n v="83"/>
    <n v="166"/>
    <n v="249"/>
    <n v="332"/>
    <n v="415"/>
    <n v="498"/>
    <n v="581"/>
    <n v="495.69"/>
    <n v="5133.4399999999996"/>
    <n v="0.1"/>
    <n v="0.66500000000000004"/>
    <n v="0.8"/>
    <n v="-1081800.1100000001"/>
    <n v="-113017.905"/>
    <n v="-124319.6955"/>
    <n v="-136751.66505000004"/>
    <n v="-150426.83155500001"/>
    <n v="-165469.51471050005"/>
    <n v="-182016.46618155006"/>
    <n v="-200218.11279970509"/>
    <n v="-1801197.1831500002"/>
    <n v="-22603.580999999995"/>
    <n v="-24863.939099999996"/>
    <n v="-27350.333010000002"/>
    <n v="-30085.366310999994"/>
    <n v="-33093.902942100001"/>
    <n v="-36403.293236310004"/>
    <n v="-40043.62255994101"/>
    <n v="-1239050.3031500001"/>
    <n v="-1072220.1907967553"/>
    <n v="-214444.03815935104"/>
    <n v="-136.66257578751373"/>
    <n v="-7.5320495759272646E-2"/>
    <s v="Fase de Degradação"/>
  </r>
  <r>
    <n v="178"/>
    <x v="177"/>
    <s v="CEN070-CENTRO DE USINAGEM"/>
    <n v="10005936"/>
    <s v="BR01-CIL-UCI-USINA2-CEN070"/>
    <n v="4531"/>
    <n v="41565"/>
    <n v="2012"/>
    <n v="1082714.76"/>
    <n v="13510"/>
    <n v="645255.17999999854"/>
    <n v="1.38"/>
    <n v="5289"/>
    <n v="95807"/>
    <n v="885"/>
    <n v="68"/>
    <n v="136"/>
    <n v="204"/>
    <n v="272"/>
    <n v="340"/>
    <n v="408"/>
    <n v="476"/>
    <n v="454.18"/>
    <n v="5048.2299999999996"/>
    <n v="0.1"/>
    <n v="0.66500000000000004"/>
    <n v="0.8"/>
    <n v="-1082714.76"/>
    <n v="-100609.3"/>
    <n v="-110670.23000000001"/>
    <n v="-121737.25300000004"/>
    <n v="-133910.97830000005"/>
    <n v="-147302.07613000006"/>
    <n v="-162032.28374300007"/>
    <n v="-178235.51211730012"/>
    <n v="-1802720.0754"/>
    <n v="-20121.859999999997"/>
    <n v="-22134.045999999998"/>
    <n v="-24347.450600000004"/>
    <n v="-26782.195660000005"/>
    <n v="-29460.415226000005"/>
    <n v="-32406.456748600005"/>
    <n v="-35647.102423460019"/>
    <n v="-1304037.2753999999"/>
    <n v="-954497.63329030038"/>
    <n v="-190899.52665806003"/>
    <n v="-150.3759955382514"/>
    <n v="-8.2795675269903862E-2"/>
    <s v="Fase de Degradação"/>
  </r>
  <r>
    <n v="179"/>
    <x v="178"/>
    <s v="CEN071-CENTRO DE USINAGEM"/>
    <n v="10005937"/>
    <s v="BR01-CIL-UCI-USINA2-CEN071"/>
    <n v="4531"/>
    <n v="41563"/>
    <n v="2012"/>
    <n v="1086768.21"/>
    <n v="14825"/>
    <n v="1179276.8399999999"/>
    <n v="1.3"/>
    <n v="5645"/>
    <n v="96100"/>
    <n v="892"/>
    <n v="69"/>
    <n v="138"/>
    <n v="207"/>
    <n v="276"/>
    <n v="345"/>
    <n v="414"/>
    <n v="483"/>
    <n v="555.15"/>
    <n v="4884.3999999999996"/>
    <n v="0.1"/>
    <n v="0.66500000000000004"/>
    <n v="0.8"/>
    <n v="-1086768.21"/>
    <n v="-106609.965"/>
    <n v="-117270.9615"/>
    <n v="-128998.05765000003"/>
    <n v="-141897.86341500003"/>
    <n v="-156087.64975650003"/>
    <n v="-171696.41473215006"/>
    <n v="-188866.05620536511"/>
    <n v="-1809469.06965"/>
    <n v="-21321.992999999995"/>
    <n v="-23454.192299999995"/>
    <n v="-25799.611530000002"/>
    <n v="-28379.572682999999"/>
    <n v="-31217.529951299999"/>
    <n v="-34339.282946430008"/>
    <n v="-37773.211241073011"/>
    <n v="-1281552.4296500001"/>
    <n v="-1011426.9682590152"/>
    <n v="-202285.393651803"/>
    <n v="-145.02178500611254"/>
    <n v="-7.9494741236502353E-2"/>
    <s v="Fase de Degradação"/>
  </r>
  <r>
    <n v="180"/>
    <x v="179"/>
    <s v="CEN072-CENTRO USINAGEM"/>
    <n v="10006124"/>
    <s v="BR01-CIL-UCI-USINA2-CEN072"/>
    <n v="4531"/>
    <n v="42558"/>
    <n v="2012"/>
    <n v="1054133.81"/>
    <n v="81317"/>
    <n v="577021.89999999967"/>
    <n v="1.41"/>
    <n v="5618"/>
    <n v="92618"/>
    <n v="766"/>
    <n v="67"/>
    <n v="134"/>
    <n v="201"/>
    <n v="268"/>
    <n v="335"/>
    <n v="402"/>
    <n v="469"/>
    <n v="405.06"/>
    <n v="3946.42"/>
    <n v="0.1"/>
    <n v="0.66500000000000004"/>
    <n v="0.8"/>
    <n v="-1054133.81"/>
    <n v="-81945.665999999997"/>
    <n v="-90140.232600000018"/>
    <n v="-99154.255860000034"/>
    <n v="-109069.68144600003"/>
    <n v="-119976.64959060003"/>
    <n v="-131974.31454966005"/>
    <n v="-145171.7460046261"/>
    <n v="-1755132.7936500001"/>
    <n v="-16389.133199999997"/>
    <n v="-18028.04652"/>
    <n v="-19830.851172000002"/>
    <n v="-21813.936289200003"/>
    <n v="-23995.329918120002"/>
    <n v="-26394.862909932002"/>
    <n v="-29034.349200925211"/>
    <n v="-1419271.8576500001"/>
    <n v="-777432.54605088639"/>
    <n v="-155486.5092101772"/>
    <n v="-173.50053668704157"/>
    <n v="-9.4476057710352071E-2"/>
    <s v="Fase de Degradação"/>
  </r>
  <r>
    <n v="181"/>
    <x v="180"/>
    <s v="CEN073-CENTRO USINAGEM"/>
    <n v="10006125"/>
    <s v="BR01-CIL-UCI-USINA2-CEN073"/>
    <n v="4531"/>
    <n v="42559"/>
    <n v="2012"/>
    <n v="1058332.8799999999"/>
    <n v="82470"/>
    <n v="844335.76000000047"/>
    <n v="1.38"/>
    <n v="6104"/>
    <n v="91875"/>
    <n v="945"/>
    <n v="88"/>
    <n v="176"/>
    <n v="264"/>
    <n v="352"/>
    <n v="440"/>
    <n v="528"/>
    <n v="616"/>
    <n v="463.64"/>
    <n v="5359.5"/>
    <n v="0.1"/>
    <n v="0.66500000000000004"/>
    <n v="0.8"/>
    <n v="-1058332.8799999999"/>
    <n v="-115625.75200000002"/>
    <n v="-127188.32720000003"/>
    <n v="-139907.15992000006"/>
    <n v="-153897.87591200005"/>
    <n v="-169287.66350320008"/>
    <n v="-186216.42985352009"/>
    <n v="-204838.07283887215"/>
    <n v="-1762124.2451999998"/>
    <n v="-23125.150399999999"/>
    <n v="-25437.665440000001"/>
    <n v="-27981.431984000006"/>
    <n v="-30779.575182400004"/>
    <n v="-33857.532700640011"/>
    <n v="-37243.285970704012"/>
    <n v="-40967.614567774421"/>
    <n v="-1255954.0532"/>
    <n v="-1096961.2812275924"/>
    <n v="-219392.25624551845"/>
    <n v="-138.14646003113222"/>
    <n v="-7.4892600576314666E-2"/>
    <s v="Fase de Degradação"/>
  </r>
  <r>
    <n v="182"/>
    <x v="181"/>
    <s v="CEN074-CENTRO USINAGEM"/>
    <n v="10006129"/>
    <s v="BR01-CIL-UCI-USINA2-CEN074"/>
    <n v="4531"/>
    <n v="42560"/>
    <n v="2012"/>
    <n v="1059248.0900000001"/>
    <n v="82776"/>
    <n v="512214.0299999995"/>
    <n v="1.81"/>
    <n v="5761"/>
    <n v="89698"/>
    <n v="823"/>
    <n v="74.818181818181813"/>
    <n v="149.63636363636363"/>
    <n v="224.45454545454544"/>
    <n v="299.27272727272725"/>
    <n v="374.09090909090907"/>
    <n v="448.90909090909088"/>
    <n v="523.72727272727275"/>
    <n v="420.72"/>
    <n v="4514.87"/>
    <n v="0.1"/>
    <n v="0.66500000000000004"/>
    <n v="0.8"/>
    <n v="-1059248.0900000001"/>
    <n v="-94221.540000000023"/>
    <n v="-103643.69400000003"/>
    <n v="-114008.06340000004"/>
    <n v="-125408.86974000005"/>
    <n v="-137949.75671400008"/>
    <n v="-151744.7323854001"/>
    <n v="-166919.20562394016"/>
    <n v="-1763648.0698500001"/>
    <n v="-18844.308000000001"/>
    <n v="-20728.738800000003"/>
    <n v="-22801.612680000002"/>
    <n v="-25081.773948000005"/>
    <n v="-27589.95134280001"/>
    <n v="-30348.946477080015"/>
    <n v="-33383.841124788021"/>
    <n v="-1366750.7753045456"/>
    <n v="-893895.86186334048"/>
    <n v="-178779.17237266805"/>
    <n v="-161.61534005133254"/>
    <n v="-8.7528830830537127E-2"/>
    <s v="Fase de Degradação"/>
  </r>
  <r>
    <n v="183"/>
    <x v="182"/>
    <s v="CEN075-CENTRO USINAGEM"/>
    <n v="10006127"/>
    <s v="BR01-CIL-UCI-USINA2-CEN075"/>
    <n v="4531"/>
    <n v="42561"/>
    <n v="2012"/>
    <n v="1044234.63"/>
    <n v="81339"/>
    <n v="748539.00999999931"/>
    <n v="1.68"/>
    <n v="6144"/>
    <n v="89206"/>
    <n v="839"/>
    <n v="76.272727272727266"/>
    <n v="152.54545454545453"/>
    <n v="228.81818181818181"/>
    <n v="305.09090909090907"/>
    <n v="381.36363636363632"/>
    <n v="457.63636363636357"/>
    <n v="533.90909090909088"/>
    <n v="550.29999999999995"/>
    <n v="5798.33"/>
    <n v="0.1"/>
    <n v="0.66500000000000004"/>
    <n v="0.8"/>
    <n v="-1044234.63"/>
    <n v="-122708.12599999999"/>
    <n v="-134978.93859999999"/>
    <n v="-148476.83246000003"/>
    <n v="-163324.51570600001"/>
    <n v="-179656.96727660001"/>
    <n v="-197622.66400426006"/>
    <n v="-217384.93040468617"/>
    <n v="-1738650.6589500001"/>
    <n v="-24541.625199999991"/>
    <n v="-26995.787719999993"/>
    <n v="-29695.366492000001"/>
    <n v="-32664.903141199993"/>
    <n v="-35931.393455319994"/>
    <n v="-39524.532800852001"/>
    <n v="-43476.986080937226"/>
    <n v="-1195293.744768182"/>
    <n v="-1164152.9744515463"/>
    <n v="-232830.59489030921"/>
    <n v="-126.95246848410898"/>
    <n v="-6.9754499900483616E-2"/>
    <s v="Fase de Degradação"/>
  </r>
  <r>
    <n v="184"/>
    <x v="183"/>
    <s v="CEN076-CENTRO USINAGEM"/>
    <n v="10006128"/>
    <s v="BR01-CIL-UCI-USINA2-CEN076"/>
    <n v="4531"/>
    <n v="42562"/>
    <n v="2012"/>
    <n v="1044234.63"/>
    <n v="81339"/>
    <n v="853598.99000000046"/>
    <n v="1.46"/>
    <n v="5755"/>
    <n v="89060"/>
    <n v="1018"/>
    <n v="98"/>
    <n v="196"/>
    <n v="294"/>
    <n v="392"/>
    <n v="490"/>
    <n v="588"/>
    <n v="686"/>
    <n v="498.05"/>
    <n v="5759.59"/>
    <n v="0.1"/>
    <n v="0.66500000000000004"/>
    <n v="0.8"/>
    <n v="-1044234.63"/>
    <n v="-129716.37800000003"/>
    <n v="-142688.01580000002"/>
    <n v="-156956.81738000005"/>
    <n v="-172652.49911800007"/>
    <n v="-189917.74902980009"/>
    <n v="-208909.52393278011"/>
    <n v="-229800.47632605815"/>
    <n v="-1738650.6589500001"/>
    <n v="-25943.275600000001"/>
    <n v="-28537.603159999999"/>
    <n v="-31391.363476000002"/>
    <n v="-34530.499823600003"/>
    <n v="-37983.549805960007"/>
    <n v="-41781.904786556013"/>
    <n v="-45960.095265211618"/>
    <n v="-1159615.3709499999"/>
    <n v="-1230641.4595866385"/>
    <n v="-246128.29191732765"/>
    <n v="-119.35378446866986"/>
    <n v="-6.5579375070476065E-2"/>
    <s v="Fase de Degradação"/>
  </r>
  <r>
    <n v="185"/>
    <x v="184"/>
    <s v="CEN077-CENTRO USINAGEM"/>
    <n v="10006126"/>
    <s v="BR01-CIL-UCI-USINA2-CEN077"/>
    <n v="4531"/>
    <n v="42563"/>
    <n v="2012"/>
    <n v="1044234.65"/>
    <n v="81339"/>
    <n v="545069.4499999996"/>
    <n v="1.52"/>
    <n v="6102"/>
    <n v="90247"/>
    <n v="728"/>
    <n v="66.181818181818187"/>
    <n v="132.36363636363637"/>
    <n v="198.54545454545456"/>
    <n v="264.72727272727275"/>
    <n v="330.90909090909093"/>
    <n v="397.09090909090912"/>
    <n v="463.27272727272731"/>
    <n v="433.13"/>
    <n v="3652.91"/>
    <n v="0.1"/>
    <n v="0.66500000000000004"/>
    <n v="0.8"/>
    <n v="-1044234.65"/>
    <n v="-79750.276000000013"/>
    <n v="-87725.303600000014"/>
    <n v="-96497.833960000033"/>
    <n v="-106147.61735600003"/>
    <n v="-116762.37909160004"/>
    <n v="-128438.61700076007"/>
    <n v="-141282.4787008361"/>
    <n v="-1738650.6922500001"/>
    <n v="-15950.055199999999"/>
    <n v="-17545.060719999998"/>
    <n v="-19299.566792000001"/>
    <n v="-21229.523471200002"/>
    <n v="-23352.475818320003"/>
    <n v="-25687.723400152008"/>
    <n v="-28256.495740167215"/>
    <n v="-1413988.2871590911"/>
    <n v="-756604.50570919632"/>
    <n v="-151320.90114183922"/>
    <n v="-173.52944109752042"/>
    <n v="-9.5346386760570639E-2"/>
    <s v="Fase de Degradação"/>
  </r>
  <r>
    <n v="186"/>
    <x v="185"/>
    <s v="CEN078-CENTRO USINAGEM"/>
    <n v="10006130"/>
    <s v="BR01-CIL-UCI-USINA2-CEN078"/>
    <n v="4531"/>
    <n v="42564"/>
    <n v="2012"/>
    <n v="1044224.84"/>
    <n v="81335"/>
    <n v="992937.67999999819"/>
    <n v="1.58"/>
    <n v="5573"/>
    <n v="90661"/>
    <n v="861"/>
    <n v="86"/>
    <n v="172"/>
    <n v="258"/>
    <n v="344"/>
    <n v="430"/>
    <n v="516"/>
    <n v="602"/>
    <n v="488.55"/>
    <n v="4773.66"/>
    <n v="0.1"/>
    <n v="0.66500000000000004"/>
    <n v="0.8"/>
    <n v="-1044224.84"/>
    <n v="-109229.14200000001"/>
    <n v="-120152.05620000002"/>
    <n v="-132167.26182000004"/>
    <n v="-145383.98800200003"/>
    <n v="-159922.38680220005"/>
    <n v="-175914.62548242009"/>
    <n v="-193506.08803066213"/>
    <n v="-1738634.3585999999"/>
    <n v="-21845.828399999995"/>
    <n v="-24030.411239999998"/>
    <n v="-26433.452364000004"/>
    <n v="-29076.797600399997"/>
    <n v="-31984.477360440003"/>
    <n v="-35182.92509648401"/>
    <n v="-38701.217606132413"/>
    <n v="-1263893.7266000002"/>
    <n v="-1036275.5483372825"/>
    <n v="-207255.10966745642"/>
    <n v="-141.56413141859625"/>
    <n v="-7.7783799353354818E-2"/>
    <s v="Fase de Degradação"/>
  </r>
  <r>
    <n v="187"/>
    <x v="186"/>
    <s v="CEN079-CENTRO USINAGEM"/>
    <n v="10006131"/>
    <s v="BR01-CIL-UCI-USINA2-CEN079"/>
    <n v="4531"/>
    <n v="43112"/>
    <n v="2013"/>
    <n v="1276446.5"/>
    <n v="130002"/>
    <n v="746514.70999999845"/>
    <n v="1.64"/>
    <n v="5517"/>
    <n v="89210"/>
    <n v="921"/>
    <n v="95"/>
    <n v="190"/>
    <n v="285"/>
    <n v="380"/>
    <n v="475"/>
    <n v="570"/>
    <n v="665"/>
    <n v="484.63"/>
    <n v="5900.82"/>
    <n v="0.1"/>
    <n v="0.60660000000000003"/>
    <n v="0.8"/>
    <n v="-1276446.5"/>
    <n v="-128534.65900000001"/>
    <n v="-141388.12490000002"/>
    <n v="-155526.93739000006"/>
    <n v="-171079.63112900004"/>
    <n v="-188187.59424190008"/>
    <n v="-207006.35366609012"/>
    <n v="-227706.98903269914"/>
    <n v="-2050738.9469000001"/>
    <n v="-25706.931799999998"/>
    <n v="-28277.624979999997"/>
    <n v="-31105.387478000008"/>
    <n v="-34215.926225800002"/>
    <n v="-37637.518848380008"/>
    <n v="-41401.270733218014"/>
    <n v="-45541.397806539819"/>
    <n v="-1526382.6828999999"/>
    <n v="-1219430.2893596897"/>
    <n v="-243886.05787193784"/>
    <n v="-172.1709593446069"/>
    <n v="-7.8950670224885708E-2"/>
    <s v="Fase de Degradação"/>
  </r>
  <r>
    <n v="188"/>
    <x v="187"/>
    <s v="CEN080-CENTRO USINAGEM"/>
    <n v="10006132"/>
    <s v="BR01-CIL-UCI-USINA2-CEN080"/>
    <n v="4531"/>
    <n v="42565"/>
    <n v="2012"/>
    <n v="1076581.98"/>
    <n v="83851"/>
    <n v="908242.97999999905"/>
    <n v="1.55"/>
    <n v="6283"/>
    <n v="89630"/>
    <n v="1101"/>
    <n v="100.09090909090909"/>
    <n v="200.18181818181819"/>
    <n v="300.27272727272725"/>
    <n v="400.36363636363637"/>
    <n v="500.4545454545455"/>
    <n v="600.54545454545462"/>
    <n v="700.63636363636374"/>
    <n v="481.81"/>
    <n v="7051.29"/>
    <n v="0.1"/>
    <n v="0.66500000000000004"/>
    <n v="0.8"/>
    <n v="-1076581.98"/>
    <n v="-146124.30900000001"/>
    <n v="-160736.73990000004"/>
    <n v="-176810.41389000003"/>
    <n v="-194491.45527900007"/>
    <n v="-213940.60080690007"/>
    <n v="-235334.66088759011"/>
    <n v="-258868.12697634916"/>
    <n v="-1792508.9967"/>
    <n v="-29224.861799999995"/>
    <n v="-32147.347980000002"/>
    <n v="-35362.082777999996"/>
    <n v="-38898.291055800008"/>
    <n v="-42788.12016138"/>
    <n v="-47066.932177518014"/>
    <n v="-51773.625395269817"/>
    <n v="-1132454.423609091"/>
    <n v="-1386306.3067398395"/>
    <n v="-277261.26134796784"/>
    <n v="-109.61642161544694"/>
    <n v="-5.8419717862367569E-2"/>
    <s v="Fase de Degradação"/>
  </r>
  <r>
    <n v="189"/>
    <x v="188"/>
    <s v="CEN081-CENTRO USINAGEM"/>
    <n v="10006133"/>
    <s v="BR01-CIL-UCI-USINA2-CEN081"/>
    <n v="4531"/>
    <n v="43111"/>
    <n v="2013"/>
    <n v="1276069.47"/>
    <n v="129961"/>
    <n v="951692.56999999937"/>
    <n v="1.53"/>
    <n v="5487"/>
    <n v="89225"/>
    <n v="912"/>
    <n v="87"/>
    <n v="174"/>
    <n v="261"/>
    <n v="348"/>
    <n v="435"/>
    <n v="522"/>
    <n v="609"/>
    <n v="454.63"/>
    <n v="5271.48"/>
    <n v="0.1"/>
    <n v="0.60660000000000003"/>
    <n v="0.8"/>
    <n v="-1276069.47"/>
    <n v="-113091.62700000001"/>
    <n v="-124400.78970000001"/>
    <n v="-136840.86867000003"/>
    <n v="-150524.95553700003"/>
    <n v="-165577.45109070005"/>
    <n v="-182135.19619977009"/>
    <n v="-200348.7158197471"/>
    <n v="-2050133.2105020001"/>
    <n v="-22618.325399999998"/>
    <n v="-24880.157939999997"/>
    <n v="-27368.173734"/>
    <n v="-30104.991107400001"/>
    <n v="-33115.490218140003"/>
    <n v="-36427.039239954007"/>
    <n v="-40069.74316394941"/>
    <n v="-1604355.0185020003"/>
    <n v="-1072919.6040172174"/>
    <n v="-214583.92080344338"/>
    <n v="-188.82264675546085"/>
    <n v="-8.6612149991436155E-2"/>
    <s v="Fase de Degradação"/>
  </r>
  <r>
    <n v="190"/>
    <x v="189"/>
    <s v="CEN082-CENTRO USINAGEM"/>
    <n v="10006134"/>
    <s v="BR01-CIL-UCI-USINA2-CEN082"/>
    <n v="4531"/>
    <n v="43110"/>
    <n v="2013"/>
    <n v="1276069.47"/>
    <n v="129961"/>
    <n v="999023.54999999923"/>
    <n v="1.57"/>
    <n v="5983"/>
    <n v="89382"/>
    <n v="1063"/>
    <n v="114"/>
    <n v="228"/>
    <n v="342"/>
    <n v="456"/>
    <n v="570"/>
    <n v="684"/>
    <n v="798"/>
    <n v="481.8"/>
    <n v="6144.46"/>
    <n v="0.1"/>
    <n v="0.60660000000000003"/>
    <n v="0.8"/>
    <n v="-1276069.47"/>
    <n v="-141524.592"/>
    <n v="-155677.05120000002"/>
    <n v="-171244.75632000004"/>
    <n v="-188369.23195200006"/>
    <n v="-207206.15514720007"/>
    <n v="-227926.77066192011"/>
    <n v="-250719.44772811217"/>
    <n v="-2050133.2105020001"/>
    <n v="-28304.918399999995"/>
    <n v="-31135.410239999997"/>
    <n v="-34248.951264000003"/>
    <n v="-37673.846390400002"/>
    <n v="-41441.231029440009"/>
    <n v="-45585.354132384011"/>
    <n v="-50143.88954562242"/>
    <n v="-1459605.3785020004"/>
    <n v="-1342668.0050092326"/>
    <n v="-268533.60100184643"/>
    <n v="-157.99425807065916"/>
    <n v="-7.2471298400576242E-2"/>
    <s v="Fase de Degradação"/>
  </r>
  <r>
    <n v="191"/>
    <x v="190"/>
    <s v="CEN083-CENTRO DE USINAGEM"/>
    <n v="10006280"/>
    <s v="BR01-CIL-FER-MANMOL"/>
    <n v="1075"/>
    <n v="44210"/>
    <n v="2014"/>
    <n v="1441579.15"/>
    <n v="255807"/>
    <n v="848460.99000000011"/>
    <n v="1.39"/>
    <n v="6299"/>
    <n v="67400"/>
    <n v="195"/>
    <n v="21.666666666666668"/>
    <n v="43.333333333333336"/>
    <n v="65"/>
    <n v="86.666666666666671"/>
    <n v="108.33333333333334"/>
    <n v="130"/>
    <n v="151.66666666666666"/>
    <n v="832.37"/>
    <n v="2101.84"/>
    <n v="0.1"/>
    <n v="0.54749999999999999"/>
    <n v="0.8"/>
    <n v="-1441579.15"/>
    <n v="-47582.439666666673"/>
    <n v="-52340.683633333341"/>
    <n v="-57574.751996666688"/>
    <n v="-63332.227196333355"/>
    <n v="-69665.449915966688"/>
    <n v="-76631.994907563363"/>
    <n v="-84295.194398319712"/>
    <n v="-2230843.7346249996"/>
    <n v="-9516.487933333332"/>
    <n v="-10468.136726666666"/>
    <n v="-11514.950399333335"/>
    <n v="-12666.445439266668"/>
    <n v="-13933.089983193335"/>
    <n v="-15326.39898151267"/>
    <n v="-16859.038879663938"/>
    <n v="-2244412.859958333"/>
    <n v="-451422.74171484978"/>
    <n v="-90284.548342969938"/>
    <n v="-303.6446487504457"/>
    <n v="-0.12210989043309975"/>
    <s v="Fase de Degradação"/>
  </r>
  <r>
    <n v="192"/>
    <x v="191"/>
    <s v="CEN084-CENTRO DE USINAGEM DMG"/>
    <n v="20001593"/>
    <s v="BR01-MOT-VIR-USIMOL-CEN084"/>
    <n v="3314"/>
    <n v="44574"/>
    <n v="2014"/>
    <n v="3085413.66"/>
    <n v="1527441"/>
    <n v="3034646.1999999997"/>
    <n v="1.4"/>
    <n v="5781.3360000000002"/>
    <n v="70236"/>
    <n v="825"/>
    <n v="97"/>
    <n v="194"/>
    <n v="291"/>
    <n v="388"/>
    <n v="485"/>
    <n v="582"/>
    <n v="679"/>
    <n v="1020.6"/>
    <n v="17845.060000000001"/>
    <n v="0.1"/>
    <n v="0.54749999999999999"/>
    <n v="0.8"/>
    <n v="-3085413.66"/>
    <n v="-344452.81200000009"/>
    <n v="-378898.09320000012"/>
    <n v="-416787.90252000018"/>
    <n v="-458466.69277200021"/>
    <n v="-504313.36204920022"/>
    <n v="-554744.6982541203"/>
    <n v="-610219.16807953245"/>
    <n v="-4774677.6388499998"/>
    <n v="-68890.56240000001"/>
    <n v="-75779.618640000001"/>
    <n v="-83357.580504000012"/>
    <n v="-91693.338554400019"/>
    <n v="-100862.67240984002"/>
    <n v="-110948.93965082403"/>
    <n v="-122043.83361590646"/>
    <n v="-4548540.6868500002"/>
    <n v="-3267882.7288748538"/>
    <n v="-653576.54577497055"/>
    <n v="-526.83035082144511"/>
    <n v="-8.3595752636859325E-2"/>
    <s v="Fase de Degradação"/>
  </r>
  <r>
    <n v="193"/>
    <x v="192"/>
    <s v="CEN085-CENTRO USINAGEM"/>
    <n v="10006323"/>
    <s v="BR01-CIL-UCI-USINA2-CEN085"/>
    <n v="4531"/>
    <n v="45739"/>
    <n v="2015"/>
    <n v="2226295.27"/>
    <n v="628044"/>
    <n v="1204827.4600000021"/>
    <n v="1.26"/>
    <n v="5224"/>
    <n v="70151"/>
    <n v="877"/>
    <n v="83"/>
    <n v="166"/>
    <n v="249"/>
    <n v="332"/>
    <n v="415"/>
    <n v="498"/>
    <n v="581"/>
    <n v="636.63"/>
    <n v="7761.98"/>
    <n v="0.1"/>
    <n v="0.4834"/>
    <n v="0.8"/>
    <n v="-2226295.27"/>
    <n v="-160582.45499999999"/>
    <n v="-176640.70050000001"/>
    <n v="-194304.77055000004"/>
    <n v="-213735.24760500004"/>
    <n v="-235108.77236550007"/>
    <n v="-258619.64960205011"/>
    <n v="-284481.61456225516"/>
    <n v="-3302486.4035180002"/>
    <n v="-32116.490999999991"/>
    <n v="-35328.140099999997"/>
    <n v="-38860.954109999999"/>
    <n v="-42747.049521000001"/>
    <n v="-47021.754473100002"/>
    <n v="-51723.92992041001"/>
    <n v="-56896.322912451018"/>
    <n v="-3113019.7235180004"/>
    <n v="-1523473.2101848053"/>
    <n v="-304694.64203696104"/>
    <n v="-387.39311933859375"/>
    <n v="-9.856001088093852E-2"/>
    <s v="Fase de Degradação"/>
  </r>
  <r>
    <n v="194"/>
    <x v="193"/>
    <s v="CEN086-CENTRO USINAGEM"/>
    <n v="10006326"/>
    <s v="BR01-CIL-UCI-USINA2-CEN086"/>
    <n v="4531"/>
    <n v="45738"/>
    <n v="2015"/>
    <n v="2226295.2599999998"/>
    <n v="628044"/>
    <n v="1900016.920000002"/>
    <n v="1.53"/>
    <n v="4703"/>
    <n v="70418"/>
    <n v="825"/>
    <n v="86"/>
    <n v="172"/>
    <n v="258"/>
    <n v="344"/>
    <n v="430"/>
    <n v="516"/>
    <n v="602"/>
    <n v="893.72"/>
    <n v="10486.18"/>
    <n v="0.1"/>
    <n v="0.4834"/>
    <n v="0.8"/>
    <n v="-2226295.2599999998"/>
    <n v="-222963.48800000004"/>
    <n v="-245259.83680000005"/>
    <n v="-269785.82048000011"/>
    <n v="-296764.40252800012"/>
    <n v="-326440.84278080013"/>
    <n v="-359084.92705888022"/>
    <n v="-394993.41976476827"/>
    <n v="-3302486.3886839999"/>
    <n v="-44592.6976"/>
    <n v="-49051.967360000002"/>
    <n v="-53957.164096000008"/>
    <n v="-59352.880505600013"/>
    <n v="-65288.16855616001"/>
    <n v="-71816.985411776026"/>
    <n v="-78998.683952953637"/>
    <n v="-2795443.5406840001"/>
    <n v="-2115292.737412449"/>
    <n v="-423058.54748248972"/>
    <n v="-319.75659982200585"/>
    <n v="-8.1352023315373764E-2"/>
    <s v="Fase de Degradação"/>
  </r>
  <r>
    <n v="195"/>
    <x v="194"/>
    <s v="CEN087-CENTRO DE USINAGEM"/>
    <n v="10006373"/>
    <s v="BR01-MOT-SAB-LFACAS-CEN087"/>
    <n v="2540"/>
    <n v="46406"/>
    <n v="2015"/>
    <n v="370342.89"/>
    <n v="119723"/>
    <n v="194464.28000000006"/>
    <n v="1.26"/>
    <n v="4863.5652"/>
    <n v="63471"/>
    <n v="44"/>
    <n v="5"/>
    <n v="10"/>
    <n v="15"/>
    <n v="20"/>
    <n v="25"/>
    <n v="30"/>
    <n v="35"/>
    <n v="1018.17"/>
    <n v="1999.45"/>
    <n v="0.1"/>
    <n v="0.4834"/>
    <n v="0.8"/>
    <n v="-370342.89"/>
    <n v="-31992.675000000003"/>
    <n v="-35191.942500000005"/>
    <n v="-38711.136750000012"/>
    <n v="-42582.250425000013"/>
    <n v="-46840.475467500015"/>
    <n v="-51524.523014250022"/>
    <n v="-56676.975315675038"/>
    <n v="-549366.64302600001"/>
    <n v="-6398.5349999999989"/>
    <n v="-7038.3884999999991"/>
    <n v="-7742.227350000001"/>
    <n v="-8516.4500850000004"/>
    <n v="-9368.0950935000001"/>
    <n v="-10304.904602850002"/>
    <n v="-11335.395063135005"/>
    <n v="-506217.84302599996"/>
    <n v="-303519.97847242508"/>
    <n v="-60703.995694484998"/>
    <n v="-60.896237178294271"/>
    <n v="-9.1013570174075936E-2"/>
    <s v="Fase de Degradação"/>
  </r>
  <r>
    <n v="196"/>
    <x v="195"/>
    <s v="CEN088-CENTRO DE USINAGEM DMG"/>
    <n v="10006376"/>
    <s v="BR01-MOT-VIR-USIMOL-CEN088"/>
    <n v="3314"/>
    <n v="46444"/>
    <n v="2015"/>
    <n v="3909717.49"/>
    <n v="1433239"/>
    <n v="1745936.3399999989"/>
    <n v="1.57"/>
    <n v="5520.7536"/>
    <n v="63350"/>
    <n v="838"/>
    <n v="104.75"/>
    <n v="209.5"/>
    <n v="314.25"/>
    <n v="419"/>
    <n v="523.75"/>
    <n v="628.5"/>
    <n v="733.25"/>
    <n v="809.75"/>
    <n v="14198.3"/>
    <n v="0.1"/>
    <n v="0.4834"/>
    <n v="0.8"/>
    <n v="-3909717.49"/>
    <n v="-280721.00374999997"/>
    <n v="-308793.10412500001"/>
    <n v="-339672.41453750007"/>
    <n v="-373639.65599125007"/>
    <n v="-411003.62159037509"/>
    <n v="-452103.9837494127"/>
    <n v="-497314.38212435402"/>
    <n v="-5799674.9246660005"/>
    <n v="-56144.200749999982"/>
    <n v="-61758.620824999991"/>
    <n v="-67934.482907500002"/>
    <n v="-74727.931198249993"/>
    <n v="-82200.724318074994"/>
    <n v="-90420.796749882516"/>
    <n v="-99462.876424870774"/>
    <n v="-5803788.8146660011"/>
    <n v="-2663248.1658678921"/>
    <n v="-532649.6331735783"/>
    <n v="-728.90219885309807"/>
    <n v="-0.1007757324979859"/>
    <s v="Fase de Degradação"/>
  </r>
  <r>
    <n v="197"/>
    <x v="196"/>
    <s v="CEN089-CENTRO USINAGEM"/>
    <n v="10006380"/>
    <s v="BR01-CIL-UCI-USINA2-CEN089"/>
    <n v="4531"/>
    <n v="46621"/>
    <n v="2016"/>
    <n v="2766740.72"/>
    <n v="1004101"/>
    <n v="1443292.7799999991"/>
    <n v="1.93"/>
    <n v="4935"/>
    <n v="62808"/>
    <n v="648"/>
    <n v="92.571428571428569"/>
    <n v="185.14285714285714"/>
    <n v="277.71428571428572"/>
    <n v="370.28571428571428"/>
    <n v="462.85714285714283"/>
    <n v="555.42857142857144"/>
    <n v="648"/>
    <n v="558.80999999999995"/>
    <n v="7598.77"/>
    <n v="0.1"/>
    <n v="0.37669999999999998"/>
    <n v="0.8"/>
    <n v="-2766740.72"/>
    <n v="-157206.58800000002"/>
    <n v="-172927.24680000005"/>
    <n v="-190219.97148000007"/>
    <n v="-209241.96862800003"/>
    <n v="-230166.16549080005"/>
    <n v="-253182.78203988014"/>
    <n v="-278501.06024386815"/>
    <n v="-3808971.9492240003"/>
    <n v="-31441.317599999995"/>
    <n v="-34585.449360000006"/>
    <n v="-38043.994296000004"/>
    <n v="-41848.393725599999"/>
    <n v="-46033.233098160003"/>
    <n v="-50636.556407976015"/>
    <n v="-55700.212048773617"/>
    <n v="-4012748.5012240009"/>
    <n v="-1491445.7826825483"/>
    <n v="-298289.15653650963"/>
    <n v="-517.13090329685167"/>
    <n v="-0.10744298055574401"/>
    <s v="Fase de Degradação"/>
  </r>
  <r>
    <n v="198"/>
    <x v="197"/>
    <s v="CEN090-CENTRO USINAGEM"/>
    <n v="10006381"/>
    <s v="BR01-CIL-UCI-USINA2-CEN090"/>
    <n v="4531"/>
    <n v="46622"/>
    <n v="2016"/>
    <n v="2766740.72"/>
    <n v="1004101"/>
    <n v="1079724.6400000011"/>
    <n v="1.2"/>
    <n v="5281"/>
    <n v="62629"/>
    <n v="656"/>
    <n v="68"/>
    <n v="136"/>
    <n v="204"/>
    <n v="272"/>
    <n v="340"/>
    <n v="408"/>
    <n v="476"/>
    <n v="617.59"/>
    <n v="5367.62"/>
    <n v="0.1"/>
    <n v="0.37669999999999998"/>
    <n v="0.8"/>
    <n v="-2766740.72"/>
    <n v="-117048.31600000001"/>
    <n v="-128753.14760000001"/>
    <n v="-141628.46236000003"/>
    <n v="-155791.30859600005"/>
    <n v="-171370.43945560005"/>
    <n v="-188507.48340116008"/>
    <n v="-207358.23174127613"/>
    <n v="-3808971.9492240003"/>
    <n v="-23409.663199999995"/>
    <n v="-25750.629519999995"/>
    <n v="-28325.692471999999"/>
    <n v="-31158.261719200003"/>
    <n v="-34274.087891120005"/>
    <n v="-37701.496680232005"/>
    <n v="-41471.646348255221"/>
    <n v="-4217190.6132240007"/>
    <n v="-1110457.3891540365"/>
    <n v="-222091.47783080721"/>
    <n v="-560.67243398582434"/>
    <n v="-0.11648949432113224"/>
    <s v="Fase de Degradação"/>
  </r>
  <r>
    <n v="199"/>
    <x v="198"/>
    <s v="CEN091-CENTRO DE USINAGEM"/>
    <n v="10006565"/>
    <s v="BR01-CIL-FER-FABMOL"/>
    <n v="1075"/>
    <n v="49569"/>
    <n v="2018"/>
    <n v="2250045.35"/>
    <n v="1283853"/>
    <n v="1095527.5999999996"/>
    <n v="1.1200000000000001"/>
    <n v="4726"/>
    <n v="39486"/>
    <n v="158"/>
    <n v="22"/>
    <n v="44"/>
    <n v="66"/>
    <n v="88"/>
    <n v="110"/>
    <n v="132"/>
    <n v="154"/>
    <n v="1088.46"/>
    <n v="3379.13"/>
    <n v="0.1"/>
    <n v="0.2843"/>
    <n v="0.8"/>
    <n v="-2250045.35"/>
    <n v="-70945.248000000007"/>
    <n v="-78039.772800000006"/>
    <n v="-85843.750080000027"/>
    <n v="-94428.12508800003"/>
    <n v="-103870.93759680004"/>
    <n v="-114258.03135648006"/>
    <n v="-125683.83449212808"/>
    <n v="-2889733.2430050001"/>
    <n v="-14189.049599999998"/>
    <n v="-15607.954559999998"/>
    <n v="-17168.750016000002"/>
    <n v="-18885.625017600003"/>
    <n v="-20774.187519360003"/>
    <n v="-22851.606271296008"/>
    <n v="-25136.766898425609"/>
    <n v="-3812410.4350049999"/>
    <n v="-673069.69941340829"/>
    <n v="-134613.93988268162"/>
    <n v="-519.30435478203901"/>
    <n v="-0.12442641041679724"/>
    <s v="Fase de Degradação"/>
  </r>
  <r>
    <n v="200"/>
    <x v="199"/>
    <s v="CEN092-CENTRO DE USINAGEM"/>
    <n v="10006573"/>
    <s v="BR01-MOT-UMG-CARTL4-CEN092"/>
    <n v="2370"/>
    <n v="50325"/>
    <n v="2018"/>
    <n v="835358.8"/>
    <n v="512120"/>
    <n v="204918.1599999998"/>
    <n v="0.95"/>
    <n v="4459.7592000000004"/>
    <n v="38397"/>
    <n v="74"/>
    <n v="8"/>
    <n v="16"/>
    <n v="24"/>
    <n v="32"/>
    <n v="40"/>
    <n v="48"/>
    <n v="56"/>
    <n v="404.08"/>
    <n v="3765.1480555555554"/>
    <n v="0.1"/>
    <n v="0.2843"/>
    <n v="0.8"/>
    <n v="-835358.8"/>
    <n v="-53255.858333333337"/>
    <n v="-58581.444166666675"/>
    <n v="-64439.588583333352"/>
    <n v="-70883.547441666684"/>
    <n v="-77971.902185833358"/>
    <n v="-85769.092404416704"/>
    <n v="-94346.001644858392"/>
    <n v="-1072851.30684"/>
    <n v="-10651.171666666665"/>
    <n v="-11716.288833333332"/>
    <n v="-12887.917716666667"/>
    <n v="-14176.709488333334"/>
    <n v="-15594.380437166668"/>
    <n v="-17153.818480883336"/>
    <n v="-18869.200328971674"/>
    <n v="-1313850.5735066666"/>
    <n v="-505247.43476010853"/>
    <n v="-101049.48695202169"/>
    <n v="-168.68190843313045"/>
    <n v="-0.1064258436131794"/>
    <s v="Confiabilidade em Crescimento"/>
  </r>
  <r>
    <n v="201"/>
    <x v="200"/>
    <s v="CEN093-CENTRO DE USINAGEM"/>
    <n v="10006577"/>
    <s v="BR01-CIL-FER-FABMOL"/>
    <n v="1075"/>
    <n v="50307"/>
    <n v="2018"/>
    <n v="2353915.7400000002"/>
    <n v="1434981"/>
    <n v="770115.05999999994"/>
    <n v="1"/>
    <n v="4731"/>
    <n v="37615"/>
    <n v="108"/>
    <n v="14"/>
    <n v="28"/>
    <n v="42"/>
    <n v="56"/>
    <n v="70"/>
    <n v="84"/>
    <n v="98"/>
    <n v="969.03"/>
    <n v="1628.35"/>
    <n v="0.1"/>
    <n v="0.2843"/>
    <n v="0.8"/>
    <n v="-2353915.7400000002"/>
    <n v="-36417.281999999999"/>
    <n v="-40059.010199999997"/>
    <n v="-44064.911220000009"/>
    <n v="-48471.402342000009"/>
    <n v="-53318.542576200009"/>
    <n v="-58650.396833820021"/>
    <n v="-64515.436517202033"/>
    <n v="-3023133.9848820004"/>
    <n v="-7283.4563999999982"/>
    <n v="-8011.8020399999978"/>
    <n v="-8812.9822440000007"/>
    <n v="-9694.2804684000002"/>
    <n v="-10663.70851524"/>
    <n v="-11730.079366764001"/>
    <n v="-12903.087303440403"/>
    <n v="-4272717.9128820011"/>
    <n v="-345496.98168922204"/>
    <n v="-69099.396337844402"/>
    <n v="-597.38819993294601"/>
    <n v="-0.13400017764430944"/>
    <s v="Fase de Vida Útil"/>
  </r>
  <r>
    <n v="202"/>
    <x v="201"/>
    <s v="CEN094-CENTRO DE USINAGEM"/>
    <n v="10006597"/>
    <s v="BR01-MOT-UMG-CARTL4-CEN094"/>
    <n v="2370"/>
    <n v="51235"/>
    <n v="2019"/>
    <n v="1173211.95"/>
    <n v="761555"/>
    <n v="251674.79999999967"/>
    <n v="1.84"/>
    <n v="4434.0191999999997"/>
    <n v="34867"/>
    <n v="89"/>
    <n v="22"/>
    <n v="44"/>
    <n v="66"/>
    <n v="88"/>
    <n v="110"/>
    <n v="132"/>
    <n v="154"/>
    <n v="532.9"/>
    <n v="3617.78"/>
    <n v="0.1"/>
    <n v="0.24679999999999999"/>
    <n v="0.8"/>
    <n v="-1173211.95"/>
    <n v="-60650.876000000011"/>
    <n v="-66715.963600000017"/>
    <n v="-73387.559960000028"/>
    <n v="-80726.31595600002"/>
    <n v="-88798.947551600038"/>
    <n v="-97678.842306760052"/>
    <n v="-107446.72653743607"/>
    <n v="-1462760.6592599999"/>
    <n v="-12130.1752"/>
    <n v="-13343.192720000001"/>
    <n v="-14677.511992000002"/>
    <n v="-16145.2631912"/>
    <n v="-17759.789510320003"/>
    <n v="-19535.768461352007"/>
    <n v="-21489.345307487209"/>
    <n v="-1915547.5632600004"/>
    <n v="-575405.23191179615"/>
    <n v="-115081.04638235923"/>
    <n v="-251.99878196150897"/>
    <n v="-0.11329272484883984"/>
    <s v="Fase de Degradação"/>
  </r>
  <r>
    <n v="203"/>
    <x v="202"/>
    <s v="CEN095-CENTRO DE USINAGEM"/>
    <n v="10006614"/>
    <s v="BR01-MOT-UMG-CARTL4-CEN095"/>
    <n v="2370"/>
    <n v="51605"/>
    <n v="2019"/>
    <n v="927601.04"/>
    <n v="631790"/>
    <n v="176670.52000000019"/>
    <n v="1.42"/>
    <n v="2736.4512"/>
    <n v="29499"/>
    <n v="79"/>
    <n v="11"/>
    <n v="22"/>
    <n v="33"/>
    <n v="44"/>
    <n v="55"/>
    <n v="66"/>
    <n v="77"/>
    <n v="575.97"/>
    <n v="3896.88"/>
    <n v="0.1"/>
    <n v="0.24679999999999999"/>
    <n v="0.8"/>
    <n v="-927601.04"/>
    <n v="-58408.053"/>
    <n v="-64248.858300000007"/>
    <n v="-70673.744130000021"/>
    <n v="-77741.118543000019"/>
    <n v="-85515.230397300023"/>
    <n v="-94066.753437030042"/>
    <n v="-103473.42878073305"/>
    <n v="-1156532.976672"/>
    <n v="-11681.610599999998"/>
    <n v="-12849.771659999999"/>
    <n v="-14134.748826000001"/>
    <n v="-15548.2237086"/>
    <n v="-17103.04607946"/>
    <n v="-18813.350687406004"/>
    <n v="-20694.685756146606"/>
    <n v="-1490972.8886719998"/>
    <n v="-554127.18658806314"/>
    <n v="-110825.4373176126"/>
    <n v="-192.14588962879282"/>
    <n v="-0.10744473573021406"/>
    <s v="Fase de Degradação"/>
  </r>
  <r>
    <n v="204"/>
    <x v="203"/>
    <s v="CEN096-CENTRO DE USINAGEM"/>
    <n v="10006617"/>
    <s v="BR01-MOT-UMG-CARTL4-CEN096"/>
    <n v="2370"/>
    <n v="51930"/>
    <n v="2019"/>
    <n v="977100.26"/>
    <n v="689028"/>
    <n v="231945.51999999976"/>
    <n v="1.53"/>
    <n v="4021.1759999999999"/>
    <n v="28495"/>
    <n v="85"/>
    <n v="19"/>
    <n v="38"/>
    <n v="57"/>
    <n v="76"/>
    <n v="95"/>
    <n v="114"/>
    <n v="133"/>
    <n v="715.23"/>
    <n v="6892.51"/>
    <n v="0.1"/>
    <n v="0.24679999999999999"/>
    <n v="0.8"/>
    <n v="-977100.26"/>
    <n v="-105929.439"/>
    <n v="-116522.38290000001"/>
    <n v="-128174.62119000002"/>
    <n v="-140992.08330900004"/>
    <n v="-155091.29163990004"/>
    <n v="-170600.42080389007"/>
    <n v="-187660.46288427908"/>
    <n v="-1218248.6041679999"/>
    <n v="-21185.887799999997"/>
    <n v="-23304.476579999999"/>
    <n v="-25634.924238"/>
    <n v="-28198.416661800002"/>
    <n v="-31018.258327980002"/>
    <n v="-34120.084160778009"/>
    <n v="-37532.092576855808"/>
    <n v="-1367999.4601680001"/>
    <n v="-1004970.7017270693"/>
    <n v="-200994.14034541382"/>
    <n v="-157.61429182662067"/>
    <n v="-8.2638402569498212E-2"/>
    <s v="Fase de Degradação"/>
  </r>
  <r>
    <n v="205"/>
    <x v="204"/>
    <s v="CEN097-CENTRO DE USINAGEM"/>
    <n v="10006618"/>
    <s v="BR01-MOT-UMG-CARTL4-CEN097"/>
    <n v="2370"/>
    <n v="51931"/>
    <n v="2019"/>
    <n v="1015870.05"/>
    <n v="719213"/>
    <n v="132380.94"/>
    <n v="1.64"/>
    <n v="3791.1552000000001"/>
    <n v="28985"/>
    <n v="38"/>
    <n v="9"/>
    <n v="18"/>
    <n v="27"/>
    <n v="36"/>
    <n v="45"/>
    <n v="54"/>
    <n v="63"/>
    <n v="540.67999999999995"/>
    <n v="5071.2100000000009"/>
    <n v="0.1"/>
    <n v="0.24679999999999999"/>
    <n v="0.8"/>
    <n v="-1015870.05"/>
    <n v="-72292.704000000027"/>
    <n v="-79521.974400000036"/>
    <n v="-87474.171840000039"/>
    <n v="-96221.589024000044"/>
    <n v="-105843.74792640006"/>
    <n v="-116428.12271904008"/>
    <n v="-128070.93499094411"/>
    <n v="-1266586.77834"/>
    <n v="-14458.540800000002"/>
    <n v="-15904.394880000003"/>
    <n v="-17494.834368000003"/>
    <n v="-19244.317804800005"/>
    <n v="-21168.749585280006"/>
    <n v="-23285.624543808011"/>
    <n v="-25614.186998188816"/>
    <n v="-1617764.1943399997"/>
    <n v="-685853.24490038445"/>
    <n v="-137170.64898007683"/>
    <n v="-205.30245463138462"/>
    <n v="-0.1033852742208503"/>
    <s v="Fase de Degradação"/>
  </r>
  <r>
    <n v="206"/>
    <x v="205"/>
    <s v="CEN098-CENTRO USINAGEM"/>
    <n v="10006632"/>
    <s v="BR01-CIL-UCI-USINA2-CEN098"/>
    <n v="4531"/>
    <n v="52346"/>
    <n v="2020"/>
    <n v="2889003.89"/>
    <n v="2130132"/>
    <n v="433010.19000000006"/>
    <n v="1.04"/>
    <n v="5730"/>
    <n v="27251"/>
    <n v="443"/>
    <n v="98"/>
    <n v="196"/>
    <n v="294"/>
    <n v="392"/>
    <n v="490"/>
    <n v="588"/>
    <n v="686"/>
    <n v="413.43"/>
    <n v="3628.55"/>
    <n v="0.1"/>
    <n v="0.20369999999999999"/>
    <n v="0.8"/>
    <n v="-2889003.89"/>
    <n v="-92464.614000000016"/>
    <n v="-101711.07540000002"/>
    <n v="-111882.18294000004"/>
    <n v="-123070.40123400005"/>
    <n v="-135377.44135740006"/>
    <n v="-148915.18549314007"/>
    <n v="-163806.7040424541"/>
    <n v="-3477493.9823930003"/>
    <n v="-18492.9228"/>
    <n v="-20342.215079999998"/>
    <n v="-22376.436588000004"/>
    <n v="-24614.080246800004"/>
    <n v="-27075.488271480008"/>
    <n v="-29783.037098628007"/>
    <n v="-32761.340808490815"/>
    <n v="-5136897.0383930001"/>
    <n v="-877227.60446699441"/>
    <n v="-175445.52089339885"/>
    <n v="-700.83484268848633"/>
    <n v="-0.12497888498430343"/>
    <s v="Fase de Vida Útil"/>
  </r>
  <r>
    <n v="207"/>
    <x v="206"/>
    <s v="CEN099-CENTRO USINAGEM"/>
    <n v="10006633"/>
    <s v="BR01-CIL-UCI-USINA2-CEN099"/>
    <n v="4531"/>
    <n v="52347"/>
    <n v="2020"/>
    <n v="2889003.28"/>
    <n v="2130131"/>
    <n v="313859.99999999988"/>
    <n v="0.97"/>
    <n v="5096"/>
    <n v="26138"/>
    <n v="423"/>
    <n v="80"/>
    <n v="160"/>
    <n v="240"/>
    <n v="320"/>
    <n v="400"/>
    <n v="480"/>
    <n v="560"/>
    <n v="568.35"/>
    <n v="4774.26"/>
    <n v="0.1"/>
    <n v="0.20369999999999999"/>
    <n v="0.8"/>
    <n v="-2889003.28"/>
    <n v="-113035.03200000001"/>
    <n v="-124338.53520000001"/>
    <n v="-136772.38872000005"/>
    <n v="-150449.62759200003"/>
    <n v="-165494.59035120005"/>
    <n v="-182044.04938632008"/>
    <n v="-200248.45432495212"/>
    <n v="-3477493.2481359998"/>
    <n v="-22607.006399999995"/>
    <n v="-24867.707039999998"/>
    <n v="-27354.477744000003"/>
    <n v="-30089.925518399999"/>
    <n v="-33098.918070240004"/>
    <n v="-36408.809877264008"/>
    <n v="-40049.690864990414"/>
    <n v="-5032173.1761360001"/>
    <n v="-1072382.6775744725"/>
    <n v="-214476.53551489441"/>
    <n v="-678.53115801091735"/>
    <n v="-0.12100153790376812"/>
    <s v="Confiabilidade em Crescimento"/>
  </r>
  <r>
    <n v="208"/>
    <x v="207"/>
    <s v="CEN100-CENTRO DE USINAGEM"/>
    <n v="10006687"/>
    <s v="BR01-CIL-UCI-USINA1-CEN100"/>
    <n v="4531"/>
    <n v="54936"/>
    <n v="2021"/>
    <n v="3470965.14"/>
    <n v="3032384"/>
    <n v="89138.650000000009"/>
    <n v="0.99"/>
    <n v="6000"/>
    <n v="13694"/>
    <n v="126"/>
    <n v="55"/>
    <n v="181"/>
    <n v="236"/>
    <n v="291"/>
    <n v="346"/>
    <n v="401"/>
    <n v="456"/>
    <n v="461.70500000000004"/>
    <n v="3714.8591666666671"/>
    <n v="0.1"/>
    <n v="0.1585"/>
    <n v="0.8"/>
    <n v="-3470965.14"/>
    <n v="-76969.293500000014"/>
    <n v="-124331.29940000003"/>
    <n v="-93132.84513500004"/>
    <n v="-102446.12964850003"/>
    <n v="-112690.74261335006"/>
    <n v="-123959.81687468507"/>
    <n v="-136355.79856215359"/>
    <n v="-4021113.1146900007"/>
    <n v="-15393.858699999999"/>
    <n v="-24866.259880000001"/>
    <n v="-18626.569027000005"/>
    <n v="-20489.225929700002"/>
    <n v="-22538.148522670006"/>
    <n v="-24791.963374937008"/>
    <n v="-27271.159712430712"/>
    <n v="-6635428.5946899997"/>
    <n v="-769885.92573368887"/>
    <n v="-153977.18514673773"/>
    <n v="-919.65548201472143"/>
    <n v="-0.13038291035795513"/>
    <s v="Confiabilidade em Crescimento"/>
  </r>
  <r>
    <n v="209"/>
    <x v="208"/>
    <s v="CEN101-CENTRO DE USINAGEM"/>
    <n v="10006688"/>
    <s v="BR01-CIL-UCI-USINA1-CEN101"/>
    <n v="4531"/>
    <n v="54935"/>
    <n v="2021"/>
    <n v="3496714.53"/>
    <n v="3054881"/>
    <n v="136190.71"/>
    <n v="0.95"/>
    <n v="5014"/>
    <n v="14250"/>
    <n v="168"/>
    <n v="56"/>
    <n v="112"/>
    <n v="168"/>
    <n v="224"/>
    <n v="280"/>
    <n v="336"/>
    <n v="392"/>
    <n v="468.4425"/>
    <n v="2908.7720833333333"/>
    <n v="0.1"/>
    <n v="0.1585"/>
    <n v="0.8"/>
    <n v="-3496714.53"/>
    <n v="-67251.849499999997"/>
    <n v="-73977.034450000006"/>
    <n v="-81374.737895000027"/>
    <n v="-89512.211684500027"/>
    <n v="-98463.432852950034"/>
    <n v="-108309.77613824504"/>
    <n v="-119140.75375206958"/>
    <n v="-4050943.7830050001"/>
    <n v="-13450.369899999996"/>
    <n v="-14795.406889999998"/>
    <n v="-16274.947579000001"/>
    <n v="-17902.442336900003"/>
    <n v="-19692.686570590002"/>
    <n v="-21661.955227649003"/>
    <n v="-23828.150750413912"/>
    <n v="-6763451.731005"/>
    <n v="-638029.79627276468"/>
    <n v="-127605.95925455292"/>
    <n v="-942.20013514096968"/>
    <n v="-0.13259546413168385"/>
    <s v="Confiabilidade em Crescimento"/>
  </r>
  <r>
    <n v="210"/>
    <x v="209"/>
    <s v="CEN102-CENTRO USINAGEM"/>
    <n v="10006689"/>
    <s v="BR01-CIL-UCI-USINA2-CEN102"/>
    <n v="4531"/>
    <n v="54934"/>
    <n v="2021"/>
    <n v="3294729.57"/>
    <n v="2878418"/>
    <n v="100522.27"/>
    <n v="0.71"/>
    <n v="5373"/>
    <n v="13830"/>
    <n v="154"/>
    <n v="41"/>
    <n v="82"/>
    <n v="123"/>
    <n v="164"/>
    <n v="205"/>
    <n v="246"/>
    <n v="287"/>
    <n v="611.54"/>
    <n v="3409.13"/>
    <n v="0.1"/>
    <n v="0.1585"/>
    <n v="0.8"/>
    <n v="-3294729.57"/>
    <n v="-72580.97"/>
    <n v="-79839.06700000001"/>
    <n v="-87822.973700000017"/>
    <n v="-96605.271070000017"/>
    <n v="-106265.79817700003"/>
    <n v="-116892.37799470004"/>
    <n v="-128581.61579417008"/>
    <n v="-3816944.2068449999"/>
    <n v="-14516.193999999998"/>
    <n v="-15967.813399999999"/>
    <n v="-17564.59474"/>
    <n v="-19321.054214"/>
    <n v="-21253.159635400003"/>
    <n v="-23378.475598940004"/>
    <n v="-25716.32315883401"/>
    <n v="-6325859.0868450012"/>
    <n v="-688588.07373587019"/>
    <n v="-137717.614747174"/>
    <n v="-877.78453540804344"/>
    <n v="-0.13110336801654149"/>
    <s v="Confiabilidade em Crescimento"/>
  </r>
  <r>
    <n v="211"/>
    <x v="210"/>
    <s v="CEN103-CENTRO USINAGEM"/>
    <n v="10006690"/>
    <s v="BR01-CIL-UCI-USINA2-CEN103"/>
    <n v="4531"/>
    <n v="54933"/>
    <n v="2021"/>
    <n v="3273312.33"/>
    <n v="2859706"/>
    <n v="136113.20000000001"/>
    <n v="0.93"/>
    <n v="5243"/>
    <n v="13667"/>
    <n v="182"/>
    <n v="64"/>
    <n v="128"/>
    <n v="192"/>
    <n v="256"/>
    <n v="320"/>
    <n v="384"/>
    <n v="448"/>
    <n v="451.64"/>
    <n v="3949.66"/>
    <n v="0.1"/>
    <n v="0.1585"/>
    <n v="0.8"/>
    <n v="-3273312.33"/>
    <n v="-83930.968000000008"/>
    <n v="-92324.064800000022"/>
    <n v="-101556.47128000004"/>
    <n v="-111712.11840800004"/>
    <n v="-122883.33024880005"/>
    <n v="-135171.66327368008"/>
    <n v="-148688.82960104811"/>
    <n v="-3792132.3343050005"/>
    <n v="-16786.193599999999"/>
    <n v="-18464.812959999999"/>
    <n v="-20311.294256000005"/>
    <n v="-22342.423681600001"/>
    <n v="-24576.666049760002"/>
    <n v="-27034.332654736012"/>
    <n v="-29737.765920209615"/>
    <n v="-6224553.4063050002"/>
    <n v="-796267.44561152847"/>
    <n v="-159253.48912230562"/>
    <n v="-859.26062540225394"/>
    <n v="-0.12917641443130945"/>
    <s v="Confiabilidade em Crescimento"/>
  </r>
  <r>
    <n v="212"/>
    <x v="211"/>
    <s v="CEN104-CENTRO USINAGEM"/>
    <n v="10006691"/>
    <s v="BR01-CIL-UCI-USINA2-CEN104"/>
    <n v="4531"/>
    <n v="55965"/>
    <n v="2021"/>
    <n v="3643233.81"/>
    <n v="3271985"/>
    <n v="106586.18999999997"/>
    <n v="0.8"/>
    <n v="5438"/>
    <n v="11819"/>
    <n v="94"/>
    <n v="33"/>
    <n v="66"/>
    <n v="99"/>
    <n v="132"/>
    <n v="165"/>
    <n v="198"/>
    <n v="231"/>
    <n v="1106.72"/>
    <n v="2662.38"/>
    <n v="0.1"/>
    <n v="0.1585"/>
    <n v="0.8"/>
    <n v="-3643233.81"/>
    <n v="-75317.352000000014"/>
    <n v="-82849.087200000024"/>
    <n v="-91133.99592000003"/>
    <n v="-100247.39551200003"/>
    <n v="-110272.13506320005"/>
    <n v="-121299.34856952007"/>
    <n v="-133429.2834264721"/>
    <n v="-4220686.3688850002"/>
    <n v="-15063.4704"/>
    <n v="-16569.817440000003"/>
    <n v="-18226.799184000003"/>
    <n v="-20049.479102400001"/>
    <n v="-22054.427012640004"/>
    <n v="-24259.869713904009"/>
    <n v="-26685.856685294413"/>
    <n v="-7109237.5768849999"/>
    <n v="-714548.59769119229"/>
    <n v="-142909.71953823845"/>
    <n v="-988.71892724743509"/>
    <n v="-0.13195813329719924"/>
    <s v="Confiabilidade em Crescimento"/>
  </r>
  <r>
    <n v="213"/>
    <x v="212"/>
    <s v="CEN105-CENTRO USINAGEM"/>
    <n v="10006692"/>
    <s v="BR01-CIL-UCI-USINA2-CEN105"/>
    <n v="4531"/>
    <n v="55966"/>
    <n v="2021"/>
    <n v="3643233.79"/>
    <n v="3271985"/>
    <n v="50594.80000000001"/>
    <n v="0.88"/>
    <n v="5704"/>
    <n v="12168"/>
    <n v="103"/>
    <n v="42"/>
    <n v="84"/>
    <n v="126"/>
    <n v="168"/>
    <n v="210"/>
    <n v="252"/>
    <n v="294"/>
    <n v="661.07"/>
    <n v="2908.7720833333333"/>
    <n v="0.1"/>
    <n v="0.1585"/>
    <n v="0.8"/>
    <n v="-3643233.79"/>
    <n v="-68937.2255"/>
    <n v="-75830.948050000021"/>
    <n v="-83414.042855000022"/>
    <n v="-91755.447140500022"/>
    <n v="-100930.99185455004"/>
    <n v="-111024.09104000505"/>
    <n v="-122126.50014400558"/>
    <n v="-4220686.3457150003"/>
    <n v="-13787.445099999997"/>
    <n v="-15166.189610000001"/>
    <n v="-16682.808571000001"/>
    <n v="-18351.0894281"/>
    <n v="-20186.198370910002"/>
    <n v="-22204.818208001005"/>
    <n v="-24425.30002880111"/>
    <n v="-7141718.1977150002"/>
    <n v="-654019.2465840606"/>
    <n v="-130803.84931681212"/>
    <n v="-995.63656406396456"/>
    <n v="-0.13288138744179154"/>
    <s v="Confiabilidade em Crescimento"/>
  </r>
  <r>
    <n v="214"/>
    <x v="213"/>
    <s v="CEN106-CENTRO USINAGEM"/>
    <n v="10006693"/>
    <s v="BR01-CIL-UCI-USINA2-CEN106"/>
    <n v="4531"/>
    <n v="56425"/>
    <n v="2021"/>
    <n v="3741397.82"/>
    <n v="3433282"/>
    <n v="613224.92000000027"/>
    <n v="0.99"/>
    <n v="5091"/>
    <n v="8870"/>
    <n v="73"/>
    <n v="36.5"/>
    <n v="73"/>
    <n v="109.5"/>
    <n v="146"/>
    <n v="182.5"/>
    <n v="219"/>
    <n v="255.5"/>
    <n v="431.95"/>
    <n v="2055.19"/>
    <n v="0.1"/>
    <n v="0.1585"/>
    <n v="0.8"/>
    <n v="-3741397.82"/>
    <n v="-44471.300500000005"/>
    <n v="-48918.430550000012"/>
    <n v="-53810.273605000017"/>
    <n v="-59191.300965500021"/>
    <n v="-65110.431062050026"/>
    <n v="-71621.474168255038"/>
    <n v="-78783.621585080546"/>
    <n v="-4334409.3744700002"/>
    <n v="-8894.2600999999995"/>
    <n v="-9783.6861100000006"/>
    <n v="-10762.054721"/>
    <n v="-11838.260193100001"/>
    <n v="-13022.086212410002"/>
    <n v="-14324.294833651004"/>
    <n v="-15756.724317016105"/>
    <n v="-7541292.0264700009"/>
    <n v="-421906.83243588568"/>
    <n v="-84381.366487177118"/>
    <n v="-1061.4522726458988"/>
    <n v="-0.13664964549628789"/>
    <s v="Confiabilidade em Crescimento"/>
  </r>
  <r>
    <n v="215"/>
    <x v="214"/>
    <s v="CEN107-CENTRO USINAGEM"/>
    <n v="10006694"/>
    <s v="BR01-CIL-UCI-USINA2-CEN107"/>
    <n v="4531"/>
    <n v="56422"/>
    <n v="2021"/>
    <n v="3741398.17"/>
    <n v="3433282"/>
    <n v="98617.58"/>
    <n v="0.83"/>
    <n v="5155"/>
    <n v="9994"/>
    <n v="92"/>
    <n v="38"/>
    <n v="76"/>
    <n v="114"/>
    <n v="152"/>
    <n v="190"/>
    <n v="228"/>
    <n v="266"/>
    <n v="938.27"/>
    <n v="7248.83"/>
    <n v="0.1"/>
    <n v="0.1585"/>
    <n v="0.8"/>
    <n v="-3741398.17"/>
    <n v="-134904.242"/>
    <n v="-148394.66620000004"/>
    <n v="-163234.13282000006"/>
    <n v="-179557.54610200005"/>
    <n v="-197513.30071220006"/>
    <n v="-217264.63078342011"/>
    <n v="-238991.09386176214"/>
    <n v="-4334409.7799450001"/>
    <n v="-26980.848399999995"/>
    <n v="-29678.933240000002"/>
    <n v="-32646.826564000003"/>
    <n v="-35911.509220400003"/>
    <n v="-39502.66014244"/>
    <n v="-43452.926156684014"/>
    <n v="-47798.218772352418"/>
    <n v="-7080906.5479450002"/>
    <n v="-1279859.6124793824"/>
    <n v="-255971.92249587641"/>
    <n v="-963.40058428021348"/>
    <n v="-0.12402662355470481"/>
    <s v="Confiabilidade em Crescimento"/>
  </r>
  <r>
    <n v="216"/>
    <x v="215"/>
    <s v="CEN108-CENTRO USINAGEM"/>
    <n v="10006695"/>
    <s v="BR01-CIL-UCI-USINA2-CEN108"/>
    <n v="4531"/>
    <n v="56423"/>
    <n v="2021"/>
    <n v="3741398.17"/>
    <n v="3433282"/>
    <n v="146864.24000000002"/>
    <n v="0.76"/>
    <n v="5272"/>
    <n v="10040"/>
    <n v="85"/>
    <n v="33"/>
    <n v="66"/>
    <n v="99"/>
    <n v="132"/>
    <n v="165"/>
    <n v="198"/>
    <n v="231"/>
    <n v="517.51"/>
    <n v="2218.1799999999998"/>
    <n v="0.1"/>
    <n v="0.1585"/>
    <n v="0.8"/>
    <n v="-3741398.17"/>
    <n v="-48065.588999999993"/>
    <n v="-52872.147899999996"/>
    <n v="-58159.362690000002"/>
    <n v="-63975.298959000007"/>
    <n v="-70372.828854900014"/>
    <n v="-77410.111740390013"/>
    <n v="-85151.122914429041"/>
    <n v="-4334409.7799450001"/>
    <n v="-9613.1177999999964"/>
    <n v="-10574.429579999996"/>
    <n v="-11631.872537999998"/>
    <n v="-12795.059791799998"/>
    <n v="-14074.56577098"/>
    <n v="-15482.022348077999"/>
    <n v="-17030.224582885803"/>
    <n v="-7522994.2359450003"/>
    <n v="-456006.46205871907"/>
    <n v="-91201.292411743794"/>
    <n v="-1057.555230042575"/>
    <n v="-0.13614793943974732"/>
    <s v="Confiabilidade em Crescimento"/>
  </r>
  <r>
    <n v="217"/>
    <x v="216"/>
    <s v="CEN109-CENTRO USINAGEM"/>
    <n v="10006696"/>
    <s v="BR01-CIL-UCI-USINA2-CEN109"/>
    <n v="4531"/>
    <n v="56424"/>
    <n v="2021"/>
    <n v="3741398.17"/>
    <n v="3433282"/>
    <n v="23958.459999999988"/>
    <n v="0.85"/>
    <n v="5079"/>
    <n v="9637"/>
    <n v="78"/>
    <n v="34"/>
    <n v="68"/>
    <n v="102"/>
    <n v="136"/>
    <n v="170"/>
    <n v="204"/>
    <n v="238"/>
    <n v="403.51"/>
    <n v="1378.29"/>
    <n v="0.1"/>
    <n v="0.1585"/>
    <n v="0.8"/>
    <n v="-3741398.17"/>
    <n v="-33284.702000000005"/>
    <n v="-36613.172200000008"/>
    <n v="-40274.489420000013"/>
    <n v="-44301.938362000015"/>
    <n v="-48732.132198200015"/>
    <n v="-53605.345418020028"/>
    <n v="-58965.879959822036"/>
    <n v="-4334409.7799450001"/>
    <n v="-6656.9403999999995"/>
    <n v="-7322.6344399999998"/>
    <n v="-8054.8978840000009"/>
    <n v="-8860.387672400002"/>
    <n v="-9746.4264396400013"/>
    <n v="-10721.069083604003"/>
    <n v="-11793.175991964405"/>
    <n v="-7598242.3879450001"/>
    <n v="-315777.65955804213"/>
    <n v="-63155.531911608407"/>
    <n v="-1073.5813788997953"/>
    <n v="-0.1382111197655421"/>
    <s v="Confiabilidade em Crescimento"/>
  </r>
  <r>
    <n v="218"/>
    <x v="217"/>
    <s v="CEN110-CENTRO USINAGEM"/>
    <n v="10006711"/>
    <s v="BR01-CIL-UCI-USINA2-CEN110"/>
    <n v="4531"/>
    <n v="57466"/>
    <n v="2021"/>
    <n v="3194345.48"/>
    <n v="3023219"/>
    <n v="52906.73"/>
    <n v="1.35"/>
    <n v="2889"/>
    <n v="6308"/>
    <n v="64"/>
    <n v="32"/>
    <n v="64"/>
    <n v="96"/>
    <n v="128"/>
    <n v="160"/>
    <n v="192"/>
    <n v="224"/>
    <n v="727.94"/>
    <n v="3577.61"/>
    <n v="0.1"/>
    <n v="0.1585"/>
    <n v="0.8"/>
    <n v="-3194345.48"/>
    <n v="-72847.94"/>
    <n v="-80132.734000000011"/>
    <n v="-88146.007400000017"/>
    <n v="-96960.608140000011"/>
    <n v="-106656.66895400002"/>
    <n v="-117322.33584940004"/>
    <n v="-129054.56943434007"/>
    <n v="-3700649.2385800001"/>
    <n v="-14569.587999999998"/>
    <n v="-16026.546799999998"/>
    <n v="-17629.20148"/>
    <n v="-19392.121627999997"/>
    <n v="-21331.333790799999"/>
    <n v="-23464.467169880005"/>
    <n v="-25810.913886868009"/>
    <n v="-6353005.9985799994"/>
    <n v="-691120.86377774016"/>
    <n v="-138224.172755548"/>
    <n v="-881.56736393682968"/>
    <n v="-0.13111014860145534"/>
    <s v="Fase de Degradação"/>
  </r>
  <r>
    <n v="219"/>
    <x v="218"/>
    <s v="CEN111-CENTRO USINAGEM"/>
    <n v="10006712"/>
    <s v="BR01-CIL-UCI-USINA2-CEN111"/>
    <n v="4531"/>
    <n v="57467"/>
    <n v="2021"/>
    <n v="3194345.48"/>
    <n v="3023219"/>
    <n v="8842.619999999999"/>
    <n v="1.05"/>
    <n v="4641"/>
    <n v="6612"/>
    <n v="37"/>
    <n v="18.5"/>
    <n v="37"/>
    <n v="55.5"/>
    <n v="74"/>
    <n v="92.5"/>
    <n v="111"/>
    <n v="129.5"/>
    <n v="251.5"/>
    <n v="582.92999999999995"/>
    <n v="0.1"/>
    <n v="0.1585"/>
    <n v="0.8"/>
    <n v="-3194345.48"/>
    <n v="-12812.701000000001"/>
    <n v="-14093.971100000002"/>
    <n v="-15503.368210000004"/>
    <n v="-17053.705031000005"/>
    <n v="-18759.075534100008"/>
    <n v="-20634.983087510009"/>
    <n v="-22698.481396261013"/>
    <n v="-3700649.2385800001"/>
    <n v="-2562.5401999999995"/>
    <n v="-2818.7942199999998"/>
    <n v="-3100.6736420000002"/>
    <n v="-3410.7410062000004"/>
    <n v="-3751.8151068200009"/>
    <n v="-4126.9966175020008"/>
    <n v="-4539.6962792522017"/>
    <n v="-6658639.9425799996"/>
    <n v="-121556.28535887104"/>
    <n v="-24311.257071774202"/>
    <n v="-946.66045861327189"/>
    <n v="-0.14079104840001969"/>
    <s v="Fase de Vida Útil"/>
  </r>
  <r>
    <n v="220"/>
    <x v="219"/>
    <s v="CEN112-CENTRO USINAGEM"/>
    <n v="10006713"/>
    <s v="BR01-CIL-UCI-USINA2-CEN112"/>
    <n v="4531"/>
    <n v="57468"/>
    <n v="2021"/>
    <n v="3194345.48"/>
    <n v="3023219"/>
    <n v="23168.38"/>
    <n v="1.6"/>
    <n v="5014"/>
    <n v="6128"/>
    <n v="39"/>
    <n v="19.5"/>
    <n v="39"/>
    <n v="58.5"/>
    <n v="78"/>
    <n v="97.5"/>
    <n v="117"/>
    <n v="136.5"/>
    <n v="620.85"/>
    <n v="1975.78"/>
    <n v="0.1"/>
    <n v="0.1585"/>
    <n v="0.8"/>
    <n v="-3194345.48"/>
    <n v="-39397.5285"/>
    <n v="-43337.281350000005"/>
    <n v="-47671.00948500001"/>
    <n v="-52438.110433500013"/>
    <n v="-57681.921476850017"/>
    <n v="-63450.113624535028"/>
    <n v="-69795.124986988536"/>
    <n v="-3700649.2385800001"/>
    <n v="-7879.5056999999979"/>
    <n v="-8667.4562699999988"/>
    <n v="-9534.201896999999"/>
    <n v="-10487.622086700001"/>
    <n v="-11536.38429537"/>
    <n v="-12690.022724907003"/>
    <n v="-13959.024997397704"/>
    <n v="-6523299.0025800001"/>
    <n v="-373771.08985687362"/>
    <n v="-74754.217971374703"/>
    <n v="-917.83590952778593"/>
    <n v="-0.1365041486478655"/>
    <s v="Fase de Degradação"/>
  </r>
  <r>
    <n v="221"/>
    <x v="220"/>
    <s v="CEN113-CENTRO USINAGEM"/>
    <n v="10006714"/>
    <s v="BR01-CIL-UCI-USINA2-CEN113"/>
    <n v="4531"/>
    <n v="57469"/>
    <n v="2021"/>
    <n v="3194371.88"/>
    <n v="3023244"/>
    <n v="33992.410000000003"/>
    <n v="1.05"/>
    <n v="3693"/>
    <n v="5295"/>
    <n v="49"/>
    <n v="24.5"/>
    <n v="49"/>
    <n v="73.5"/>
    <n v="98"/>
    <n v="122.5"/>
    <n v="147"/>
    <n v="171.5"/>
    <n v="541.04999999999995"/>
    <n v="2192.41"/>
    <n v="0.1"/>
    <n v="0.1585"/>
    <n v="0.8"/>
    <n v="-3194371.88"/>
    <n v="-43521.109499999999"/>
    <n v="-47873.220450000001"/>
    <n v="-52660.542495000009"/>
    <n v="-57926.596744500013"/>
    <n v="-63719.256418950019"/>
    <n v="-70091.182060845022"/>
    <n v="-77100.300266929538"/>
    <n v="-3700679.8229800002"/>
    <n v="-8704.2218999999986"/>
    <n v="-9574.644089999998"/>
    <n v="-10532.108499"/>
    <n v="-11585.3193489"/>
    <n v="-12743.851283790002"/>
    <n v="-14018.236412169001"/>
    <n v="-15420.060053385905"/>
    <n v="-6502361.8109799996"/>
    <n v="-412892.20793622464"/>
    <n v="-82578.441587244917"/>
    <n v="-913.37286523300281"/>
    <n v="-0.13583926428663817"/>
    <s v="Fase de Vida Útil"/>
  </r>
  <r>
    <n v="222"/>
    <x v="221"/>
    <s v="CEN114-CENTRO USINAGEM"/>
    <n v="10006715"/>
    <s v="BR01-CIL-UCI-USINA2-CEN114"/>
    <n v="4531"/>
    <n v="57470"/>
    <n v="2021"/>
    <n v="3194367.68"/>
    <n v="3023240"/>
    <n v="17679.82"/>
    <n v="1.42"/>
    <n v="3669"/>
    <n v="4725"/>
    <n v="28"/>
    <n v="14"/>
    <n v="28"/>
    <n v="42"/>
    <n v="56"/>
    <n v="70"/>
    <n v="84"/>
    <n v="98"/>
    <n v="533"/>
    <n v="2208.98"/>
    <n v="0.1"/>
    <n v="0.1585"/>
    <n v="0.8"/>
    <n v="-3194367.68"/>
    <n v="-37366.736000000004"/>
    <n v="-41103.409600000006"/>
    <n v="-45213.750560000015"/>
    <n v="-49735.125616000019"/>
    <n v="-54708.63817760002"/>
    <n v="-60179.501995360035"/>
    <n v="-66197.452194896046"/>
    <n v="-3700674.9572800007"/>
    <n v="-7473.3471999999992"/>
    <n v="-8220.6819199999991"/>
    <n v="-9042.7501120000015"/>
    <n v="-9947.025123200001"/>
    <n v="-10941.727635520001"/>
    <n v="-12035.900399072005"/>
    <n v="-13239.490438979206"/>
    <n v="-6533684.3012800002"/>
    <n v="-354504.61414385616"/>
    <n v="-70900.922828771218"/>
    <n v="-920.04446656641653"/>
    <n v="-0.1368316631622894"/>
    <s v="Fase de Degradação"/>
  </r>
  <r>
    <n v="223"/>
    <x v="222"/>
    <s v="CEN115-CENTRO USINAGEM"/>
    <n v="10006716"/>
    <s v="BR01-CIL-UCI-USINA2-CEN115"/>
    <n v="4531"/>
    <n v="57471"/>
    <n v="2021"/>
    <n v="3194367.68"/>
    <n v="3023240"/>
    <n v="33569.80000000001"/>
    <n v="1.29"/>
    <n v="3813"/>
    <n v="5616"/>
    <n v="70"/>
    <n v="35"/>
    <n v="70"/>
    <n v="105"/>
    <n v="140"/>
    <n v="175"/>
    <n v="210"/>
    <n v="245"/>
    <n v="546.02"/>
    <n v="3519.01"/>
    <n v="0.1"/>
    <n v="0.1585"/>
    <n v="0.8"/>
    <n v="-3194367.68"/>
    <n v="-67472.702000000019"/>
    <n v="-74219.972200000018"/>
    <n v="-81641.969420000038"/>
    <n v="-89806.166362000033"/>
    <n v="-98786.78299820004"/>
    <n v="-108665.46129802006"/>
    <n v="-119532.00742782209"/>
    <n v="-3700674.9572800007"/>
    <n v="-13494.540400000002"/>
    <n v="-14843.99444"/>
    <n v="-16328.393884000005"/>
    <n v="-17961.233272400004"/>
    <n v="-19757.356599640003"/>
    <n v="-21733.092259604007"/>
    <n v="-23906.401485564413"/>
    <n v="-6380417.5652800007"/>
    <n v="-640125.06170604227"/>
    <n v="-128025.01234120844"/>
    <n v="-887.40212970216658"/>
    <n v="-0.13197700080090602"/>
    <s v="Fase de Degradação"/>
  </r>
  <r>
    <n v="224"/>
    <x v="223"/>
    <s v="CEN116-CENTRO USINAGEM"/>
    <n v="10006717"/>
    <s v="BR01-CIL-UCI-USINA2-CEN116"/>
    <n v="4531"/>
    <n v="57472"/>
    <n v="2021"/>
    <n v="3194367.86"/>
    <n v="3023240"/>
    <n v="40689.32"/>
    <n v="1.33"/>
    <n v="3470"/>
    <n v="5735"/>
    <n v="56"/>
    <n v="28"/>
    <n v="56"/>
    <n v="84"/>
    <n v="112"/>
    <n v="140"/>
    <n v="168"/>
    <n v="196"/>
    <n v="758.7"/>
    <n v="4166.92"/>
    <n v="0.1"/>
    <n v="0.1585"/>
    <n v="0.8"/>
    <n v="-3194367.86"/>
    <n v="-78371.304000000004"/>
    <n v="-86208.434400000013"/>
    <n v="-94829.277840000024"/>
    <n v="-104312.20562400002"/>
    <n v="-114743.42618640004"/>
    <n v="-126217.76880504006"/>
    <n v="-138839.54568554409"/>
    <n v="-3700675.1658100002"/>
    <n v="-15674.260799999996"/>
    <n v="-17241.686879999997"/>
    <n v="-18965.855567999999"/>
    <n v="-20862.4411248"/>
    <n v="-22948.685237280002"/>
    <n v="-25243.553761008006"/>
    <n v="-27767.909137108811"/>
    <n v="-6324933.9818099998"/>
    <n v="-743521.96254098439"/>
    <n v="-148704.39250819682"/>
    <n v="-875.58537082531609"/>
    <n v="-0.13021957434524506"/>
    <s v="Fase de Degradação"/>
  </r>
  <r>
    <n v="225"/>
    <x v="224"/>
    <s v="CEN117- CENTRO DE USINAGEM"/>
    <n v="10006937"/>
    <s v="BR01-CIL-UCI-USINA1-CEN117"/>
    <n v="4531"/>
    <n v="900000023370"/>
    <n v="2022"/>
    <n v="824006.91"/>
    <n v="824006.91"/>
    <m/>
    <m/>
    <m/>
    <m/>
    <m/>
    <s v=""/>
    <e v="#VALUE!"/>
    <e v="#VALUE!"/>
    <e v="#VALUE!"/>
    <e v="#VALUE!"/>
    <e v="#VALUE!"/>
    <e v="#VALUE!"/>
    <m/>
    <m/>
    <n v="0.1"/>
    <n v="5.79E-2"/>
    <n v="0.8"/>
    <n v="-824006.91"/>
    <e v="#VALUE!"/>
    <e v="#VALUE!"/>
    <e v="#VALUE!"/>
    <e v="#VALUE!"/>
    <e v="#VALUE!"/>
    <e v="#VALUE!"/>
    <e v="#VALUE!"/>
    <n v="-871716.91008900013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26"/>
    <x v="225"/>
    <s v="CEN118- CENTRO DE USINAGEM"/>
    <n v="10006938"/>
    <s v="BR01-CIL-UCI-USINA1-CEN118"/>
    <n v="4531"/>
    <n v="900000023662"/>
    <n v="2022"/>
    <n v="863389.16"/>
    <n v="863389.16"/>
    <m/>
    <m/>
    <m/>
    <m/>
    <m/>
    <s v=""/>
    <e v="#VALUE!"/>
    <e v="#VALUE!"/>
    <e v="#VALUE!"/>
    <e v="#VALUE!"/>
    <e v="#VALUE!"/>
    <e v="#VALUE!"/>
    <m/>
    <m/>
    <n v="0.1"/>
    <n v="5.79E-2"/>
    <n v="0.8"/>
    <n v="-863389.16"/>
    <e v="#VALUE!"/>
    <e v="#VALUE!"/>
    <e v="#VALUE!"/>
    <e v="#VALUE!"/>
    <e v="#VALUE!"/>
    <e v="#VALUE!"/>
    <e v="#VALUE!"/>
    <n v="-913379.39236400009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27"/>
    <x v="226"/>
    <s v="CEN130-CENTRO DE USINAGEM"/>
    <n v="10006675"/>
    <s v="BR01-MOT-UMG-CARTL4-CEN130"/>
    <n v="2370"/>
    <n v="54874"/>
    <n v="2021"/>
    <n v="1806141.71"/>
    <n v="1577923"/>
    <n v="56968.080000000031"/>
    <n v="0.72"/>
    <n v="4214.5919999999996"/>
    <n v="12769"/>
    <n v="22"/>
    <n v="5"/>
    <n v="10"/>
    <n v="15"/>
    <n v="20"/>
    <n v="25"/>
    <n v="30"/>
    <n v="35"/>
    <n v="515.83000000000004"/>
    <n v="2692.9"/>
    <n v="0.1"/>
    <n v="0.1585"/>
    <n v="0.8"/>
    <n v="-1806141.71"/>
    <n v="-38383.345000000008"/>
    <n v="-42221.679500000013"/>
    <n v="-46443.847450000023"/>
    <n v="-51088.232195000019"/>
    <n v="-56197.055414500028"/>
    <n v="-61816.760955950034"/>
    <n v="-67998.437051545057"/>
    <n v="-2092415.1710350001"/>
    <n v="-7676.6689999999999"/>
    <n v="-8444.3359"/>
    <n v="-9288.7694900000024"/>
    <n v="-10217.646439000002"/>
    <n v="-11239.411082900004"/>
    <n v="-12363.352191190004"/>
    <n v="-13599.687410309009"/>
    <n v="-3474932.051035"/>
    <n v="-364149.3575669952"/>
    <n v="-72829.871513399019"/>
    <n v="-482.71695499734346"/>
    <n v="-0.13151838672707966"/>
    <s v="Confiabilidade em Crescimento"/>
  </r>
  <r>
    <n v="228"/>
    <x v="227"/>
    <s v="CEN131-CENTRO DE USINAGEM"/>
    <n v="10006676"/>
    <s v="BR01-MOT-UMG-CARTL4-CEN131"/>
    <n v="2370"/>
    <n v="54875"/>
    <n v="2021"/>
    <n v="1625846.51"/>
    <n v="1420409"/>
    <n v="57090.540000000015"/>
    <n v="1.34"/>
    <n v="4131.2255999999998"/>
    <n v="11045"/>
    <n v="16"/>
    <n v="8"/>
    <n v="16"/>
    <n v="24"/>
    <n v="32"/>
    <n v="40"/>
    <n v="48"/>
    <n v="56"/>
    <n v="413.69"/>
    <n v="2358.9699999999998"/>
    <n v="0.1"/>
    <n v="0.1585"/>
    <n v="0.8"/>
    <n v="-1625846.51"/>
    <n v="-34778.876000000004"/>
    <n v="-38256.763600000006"/>
    <n v="-42082.439960000011"/>
    <n v="-46290.683956000015"/>
    <n v="-50919.752351600015"/>
    <n v="-56011.727586760026"/>
    <n v="-61612.900345436035"/>
    <n v="-1883543.1818350002"/>
    <n v="-6955.7751999999991"/>
    <n v="-7651.3527199999999"/>
    <n v="-8416.4879920000003"/>
    <n v="-9258.1367912000005"/>
    <n v="-10183.95047032"/>
    <n v="-11202.345517352003"/>
    <n v="-12322.580069087204"/>
    <n v="-3126896.0858350005"/>
    <n v="-329953.14379979612"/>
    <n v="-65990.628759959203"/>
    <n v="-434.28423811359482"/>
    <n v="-0.13144386305021985"/>
    <s v="Fase de Degradação"/>
  </r>
  <r>
    <n v="229"/>
    <x v="228"/>
    <s v="CEN132-CENTRO DE USINAGEM"/>
    <n v="10006708"/>
    <s v="BR01-MOT-UMG-CARTL4-CEN132"/>
    <n v="2370"/>
    <n v="56283"/>
    <n v="2022"/>
    <n v="1837098.41"/>
    <n v="1665204"/>
    <n v="34798.700000000004"/>
    <n v="0.55000000000000004"/>
    <n v="3929.9520000000002"/>
    <n v="10440"/>
    <n v="31"/>
    <n v="6"/>
    <n v="12"/>
    <n v="18"/>
    <n v="24"/>
    <n v="30"/>
    <n v="36"/>
    <n v="42"/>
    <n v="580.78"/>
    <n v="1822.92"/>
    <n v="0.1"/>
    <n v="5.79E-2"/>
    <n v="0.8"/>
    <n v="-1837098.41"/>
    <n v="-27895.692000000003"/>
    <n v="-30685.261200000004"/>
    <n v="-33753.78732000001"/>
    <n v="-37129.166052000015"/>
    <n v="-40842.082657200015"/>
    <n v="-44926.290922920023"/>
    <n v="-49418.920015212032"/>
    <n v="-1943466.4079390001"/>
    <n v="-5579.1383999999989"/>
    <n v="-6137.05224"/>
    <n v="-6750.7574640000003"/>
    <n v="-7425.833210400001"/>
    <n v="-8168.4165314400016"/>
    <n v="-8985.2581845840032"/>
    <n v="-9883.7840030424049"/>
    <n v="-3466655.975939"/>
    <n v="-264651.20016733208"/>
    <n v="-52930.240033466405"/>
    <n v="-485.27849254359057"/>
    <n v="-0.13447570370405343"/>
    <s v="Confiabilidade em Crescimento"/>
  </r>
  <r>
    <n v="230"/>
    <x v="229"/>
    <s v="CEN133-CENTRO DE USINAGEM"/>
    <n v="10006709"/>
    <s v="BR01-MOT-UMG-CARTL4-CEN133"/>
    <n v="2370"/>
    <n v="56284"/>
    <n v="2022"/>
    <n v="1836591.47"/>
    <n v="1664745"/>
    <n v="16866.750000000004"/>
    <n v="0.75"/>
    <n v="3806.3087999999998"/>
    <n v="10599"/>
    <n v="12"/>
    <n v="4"/>
    <n v="8"/>
    <n v="12"/>
    <n v="16"/>
    <n v="20"/>
    <n v="24"/>
    <n v="28"/>
    <n v="714.16"/>
    <n v="1280.1400000000001"/>
    <n v="0.1"/>
    <n v="5.79E-2"/>
    <n v="0.8"/>
    <n v="-1836591.47"/>
    <n v="-20040.152000000002"/>
    <n v="-22044.167200000004"/>
    <n v="-24248.583920000008"/>
    <n v="-26673.442312000006"/>
    <n v="-29340.786543200011"/>
    <n v="-32274.865197520015"/>
    <n v="-35502.351717272024"/>
    <n v="-1942930.1161130001"/>
    <n v="-4008.0303999999996"/>
    <n v="-4408.8334399999994"/>
    <n v="-4849.7167840000002"/>
    <n v="-5334.6884624000004"/>
    <n v="-5868.1573086400012"/>
    <n v="-6454.9730395040015"/>
    <n v="-7100.4703434544035"/>
    <n v="-3505652.5241129999"/>
    <n v="-190124.34888999208"/>
    <n v="-38024.869777998407"/>
    <n v="-493.65366242871517"/>
    <n v="-0.13683428982391022"/>
    <s v="Confiabilidade em Crescimento"/>
  </r>
  <r>
    <n v="231"/>
    <x v="230"/>
    <s v="CEN134-CENTRO DE USINAGEM"/>
    <n v="10006710"/>
    <s v="BR01-MOT-UMG-CARTL4-CEN134"/>
    <n v="2370"/>
    <n v="56285"/>
    <n v="2022"/>
    <n v="1836635.53"/>
    <n v="1664786"/>
    <n v="8844.93"/>
    <n v="0.9"/>
    <n v="3806.3087999999998"/>
    <n v="10246"/>
    <n v="9"/>
    <n v="3"/>
    <n v="6"/>
    <n v="9"/>
    <n v="12"/>
    <n v="15"/>
    <n v="18"/>
    <n v="21"/>
    <n v="651.26"/>
    <n v="1551.53"/>
    <n v="0.1"/>
    <n v="5.79E-2"/>
    <n v="0.8"/>
    <n v="-1836635.53"/>
    <n v="-22629.354000000003"/>
    <n v="-24892.289400000001"/>
    <n v="-27381.518340000006"/>
    <n v="-30119.670174000006"/>
    <n v="-33131.637191400012"/>
    <n v="-36444.800910540012"/>
    <n v="-40089.281001594027"/>
    <n v="-1942976.7271870002"/>
    <n v="-4525.8707999999997"/>
    <n v="-4978.457879999999"/>
    <n v="-5476.3036679999996"/>
    <n v="-6023.9340347999996"/>
    <n v="-6626.3274382800009"/>
    <n v="-7288.9601821080005"/>
    <n v="-8017.8562003188035"/>
    <n v="-3492558.743187"/>
    <n v="-214688.55101753408"/>
    <n v="-42937.710203506809"/>
    <n v="-490.85884091042476"/>
    <n v="-0.13605629805182645"/>
    <s v="Confiabilidade em Crescimento"/>
  </r>
  <r>
    <n v="232"/>
    <x v="231"/>
    <s v="CEN135-CENTRO DE USINAGEM"/>
    <n v="10006847"/>
    <s v="BR01-MOT-UMG-CARTL4-CEN135"/>
    <n v="2370"/>
    <n v="900000023287"/>
    <n v="2022"/>
    <n v="1443906.64"/>
    <n v="1443906.64"/>
    <n v="0"/>
    <m/>
    <n v="3806.3087999999998"/>
    <m/>
    <m/>
    <s v=""/>
    <m/>
    <m/>
    <m/>
    <m/>
    <m/>
    <m/>
    <s v="-"/>
    <m/>
    <m/>
    <n v="5.79E-2"/>
    <m/>
    <m/>
    <m/>
    <m/>
    <m/>
    <m/>
    <m/>
    <m/>
    <m/>
    <m/>
    <m/>
    <m/>
    <m/>
    <m/>
    <m/>
    <m/>
    <m/>
    <m/>
    <m/>
    <m/>
    <m/>
    <m/>
    <m/>
  </r>
  <r>
    <n v="233"/>
    <x v="232"/>
    <s v="CEN136-CENTRO DE USINAGEM"/>
    <n v="10006848"/>
    <s v="BR01-MOT-UMG-CARTL4-CEN136"/>
    <n v="2370"/>
    <n v="900000023287"/>
    <n v="2022"/>
    <n v="1443906.64"/>
    <n v="1443906.64"/>
    <n v="2322.6"/>
    <m/>
    <n v="3806.3087999999998"/>
    <m/>
    <m/>
    <s v=""/>
    <m/>
    <m/>
    <m/>
    <m/>
    <m/>
    <m/>
    <s v="-"/>
    <m/>
    <m/>
    <n v="5.79E-2"/>
    <m/>
    <m/>
    <m/>
    <m/>
    <m/>
    <m/>
    <m/>
    <m/>
    <m/>
    <m/>
    <m/>
    <m/>
    <m/>
    <m/>
    <m/>
    <m/>
    <m/>
    <m/>
    <m/>
    <m/>
    <m/>
    <m/>
    <m/>
  </r>
  <r>
    <n v="234"/>
    <x v="233"/>
    <s v="CEN140-CENTRO DE USINAGEM 5 EIXOS HERMLE"/>
    <n v="10006814"/>
    <s v="BR01-CIL-FER-FABMOL"/>
    <n v="1075"/>
    <n v="57797"/>
    <n v="2021"/>
    <n v="3402619.03"/>
    <n v="3240589"/>
    <n v="16964.34"/>
    <n v="5.7"/>
    <n v="3439"/>
    <n v="3221"/>
    <n v="7"/>
    <n v="3.5"/>
    <n v="7"/>
    <n v="10.5"/>
    <n v="14"/>
    <n v="17.5"/>
    <n v="21"/>
    <n v="24.5"/>
    <n v="963.03"/>
    <n v="1385.92"/>
    <n v="0.1"/>
    <n v="0.1585"/>
    <n v="0.8"/>
    <n v="-3402619.03"/>
    <n v="-22001.809500000003"/>
    <n v="-24201.990450000005"/>
    <n v="-26622.18949500001"/>
    <n v="-29284.408444500008"/>
    <n v="-32212.849288950012"/>
    <n v="-35434.134217845014"/>
    <n v="-38977.547639629527"/>
    <n v="-3941934.146255"/>
    <n v="-4400.3618999999999"/>
    <n v="-4840.3980899999997"/>
    <n v="-5324.4378990000005"/>
    <n v="-5856.8816889"/>
    <n v="-6442.5698577900012"/>
    <n v="-7086.8268435690015"/>
    <n v="-7795.509527925904"/>
    <n v="-7070513.9342550002"/>
    <n v="-208734.92903592455"/>
    <n v="-41746.985807184908"/>
    <n v="-1002.2193147180371"/>
    <n v="-0.13953582805237444"/>
    <s v="Fase de Degradação"/>
  </r>
  <r>
    <n v="235"/>
    <x v="234"/>
    <s v="COL003-MÁQUINA DE COLA QUENTE"/>
    <n v="10003360"/>
    <s v="BR01-MOT-SAB-FINALL-EMB004"/>
    <n v="2528"/>
    <n v="40295"/>
    <n v="2011"/>
    <n v="24723.83"/>
    <n v="6263"/>
    <n v="181581.26000000004"/>
    <n v="1.08"/>
    <n v="5406"/>
    <n v="158864"/>
    <n v="180"/>
    <n v="7"/>
    <n v="14"/>
    <n v="21"/>
    <n v="28"/>
    <n v="35"/>
    <n v="42"/>
    <n v="49"/>
    <n v="319.05"/>
    <n v="772.07749999999999"/>
    <n v="0.1"/>
    <n v="0.73"/>
    <n v="0.8"/>
    <n v="-24723.83"/>
    <n v="-12648.108000000002"/>
    <n v="-13912.918800000003"/>
    <n v="-15304.210680000006"/>
    <n v="-16834.631748000007"/>
    <n v="-18518.094922800006"/>
    <n v="-20369.904415080011"/>
    <n v="-22406.894856588016"/>
    <n v="-42772.225900000005"/>
    <n v="-2529.6215999999999"/>
    <n v="-2782.58376"/>
    <n v="-3060.8421360000007"/>
    <n v="-3366.9263496000008"/>
    <n v="-3703.6189845600006"/>
    <n v="-4073.9808830160014"/>
    <n v="-4481.378971317602"/>
    <n v="15355.142100000019"/>
    <n v="-119994.76342246804"/>
    <n v="-23998.952684493604"/>
    <n v="6.7086549768534915"/>
    <n v="0.13681297177124846"/>
    <s v="Fase de Vida Útil"/>
  </r>
  <r>
    <n v="236"/>
    <x v="235"/>
    <s v="COQ003-COQUILHADEIRA"/>
    <n v="10004892"/>
    <s v="BR01-CIL-FGR-VAZAM1-COQC02"/>
    <n v="4711"/>
    <n v="34602"/>
    <n v="2006"/>
    <n v="414838.51"/>
    <n v="0"/>
    <n v="428513.9199999994"/>
    <n v="0.53"/>
    <n v="3374"/>
    <n v="137133"/>
    <n v="845"/>
    <n v="11"/>
    <n v="22"/>
    <n v="33"/>
    <n v="44"/>
    <n v="55"/>
    <n v="66"/>
    <n v="77"/>
    <n v="500"/>
    <n v="4736.8"/>
    <n v="0.1"/>
    <n v="0.96719999999999995"/>
    <n v="0.8"/>
    <n v="-414838.51"/>
    <n v="-68575.760000000009"/>
    <n v="-75433.336000000025"/>
    <n v="-82976.669600000037"/>
    <n v="-91274.33656000004"/>
    <n v="-100401.77021600005"/>
    <n v="-110441.94723760006"/>
    <n v="-121486.14196136009"/>
    <n v="-816070.316872"/>
    <n v="-13715.151999999998"/>
    <n v="-15086.667200000002"/>
    <n v="-16595.333920000005"/>
    <n v="-18254.867312000002"/>
    <n v="-20080.354043200005"/>
    <n v="-22088.389447520007"/>
    <n v="-24297.228392272013"/>
    <n v="-466957.35687199997"/>
    <n v="-650589.96157496027"/>
    <n v="-130117.99231499202"/>
    <n v="-42.228335373147402"/>
    <n v="-5.1745951911360701E-2"/>
    <s v="Confiabilidade em Crescimento"/>
  </r>
  <r>
    <n v="237"/>
    <x v="236"/>
    <s v="COQ004-COQUILHADEIRA"/>
    <n v="10004893"/>
    <s v="BR01-CIL-FGR-VAZAM1-COQC02"/>
    <n v="4711"/>
    <n v="34601"/>
    <n v="2006"/>
    <n v="559091.42000000004"/>
    <n v="90063"/>
    <n v="369900.52999999997"/>
    <n v="0.6"/>
    <n v="3433"/>
    <n v="139633"/>
    <n v="936"/>
    <n v="14"/>
    <n v="28"/>
    <n v="42"/>
    <n v="56"/>
    <n v="70"/>
    <n v="84"/>
    <n v="98"/>
    <n v="364.07"/>
    <n v="4336.63"/>
    <n v="0.1"/>
    <n v="0.96719999999999995"/>
    <n v="0.8"/>
    <n v="-559091.42000000004"/>
    <n v="-62850.193999999996"/>
    <n v="-69135.213400000008"/>
    <n v="-76048.734740000014"/>
    <n v="-83653.608214000007"/>
    <n v="-92018.969035400019"/>
    <n v="-101220.86593894004"/>
    <n v="-111342.95253283405"/>
    <n v="-1099844.641424"/>
    <n v="-12570.038799999997"/>
    <n v="-13827.042679999999"/>
    <n v="-15209.746948"/>
    <n v="-16730.721642799999"/>
    <n v="-18403.793807080001"/>
    <n v="-20244.173187788005"/>
    <n v="-22268.590506566805"/>
    <n v="-869943.01742399996"/>
    <n v="-596270.53786117409"/>
    <n v="-119254.1075722348"/>
    <n v="-101.84160159072296"/>
    <n v="-8.5587820470541642E-2"/>
    <s v="Confiabilidade em Crescimento"/>
  </r>
  <r>
    <n v="238"/>
    <x v="237"/>
    <s v="COQ005-COQUILHADEIRA"/>
    <n v="10004894"/>
    <s v="BR01-CIL-FGR-VAZAM1-COQC03"/>
    <n v="4711"/>
    <n v="34855"/>
    <n v="2007"/>
    <n v="472512.87"/>
    <n v="0"/>
    <n v="863340.91000000073"/>
    <n v="0.77"/>
    <n v="3671"/>
    <n v="139527"/>
    <n v="1334"/>
    <n v="27"/>
    <n v="54"/>
    <n v="81"/>
    <n v="108"/>
    <n v="135"/>
    <n v="162"/>
    <n v="189"/>
    <n v="428.32"/>
    <n v="4827.08"/>
    <n v="0.1"/>
    <n v="0.93579999999999997"/>
    <n v="0.8"/>
    <n v="-472512.87"/>
    <n v="-76438.560000000012"/>
    <n v="-84082.416000000027"/>
    <n v="-92490.657600000035"/>
    <n v="-101739.72336000003"/>
    <n v="-111913.69569600005"/>
    <n v="-123105.06526560007"/>
    <n v="-135415.5717921601"/>
    <n v="-914690.41374599992"/>
    <n v="-15287.712"/>
    <n v="-16816.483200000002"/>
    <n v="-18498.131520000003"/>
    <n v="-20347.944672000001"/>
    <n v="-22382.739139200006"/>
    <n v="-24621.013053120008"/>
    <n v="-27083.114358432016"/>
    <n v="-525548.65374599979"/>
    <n v="-725185.68971376028"/>
    <n v="-145037.13794275204"/>
    <n v="-47.791694567855942"/>
    <n v="-5.2249038417414968E-2"/>
    <s v="Confiabilidade em Crescimento"/>
  </r>
  <r>
    <n v="239"/>
    <x v="238"/>
    <s v="COQ006-COQUILHADEIRA"/>
    <n v="10004895"/>
    <s v="BR01-CIL-FGR-VAZAM1-COQC03"/>
    <n v="4711"/>
    <n v="34856"/>
    <n v="2007"/>
    <n v="471880.22"/>
    <n v="0"/>
    <n v="644856.67999999889"/>
    <n v="0.76"/>
    <n v="3637"/>
    <n v="139711"/>
    <n v="1195"/>
    <n v="24"/>
    <n v="48"/>
    <n v="72"/>
    <n v="96"/>
    <n v="120"/>
    <n v="144"/>
    <n v="168"/>
    <n v="402.4"/>
    <n v="4449.42"/>
    <n v="0.1"/>
    <n v="0.93579999999999997"/>
    <n v="0.8"/>
    <n v="-471880.22"/>
    <n v="-69355.703999999998"/>
    <n v="-76291.274400000009"/>
    <n v="-83920.40184000002"/>
    <n v="-92312.442024000018"/>
    <n v="-101543.68622640004"/>
    <n v="-111698.05484904005"/>
    <n v="-122867.86033394407"/>
    <n v="-913465.72987599997"/>
    <n v="-13871.140799999997"/>
    <n v="-15258.254879999999"/>
    <n v="-16784.080367999999"/>
    <n v="-18462.488404799999"/>
    <n v="-20308.737245280005"/>
    <n v="-22339.610969808007"/>
    <n v="-24573.572066788809"/>
    <n v="-560382.14587599994"/>
    <n v="-657989.42367338424"/>
    <n v="-131597.8847346768"/>
    <n v="-55.296312991041802"/>
    <n v="-6.0534633300964778E-2"/>
    <s v="Confiabilidade em Crescimento"/>
  </r>
  <r>
    <n v="240"/>
    <x v="239"/>
    <s v="COQ007-COQUILHADEIRA"/>
    <n v="10004909"/>
    <s v="BR01-CIL-FGR-VAZAM1-COQC04"/>
    <n v="4711"/>
    <n v="35460"/>
    <n v="2008"/>
    <n v="625948.68000000005"/>
    <n v="0"/>
    <n v="671333.19000000029"/>
    <n v="0.72"/>
    <n v="3987"/>
    <n v="138826"/>
    <n v="1148"/>
    <n v="24"/>
    <n v="48"/>
    <n v="72"/>
    <n v="96"/>
    <n v="120"/>
    <n v="144"/>
    <n v="168"/>
    <n v="434.15055621182898"/>
    <n v="3590.55"/>
    <n v="0.1"/>
    <n v="0.89119999999999999"/>
    <n v="0.8"/>
    <n v="-625948.68000000005"/>
    <n v="-58856.834683992296"/>
    <n v="-64742.518152391531"/>
    <n v="-71216.769967630695"/>
    <n v="-78338.446964393763"/>
    <n v="-86172.291660833143"/>
    <n v="-94789.520826916472"/>
    <n v="-104268.47290960814"/>
    <n v="-1183794.1436160002"/>
    <n v="-11771.366936798457"/>
    <n v="-12948.503630478303"/>
    <n v="-14243.353993526136"/>
    <n v="-15667.689392878749"/>
    <n v="-17234.458332166625"/>
    <n v="-18957.90416538329"/>
    <n v="-20853.694581921623"/>
    <n v="-884159.34886113042"/>
    <n v="-558384.85516576609"/>
    <n v="-111676.97103315318"/>
    <n v="-105.29803706905531"/>
    <n v="-8.894961817213716E-2"/>
    <s v="Confiabilidade em Crescimento"/>
  </r>
  <r>
    <n v="241"/>
    <x v="240"/>
    <s v="COQ008-COQUILHADEIRA"/>
    <n v="10004910"/>
    <s v="BR01-CIL-FGR-VAZAM1-COQC04"/>
    <n v="4711"/>
    <n v="35459"/>
    <n v="2008"/>
    <n v="625917.92000000004"/>
    <n v="0"/>
    <n v="576218.1100000001"/>
    <n v="0.78"/>
    <n v="3996"/>
    <n v="138882"/>
    <n v="992"/>
    <n v="23"/>
    <n v="46"/>
    <n v="69"/>
    <n v="92"/>
    <n v="115"/>
    <n v="138"/>
    <n v="161"/>
    <n v="446.11893935139216"/>
    <n v="2672.65"/>
    <n v="0.1"/>
    <n v="0.89119999999999999"/>
    <n v="0.8"/>
    <n v="-625917.92000000004"/>
    <n v="-46565.789165590235"/>
    <n v="-51222.36808214926"/>
    <n v="-56344.604890364193"/>
    <n v="-61979.065379400614"/>
    <n v="-68176.971917340677"/>
    <n v="-74994.669109074748"/>
    <n v="-82494.136019982237"/>
    <n v="-1183735.970304"/>
    <n v="-9313.1578331180444"/>
    <n v="-10244.47361642985"/>
    <n v="-11268.920978072836"/>
    <n v="-12395.81307588012"/>
    <n v="-13635.394383468132"/>
    <n v="-14998.933821814946"/>
    <n v="-16498.827203996443"/>
    <n v="-946673.77091554063"/>
    <n v="-441777.60456390196"/>
    <n v="-88355.520912780368"/>
    <n v="-118.61626952183977"/>
    <n v="-0.10020500559037457"/>
    <s v="Confiabilidade em Crescimento"/>
  </r>
  <r>
    <n v="242"/>
    <x v="241"/>
    <s v="COQ009-COQUILHADEIRA"/>
    <n v="10005246"/>
    <s v="BR01-CIL-FGR-VAZAM1-COQC05"/>
    <n v="4711"/>
    <n v="34862"/>
    <n v="2007"/>
    <n v="449425.02"/>
    <n v="0"/>
    <n v="571203.63999999897"/>
    <n v="0.92"/>
    <n v="3801"/>
    <n v="129916"/>
    <n v="983"/>
    <n v="27"/>
    <n v="54"/>
    <n v="81"/>
    <n v="108"/>
    <n v="135"/>
    <n v="162"/>
    <n v="189"/>
    <n v="476.65834811239534"/>
    <n v="4390.0600000000004"/>
    <n v="0.1"/>
    <n v="0.93579999999999997"/>
    <n v="0.8"/>
    <n v="-449425.02"/>
    <n v="-72105.544938938139"/>
    <n v="-79316.099432831965"/>
    <n v="-87247.709376115177"/>
    <n v="-95972.480313726686"/>
    <n v="-105569.72834509936"/>
    <n v="-116126.70117960931"/>
    <n v="-127739.37129757027"/>
    <n v="-869996.95371600008"/>
    <n v="-14421.108987787624"/>
    <n v="-15863.219886566389"/>
    <n v="-17449.541875223033"/>
    <n v="-19194.496062745333"/>
    <n v="-21113.945669019868"/>
    <n v="-23225.340235921856"/>
    <n v="-25547.874259514047"/>
    <n v="-502914.17948140594"/>
    <n v="-684077.63488389098"/>
    <n v="-136815.52697677814"/>
    <n v="-46.10497797269818"/>
    <n v="-5.2994413113483831E-2"/>
    <s v="Confiabilidade em Crescimento"/>
  </r>
  <r>
    <n v="243"/>
    <x v="242"/>
    <s v="COQ010-COQUILHADEIRA"/>
    <n v="10005247"/>
    <s v="BR01-CIL-FGR-VAZAM1-COQC05"/>
    <n v="4711"/>
    <n v="34861"/>
    <n v="2007"/>
    <n v="455646"/>
    <n v="0"/>
    <n v="561129.83999999973"/>
    <n v="0.97"/>
    <n v="3961"/>
    <n v="130019"/>
    <n v="950"/>
    <n v="28"/>
    <n v="56"/>
    <n v="84"/>
    <n v="112"/>
    <n v="140"/>
    <n v="168"/>
    <n v="196"/>
    <n v="435.36746943387561"/>
    <n v="3956.48"/>
    <n v="0.1"/>
    <n v="0.93579999999999997"/>
    <n v="0.8"/>
    <n v="-455646"/>
    <n v="-65634.854058563375"/>
    <n v="-72198.339464419725"/>
    <n v="-79418.173410861709"/>
    <n v="-87359.990751947873"/>
    <n v="-96095.989827142665"/>
    <n v="-105705.58880985694"/>
    <n v="-116276.14769084266"/>
    <n v="-882039.52679999999"/>
    <n v="-13126.970811712672"/>
    <n v="-14439.667892883941"/>
    <n v="-15883.634682172338"/>
    <n v="-17471.998150389572"/>
    <n v="-19219.197965428528"/>
    <n v="-21141.117761971385"/>
    <n v="-23255.229538168525"/>
    <n v="-547898.45159276831"/>
    <n v="-622689.08401363494"/>
    <n v="-124537.81680272696"/>
    <n v="-54.841179941298847"/>
    <n v="-6.2175422160796127E-2"/>
    <s v="Confiabilidade em Crescimento"/>
  </r>
  <r>
    <n v="244"/>
    <x v="243"/>
    <s v="COR001-CORRENTE TRANSPORTE DE PEÇAS"/>
    <n v="10001960"/>
    <s v="BR01-MOT-UMG-PINTUR-COR001"/>
    <n v="2318"/>
    <n v="45754"/>
    <n v="2015"/>
    <n v="655064.27"/>
    <n v="279982"/>
    <n v="379749.63000000006"/>
    <n v="0.86"/>
    <n v="3854"/>
    <n v="174491"/>
    <n v="121"/>
    <n v="3"/>
    <n v="6"/>
    <n v="9"/>
    <n v="12"/>
    <n v="15"/>
    <n v="18"/>
    <n v="21"/>
    <n v="476.28"/>
    <n v="1560.9595833333333"/>
    <n v="0.1"/>
    <n v="0.4834"/>
    <n v="0.8"/>
    <n v="-655064.27"/>
    <n v="-22176.390500000001"/>
    <n v="-24394.029550000003"/>
    <n v="-26833.432505000008"/>
    <n v="-29516.775755500006"/>
    <n v="-32468.453331050012"/>
    <n v="-35715.298664155016"/>
    <n v="-39286.828530570521"/>
    <n v="-971722.33811800007"/>
    <n v="-4435.2780999999995"/>
    <n v="-4878.8059099999991"/>
    <n v="-5366.6865010000001"/>
    <n v="-5903.3551510999996"/>
    <n v="-6493.6906662100009"/>
    <n v="-7143.0597328310014"/>
    <n v="-7857.3657061141021"/>
    <n v="-1138806.3501180001"/>
    <n v="-210391.20883627553"/>
    <n v="-42078.241767255109"/>
    <n v="-154.77019586413994"/>
    <n v="-0.12364756688216376"/>
    <s v="Confiabilidade em Crescimento"/>
  </r>
  <r>
    <n v="245"/>
    <x v="244"/>
    <s v="DES002-DESBOBINADOR"/>
    <n v="10000477"/>
    <s v="BR01-MOT-SAB-TRTTRM-DES002"/>
    <n v="2511"/>
    <n v="20353"/>
    <n v="2001"/>
    <n v="240168.73"/>
    <n v="0"/>
    <n v="674056.68999999959"/>
    <n v="1.1599999999999999"/>
    <n v="5020"/>
    <n v="196656"/>
    <n v="558"/>
    <n v="17"/>
    <n v="34"/>
    <n v="51"/>
    <n v="68"/>
    <n v="85"/>
    <n v="102"/>
    <n v="119"/>
    <n v="634.34"/>
    <n v="3291.29"/>
    <n v="0.1"/>
    <n v="1.3951"/>
    <n v="0.8"/>
    <n v="-240168.73"/>
    <n v="-55307.186000000002"/>
    <n v="-60837.904600000002"/>
    <n v="-66921.695060000013"/>
    <n v="-73613.864566000018"/>
    <n v="-80975.251022600016"/>
    <n v="-89072.776124860029"/>
    <n v="-97980.053737346054"/>
    <n v="-575228.12522300007"/>
    <n v="-11061.437199999998"/>
    <n v="-12167.580919999999"/>
    <n v="-13384.339012"/>
    <n v="-14722.7729132"/>
    <n v="-16195.050204519999"/>
    <n v="-17814.555224972002"/>
    <n v="-19596.010747469205"/>
    <n v="-293664.26922300004"/>
    <n v="-524708.73111080611"/>
    <n v="-104941.74622216121"/>
    <n v="-22.20873433347932"/>
    <n v="-3.8608568252586059E-2"/>
    <s v="Fase de Degradação"/>
  </r>
  <r>
    <n v="246"/>
    <x v="245"/>
    <s v="ELE008-ELETROEROSÃO A FIO FANUC"/>
    <n v="10004102"/>
    <s v="BR01-CIL-FER-FABMOL"/>
    <n v="1076"/>
    <n v="33855"/>
    <n v="2004"/>
    <n v="504595.57"/>
    <n v="9772"/>
    <n v="117079.36"/>
    <n v="2.52"/>
    <n v="3213"/>
    <n v="113031"/>
    <n v="125"/>
    <n v="6.5789473684210522"/>
    <n v="13.157894736842104"/>
    <n v="19.736842105263158"/>
    <n v="26.315789473684209"/>
    <n v="32.89473684210526"/>
    <n v="39.473684210526315"/>
    <n v="46.05263157894737"/>
    <n v="370.96"/>
    <n v="253.36291666666668"/>
    <n v="0.1"/>
    <n v="1.1001000000000001"/>
    <n v="0.8"/>
    <n v="-504595.57"/>
    <n v="-6028.9694473684203"/>
    <n v="-6631.866392105263"/>
    <n v="-7295.0530313157915"/>
    <n v="-8024.5583344473698"/>
    <n v="-8827.0141678921063"/>
    <n v="-9709.7155846813221"/>
    <n v="-10680.687143149456"/>
    <n v="-1059701.1565570002"/>
    <n v="-1205.7938894736837"/>
    <n v="-1326.3732784210524"/>
    <n v="-1459.010606263158"/>
    <n v="-1604.9116668894735"/>
    <n v="-1765.4028335784208"/>
    <n v="-1941.943116936264"/>
    <n v="-2136.137428629891"/>
    <n v="-1038780.2211885793"/>
    <n v="-57197.864100959727"/>
    <n v="-11439.572820191943"/>
    <n v="-146.24498075374748"/>
    <n v="-0.13674488214791672"/>
    <s v="Fase de Degradação"/>
  </r>
  <r>
    <n v="247"/>
    <x v="246"/>
    <s v="ELE013-ELETROEROSÃO A FIO FANUC"/>
    <n v="10005913"/>
    <s v="BR01-CIL-FER-MANMOL"/>
    <n v="1076"/>
    <n v="40340"/>
    <n v="2010"/>
    <n v="364311.51"/>
    <n v="6978"/>
    <n v="428818.41000000015"/>
    <n v="1.82"/>
    <n v="3213"/>
    <n v="98942"/>
    <n v="251"/>
    <n v="15"/>
    <n v="30"/>
    <n v="45"/>
    <n v="60"/>
    <n v="75"/>
    <n v="90"/>
    <n v="105"/>
    <n v="587.26"/>
    <n v="1954.98"/>
    <n v="0.1"/>
    <n v="0.78910000000000002"/>
    <n v="0.8"/>
    <n v="-364311.51"/>
    <n v="-35495.526000000005"/>
    <n v="-39045.078600000008"/>
    <n v="-42949.58646000002"/>
    <n v="-47244.54510600002"/>
    <n v="-51968.99961660002"/>
    <n v="-57165.899578260032"/>
    <n v="-62882.489536086046"/>
    <n v="-651789.722541"/>
    <n v="-7099.1051999999991"/>
    <n v="-7809.0157199999994"/>
    <n v="-8589.9172920000019"/>
    <n v="-9448.909021200001"/>
    <n v="-10393.799923320003"/>
    <n v="-11433.179915652005"/>
    <n v="-12576.497907217206"/>
    <n v="-478063.22654099995"/>
    <n v="-336752.12489694619"/>
    <n v="-67350.424979389209"/>
    <n v="-55.623717517634709"/>
    <n v="-8.4436009255406161E-2"/>
    <s v="Fase de Degradação"/>
  </r>
  <r>
    <n v="248"/>
    <x v="247"/>
    <s v="ELE014-ELETROEROSÃO PENETRAÇÃO SP3 EDM"/>
    <n v="10005914"/>
    <s v="BR01-CIL-FER-MANMOL"/>
    <n v="1074"/>
    <n v="40339"/>
    <n v="2011"/>
    <n v="105564.78"/>
    <n v="1745"/>
    <n v="96316.5"/>
    <n v="1.67"/>
    <n v="4116"/>
    <n v="94651"/>
    <n v="65"/>
    <n v="5"/>
    <n v="10"/>
    <n v="15"/>
    <n v="20"/>
    <n v="25"/>
    <n v="30"/>
    <n v="35"/>
    <n v="431.64"/>
    <n v="761.65638888888907"/>
    <n v="0.1"/>
    <n v="0.73"/>
    <n v="0.8"/>
    <n v="-105564.78"/>
    <n v="-12427.884333333335"/>
    <n v="-13670.67276666667"/>
    <n v="-15037.740043333339"/>
    <n v="-16541.514047666671"/>
    <n v="-18195.665452433343"/>
    <n v="-20015.231997676678"/>
    <n v="-22016.755197444349"/>
    <n v="-182627.06940000001"/>
    <n v="-2485.5768666666663"/>
    <n v="-2734.1345533333333"/>
    <n v="-3007.5480086666671"/>
    <n v="-3308.3028095333334"/>
    <n v="-3639.1330904866677"/>
    <n v="-4003.0463995353348"/>
    <n v="-4403.351039488869"/>
    <n v="-121102.84006666667"/>
    <n v="-117905.46383855438"/>
    <n v="-23581.092767710874"/>
    <n v="-12.863956904165216"/>
    <n v="-6.9771722723665511E-2"/>
    <s v="Fase de Degradação"/>
  </r>
  <r>
    <n v="249"/>
    <x v="248"/>
    <s v="ELE015-ELETROEROSÃO PENETRAÇÃO EDM SP3"/>
    <n v="10005915"/>
    <s v="BR01-CIL-FER-MANMOL"/>
    <n v="1074"/>
    <n v="40337"/>
    <n v="2011"/>
    <n v="100847.06"/>
    <n v="1550"/>
    <n v="64714.840000000011"/>
    <n v="1.1000000000000001"/>
    <n v="4116"/>
    <n v="97596"/>
    <n v="56"/>
    <n v="3"/>
    <n v="6"/>
    <n v="9"/>
    <n v="12"/>
    <n v="15"/>
    <n v="18"/>
    <n v="21"/>
    <n v="577.15"/>
    <n v="271.67249999999996"/>
    <n v="0.1"/>
    <n v="0.73"/>
    <n v="0.8"/>
    <n v="-100847.06"/>
    <n v="-5490.6719999999996"/>
    <n v="-6039.7392"/>
    <n v="-6643.7131200000013"/>
    <n v="-7308.0844320000015"/>
    <n v="-8038.892875200002"/>
    <n v="-8842.7821627200028"/>
    <n v="-9727.0603789920042"/>
    <n v="-174465.41379999998"/>
    <n v="-1098.1343999999997"/>
    <n v="-1207.9478399999998"/>
    <n v="-1328.742624"/>
    <n v="-1461.6168863999999"/>
    <n v="-1607.7785750400001"/>
    <n v="-1768.5564325440002"/>
    <n v="-1945.4120757984003"/>
    <n v="-148062.90179999999"/>
    <n v="-52090.944168912007"/>
    <n v="-10418.1888337824"/>
    <n v="-19.191808352124344"/>
    <n v="-0.10903481654130193"/>
    <s v="Fase de Vida Útil"/>
  </r>
  <r>
    <n v="250"/>
    <x v="249"/>
    <s v="ELE016-ELETROEROSÃO PENETRAÇÃO EDM SP3"/>
    <n v="10005916"/>
    <s v="BR01-CIL-FER-MANMOL"/>
    <n v="1074"/>
    <n v="40338"/>
    <n v="2011"/>
    <n v="110240.93"/>
    <n v="1605"/>
    <n v="102697.30000000002"/>
    <n v="1.31"/>
    <n v="4116"/>
    <n v="98410"/>
    <n v="59"/>
    <n v="4"/>
    <n v="8"/>
    <n v="12"/>
    <n v="16"/>
    <n v="20"/>
    <n v="24"/>
    <n v="28"/>
    <n v="518.16"/>
    <n v="783.48"/>
    <n v="0.1"/>
    <n v="0.73"/>
    <n v="0.8"/>
    <n v="-110240.93"/>
    <n v="-12621.84"/>
    <n v="-13884.024000000001"/>
    <n v="-15272.426400000004"/>
    <n v="-16799.669040000004"/>
    <n v="-18479.635944000005"/>
    <n v="-20327.599538400009"/>
    <n v="-22360.359492240012"/>
    <n v="-190716.80889999997"/>
    <n v="-2524.3679999999995"/>
    <n v="-2776.8047999999994"/>
    <n v="-3054.4852800000003"/>
    <n v="-3359.9338080000002"/>
    <n v="-3695.9271888000003"/>
    <n v="-4065.5199076800009"/>
    <n v="-4472.0718984480018"/>
    <n v="-128065.16889999999"/>
    <n v="-119745.55441464004"/>
    <n v="-23949.110882928002"/>
    <n v="-13.789337909755414"/>
    <n v="-7.1699293952280502E-2"/>
    <s v="Fase de Degradação"/>
  </r>
  <r>
    <n v="251"/>
    <x v="250"/>
    <s v="ELE017-ELETROEROSÃO PENETR FORM 3000HP"/>
    <n v="10005922"/>
    <s v="BR01-CIL-FER-FABMOL"/>
    <n v="1076"/>
    <n v="40469"/>
    <n v="2010"/>
    <n v="655629.48"/>
    <n v="22429"/>
    <n v="604652.30999999982"/>
    <n v="1.74"/>
    <n v="4973"/>
    <n v="86677"/>
    <n v="295"/>
    <n v="22.692307692307693"/>
    <n v="45.384615384615387"/>
    <n v="68.07692307692308"/>
    <n v="90.769230769230774"/>
    <n v="113.46153846153847"/>
    <n v="136.15384615384616"/>
    <n v="158.84615384615387"/>
    <n v="770.8"/>
    <n v="3231.51"/>
    <n v="0.1"/>
    <n v="0.78910000000000002"/>
    <n v="0.8"/>
    <n v="-655629.48"/>
    <n v="-61896.285846153856"/>
    <n v="-68085.914430769248"/>
    <n v="-74894.505873846181"/>
    <n v="-82383.956461230802"/>
    <n v="-90622.352107353887"/>
    <n v="-99684.587318089296"/>
    <n v="-109653.04604989824"/>
    <n v="-1172986.702668"/>
    <n v="-12379.257169230768"/>
    <n v="-13617.182886153847"/>
    <n v="-14978.901174769233"/>
    <n v="-16476.791292246158"/>
    <n v="-18124.470421470774"/>
    <n v="-19936.917463617854"/>
    <n v="-21930.609209979644"/>
    <n v="-880307.33836030774"/>
    <n v="-587220.64808734157"/>
    <n v="-117444.12961746828"/>
    <n v="-103.66274059973237"/>
    <n v="-8.6716897200172033E-2"/>
    <s v="Fase de Degradação"/>
  </r>
  <r>
    <n v="252"/>
    <x v="251"/>
    <s v="ELE018-ELETROEROSÃO DRILL 20"/>
    <n v="10006566"/>
    <s v="BR01-CIL-FER-FABMOL"/>
    <n v="1076"/>
    <n v="48648"/>
    <n v="2017"/>
    <n v="78950.33"/>
    <n v="46658"/>
    <n v="79493.459999999977"/>
    <n v="1.89"/>
    <n v="4116"/>
    <n v="38024"/>
    <n v="40"/>
    <n v="6.666666666666667"/>
    <n v="13.333333333333334"/>
    <n v="20"/>
    <n v="26.666666666666668"/>
    <n v="33.333333333333336"/>
    <n v="40"/>
    <n v="46.666666666666664"/>
    <n v="731.71"/>
    <n v="936.47"/>
    <n v="0.1"/>
    <n v="0.31379999999999997"/>
    <n v="0.8"/>
    <n v="-78950.33"/>
    <n v="-17727.277333333335"/>
    <n v="-19500.005066666668"/>
    <n v="-21450.005573333339"/>
    <n v="-23595.006130666672"/>
    <n v="-25954.506743733342"/>
    <n v="-28549.957418106678"/>
    <n v="-31404.95315991735"/>
    <n v="-103724.94355400001"/>
    <n v="-3545.4554666666663"/>
    <n v="-3900.0010133333326"/>
    <n v="-4290.0011146666666"/>
    <n v="-4719.0012261333331"/>
    <n v="-5190.9013487466673"/>
    <n v="-5709.9914836213347"/>
    <n v="-6280.9906319834681"/>
    <n v="-60134.986220666673"/>
    <n v="-168181.71142575738"/>
    <n v="-33636.34228515147"/>
    <n v="-2.2625106304848712"/>
    <n v="-1.5044994977588275E-2"/>
    <s v="Fase de Degradação"/>
  </r>
  <r>
    <n v="253"/>
    <x v="252"/>
    <s v="ELE019-ELETROEROSÃO CHARMILIES CUTE600"/>
    <n v="20003544"/>
    <s v="BR01-CIL-FER-MANMOL"/>
    <n v="1076"/>
    <n v="51342"/>
    <n v="2019"/>
    <n v="568765.93000000005"/>
    <n v="394614"/>
    <n v="292818.51999999996"/>
    <n v="1.1599999999999999"/>
    <n v="4162"/>
    <n v="32432"/>
    <n v="124"/>
    <n v="19"/>
    <n v="38"/>
    <n v="57"/>
    <n v="76"/>
    <n v="95"/>
    <n v="114"/>
    <n v="133"/>
    <n v="808.68"/>
    <n v="1851.96"/>
    <n v="0.1"/>
    <n v="0.24679999999999999"/>
    <n v="0.8"/>
    <n v="-568765.93000000005"/>
    <n v="-41347.284000000007"/>
    <n v="-45482.012400000007"/>
    <n v="-50030.213640000016"/>
    <n v="-55033.235004000016"/>
    <n v="-60536.558504400025"/>
    <n v="-66590.214354840035"/>
    <n v="-73249.235790324048"/>
    <n v="-709137.36152400007"/>
    <n v="-8269.4567999999999"/>
    <n v="-9096.4024799999988"/>
    <n v="-10006.042728"/>
    <n v="-11006.647000800001"/>
    <n v="-12107.311700880002"/>
    <n v="-13318.042870968004"/>
    <n v="-14649.847158064806"/>
    <n v="-893256.09752400022"/>
    <n v="-392268.75369356415"/>
    <n v="-78453.750738712813"/>
    <n v="-112.8480512241641"/>
    <n v="-0.1022404638924745"/>
    <s v="Fase de Degradação"/>
  </r>
  <r>
    <n v="254"/>
    <x v="253"/>
    <s v="EMP019-EMPILHADEIRA COMBUSTÃO"/>
    <n v="40000354"/>
    <s v="BR01-FRO-FCI"/>
    <n v="4645"/>
    <n v="48250"/>
    <n v="2017"/>
    <n v="99076.44"/>
    <n v="34221"/>
    <n v="128532.97000000003"/>
    <n v="0.99"/>
    <n v="3360"/>
    <n v="48347"/>
    <n v="209"/>
    <n v="15"/>
    <n v="30"/>
    <n v="45"/>
    <n v="60"/>
    <n v="75"/>
    <n v="90"/>
    <n v="105"/>
    <n v="165.58"/>
    <n v="1055.4244444444444"/>
    <n v="0.1"/>
    <n v="0.31379999999999997"/>
    <n v="0.8"/>
    <n v="-99076.44"/>
    <n v="-16663.672666666669"/>
    <n v="-18330.039933333337"/>
    <n v="-20163.043926666673"/>
    <n v="-22179.348319333338"/>
    <n v="-24397.283151266674"/>
    <n v="-26837.011466393345"/>
    <n v="-29520.712613032683"/>
    <n v="-130166.62687200001"/>
    <n v="-3332.7345333333333"/>
    <n v="-3666.0079866666665"/>
    <n v="-4032.6087853333338"/>
    <n v="-4435.869663866667"/>
    <n v="-4879.456630253334"/>
    <n v="-5367.4022932786675"/>
    <n v="-5904.1425226065357"/>
    <n v="-79554.384205333321"/>
    <n v="-158091.11207669272"/>
    <n v="-31618.22241533854"/>
    <n v="-5.4163910300922593"/>
    <n v="-3.2948897268951505E-2"/>
    <s v="Confiabilidade em Crescimento"/>
  </r>
  <r>
    <n v="255"/>
    <x v="254"/>
    <s v="EMP024-EMPILHADEIRA ELÉTRICA"/>
    <n v="10004266"/>
    <s v="BR01-FRO-LOG"/>
    <n v="620"/>
    <n v="44180"/>
    <n v="2006"/>
    <m/>
    <m/>
    <m/>
    <m/>
    <m/>
    <m/>
    <m/>
    <s v=""/>
    <e v="#VALUE!"/>
    <e v="#VALUE!"/>
    <e v="#VALUE!"/>
    <e v="#VALUE!"/>
    <e v="#VALUE!"/>
    <e v="#VALUE!"/>
    <m/>
    <m/>
    <m/>
    <n v="0.96719999999999995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56"/>
    <x v="255"/>
    <s v="EMP032 EMPILHADEIRA PNEUMÁTICA"/>
    <n v="10004581"/>
    <s v="BR01-FRO-MON"/>
    <n v="4026"/>
    <n v="35889"/>
    <n v="2006"/>
    <n v="2168.38"/>
    <n v="0"/>
    <n v="25289.399999999991"/>
    <n v="2.0099999999999998"/>
    <n v="2994"/>
    <n v="114266"/>
    <n v="22"/>
    <n v="1.2941176470588236"/>
    <n v="2.5882352941176472"/>
    <n v="3.882352941176471"/>
    <n v="5.1764705882352944"/>
    <n v="6.4705882352941178"/>
    <n v="7.7647058823529411"/>
    <n v="9.0588235294117645"/>
    <n v="369.61"/>
    <n v="232.69"/>
    <m/>
    <n v="0.96719999999999995"/>
    <m/>
    <n v="-2168.38"/>
    <n v="-3270.5988235294117"/>
    <n v="-3270.5988235294117"/>
    <n v="-3270.5988235294117"/>
    <n v="-3270.5988235294117"/>
    <n v="-3270.5988235294117"/>
    <n v="-3270.5988235294117"/>
    <n v="-3270.5988235294117"/>
    <n v="-4265.6371360000003"/>
    <n v="-3270.5988235294117"/>
    <n v="-3270.5988235294117"/>
    <n v="-3270.5988235294117"/>
    <n v="-3270.5988235294117"/>
    <n v="-3270.5988235294117"/>
    <n v="-3270.5988235294117"/>
    <n v="-3270.5988235294117"/>
    <n v="-4265.6371360000012"/>
    <n v="-22894.19176470588"/>
    <n v="-22894.19176470588"/>
    <n v="-0.6093767337142858"/>
    <n v="-0.14285714285714285"/>
    <s v="Fase de Degradação"/>
  </r>
  <r>
    <n v="257"/>
    <x v="256"/>
    <s v="EMP036-EMPILHADEIRA COMBUSTÃO"/>
    <n v="10005283"/>
    <s v="BR01-FRO-FGR"/>
    <n v="4745"/>
    <n v="35070"/>
    <n v="2008"/>
    <n v="61736.05"/>
    <n v="0"/>
    <n v="167043.24000000002"/>
    <n v="2.5299999999999998"/>
    <n v="3000"/>
    <n v="119610"/>
    <n v="209"/>
    <n v="14"/>
    <n v="28"/>
    <n v="42"/>
    <n v="56"/>
    <n v="70"/>
    <n v="84"/>
    <n v="98"/>
    <n v="258.66999999999985"/>
    <n v="258.66999999999985"/>
    <n v="0.1"/>
    <n v="0.89119999999999999"/>
    <n v="0.8"/>
    <n v="-61736.05"/>
    <n v="-7397.9619999999968"/>
    <n v="-8137.7581999999966"/>
    <n v="-8951.5340199999973"/>
    <n v="-9846.6874219999972"/>
    <n v="-10831.356164199999"/>
    <n v="-11914.491780619999"/>
    <n v="-13105.940958682002"/>
    <n v="-116755.21776"/>
    <n v="-1479.5923999999991"/>
    <n v="-1627.551639999999"/>
    <n v="-1790.3068039999991"/>
    <n v="-1969.3374843999991"/>
    <n v="-2166.2712328399994"/>
    <n v="-2382.8983561239993"/>
    <n v="-2621.1881917363999"/>
    <n v="-79092.865760000015"/>
    <n v="-70185.730545501981"/>
    <n v="-14037.146109100395"/>
    <n v="-8.6580904747997742"/>
    <n v="-7.4155919032220005E-2"/>
    <s v="Fase de Degradação"/>
  </r>
  <r>
    <n v="258"/>
    <x v="257"/>
    <s v="EMP040-EMPILHADEIRA ELÉTRICA"/>
    <n v="20000319"/>
    <s v="BR01-FRO-LOG"/>
    <n v="620"/>
    <n v="36300"/>
    <n v="2011"/>
    <m/>
    <m/>
    <m/>
    <m/>
    <m/>
    <m/>
    <m/>
    <s v=""/>
    <e v="#VALUE!"/>
    <e v="#VALUE!"/>
    <e v="#VALUE!"/>
    <e v="#VALUE!"/>
    <e v="#VALUE!"/>
    <e v="#VALUE!"/>
    <m/>
    <m/>
    <m/>
    <n v="0.7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59"/>
    <x v="258"/>
    <s v="EMP044-EMPILHADEIRA COMBUSTÃO"/>
    <n v="20000323"/>
    <s v="BR01-FRO-LOG"/>
    <n v="620"/>
    <n v="40729"/>
    <n v="2011"/>
    <m/>
    <m/>
    <m/>
    <m/>
    <m/>
    <m/>
    <m/>
    <s v=""/>
    <e v="#VALUE!"/>
    <e v="#VALUE!"/>
    <e v="#VALUE!"/>
    <e v="#VALUE!"/>
    <e v="#VALUE!"/>
    <e v="#VALUE!"/>
    <m/>
    <m/>
    <m/>
    <n v="0.7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0"/>
    <x v="259"/>
    <s v="EMP048-EMPILHADEIRA COMBUSTÃO"/>
    <n v="20000948"/>
    <s v="BR01-FRO-LOG"/>
    <n v="620"/>
    <n v="41487"/>
    <n v="2012"/>
    <m/>
    <m/>
    <m/>
    <m/>
    <m/>
    <m/>
    <m/>
    <s v=""/>
    <e v="#VALUE!"/>
    <e v="#VALUE!"/>
    <e v="#VALUE!"/>
    <e v="#VALUE!"/>
    <e v="#VALUE!"/>
    <e v="#VALUE!"/>
    <m/>
    <m/>
    <m/>
    <n v="0.66500000000000004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1"/>
    <x v="260"/>
    <s v="EMP054-EMPILHADEIRA ELÉTRICA"/>
    <n v="20000955"/>
    <s v="BR01-FRO-LOG"/>
    <n v="620"/>
    <n v="42489"/>
    <n v="2012"/>
    <m/>
    <m/>
    <m/>
    <m/>
    <m/>
    <m/>
    <m/>
    <s v=""/>
    <e v="#VALUE!"/>
    <e v="#VALUE!"/>
    <e v="#VALUE!"/>
    <e v="#VALUE!"/>
    <e v="#VALUE!"/>
    <e v="#VALUE!"/>
    <m/>
    <m/>
    <m/>
    <n v="0.66500000000000004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2"/>
    <x v="261"/>
    <s v="EMP055-EMPILHADEIRA COMBUSTÃO"/>
    <n v="20001402"/>
    <s v="BR01-FRO-CRE"/>
    <n v="28"/>
    <n v="36389"/>
    <n v="2012"/>
    <m/>
    <m/>
    <m/>
    <m/>
    <m/>
    <m/>
    <m/>
    <s v=""/>
    <e v="#VALUE!"/>
    <e v="#VALUE!"/>
    <e v="#VALUE!"/>
    <e v="#VALUE!"/>
    <e v="#VALUE!"/>
    <e v="#VALUE!"/>
    <m/>
    <m/>
    <m/>
    <n v="0.66500000000000004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3"/>
    <x v="262"/>
    <s v="EMP056-EMPILHADEIRA ELÉTRICA"/>
    <n v="20001448"/>
    <s v="BR01-FRO-LOG"/>
    <n v="620"/>
    <n v="42314"/>
    <n v="2013"/>
    <m/>
    <m/>
    <m/>
    <m/>
    <m/>
    <m/>
    <m/>
    <s v=""/>
    <e v="#VALUE!"/>
    <e v="#VALUE!"/>
    <e v="#VALUE!"/>
    <e v="#VALUE!"/>
    <e v="#VALUE!"/>
    <e v="#VALUE!"/>
    <m/>
    <m/>
    <m/>
    <n v="0.6066000000000000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4"/>
    <x v="263"/>
    <s v="EMP057-EMPILHADEIRA ELÉTRICA"/>
    <n v="20001464"/>
    <s v="BR01-FRO-LOG"/>
    <n v="620"/>
    <n v="41499"/>
    <n v="2013"/>
    <m/>
    <m/>
    <m/>
    <m/>
    <m/>
    <m/>
    <m/>
    <s v=""/>
    <e v="#VALUE!"/>
    <e v="#VALUE!"/>
    <e v="#VALUE!"/>
    <e v="#VALUE!"/>
    <e v="#VALUE!"/>
    <e v="#VALUE!"/>
    <m/>
    <m/>
    <m/>
    <n v="0.6066000000000000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5"/>
    <x v="264"/>
    <s v="EMP063-EMPILHADEIRA ELÉTRICA"/>
    <n v="40000005"/>
    <s v="BR01-FRO-LOG"/>
    <n v="620"/>
    <n v="43999"/>
    <n v="2014"/>
    <m/>
    <m/>
    <m/>
    <m/>
    <m/>
    <m/>
    <m/>
    <s v=""/>
    <e v="#VALUE!"/>
    <e v="#VALUE!"/>
    <e v="#VALUE!"/>
    <e v="#VALUE!"/>
    <e v="#VALUE!"/>
    <e v="#VALUE!"/>
    <m/>
    <m/>
    <m/>
    <n v="0.5474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6"/>
    <x v="265"/>
    <s v="EMP069-EMPILHADEIRA ELÉTRICA"/>
    <n v="40000015"/>
    <s v="BR01-FRO-EXP"/>
    <n v="681"/>
    <n v="45109"/>
    <n v="2014"/>
    <m/>
    <m/>
    <m/>
    <m/>
    <m/>
    <m/>
    <m/>
    <s v=""/>
    <e v="#VALUE!"/>
    <e v="#VALUE!"/>
    <e v="#VALUE!"/>
    <e v="#VALUE!"/>
    <e v="#VALUE!"/>
    <e v="#VALUE!"/>
    <m/>
    <m/>
    <m/>
    <n v="0.5474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7"/>
    <x v="266"/>
    <s v="EMP074-EMPILHADEIRA ELÉTRICA"/>
    <n v="40000309"/>
    <s v="BR01-FRO-LOG"/>
    <n v="620"/>
    <n v="47281"/>
    <n v="2016"/>
    <m/>
    <m/>
    <m/>
    <m/>
    <m/>
    <m/>
    <m/>
    <s v=""/>
    <e v="#VALUE!"/>
    <e v="#VALUE!"/>
    <e v="#VALUE!"/>
    <e v="#VALUE!"/>
    <e v="#VALUE!"/>
    <e v="#VALUE!"/>
    <m/>
    <m/>
    <m/>
    <n v="0.37669999999999998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8"/>
    <x v="267"/>
    <s v="EMP077-EMPILHADEIRA ELÉTRICA"/>
    <n v="40000197"/>
    <s v="BR01-FRO-LOG"/>
    <n v="620"/>
    <n v="45111"/>
    <n v="2015"/>
    <m/>
    <m/>
    <m/>
    <m/>
    <m/>
    <m/>
    <m/>
    <s v=""/>
    <e v="#VALUE!"/>
    <e v="#VALUE!"/>
    <e v="#VALUE!"/>
    <e v="#VALUE!"/>
    <e v="#VALUE!"/>
    <e v="#VALUE!"/>
    <m/>
    <m/>
    <m/>
    <n v="0.4834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69"/>
    <x v="268"/>
    <s v="EMP078-EMPILHADEIRA ELÉTRICA"/>
    <n v="40000203"/>
    <s v="BR01-FRO-LOG"/>
    <n v="620"/>
    <n v="45457"/>
    <n v="2015"/>
    <m/>
    <m/>
    <m/>
    <m/>
    <m/>
    <m/>
    <m/>
    <s v=""/>
    <e v="#VALUE!"/>
    <e v="#VALUE!"/>
    <e v="#VALUE!"/>
    <e v="#VALUE!"/>
    <e v="#VALUE!"/>
    <e v="#VALUE!"/>
    <m/>
    <m/>
    <m/>
    <n v="0.4834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0"/>
    <x v="269"/>
    <s v="EMP079-EMPILHADEIRA ELÉTRICA"/>
    <n v="40000238"/>
    <s v="BR01-FRO-LOG"/>
    <n v="620"/>
    <n v="46142"/>
    <n v="2015"/>
    <m/>
    <m/>
    <m/>
    <m/>
    <m/>
    <m/>
    <m/>
    <s v=""/>
    <e v="#VALUE!"/>
    <e v="#VALUE!"/>
    <e v="#VALUE!"/>
    <e v="#VALUE!"/>
    <e v="#VALUE!"/>
    <e v="#VALUE!"/>
    <m/>
    <m/>
    <m/>
    <n v="0.4834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1"/>
    <x v="270"/>
    <s v="EMP091-EMPILHADEIRA ELÉTRICA"/>
    <n v="40000357"/>
    <s v="BR01-FRO-LOG"/>
    <n v="620"/>
    <n v="48191"/>
    <n v="2017"/>
    <m/>
    <m/>
    <m/>
    <m/>
    <m/>
    <m/>
    <m/>
    <s v=""/>
    <e v="#VALUE!"/>
    <e v="#VALUE!"/>
    <e v="#VALUE!"/>
    <e v="#VALUE!"/>
    <e v="#VALUE!"/>
    <e v="#VALUE!"/>
    <m/>
    <m/>
    <m/>
    <n v="0.31379999999999997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2"/>
    <x v="271"/>
    <s v="EMP092-EMPILHADEIRA ELÉTRICA"/>
    <n v="40000358"/>
    <s v="BR01-FRO-LOG"/>
    <n v="620"/>
    <n v="48190"/>
    <n v="2017"/>
    <m/>
    <m/>
    <m/>
    <m/>
    <m/>
    <m/>
    <m/>
    <s v=""/>
    <e v="#VALUE!"/>
    <e v="#VALUE!"/>
    <e v="#VALUE!"/>
    <e v="#VALUE!"/>
    <e v="#VALUE!"/>
    <e v="#VALUE!"/>
    <m/>
    <m/>
    <m/>
    <n v="0.31379999999999997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3"/>
    <x v="272"/>
    <s v="EMP093-EMPILHADEIRA ELÉTRICA"/>
    <n v="40000359"/>
    <s v="BR01-FRO-LOG"/>
    <n v="620"/>
    <n v="48189"/>
    <n v="2017"/>
    <m/>
    <m/>
    <m/>
    <m/>
    <m/>
    <m/>
    <m/>
    <s v=""/>
    <e v="#VALUE!"/>
    <e v="#VALUE!"/>
    <e v="#VALUE!"/>
    <e v="#VALUE!"/>
    <e v="#VALUE!"/>
    <e v="#VALUE!"/>
    <m/>
    <m/>
    <m/>
    <n v="0.31379999999999997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4"/>
    <x v="273"/>
    <s v="EMP096-EMPILHADEIRA ELÉTRICA"/>
    <n v="40000406"/>
    <s v="BR01-FRO-LOG"/>
    <n v="620"/>
    <n v="49685"/>
    <n v="2018"/>
    <m/>
    <m/>
    <m/>
    <m/>
    <m/>
    <m/>
    <m/>
    <s v=""/>
    <e v="#VALUE!"/>
    <e v="#VALUE!"/>
    <e v="#VALUE!"/>
    <e v="#VALUE!"/>
    <e v="#VALUE!"/>
    <e v="#VALUE!"/>
    <m/>
    <m/>
    <m/>
    <n v="0.284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5"/>
    <x v="274"/>
    <s v="EMP097-EMPILHADEIRA ELÉTRICA"/>
    <n v="40000407"/>
    <s v="BR01-FRO-LOG"/>
    <n v="620"/>
    <n v="49686"/>
    <n v="2018"/>
    <m/>
    <m/>
    <m/>
    <m/>
    <m/>
    <m/>
    <m/>
    <s v=""/>
    <e v="#VALUE!"/>
    <e v="#VALUE!"/>
    <e v="#VALUE!"/>
    <e v="#VALUE!"/>
    <e v="#VALUE!"/>
    <e v="#VALUE!"/>
    <m/>
    <m/>
    <m/>
    <n v="0.284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6"/>
    <x v="275"/>
    <s v="EMP098-TRANSPALETEIRA ELÉTRICA"/>
    <n v="40000412"/>
    <s v="BR01-FRO-EXP"/>
    <n v="681"/>
    <n v="49681"/>
    <n v="2018"/>
    <m/>
    <m/>
    <m/>
    <m/>
    <m/>
    <m/>
    <m/>
    <s v=""/>
    <e v="#VALUE!"/>
    <e v="#VALUE!"/>
    <e v="#VALUE!"/>
    <e v="#VALUE!"/>
    <e v="#VALUE!"/>
    <e v="#VALUE!"/>
    <m/>
    <m/>
    <m/>
    <n v="0.284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7"/>
    <x v="276"/>
    <s v="EMP099-TRANSPALETEIRA MANUAL"/>
    <n v="40000413"/>
    <s v="BR01-FRO-EXP"/>
    <n v="681"/>
    <n v="49682"/>
    <n v="2018"/>
    <m/>
    <m/>
    <m/>
    <m/>
    <m/>
    <m/>
    <m/>
    <s v=""/>
    <e v="#VALUE!"/>
    <e v="#VALUE!"/>
    <e v="#VALUE!"/>
    <e v="#VALUE!"/>
    <e v="#VALUE!"/>
    <e v="#VALUE!"/>
    <m/>
    <m/>
    <m/>
    <n v="0.284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8"/>
    <x v="277"/>
    <s v="EMP100-EMPILHADEIRA ELÉTRICA"/>
    <n v="40000414"/>
    <s v="BR01-FRO-LOG"/>
    <n v="620"/>
    <n v="49684"/>
    <n v="2018"/>
    <m/>
    <m/>
    <m/>
    <m/>
    <m/>
    <m/>
    <m/>
    <s v=""/>
    <e v="#VALUE!"/>
    <e v="#VALUE!"/>
    <e v="#VALUE!"/>
    <e v="#VALUE!"/>
    <e v="#VALUE!"/>
    <e v="#VALUE!"/>
    <m/>
    <m/>
    <m/>
    <n v="0.284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79"/>
    <x v="278"/>
    <s v="EMP102-TRANSPALETEIRA SEMI-ELÉTRICA"/>
    <n v="40000426"/>
    <s v="BR01-FRO-FMG"/>
    <n v="2111"/>
    <n v="50326"/>
    <n v="2018"/>
    <m/>
    <m/>
    <m/>
    <m/>
    <m/>
    <m/>
    <m/>
    <s v=""/>
    <e v="#VALUE!"/>
    <e v="#VALUE!"/>
    <e v="#VALUE!"/>
    <e v="#VALUE!"/>
    <e v="#VALUE!"/>
    <e v="#VALUE!"/>
    <m/>
    <m/>
    <m/>
    <n v="0.2843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0"/>
    <x v="279"/>
    <s v="EMP109-EMPILHADEIRA COMBUSTÃO"/>
    <n v="40000435"/>
    <s v="BR01-FRO-FCI"/>
    <n v="4645"/>
    <n v="50773"/>
    <n v="2019"/>
    <n v="158315.25"/>
    <n v="91377"/>
    <n v="59038.079999999987"/>
    <n v="1.48"/>
    <n v="3360"/>
    <n v="36668"/>
    <n v="81"/>
    <n v="12"/>
    <n v="24"/>
    <n v="36"/>
    <n v="48"/>
    <n v="60"/>
    <n v="72"/>
    <n v="84"/>
    <n v="189.92170212765956"/>
    <n v="319.06805555555553"/>
    <n v="0.1"/>
    <n v="0.24679999999999999"/>
    <n v="0.8"/>
    <n v="-158315.25"/>
    <n v="-6718.6648014184402"/>
    <n v="-7390.5312815602847"/>
    <n v="-8129.5844097163144"/>
    <n v="-8942.5428506879452"/>
    <n v="-9836.7971357567403"/>
    <n v="-10820.476849332415"/>
    <n v="-11902.52453426566"/>
    <n v="-197387.45369999998"/>
    <n v="-1343.7329602836878"/>
    <n v="-1478.1062563120565"/>
    <n v="-1625.9168819432625"/>
    <n v="-1788.5085701375885"/>
    <n v="-1967.3594271513475"/>
    <n v="-2164.0953698664825"/>
    <n v="-2380.5049068531316"/>
    <n v="-254560.34198368792"/>
    <n v="-63741.121862737797"/>
    <n v="-12748.224372547555"/>
    <n v="-33.967365172829965"/>
    <n v="-0.11763000860250954"/>
    <s v="Fase de Degradação"/>
  </r>
  <r>
    <n v="281"/>
    <x v="280"/>
    <s v="EMP110-TRANSPALETEIRA PANTOGRAFICA"/>
    <n v="40000437"/>
    <s v="BR01-FRO-EXP"/>
    <n v="681"/>
    <n v="51395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2"/>
    <x v="281"/>
    <s v="EMP111-TRANSPALETEIRA PANTOGRAFICA"/>
    <n v="40000438"/>
    <s v="BR01-FRO-EXP"/>
    <n v="681"/>
    <n v="51396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3"/>
    <x v="282"/>
    <s v="EMP113-EMPILHADEIRA ELETRICA"/>
    <n v="40000440"/>
    <s v="BR01-FRO-EXP"/>
    <n v="681"/>
    <n v="51364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4"/>
    <x v="283"/>
    <s v="EMP114-EMPILHADEIRA ELETRICA"/>
    <n v="40000441"/>
    <s v="BR01-FRO-EXP"/>
    <n v="681"/>
    <n v="51363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5"/>
    <x v="284"/>
    <s v="EMP115-EMPILHADEIRA ELÉTRICA"/>
    <n v="40000448"/>
    <s v="BR01-FRO-LOG"/>
    <n v="620"/>
    <n v="51362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6"/>
    <x v="285"/>
    <s v="EMP116-EMPILHADEIRA ELÉTRICA"/>
    <n v="40000453"/>
    <s v="BR01-FRO-LOG"/>
    <n v="620"/>
    <n v="51433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7"/>
    <x v="286"/>
    <s v="EMP117-EMPILHADEIRA ELÉTRICA"/>
    <n v="40000454"/>
    <s v="BR01-FRO-LOG"/>
    <n v="620"/>
    <n v="51435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8"/>
    <x v="287"/>
    <s v="EMP118-EMPILHADEIRA ELÉTRICA 5 TON"/>
    <n v="40000455"/>
    <s v="BR01-FRO-LOG"/>
    <n v="620"/>
    <n v="51434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89"/>
    <x v="288"/>
    <s v="EMP119-EMPILHADEIRA ELÉTRICA"/>
    <n v="40000456"/>
    <s v="BR01-FRO-CRE"/>
    <n v="28"/>
    <n v="51416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0"/>
    <x v="289"/>
    <s v="EMP120-EMPILHADEIRA ELÉTRICA"/>
    <n v="40000457"/>
    <s v="BR01-FRO-EXP"/>
    <n v="681"/>
    <n v="51432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1"/>
    <x v="290"/>
    <s v="EMP121-TRANSPALETEIRA PANTOGRAFICA"/>
    <n v="40000475"/>
    <s v="BR01-FRO-LOG"/>
    <n v="620"/>
    <n v="51913"/>
    <n v="2019"/>
    <m/>
    <m/>
    <m/>
    <m/>
    <m/>
    <m/>
    <m/>
    <s v=""/>
    <e v="#VALUE!"/>
    <e v="#VALUE!"/>
    <e v="#VALUE!"/>
    <e v="#VALUE!"/>
    <e v="#VALUE!"/>
    <e v="#VALUE!"/>
    <m/>
    <m/>
    <m/>
    <n v="0.2467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2"/>
    <x v="291"/>
    <s v="EMP122-EMPILHADEIRA COMBUSTÃO"/>
    <n v="40000480"/>
    <s v="BR01-FRO-FCI"/>
    <n v="4645"/>
    <n v="52191"/>
    <n v="2020"/>
    <n v="124237.58"/>
    <n v="80237"/>
    <n v="40968.550000000003"/>
    <n v="1.21"/>
    <n v="3360"/>
    <n v="26085"/>
    <n v="84"/>
    <n v="14"/>
    <n v="28"/>
    <n v="42"/>
    <n v="56"/>
    <n v="70"/>
    <n v="84"/>
    <n v="98"/>
    <n v="289.26"/>
    <n v="792.02249999999992"/>
    <n v="0.1"/>
    <n v="0.20369999999999999"/>
    <n v="0.8"/>
    <n v="-124237.58"/>
    <n v="-14909.300999999999"/>
    <n v="-16400.231100000001"/>
    <n v="-18040.254210000003"/>
    <n v="-19844.279631000001"/>
    <n v="-21828.707594100004"/>
    <n v="-24011.578353510009"/>
    <n v="-26412.736188861014"/>
    <n v="-149544.775046"/>
    <n v="-2981.8601999999992"/>
    <n v="-3280.0462199999993"/>
    <n v="-3608.0508419999996"/>
    <n v="-3968.8559261999994"/>
    <n v="-4365.7415188200002"/>
    <n v="-4802.3156707020007"/>
    <n v="-5282.5472377722017"/>
    <n v="-153879.87904600002"/>
    <n v="-141447.08807747104"/>
    <n v="-28289.417615494203"/>
    <n v="-16.660586369146159"/>
    <n v="-7.2506126153002684E-2"/>
    <s v="Fase de Degradação"/>
  </r>
  <r>
    <n v="293"/>
    <x v="292"/>
    <s v="EMP123-EMPILHADEIRA HIDRÁULICA MANUAL"/>
    <n v="40000482"/>
    <m/>
    <n v="4026"/>
    <n v="51441"/>
    <n v="2020"/>
    <n v="5222.41"/>
    <n v="3415"/>
    <m/>
    <m/>
    <n v="2994"/>
    <m/>
    <m/>
    <s v=""/>
    <e v="#VALUE!"/>
    <e v="#VALUE!"/>
    <e v="#VALUE!"/>
    <e v="#VALUE!"/>
    <e v="#VALUE!"/>
    <e v="#VALUE!"/>
    <m/>
    <m/>
    <m/>
    <n v="0.20369999999999999"/>
    <m/>
    <n v="-5222.41"/>
    <e v="#VALUE!"/>
    <e v="#VALUE!"/>
    <e v="#VALUE!"/>
    <e v="#VALUE!"/>
    <e v="#VALUE!"/>
    <e v="#VALUE!"/>
    <e v="#VALUE!"/>
    <n v="-6286.2149169999993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4"/>
    <x v="293"/>
    <s v="EMP125-EMPILHADEIRA ELÉTRICA"/>
    <n v="40000519"/>
    <s v="BR01-FRO-LOG"/>
    <n v="620"/>
    <n v="52916"/>
    <n v="2020"/>
    <m/>
    <m/>
    <m/>
    <m/>
    <m/>
    <m/>
    <m/>
    <s v=""/>
    <e v="#VALUE!"/>
    <e v="#VALUE!"/>
    <e v="#VALUE!"/>
    <e v="#VALUE!"/>
    <e v="#VALUE!"/>
    <e v="#VALUE!"/>
    <m/>
    <m/>
    <m/>
    <n v="0.2036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5"/>
    <x v="294"/>
    <s v="EMP126-TRANSPALETEIRA PANTOGRAFICA"/>
    <n v="40000542"/>
    <s v="BR01-FRO-EXP"/>
    <n v="681"/>
    <n v="51419"/>
    <n v="2020"/>
    <m/>
    <m/>
    <m/>
    <m/>
    <m/>
    <m/>
    <m/>
    <s v=""/>
    <e v="#VALUE!"/>
    <e v="#VALUE!"/>
    <e v="#VALUE!"/>
    <e v="#VALUE!"/>
    <e v="#VALUE!"/>
    <e v="#VALUE!"/>
    <m/>
    <m/>
    <m/>
    <n v="0.20369999999999999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6"/>
    <x v="295"/>
    <s v="EMP127-EMPILHADEIRA ELÉTRICA"/>
    <n v="40000543"/>
    <s v="BR01-FRO-LOG"/>
    <n v="620"/>
    <n v="54870"/>
    <n v="2021"/>
    <m/>
    <m/>
    <m/>
    <m/>
    <m/>
    <m/>
    <m/>
    <s v=""/>
    <e v="#VALUE!"/>
    <e v="#VALUE!"/>
    <e v="#VALUE!"/>
    <e v="#VALUE!"/>
    <e v="#VALUE!"/>
    <e v="#VALUE!"/>
    <m/>
    <m/>
    <m/>
    <n v="0.1585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7"/>
    <x v="296"/>
    <s v="EMP128-EMPILHADEIRA COMBUSTÃO"/>
    <n v="40000547"/>
    <s v="BR01-FRO-CRE"/>
    <n v="28"/>
    <n v="55250"/>
    <n v="2021"/>
    <n v="232654.66"/>
    <n v="204679"/>
    <n v="32008.04"/>
    <m/>
    <m/>
    <m/>
    <m/>
    <s v=""/>
    <m/>
    <m/>
    <m/>
    <m/>
    <m/>
    <m/>
    <m/>
    <m/>
    <m/>
    <n v="0.1585"/>
    <m/>
    <m/>
    <m/>
    <m/>
    <m/>
    <m/>
    <m/>
    <m/>
    <m/>
    <m/>
    <m/>
    <m/>
    <m/>
    <m/>
    <m/>
    <m/>
    <m/>
    <m/>
    <m/>
    <m/>
    <m/>
    <m/>
    <m/>
  </r>
  <r>
    <n v="298"/>
    <x v="297"/>
    <s v="EMP129-TRANSPALETEIRA PANTOGRAFICA"/>
    <n v="40000550"/>
    <s v="BR01-FRO-EXP"/>
    <n v="681"/>
    <n v="55251"/>
    <n v="2021"/>
    <m/>
    <m/>
    <m/>
    <m/>
    <m/>
    <m/>
    <m/>
    <s v=""/>
    <e v="#VALUE!"/>
    <e v="#VALUE!"/>
    <e v="#VALUE!"/>
    <e v="#VALUE!"/>
    <e v="#VALUE!"/>
    <e v="#VALUE!"/>
    <m/>
    <m/>
    <m/>
    <n v="0.1585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299"/>
    <x v="298"/>
    <s v="EMP130-TRANSPALETEIRA PANTOGRAFICA"/>
    <n v="40000551"/>
    <s v="BR01-FRO-EXP"/>
    <n v="681"/>
    <n v="55252"/>
    <n v="2021"/>
    <m/>
    <m/>
    <m/>
    <m/>
    <m/>
    <m/>
    <m/>
    <s v=""/>
    <e v="#VALUE!"/>
    <e v="#VALUE!"/>
    <e v="#VALUE!"/>
    <e v="#VALUE!"/>
    <e v="#VALUE!"/>
    <e v="#VALUE!"/>
    <m/>
    <m/>
    <m/>
    <n v="0.1585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300"/>
    <x v="299"/>
    <s v="EMP131-EMPILHADEIRA SELECION. PEDIDOS"/>
    <n v="40000555"/>
    <s v="BR01-FRO-LOG"/>
    <n v="620"/>
    <n v="56270"/>
    <n v="2022"/>
    <m/>
    <m/>
    <m/>
    <m/>
    <m/>
    <m/>
    <m/>
    <s v=""/>
    <e v="#VALUE!"/>
    <e v="#VALUE!"/>
    <e v="#VALUE!"/>
    <e v="#VALUE!"/>
    <e v="#VALUE!"/>
    <e v="#VALUE!"/>
    <m/>
    <m/>
    <m/>
    <n v="5.79E-2"/>
    <m/>
    <n v="0"/>
    <e v="#VALUE!"/>
    <e v="#VALUE!"/>
    <e v="#VALUE!"/>
    <e v="#VALUE!"/>
    <e v="#VALUE!"/>
    <e v="#VALUE!"/>
    <e v="#VALUE!"/>
    <n v="0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301"/>
    <x v="300"/>
    <s v="EMP132-EMPILHADEIRA COMBUSTÃO"/>
    <n v="40000576"/>
    <s v="BR01-FRO-CRE"/>
    <n v="28"/>
    <n v="56404"/>
    <n v="2022"/>
    <n v="199361.58"/>
    <n v="179425"/>
    <n v="8190"/>
    <m/>
    <m/>
    <m/>
    <m/>
    <s v=""/>
    <m/>
    <m/>
    <m/>
    <m/>
    <m/>
    <m/>
    <m/>
    <m/>
    <m/>
    <n v="5.79E-2"/>
    <m/>
    <m/>
    <m/>
    <m/>
    <m/>
    <m/>
    <m/>
    <m/>
    <m/>
    <m/>
    <m/>
    <m/>
    <m/>
    <m/>
    <m/>
    <m/>
    <m/>
    <m/>
    <m/>
    <m/>
    <m/>
    <m/>
    <m/>
  </r>
  <r>
    <n v="302"/>
    <x v="301"/>
    <s v="EMP133-EMPILHADEIRA ELÉTRICA"/>
    <n v="40000578"/>
    <s v="BR01-FRO-FCI"/>
    <n v="4645"/>
    <n v="56670"/>
    <n v="2022"/>
    <n v="71399.89"/>
    <n v="63665"/>
    <m/>
    <m/>
    <m/>
    <m/>
    <m/>
    <s v=""/>
    <e v="#VALUE!"/>
    <e v="#VALUE!"/>
    <e v="#VALUE!"/>
    <e v="#VALUE!"/>
    <e v="#VALUE!"/>
    <e v="#VALUE!"/>
    <m/>
    <m/>
    <m/>
    <n v="5.79E-2"/>
    <m/>
    <n v="-71399.89"/>
    <e v="#VALUE!"/>
    <e v="#VALUE!"/>
    <e v="#VALUE!"/>
    <e v="#VALUE!"/>
    <e v="#VALUE!"/>
    <e v="#VALUE!"/>
    <e v="#VALUE!"/>
    <n v="-75533.943631000002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303"/>
    <x v="302"/>
    <s v="EST127-ESTUFA DE CURA E SECAGEM"/>
    <n v="20004128"/>
    <s v="BR01-MOT-UMG-DECPIN-EST127"/>
    <n v="2318"/>
    <n v="53178"/>
    <n v="2021"/>
    <n v="201000.6"/>
    <n v="171942"/>
    <n v="152070.80000000002"/>
    <n v="2.08"/>
    <n v="3854"/>
    <n v="14515"/>
    <n v="25"/>
    <n v="12.5"/>
    <n v="25"/>
    <n v="37.5"/>
    <n v="50"/>
    <n v="62.5"/>
    <n v="75"/>
    <n v="87.5"/>
    <n v="1002.09"/>
    <n v="5643.0741666666663"/>
    <n v="0.1"/>
    <n v="0.1585"/>
    <n v="0.8"/>
    <n v="-201000.6"/>
    <n v="-88267.316500000001"/>
    <n v="-97094.048150000017"/>
    <n v="-106803.45296500003"/>
    <n v="-117483.79826150004"/>
    <n v="-129232.17808765004"/>
    <n v="-142155.39589641505"/>
    <n v="-156370.93548605661"/>
    <n v="-232859.19510000001"/>
    <n v="-17653.463299999996"/>
    <n v="-19418.80963"/>
    <n v="-21360.690593000003"/>
    <n v="-23496.759652300003"/>
    <n v="-25846.435617530002"/>
    <n v="-28431.079179283002"/>
    <n v="-31274.187097211314"/>
    <n v="44559.688899999892"/>
    <n v="-837407.12534662173"/>
    <n v="-167481.42506932432"/>
    <n v="37.874929311042472"/>
    <n v="9.3564272461414161E-2"/>
    <s v="Fase de Degradação"/>
  </r>
  <r>
    <n v="304"/>
    <x v="303"/>
    <s v="FIL001-FILTRO OLEO DE CORTE"/>
    <n v="10000481"/>
    <s v="BR01-MOT-SAB-RETIFC-FIL001"/>
    <n v="2520"/>
    <n v="6300100400"/>
    <n v="1982"/>
    <n v="65813.850000000006"/>
    <n v="0"/>
    <n v="2829802.639999989"/>
    <n v="1.08"/>
    <n v="4458"/>
    <n v="198936"/>
    <n v="1477"/>
    <n v="36"/>
    <n v="72"/>
    <n v="108"/>
    <n v="144"/>
    <n v="180"/>
    <n v="216"/>
    <n v="252"/>
    <n v="1080.3"/>
    <n v="9566.84"/>
    <n v="0.1"/>
    <n v="2.5972846153846172"/>
    <n v="0.8"/>
    <n v="-65813.850000000006"/>
    <n v="-169062.16800000001"/>
    <n v="-185968.38480000003"/>
    <n v="-204565.22328000006"/>
    <n v="-225021.74560800006"/>
    <n v="-247523.9201688001"/>
    <n v="-272276.31218568014"/>
    <n v="-299503.94340424822"/>
    <n v="-236751.1500842309"/>
    <n v="-33812.433599999997"/>
    <n v="-37193.676959999997"/>
    <n v="-40913.044656000005"/>
    <n v="-45004.349121600004"/>
    <n v="-49504.784033760006"/>
    <n v="-54455.262437136014"/>
    <n v="-59900.788680849633"/>
    <n v="623928.97791576933"/>
    <n v="-1603921.6974467288"/>
    <n v="-320784.33948934573"/>
    <n v="149.48374398187889"/>
    <n v="0.63139606261129388"/>
    <s v="Fase de Vida Útil"/>
  </r>
  <r>
    <n v="305"/>
    <x v="304"/>
    <s v="FIL007-FILTRO ALUVIÃO"/>
    <n v="10003381"/>
    <s v="BR01-CIL-UCI-BRUNI1-FIL007"/>
    <n v="4529"/>
    <n v="20542"/>
    <n v="2003"/>
    <n v="387850.87"/>
    <n v="0"/>
    <n v="617469.22999999963"/>
    <n v="1.24"/>
    <n v="4327"/>
    <n v="170921"/>
    <n v="955"/>
    <n v="30"/>
    <n v="60"/>
    <n v="90"/>
    <n v="120"/>
    <n v="150"/>
    <n v="180"/>
    <n v="210"/>
    <n v="827.09"/>
    <n v="3468.5"/>
    <n v="0.1"/>
    <n v="1.1931"/>
    <n v="0.8"/>
    <n v="-387850.87"/>
    <n v="-73078.17"/>
    <n v="-80385.987000000008"/>
    <n v="-88424.585700000025"/>
    <n v="-97267.044270000028"/>
    <n v="-106993.74869700003"/>
    <n v="-117693.12356670004"/>
    <n v="-129462.43592337007"/>
    <n v="-850595.74299700011"/>
    <n v="-14615.633999999996"/>
    <n v="-16077.197399999997"/>
    <n v="-17684.917140000001"/>
    <n v="-19453.408854000001"/>
    <n v="-21398.749739400002"/>
    <n v="-23538.624713340003"/>
    <n v="-25892.487184674006"/>
    <n v="-478561.42299700016"/>
    <n v="-693305.0951570702"/>
    <n v="-138661.01903141401"/>
    <n v="-42.278809553049143"/>
    <n v="-4.9704939039647004E-2"/>
    <s v="Fase de Degradação"/>
  </r>
  <r>
    <n v="306"/>
    <x v="305"/>
    <s v="FIL023-FILTRO ALUVIÃO"/>
    <n v="10005938"/>
    <s v="BR01-CIL-UCI-BRUNI2-FIL023"/>
    <n v="4529"/>
    <n v="41547"/>
    <n v="2012"/>
    <n v="254774.97"/>
    <n v="78838"/>
    <n v="1085906.5599999996"/>
    <n v="1.04"/>
    <n v="4605"/>
    <n v="95057"/>
    <n v="948"/>
    <n v="48"/>
    <n v="96"/>
    <n v="144"/>
    <n v="192"/>
    <n v="240"/>
    <n v="288"/>
    <n v="336"/>
    <n v="935.09"/>
    <n v="3394.82"/>
    <n v="0.1"/>
    <n v="0.66500000000000004"/>
    <n v="0.8"/>
    <n v="-254774.97"/>
    <n v="-94184.376000000018"/>
    <n v="-103602.81360000002"/>
    <n v="-113963.09496000005"/>
    <n v="-125359.40445600003"/>
    <n v="-137895.34490160007"/>
    <n v="-151684.87939176007"/>
    <n v="-166853.3673309361"/>
    <n v="-424200.32504999998"/>
    <n v="-18836.875199999999"/>
    <n v="-20720.562720000002"/>
    <n v="-22792.618992000003"/>
    <n v="-25071.880891200002"/>
    <n v="-27579.068980320008"/>
    <n v="-30336.975878352008"/>
    <n v="-33370.673466187211"/>
    <n v="-23554.229049999965"/>
    <n v="-893543.28064029641"/>
    <n v="-178708.65612805923"/>
    <n v="30.256614208891037"/>
    <n v="6.0147731697944982E-2"/>
    <s v="Fase de Vida Útil"/>
  </r>
  <r>
    <n v="307"/>
    <x v="306"/>
    <s v="FIL024-FILTRO FLUÍDO DE CORTE"/>
    <n v="10005939"/>
    <s v="BR01-CIL-UCI-USINA2-FIL024"/>
    <n v="4531"/>
    <n v="41566"/>
    <n v="2012"/>
    <n v="295200.25"/>
    <n v="0"/>
    <n v="640313.63"/>
    <n v="1.34"/>
    <n v="5166"/>
    <n v="95248"/>
    <n v="283"/>
    <n v="21"/>
    <n v="42"/>
    <n v="63"/>
    <n v="84"/>
    <n v="105"/>
    <n v="126"/>
    <n v="147"/>
    <n v="810.42"/>
    <n v="1536.92"/>
    <n v="0.1"/>
    <n v="0.66500000000000004"/>
    <n v="0.8"/>
    <n v="-295200.25"/>
    <n v="-39008.046000000002"/>
    <n v="-42908.850600000005"/>
    <n v="-47199.735660000013"/>
    <n v="-51919.709226000014"/>
    <n v="-57111.680148600019"/>
    <n v="-62822.848163460032"/>
    <n v="-69105.132979806047"/>
    <n v="-491508.41625000001"/>
    <n v="-7801.609199999999"/>
    <n v="-8581.7701199999992"/>
    <n v="-9439.9471320000011"/>
    <n v="-10383.941845200001"/>
    <n v="-11422.336029720002"/>
    <n v="-12564.569632692004"/>
    <n v="-13821.026595961206"/>
    <n v="-292922.00025000004"/>
    <n v="-370076.00277786609"/>
    <n v="-74015.200555573203"/>
    <n v="-27.921087718243875"/>
    <n v="-5.6806937165531958E-2"/>
    <s v="Fase de Degradação"/>
  </r>
  <r>
    <n v="308"/>
    <x v="307"/>
    <s v="FIL042-FILTRO FLUÍDO DE CORTE"/>
    <n v="10006186"/>
    <s v="BR01-CIL-UCI-USINA2-FIL042"/>
    <n v="4531"/>
    <n v="43164"/>
    <n v="2013"/>
    <n v="605754.17000000004"/>
    <n v="55443"/>
    <n v="388679.87000000017"/>
    <n v="1.32"/>
    <n v="5166"/>
    <n v="88127"/>
    <n v="288"/>
    <n v="23"/>
    <n v="46"/>
    <n v="69"/>
    <n v="92"/>
    <n v="115"/>
    <n v="138"/>
    <n v="161"/>
    <n v="857.71"/>
    <n v="1382.09"/>
    <n v="0.1"/>
    <n v="0.60660000000000003"/>
    <n v="0.8"/>
    <n v="-605754.17000000004"/>
    <n v="-39943.651000000005"/>
    <n v="-43938.016100000008"/>
    <n v="-48331.817710000018"/>
    <n v="-53164.999481000021"/>
    <n v="-58481.499429100026"/>
    <n v="-64329.649372010033"/>
    <n v="-70762.614309211043"/>
    <n v="-973204.64952200011"/>
    <n v="-7988.7301999999991"/>
    <n v="-8787.6032199999991"/>
    <n v="-9666.363542000001"/>
    <n v="-10632.999896200003"/>
    <n v="-11696.299885820003"/>
    <n v="-12865.929874402003"/>
    <n v="-14152.522861842206"/>
    <n v="-825298.15352200007"/>
    <n v="-378952.24740132113"/>
    <n v="-75790.449480264215"/>
    <n v="-103.64083594299188"/>
    <n v="-0.10075445755517207"/>
    <s v="Fase de Degradação"/>
  </r>
  <r>
    <n v="309"/>
    <x v="308"/>
    <s v="FIL058-FILTRO ALUVIÃO"/>
    <n v="10006628"/>
    <s v="BR01-CIL-UCI-BRUNI1-FIL058"/>
    <n v="4529"/>
    <n v="51604"/>
    <n v="2019"/>
    <n v="738334.15"/>
    <n v="512033"/>
    <n v="175693.14"/>
    <n v="0.87"/>
    <n v="4327"/>
    <n v="25155"/>
    <n v="180"/>
    <n v="27"/>
    <n v="54"/>
    <n v="81"/>
    <n v="108"/>
    <n v="135"/>
    <n v="162"/>
    <n v="189"/>
    <n v="1009.65"/>
    <n v="2903.04"/>
    <n v="0.1"/>
    <n v="0.24679999999999999"/>
    <n v="0.8"/>
    <n v="-738334.15"/>
    <n v="-68306.733000000007"/>
    <n v="-75137.406300000017"/>
    <n v="-82651.146930000017"/>
    <n v="-90916.261623000028"/>
    <n v="-100007.88778530003"/>
    <n v="-110008.67656383006"/>
    <n v="-121009.54422021307"/>
    <n v="-920555.01821999997"/>
    <n v="-13661.346599999999"/>
    <n v="-15027.48126"/>
    <n v="-16530.229385999999"/>
    <n v="-18183.252324600002"/>
    <n v="-20001.577557060002"/>
    <n v="-22001.735312766006"/>
    <n v="-24201.908844042609"/>
    <n v="-1084844.65022"/>
    <n v="-648037.65642234334"/>
    <n v="-129607.53128446863"/>
    <n v="-130.59398472601788"/>
    <n v="-9.1159484139956559E-2"/>
    <s v="Confiabilidade em Crescimento"/>
  </r>
  <r>
    <n v="310"/>
    <x v="309"/>
    <s v="FOR001-FORNO CAMARA"/>
    <n v="10000330"/>
    <s v="BR01-MOT-VIR-TRTTRM-FOR001"/>
    <n v="3342"/>
    <n v="2900101400"/>
    <n v="1990"/>
    <n v="1308205.1299999999"/>
    <n v="284879"/>
    <n v="2171727.7099999981"/>
    <n v="1.59"/>
    <n v="4800"/>
    <n v="195818"/>
    <n v="1181"/>
    <n v="35.787878787878789"/>
    <n v="71.575757575757578"/>
    <n v="107.36363636363637"/>
    <n v="143.15151515151516"/>
    <n v="178.93939393939394"/>
    <n v="214.72727272727272"/>
    <n v="250.5151515151515"/>
    <n v="525.30999999999995"/>
    <n v="3918.67"/>
    <n v="0.1"/>
    <n v="2.0894076923076925"/>
    <n v="0.8"/>
    <n v="-1308205.1299999999"/>
    <n v="-72406.147666666671"/>
    <n v="-79646.762433333337"/>
    <n v="-87611.438676666701"/>
    <n v="-96372.582544333345"/>
    <n v="-106009.84079876669"/>
    <n v="-116610.82487864338"/>
    <n v="-128271.90736650773"/>
    <n v="-4041578.9917383846"/>
    <n v="-14481.229533333331"/>
    <n v="-15929.352486666663"/>
    <n v="-17522.287735333335"/>
    <n v="-19274.516508866665"/>
    <n v="-21201.968159753334"/>
    <n v="-23322.164975728672"/>
    <n v="-25654.381473301539"/>
    <n v="-3957844.8763444456"/>
    <n v="-686929.50436491775"/>
    <n v="-137385.90087298353"/>
    <n v="-539.5591983209215"/>
    <n v="-0.12471153062187133"/>
    <s v="Fase de Degradação"/>
  </r>
  <r>
    <n v="311"/>
    <x v="310"/>
    <s v="FOR002-FORNO CAMARA"/>
    <n v="10000336"/>
    <s v="BR01-MOT-VIR-TRTTRM-FOR002"/>
    <n v="3342"/>
    <n v="2900200204"/>
    <n v="1991"/>
    <n v="230904.08"/>
    <n v="55079"/>
    <n v="1855951.6099999971"/>
    <n v="1.1399999999999999"/>
    <n v="4800"/>
    <n v="198511"/>
    <n v="1071"/>
    <n v="30"/>
    <n v="60"/>
    <n v="90"/>
    <n v="120"/>
    <n v="150"/>
    <n v="180"/>
    <n v="210"/>
    <n v="563.17999999999995"/>
    <n v="2279.94"/>
    <n v="0.1"/>
    <n v="2.0259230769230769"/>
    <n v="0.8"/>
    <n v="-230904.08"/>
    <n v="-48680.147999999994"/>
    <n v="-53548.162799999998"/>
    <n v="-58902.979080000012"/>
    <n v="-64793.276988000005"/>
    <n v="-71272.604686800012"/>
    <n v="-78399.865155480031"/>
    <n v="-86239.851671028038"/>
    <n v="-698697.98422769224"/>
    <n v="-9736.0295999999962"/>
    <n v="-10709.632559999996"/>
    <n v="-11780.595815999999"/>
    <n v="-12958.655397599998"/>
    <n v="-14254.520937359999"/>
    <n v="-15679.973031096002"/>
    <n v="-17247.970334205605"/>
    <n v="-505950.77622769232"/>
    <n v="-461836.88838130806"/>
    <n v="-92367.377676261603"/>
    <n v="-54.901067646092258"/>
    <n v="-7.28346298638224E-2"/>
    <s v="Fase de Degradação"/>
  </r>
  <r>
    <n v="312"/>
    <x v="311"/>
    <s v="FOR014-FORNO PRÉ-AQUECIMENTO"/>
    <n v="10001677"/>
    <s v="BR01-MOT-SAB-TRTTRM-FOR014"/>
    <n v="2514"/>
    <n v="20721"/>
    <n v="2004"/>
    <n v="61946.05"/>
    <n v="14628"/>
    <n v="532183.64999999979"/>
    <n v="0.96"/>
    <n v="5116"/>
    <n v="176142"/>
    <n v="55"/>
    <n v="2"/>
    <n v="4"/>
    <n v="6"/>
    <n v="8"/>
    <n v="10"/>
    <n v="12"/>
    <n v="14"/>
    <n v="458.87"/>
    <n v="2660.8272222222222"/>
    <n v="0.1"/>
    <n v="1.1001000000000001"/>
    <n v="0.8"/>
    <n v="-61946.05"/>
    <n v="-36132.433333333334"/>
    <n v="-39745.676666666666"/>
    <n v="-43720.244333333343"/>
    <n v="-48092.268766666675"/>
    <n v="-52901.49564333335"/>
    <n v="-58191.64520766669"/>
    <n v="-64010.809728433371"/>
    <n v="-130092.89960500003"/>
    <n v="-7226.4866666666649"/>
    <n v="-7949.1353333333318"/>
    <n v="-8744.0488666666661"/>
    <n v="-9618.4537533333332"/>
    <n v="-10580.299128666667"/>
    <n v="-11638.329041533336"/>
    <n v="-12802.161945686672"/>
    <n v="39226.033728333277"/>
    <n v="-342794.57367943344"/>
    <n v="-68558.914735886676"/>
    <n v="18.502108476935248"/>
    <n v="0.12784683157328863"/>
    <s v="Confiabilidade em Crescimento"/>
  </r>
  <r>
    <n v="313"/>
    <x v="312"/>
    <s v="FOR015-FORNO BANHO DE SAL"/>
    <n v="10001678"/>
    <s v="BR01-MOT-SAB-TRTTRM-FOR015"/>
    <n v="2514"/>
    <n v="20720"/>
    <n v="2004"/>
    <n v="112121.09"/>
    <n v="14968"/>
    <n v="1584642.3299999991"/>
    <n v="0.76"/>
    <n v="5211"/>
    <n v="198118"/>
    <n v="445"/>
    <n v="10"/>
    <n v="20"/>
    <n v="30"/>
    <n v="40"/>
    <n v="50"/>
    <n v="60"/>
    <n v="70"/>
    <n v="542.22"/>
    <n v="10591.948888888888"/>
    <n v="0.1"/>
    <n v="1.1001000000000001"/>
    <n v="0.8"/>
    <n v="-112121.09"/>
    <n v="-145778.14533333335"/>
    <n v="-160355.9598666667"/>
    <n v="-176391.55585333338"/>
    <n v="-194030.71143866674"/>
    <n v="-213433.7825825334"/>
    <n v="-234777.16084078679"/>
    <n v="-258254.8769248655"/>
    <n v="-235465.50110900003"/>
    <n v="-29155.629066666665"/>
    <n v="-32071.191973333334"/>
    <n v="-35278.311170666668"/>
    <n v="-38806.142287733339"/>
    <n v="-42686.75651650667"/>
    <n v="-46955.432168157349"/>
    <n v="-51650.975384973091"/>
    <n v="491709.78422433336"/>
    <n v="-1383022.1928401859"/>
    <n v="-276604.43856803712"/>
    <n v="122.28346473759267"/>
    <n v="0.48828716683703333"/>
    <s v="Confiabilidade em Crescimento"/>
  </r>
  <r>
    <n v="314"/>
    <x v="313"/>
    <s v="FOR016-FORNO DE REVENIMENTO"/>
    <n v="10000494"/>
    <s v="BR01-MOT-SAB-TRTTRM-FOR016"/>
    <n v="2515"/>
    <n v="2900100500"/>
    <n v="1985"/>
    <n v="139187.9"/>
    <n v="67929"/>
    <n v="873609.92000000039"/>
    <n v="0.98"/>
    <n v="5020"/>
    <n v="197385"/>
    <n v="422"/>
    <n v="11"/>
    <n v="22"/>
    <n v="33"/>
    <n v="44"/>
    <n v="55"/>
    <n v="66"/>
    <n v="77"/>
    <n v="1316.24"/>
    <n v="3068.45"/>
    <n v="0.1"/>
    <n v="2.4068307692307704"/>
    <n v="0.8"/>
    <n v="-139187.9"/>
    <n v="-56430.043999999994"/>
    <n v="-62073.0484"/>
    <n v="-68280.353240000011"/>
    <n v="-75108.388564000008"/>
    <n v="-82619.227420400013"/>
    <n v="-90881.150162440026"/>
    <n v="-99969.265178684043"/>
    <n v="-474189.62042461551"/>
    <n v="-11286.008799999996"/>
    <n v="-12414.609679999998"/>
    <n v="-13656.070647999999"/>
    <n v="-15021.677712799998"/>
    <n v="-16523.84548408"/>
    <n v="-18176.230032488002"/>
    <n v="-19993.853035736804"/>
    <n v="-254838.39642461552"/>
    <n v="-535361.47696552414"/>
    <n v="-107072.2953931048"/>
    <n v="-16.261348407456602"/>
    <n v="-2.9995923022750753E-2"/>
    <s v="Confiabilidade em Crescimento"/>
  </r>
  <r>
    <n v="315"/>
    <x v="314"/>
    <s v="FOR017-FORNO DE REVENIMENTO"/>
    <n v="10000499"/>
    <s v="BR01-MOT-SAB-TRTTRM-FOR017"/>
    <n v="2515"/>
    <n v="2900100400"/>
    <n v="1985"/>
    <n v="40102.720000000001"/>
    <n v="0"/>
    <n v="1077560.1400000004"/>
    <n v="0.94"/>
    <n v="5020"/>
    <n v="198299"/>
    <n v="517"/>
    <n v="12"/>
    <n v="24"/>
    <n v="36"/>
    <n v="48"/>
    <n v="60"/>
    <n v="72"/>
    <n v="84"/>
    <n v="1322.15"/>
    <n v="4537.67"/>
    <n v="0.1"/>
    <n v="2.4068307692307704"/>
    <n v="0.8"/>
    <n v="-40102.720000000001"/>
    <n v="-77349.623999999996"/>
    <n v="-85084.586400000015"/>
    <n v="-93593.045040000026"/>
    <n v="-102952.34954400003"/>
    <n v="-113247.58449840003"/>
    <n v="-124572.34294824005"/>
    <n v="-137029.57724306406"/>
    <n v="-136623.18042584619"/>
    <n v="-15469.924799999995"/>
    <n v="-17016.917279999998"/>
    <n v="-18718.609007999999"/>
    <n v="-20590.469908800002"/>
    <n v="-22649.516899680002"/>
    <n v="-24914.468589648004"/>
    <n v="-27405.915448612806"/>
    <n v="257156.72357415379"/>
    <n v="-733829.10967370425"/>
    <n v="-146765.82193474082"/>
    <n v="64.34858675901674"/>
    <n v="0.47099318401493867"/>
    <s v="Confiabilidade em Crescimento"/>
  </r>
  <r>
    <n v="316"/>
    <x v="315"/>
    <s v="FOR020-FORNO AUSTEMPERA"/>
    <n v="10003978"/>
    <s v="BR01-MOT-SAB-TRTTRM-FOR020"/>
    <n v="2514"/>
    <n v="40302"/>
    <n v="2011"/>
    <n v="151823.6"/>
    <n v="55483"/>
    <n v="1115857.2200000002"/>
    <n v="0.9"/>
    <n v="5116"/>
    <n v="165668"/>
    <n v="227"/>
    <n v="7"/>
    <n v="14"/>
    <n v="21"/>
    <n v="28"/>
    <n v="35"/>
    <n v="42"/>
    <n v="49"/>
    <n v="954.92"/>
    <n v="7977.8570972679472"/>
    <n v="0.1"/>
    <n v="0.73"/>
    <n v="0.8"/>
    <n v="-151823.6"/>
    <n v="-112660.59768393691"/>
    <n v="-123926.6574523306"/>
    <n v="-136319.3231975637"/>
    <n v="-149951.25551732007"/>
    <n v="-164946.38106905206"/>
    <n v="-181441.01917595731"/>
    <n v="-199585.12109355305"/>
    <n v="-262654.82799999998"/>
    <n v="-22532.119536787377"/>
    <n v="-24785.331490466117"/>
    <n v="-27263.864639512736"/>
    <n v="-29990.251103464008"/>
    <n v="-32989.276213810408"/>
    <n v="-36288.203835191453"/>
    <n v="-39917.024218710605"/>
    <n v="255407.03293640609"/>
    <n v="-1068830.3551897136"/>
    <n v="-213766.07103794272"/>
    <n v="76.703779450252995"/>
    <n v="0.24110235470097258"/>
    <s v="Confiabilidade em Crescimento"/>
  </r>
  <r>
    <n v="317"/>
    <x v="316"/>
    <s v="FOR038-FORNO"/>
    <n v="10003942"/>
    <s v="BR01-CIL-FGR-TRTTRM-FOR038"/>
    <n v="4715"/>
    <n v="20714"/>
    <n v="2003"/>
    <n v="179512.32000000001"/>
    <n v="738"/>
    <n v="126013.05"/>
    <n v="1.85"/>
    <n v="5000"/>
    <n v="159900"/>
    <n v="180"/>
    <n v="9"/>
    <n v="18"/>
    <n v="27"/>
    <n v="36"/>
    <n v="45"/>
    <n v="54"/>
    <n v="63"/>
    <n v="206.76"/>
    <n v="547.47"/>
    <n v="0.1"/>
    <n v="1.1931"/>
    <n v="0.8"/>
    <n v="-179512.32000000001"/>
    <n v="-9273.5280000000002"/>
    <n v="-10200.880800000001"/>
    <n v="-11220.968880000002"/>
    <n v="-12343.065768000002"/>
    <n v="-13577.372344800004"/>
    <n v="-14935.109579280006"/>
    <n v="-16428.620537208008"/>
    <n v="-393688.46899200004"/>
    <n v="-1854.7055999999995"/>
    <n v="-2040.1761599999998"/>
    <n v="-2244.1937760000001"/>
    <n v="-2468.6131535999998"/>
    <n v="-2715.4744689600002"/>
    <n v="-2987.0219158560008"/>
    <n v="-3285.7241074416006"/>
    <n v="-347215.78099200007"/>
    <n v="-87979.545909288019"/>
    <n v="-17595.909181857602"/>
    <n v="-46.291833180652802"/>
    <n v="-0.11736492558158342"/>
    <s v="Fase de Degradação"/>
  </r>
  <r>
    <n v="318"/>
    <x v="317"/>
    <s v="FOR039-FORNO DE REFUSÃO"/>
    <n v="10005218"/>
    <s v="BR01-CIL-FGR-REFUSA-FOR039"/>
    <n v="4745"/>
    <n v="34362"/>
    <n v="2006"/>
    <n v="201661.91"/>
    <n v="85300"/>
    <n v="198378.4"/>
    <n v="1.61"/>
    <n v="3733"/>
    <n v="129312"/>
    <n v="146"/>
    <n v="7"/>
    <n v="14"/>
    <n v="21"/>
    <n v="28"/>
    <n v="35"/>
    <n v="42"/>
    <n v="49"/>
    <n v="407.47"/>
    <n v="845.72"/>
    <n v="0.1"/>
    <n v="0.96719999999999995"/>
    <n v="0.8"/>
    <n v="-201661.91"/>
    <n v="-14301.023000000001"/>
    <n v="-15731.125300000003"/>
    <n v="-17304.237830000005"/>
    <n v="-19034.661613000004"/>
    <n v="-20938.127774300006"/>
    <n v="-23031.940551730011"/>
    <n v="-25335.134606903015"/>
    <n v="-396709.30935200001"/>
    <n v="-2860.2045999999996"/>
    <n v="-3146.2250599999998"/>
    <n v="-3460.8475660000004"/>
    <n v="-3806.9323226000001"/>
    <n v="-4187.6255548600002"/>
    <n v="-4606.3881103460008"/>
    <n v="-5067.0269213806023"/>
    <n v="-409204.10135200003"/>
    <n v="-135676.25067593306"/>
    <n v="-27135.250135186601"/>
    <n v="-53.352615544464783"/>
    <n v="-0.11068793591599002"/>
    <s v="Fase de Degradação"/>
  </r>
  <r>
    <n v="319"/>
    <x v="318"/>
    <s v="FOR042-FORNO ALIVIO DE TENSÕES"/>
    <n v="10004230"/>
    <s v="BR01-MOT-SAB-TRTIND-FOR042"/>
    <n v="2522"/>
    <n v="34057"/>
    <n v="2005"/>
    <n v="122614.2"/>
    <n v="21248"/>
    <n v="336418.22000000026"/>
    <n v="1.19"/>
    <n v="4795.2647999999999"/>
    <n v="150756"/>
    <n v="273"/>
    <n v="11"/>
    <n v="22"/>
    <n v="33"/>
    <n v="44"/>
    <n v="55"/>
    <n v="66"/>
    <n v="77"/>
    <n v="706.98"/>
    <n v="1683.71"/>
    <n v="0.1"/>
    <n v="1.0241"/>
    <n v="0.8"/>
    <n v="-122614.2"/>
    <n v="-30779.430000000004"/>
    <n v="-33857.373000000007"/>
    <n v="-37243.110300000015"/>
    <n v="-40967.421330000012"/>
    <n v="-45064.163463000019"/>
    <n v="-49570.579809300027"/>
    <n v="-54527.637790230037"/>
    <n v="-248183.40221999996"/>
    <n v="-6155.8859999999995"/>
    <n v="-6771.4745999999996"/>
    <n v="-7448.6220600000015"/>
    <n v="-8193.4842660000013"/>
    <n v="-9012.8326926000009"/>
    <n v="-9914.1159618600032"/>
    <n v="-10905.527558046006"/>
    <n v="-112736.12221999996"/>
    <n v="-292009.71569253015"/>
    <n v="-58401.943138506009"/>
    <n v="-5.1176613808536793"/>
    <n v="-1.8994301847098483E-2"/>
    <s v="Fase de Degradação"/>
  </r>
  <r>
    <n v="320"/>
    <x v="319"/>
    <s v="FOR044-FORNO ALÍVIO DE TENSÕES"/>
    <n v="10004529"/>
    <s v="BR01-MOT-SAB-LASERS-FOR044"/>
    <n v="2536"/>
    <n v="34292"/>
    <n v="2006"/>
    <n v="186190.87"/>
    <n v="21778"/>
    <n v="462308.66999999981"/>
    <n v="1.1599999999999999"/>
    <n v="4420"/>
    <n v="144916"/>
    <n v="400"/>
    <n v="16"/>
    <n v="32"/>
    <n v="48"/>
    <n v="64"/>
    <n v="80"/>
    <n v="96"/>
    <n v="112"/>
    <n v="661.45"/>
    <n v="2942.36"/>
    <n v="0.1"/>
    <n v="0.96719999999999995"/>
    <n v="0.8"/>
    <n v="-186190.87"/>
    <n v="-50480.672000000006"/>
    <n v="-55528.739200000011"/>
    <n v="-61081.613120000024"/>
    <n v="-67189.77443200002"/>
    <n v="-73908.751875200032"/>
    <n v="-81299.627062720043"/>
    <n v="-89429.589768992068"/>
    <n v="-366274.67946399999"/>
    <n v="-10096.134399999999"/>
    <n v="-11105.74784"/>
    <n v="-12216.322624000002"/>
    <n v="-13437.954886400001"/>
    <n v="-14781.750375040003"/>
    <n v="-16259.925412544006"/>
    <n v="-17885.917953798409"/>
    <n v="-131060.16746399994"/>
    <n v="-478918.7674589121"/>
    <n v="-95783.753491782409"/>
    <n v="-0.70252364241004051"/>
    <n v="-1.8103821454870646E-3"/>
    <s v="Fase de Degradação"/>
  </r>
  <r>
    <n v="321"/>
    <x v="320"/>
    <s v="FOR045-FORNO DE REFUSÃO"/>
    <n v="10004533"/>
    <s v="BR01-CIL-FGR-REFUSA-FOR045"/>
    <n v="4745"/>
    <n v="51047"/>
    <n v="2008"/>
    <n v="1603284.16"/>
    <n v="771334"/>
    <n v="1183525.5199999996"/>
    <n v="1.93"/>
    <n v="3733"/>
    <n v="145849"/>
    <n v="1310"/>
    <n v="66"/>
    <n v="132"/>
    <n v="198"/>
    <n v="264"/>
    <n v="330"/>
    <n v="396"/>
    <n v="462"/>
    <n v="526.42999999999995"/>
    <n v="9902.09"/>
    <n v="0.1"/>
    <n v="0.89119999999999999"/>
    <n v="0.8"/>
    <n v="-1603284.16"/>
    <n v="-168926.40600000002"/>
    <n v="-185819.04660000003"/>
    <n v="-204400.95126000006"/>
    <n v="-224841.04638600006"/>
    <n v="-247325.15102460008"/>
    <n v="-272057.66612706013"/>
    <n v="-299263.43273976614"/>
    <n v="-3032131.0033919998"/>
    <n v="-33785.281199999998"/>
    <n v="-37163.80932"/>
    <n v="-40880.190252"/>
    <n v="-44968.209277200003"/>
    <n v="-49465.030204920004"/>
    <n v="-54411.533225412015"/>
    <n v="-59852.686547953213"/>
    <n v="-2943476.027392"/>
    <n v="-1602633.7001374264"/>
    <n v="-320526.74002748524"/>
    <n v="-360.19400618315126"/>
    <n v="-9.4701543424725518E-2"/>
    <s v="Fase de Degradação"/>
  </r>
  <r>
    <n v="322"/>
    <x v="321"/>
    <s v="FOR052-FORNO DE REFUSÃO"/>
    <n v="10004978"/>
    <s v="BR01-CIL-FCI-REFUS2-FOR052"/>
    <n v="4645"/>
    <n v="34909"/>
    <n v="2007"/>
    <n v="1046659.28"/>
    <n v="438243"/>
    <n v="1248777.0400000012"/>
    <n v="1.36"/>
    <n v="5184"/>
    <n v="134021"/>
    <n v="1181"/>
    <n v="63"/>
    <n v="126"/>
    <n v="189"/>
    <n v="252"/>
    <n v="315"/>
    <n v="378"/>
    <n v="441"/>
    <n v="616.87"/>
    <n v="7053.15"/>
    <n v="0.1"/>
    <n v="0.93579999999999997"/>
    <n v="0.8"/>
    <n v="-1046659.28"/>
    <n v="-135850.671"/>
    <n v="-149435.73810000002"/>
    <n v="-164379.31191000002"/>
    <n v="-180817.24310100003"/>
    <n v="-198898.96741110005"/>
    <n v="-218788.86415221007"/>
    <n v="-240667.75056743113"/>
    <n v="-2026123.0342240001"/>
    <n v="-27170.134199999993"/>
    <n v="-29887.147619999996"/>
    <n v="-32875.862381999999"/>
    <n v="-36163.448620199997"/>
    <n v="-39779.793482220004"/>
    <n v="-43757.772830442002"/>
    <n v="-48133.550113486213"/>
    <n v="-1772762.6182239996"/>
    <n v="-1288838.5462417414"/>
    <n v="-257767.70924834823"/>
    <n v="-204.75645674722955"/>
    <n v="-8.3086868551044996E-2"/>
    <s v="Fase de Degradação"/>
  </r>
  <r>
    <n v="323"/>
    <x v="322"/>
    <s v="FOR062-FORNO BANHO DE SAL"/>
    <n v="10005886"/>
    <s v="BR01-MOT-SAB-TRTTRM-FOR062"/>
    <n v="2514"/>
    <n v="40301"/>
    <n v="2011"/>
    <n v="134345.32"/>
    <n v="47091"/>
    <n v="1253041.7100000007"/>
    <n v="1.55"/>
    <n v="5020"/>
    <n v="103421"/>
    <n v="152"/>
    <n v="12"/>
    <n v="24"/>
    <n v="36"/>
    <n v="48"/>
    <n v="60"/>
    <n v="72"/>
    <n v="84"/>
    <n v="516.29"/>
    <n v="11068.67856352033"/>
    <n v="0.1"/>
    <n v="0.73"/>
    <n v="0.8"/>
    <n v="-134345.32"/>
    <n v="-152921.58503846842"/>
    <n v="-168213.74354231526"/>
    <n v="-185035.11789654681"/>
    <n v="-203538.62968620149"/>
    <n v="-223892.49265482166"/>
    <n v="-246281.74192030384"/>
    <n v="-270909.91611233429"/>
    <n v="-232417.40360000002"/>
    <n v="-30584.317007693677"/>
    <n v="-33642.748708463048"/>
    <n v="-37007.023579309352"/>
    <n v="-40707.725937240291"/>
    <n v="-44778.498530964323"/>
    <n v="-49256.348384060759"/>
    <n v="-54181.98322246685"/>
    <n v="499001.48386856646"/>
    <n v="-1450793.2268509916"/>
    <n v="-290158.6453701983"/>
    <n v="125.87516826868476"/>
    <n v="0.45034484347319553"/>
    <s v="Fase de Degradação"/>
  </r>
  <r>
    <n v="324"/>
    <x v="323"/>
    <s v="FOR063-FORNO"/>
    <n v="10005903"/>
    <s v="BR01-CIL-FGR-TRTTRM-FOR063"/>
    <n v="4715"/>
    <n v="40017"/>
    <n v="2010"/>
    <n v="290010.8"/>
    <n v="81564"/>
    <n v="128569.28999999998"/>
    <n v="1.63"/>
    <n v="5000"/>
    <n v="103739"/>
    <n v="248"/>
    <n v="20"/>
    <n v="40"/>
    <n v="60"/>
    <n v="80"/>
    <n v="100"/>
    <n v="120"/>
    <n v="140"/>
    <n v="311.67"/>
    <n v="1281.5999999999999"/>
    <n v="0.1"/>
    <n v="0.78910000000000002"/>
    <n v="0.8"/>
    <n v="-290010.8"/>
    <n v="-23773.86"/>
    <n v="-26151.246000000003"/>
    <n v="-28766.370600000006"/>
    <n v="-31643.007660000007"/>
    <n v="-34807.308426000011"/>
    <n v="-38288.039268600012"/>
    <n v="-42116.843195460024"/>
    <n v="-518858.32227999996"/>
    <n v="-4754.771999999999"/>
    <n v="-5230.2491999999993"/>
    <n v="-5753.27412"/>
    <n v="-6328.6015319999997"/>
    <n v="-6961.4616852000008"/>
    <n v="-7657.607853720001"/>
    <n v="-8423.3686390920029"/>
    <n v="-479391.76227999997"/>
    <n v="-225546.67515006009"/>
    <n v="-45109.335030012007"/>
    <n v="-59.997854594278834"/>
    <n v="-9.992608930068983E-2"/>
    <s v="Fase de Degradação"/>
  </r>
  <r>
    <n v="325"/>
    <x v="324"/>
    <s v="FOR067-FORNO TRAT. TÉRMICO"/>
    <n v="20000316"/>
    <s v="BR01-CIL-FER-MANMOL"/>
    <n v="1073"/>
    <n v="40255"/>
    <n v="2011"/>
    <n v="14189.15"/>
    <n v="3622"/>
    <n v="26928.46"/>
    <n v="1.93"/>
    <n v="4116"/>
    <n v="96413"/>
    <n v="33"/>
    <n v="3"/>
    <n v="6"/>
    <n v="9"/>
    <n v="12"/>
    <n v="15"/>
    <n v="18"/>
    <n v="21"/>
    <n v="827.16"/>
    <n v="644.79999999999995"/>
    <n v="0.1"/>
    <n v="0.73"/>
    <n v="0.8"/>
    <n v="-14189.15"/>
    <n v="-11240.988000000001"/>
    <n v="-12365.086800000001"/>
    <n v="-13601.595480000004"/>
    <n v="-14961.755028000003"/>
    <n v="-16457.930530800004"/>
    <n v="-18103.723583880008"/>
    <n v="-19914.095942268013"/>
    <n v="-24547.229499999998"/>
    <n v="-2248.1976"/>
    <n v="-2473.0173599999998"/>
    <n v="-2720.3190960000002"/>
    <n v="-2992.3510056"/>
    <n v="-3291.5861061599999"/>
    <n v="-3620.7447167760006"/>
    <n v="-3982.8191884536018"/>
    <n v="29057.618500000004"/>
    <n v="-106645.17536494804"/>
    <n v="-21329.035072989602"/>
    <n v="8.1638443988512073"/>
    <n v="0.28981425987711906"/>
    <s v="Fase de Degradação"/>
  </r>
  <r>
    <n v="326"/>
    <x v="325"/>
    <s v="FOR071-FORNO"/>
    <n v="10006080"/>
    <s v="BR01-CIL-FGR-TRTTRM-FOR071"/>
    <n v="4715"/>
    <n v="41640"/>
    <n v="2012"/>
    <n v="229442.12"/>
    <n v="65680"/>
    <n v="144795.26000000004"/>
    <n v="1.66"/>
    <n v="5000"/>
    <n v="93192"/>
    <n v="275"/>
    <n v="25"/>
    <n v="50"/>
    <n v="75"/>
    <n v="100"/>
    <n v="125"/>
    <n v="150"/>
    <n v="175"/>
    <n v="384.02"/>
    <n v="1424.49"/>
    <n v="0.1"/>
    <n v="0.66500000000000004"/>
    <n v="0.8"/>
    <n v="-229442.12"/>
    <n v="-29363.818000000003"/>
    <n v="-32300.199800000006"/>
    <n v="-35530.219780000014"/>
    <n v="-39083.241758000011"/>
    <n v="-42991.565933800019"/>
    <n v="-47290.722527180027"/>
    <n v="-52019.794779898031"/>
    <n v="-382021.1298"/>
    <n v="-5872.7635999999993"/>
    <n v="-6460.0399600000001"/>
    <n v="-7106.0439560000013"/>
    <n v="-7816.6483516000008"/>
    <n v="-8598.3131867600023"/>
    <n v="-9458.1445054360029"/>
    <n v="-10403.958955979604"/>
    <n v="-298212.60179999995"/>
    <n v="-278579.56257887807"/>
    <n v="-55715.912515775606"/>
    <n v="-32.119639962413927"/>
    <n v="-7.174348650127961E-2"/>
    <s v="Fase de Degradação"/>
  </r>
  <r>
    <n v="327"/>
    <x v="326"/>
    <s v="FOR072-FORNO CONTÍNUO"/>
    <n v="10006200"/>
    <s v="BR01-CIL-UCI-BRUNI2-MACC02"/>
    <n v="4566"/>
    <n v="43495"/>
    <n v="2013"/>
    <n v="63602.06"/>
    <n v="35943"/>
    <n v="28190.900000000027"/>
    <n v="1.04"/>
    <n v="4099"/>
    <n v="87224"/>
    <n v="91"/>
    <n v="5"/>
    <n v="10"/>
    <n v="15"/>
    <n v="20"/>
    <n v="25"/>
    <n v="30"/>
    <n v="35"/>
    <n v="1009.65"/>
    <n v="2903.04"/>
    <n v="0.1"/>
    <n v="0.60660000000000003"/>
    <n v="0.8"/>
    <n v="-63602.06"/>
    <n v="-43873.203000000001"/>
    <n v="-48260.523300000001"/>
    <n v="-53086.575630000014"/>
    <n v="-58395.233193000007"/>
    <n v="-64234.756512300017"/>
    <n v="-70658.232163530032"/>
    <n v="-77724.055379883037"/>
    <n v="-102183.069596"/>
    <n v="-8774.6405999999988"/>
    <n v="-9652.1046599999972"/>
    <n v="-10617.315126000001"/>
    <n v="-11679.046638599999"/>
    <n v="-12846.95130246"/>
    <n v="-14131.646432706004"/>
    <n v="-15544.811075976604"/>
    <n v="85228.418403999938"/>
    <n v="-416232.57917871309"/>
    <n v="-83246.515835742597"/>
    <n v="27.837141963852925"/>
    <n v="0.20153430880407144"/>
    <s v="Fase de Vida Útil"/>
  </r>
  <r>
    <n v="328"/>
    <x v="327"/>
    <s v="FOR083-FORNO CONTÍNUO"/>
    <n v="10006259"/>
    <m/>
    <n v="4566"/>
    <n v="43438"/>
    <n v="2013"/>
    <n v="23481.38"/>
    <n v="0"/>
    <n v="16660.560000000001"/>
    <n v="0.77"/>
    <n v="4300"/>
    <n v="29639"/>
    <n v="28"/>
    <n v="3"/>
    <n v="6"/>
    <n v="9"/>
    <n v="12"/>
    <n v="15"/>
    <n v="18"/>
    <n v="21"/>
    <n v="100"/>
    <n v="293.334227"/>
    <n v="0.1"/>
    <n v="0.60660000000000003"/>
    <n v="0.8"/>
    <n v="-23481.38"/>
    <n v="-4202.0117964000001"/>
    <n v="-4622.2129760400003"/>
    <n v="-5084.4342736440012"/>
    <n v="-5592.8777010084013"/>
    <n v="-6152.1654711092415"/>
    <n v="-6767.3820182201671"/>
    <n v="-7444.1202200421849"/>
    <n v="-37725.185108000005"/>
    <n v="-840.40235927999981"/>
    <n v="-924.44259520799983"/>
    <n v="-1016.8868547288"/>
    <n v="-1118.57554020168"/>
    <n v="-1230.433094221848"/>
    <n v="-1353.4764036440331"/>
    <n v="-1488.8240440084367"/>
    <n v="-16333.125053600008"/>
    <n v="-39865.204456463995"/>
    <n v="-7973.0408912927978"/>
    <n v="-0.83328879183268612"/>
    <n v="-2.2088395045568081E-2"/>
    <s v="Confiabilidade em Crescimento"/>
  </r>
  <r>
    <n v="329"/>
    <x v="328"/>
    <s v="FOR088-FORNO A GÁS"/>
    <n v="10006377"/>
    <s v="BR01-MOT-VIR-TRTTRM-FOR088"/>
    <n v="3342"/>
    <n v="46812"/>
    <n v="2016"/>
    <n v="1490674.38"/>
    <n v="609050"/>
    <n v="2787011.1099999966"/>
    <n v="0.87"/>
    <n v="4800"/>
    <n v="58622"/>
    <n v="803"/>
    <n v="57"/>
    <n v="114"/>
    <n v="171"/>
    <n v="228"/>
    <n v="285"/>
    <n v="342"/>
    <n v="399"/>
    <n v="769.67"/>
    <n v="5252.26"/>
    <n v="0.1"/>
    <n v="0.37669999999999998"/>
    <n v="0.8"/>
    <n v="-1490674.38"/>
    <n v="-117588.141"/>
    <n v="-129346.95510000002"/>
    <n v="-142281.65061000004"/>
    <n v="-156509.81567100005"/>
    <n v="-172160.79723810006"/>
    <n v="-189376.87696191008"/>
    <n v="-208314.56465810112"/>
    <n v="-2052211.4189459998"/>
    <n v="-23517.628199999996"/>
    <n v="-25869.391019999999"/>
    <n v="-28456.330122000003"/>
    <n v="-31301.963134200003"/>
    <n v="-34432.159447620004"/>
    <n v="-37875.375392382004"/>
    <n v="-41662.912931620216"/>
    <n v="-2062630.882946"/>
    <n v="-1115578.8012391115"/>
    <n v="-223115.76024782221"/>
    <n v="-252.68548256495865"/>
    <n v="-9.4949515581612964E-2"/>
    <s v="Confiabilidade em Crescimento"/>
  </r>
  <r>
    <n v="330"/>
    <x v="329"/>
    <s v="FOR089-FORNO DE REFUSÃO"/>
    <n v="10006379"/>
    <s v="BR01-CIL-FCI-REFUS1-FOR089"/>
    <n v="4645"/>
    <n v="46491"/>
    <n v="2016"/>
    <n v="1062561.42"/>
    <n v="663826"/>
    <n v="1180629.100000001"/>
    <n v="0.92"/>
    <n v="5184"/>
    <n v="63018"/>
    <n v="1191"/>
    <n v="91"/>
    <n v="182"/>
    <n v="273"/>
    <n v="364"/>
    <n v="455"/>
    <n v="546"/>
    <n v="637"/>
    <n v="469.13"/>
    <n v="8518.4699999999993"/>
    <n v="0.1"/>
    <n v="0.37669999999999998"/>
    <n v="0.8"/>
    <n v="-1062561.42"/>
    <n v="-159403.71699999998"/>
    <n v="-175344.08869999999"/>
    <n v="-192878.49757000004"/>
    <n v="-212166.34732700002"/>
    <n v="-233382.98205970004"/>
    <n v="-256721.28026567007"/>
    <n v="-282393.40829223715"/>
    <n v="-1462828.3069139998"/>
    <n v="-31880.743399999988"/>
    <n v="-35068.817739999991"/>
    <n v="-38575.699514"/>
    <n v="-42433.269465399993"/>
    <n v="-46676.596411939994"/>
    <n v="-51344.256053133999"/>
    <n v="-56478.681658447415"/>
    <n v="-1315144.4749140001"/>
    <n v="-1512290.3212146075"/>
    <n v="-302458.06424292142"/>
    <n v="-130.97457856318766"/>
    <n v="-6.1587150359780678E-2"/>
    <s v="Confiabilidade em Crescimento"/>
  </r>
  <r>
    <n v="331"/>
    <x v="330"/>
    <s v="FOR090-FORNO CONTÍNUO"/>
    <n v="10006401"/>
    <s v="BR01-CIL-UCI-BRUNI2-MACC04"/>
    <n v="4566"/>
    <n v="46292"/>
    <n v="2015"/>
    <n v="79709.899999999994"/>
    <n v="47408"/>
    <n v="102807.27999999994"/>
    <n v="1.1499999999999999"/>
    <n v="4056"/>
    <n v="57139"/>
    <n v="85"/>
    <n v="7"/>
    <n v="14"/>
    <n v="21"/>
    <n v="28"/>
    <n v="35"/>
    <n v="42"/>
    <n v="49"/>
    <n v="457.07"/>
    <n v="330.31"/>
    <n v="0.1"/>
    <n v="0.4834"/>
    <n v="0.8"/>
    <n v="-79709.899999999994"/>
    <n v="-7879.5310000000009"/>
    <n v="-8667.4841000000015"/>
    <n v="-9534.2325100000035"/>
    <n v="-10487.655761000004"/>
    <n v="-11536.421337100004"/>
    <n v="-12690.063470810006"/>
    <n v="-13959.069817891008"/>
    <n v="-118241.66566"/>
    <n v="-1575.9061999999999"/>
    <n v="-1733.4968199999998"/>
    <n v="-1906.8465020000003"/>
    <n v="-2097.5311522000002"/>
    <n v="-2307.2842674200001"/>
    <n v="-2538.0126941620006"/>
    <n v="-2791.8139635782009"/>
    <n v="-125535.68966"/>
    <n v="-74754.457996801022"/>
    <n v="-14950.8915993602"/>
    <n v="-15.12087132322274"/>
    <n v="-9.12822326744607E-2"/>
    <s v="Fase de Degradação"/>
  </r>
  <r>
    <n v="332"/>
    <x v="331"/>
    <s v="FOR091-FORNO CONTÍNUO"/>
    <n v="10006402"/>
    <s v="BR01-CIL-UCI-BRUNI2-MACC04"/>
    <n v="4566"/>
    <n v="46291"/>
    <n v="2015"/>
    <n v="91547.85"/>
    <n v="46233"/>
    <n v="79767.719999999972"/>
    <n v="0.9"/>
    <n v="4056"/>
    <n v="56680"/>
    <n v="88"/>
    <n v="6"/>
    <n v="12"/>
    <n v="18"/>
    <n v="24"/>
    <n v="30"/>
    <n v="36"/>
    <n v="42"/>
    <n v="372.19"/>
    <n v="296.24"/>
    <n v="0.1"/>
    <n v="0.4834"/>
    <n v="0.8"/>
    <n v="-91547.85"/>
    <n v="-6366.822000000001"/>
    <n v="-7003.5042000000012"/>
    <n v="-7703.8546200000028"/>
    <n v="-8474.2400820000021"/>
    <n v="-9321.6640902000036"/>
    <n v="-10253.830499220006"/>
    <n v="-11279.213549142009"/>
    <n v="-135802.08069"/>
    <n v="-1273.3643999999999"/>
    <n v="-1400.70084"/>
    <n v="-1540.7709240000002"/>
    <n v="-1694.8480164"/>
    <n v="-1864.3328180400003"/>
    <n v="-2050.766099844001"/>
    <n v="-2255.842709828401"/>
    <n v="-149622.16868999999"/>
    <n v="-60403.129040562024"/>
    <n v="-12080.625808112403"/>
    <n v="-19.101796779650051"/>
    <n v="-0.10493470108753274"/>
    <s v="Confiabilidade em Crescimento"/>
  </r>
  <r>
    <n v="333"/>
    <x v="332"/>
    <s v="FOR092-FORNO ELÉTRICO"/>
    <n v="10006422"/>
    <s v="BR01-MOT-VIR-TRTTRM-FOR092"/>
    <n v="3344"/>
    <n v="46813"/>
    <n v="2016"/>
    <n v="361920.33"/>
    <n v="127848"/>
    <n v="86296.430000000008"/>
    <n v="0.88"/>
    <n v="4800"/>
    <n v="55864"/>
    <n v="62"/>
    <n v="5"/>
    <n v="10"/>
    <n v="15"/>
    <n v="20"/>
    <n v="25"/>
    <n v="30"/>
    <n v="35"/>
    <n v="400.19"/>
    <n v="583.48"/>
    <n v="0.1"/>
    <n v="0.37669999999999998"/>
    <n v="0.8"/>
    <n v="-361920.33"/>
    <n v="-9902.9810000000016"/>
    <n v="-10893.279100000003"/>
    <n v="-11982.607010000005"/>
    <n v="-13180.867711000004"/>
    <n v="-14498.954482100007"/>
    <n v="-15948.849930310009"/>
    <n v="-17543.734923341013"/>
    <n v="-498255.71831100003"/>
    <n v="-1980.5962"/>
    <n v="-2178.6558200000004"/>
    <n v="-2396.5214020000003"/>
    <n v="-2636.1735422000002"/>
    <n v="-2899.790896420001"/>
    <n v="-3189.769986062001"/>
    <n v="-3508.746984668202"/>
    <n v="-575688.54231100006"/>
    <n v="-93951.274156751053"/>
    <n v="-18790.254831350205"/>
    <n v="-78.706099855085597"/>
    <n v="-0.12570776622666613"/>
    <s v="Confiabilidade em Crescimento"/>
  </r>
  <r>
    <n v="334"/>
    <x v="333"/>
    <s v="FOR098-FORNO DE REFUSÃO"/>
    <n v="10006572"/>
    <s v="BR01-CIL-FGR-REFUSA-FOR045"/>
    <n v="4745"/>
    <n v="47879"/>
    <n v="2017"/>
    <n v="191392.39"/>
    <n v="118351"/>
    <n v="139922.44999999995"/>
    <n v="0.63"/>
    <n v="3733"/>
    <n v="38610"/>
    <n v="103"/>
    <n v="7"/>
    <n v="14"/>
    <n v="21"/>
    <n v="28"/>
    <n v="35"/>
    <n v="42"/>
    <n v="49"/>
    <n v="451.65"/>
    <n v="776.17"/>
    <n v="0.1"/>
    <n v="0.31379999999999997"/>
    <n v="0.8"/>
    <n v="-191392.39"/>
    <n v="-13723.148999999999"/>
    <n v="-15095.463900000001"/>
    <n v="-16605.010290000002"/>
    <n v="-18265.511319000001"/>
    <n v="-20092.062450900004"/>
    <n v="-22101.268695990006"/>
    <n v="-24311.395565589013"/>
    <n v="-251451.32198200002"/>
    <n v="-2744.6297999999992"/>
    <n v="-3019.0927799999995"/>
    <n v="-3321.0020579999996"/>
    <n v="-3653.1022637999995"/>
    <n v="-4018.4124901800001"/>
    <n v="-4420.2537391980004"/>
    <n v="-4862.2791131178019"/>
    <n v="-299939.01798200002"/>
    <n v="-130193.86122147902"/>
    <n v="-26038.7722442958"/>
    <n v="-37.94960471497383"/>
    <n v="-0.10262132620362782"/>
    <s v="Confiabilidade em Crescimento"/>
  </r>
  <r>
    <n v="335"/>
    <x v="334"/>
    <s v="FOR099-FORNO ELÉTRICO"/>
    <n v="20003173"/>
    <s v="BR01-MOT-VIR-TRTTRM-FOR099"/>
    <n v="3344"/>
    <n v="49689"/>
    <n v="2018"/>
    <n v="287409.68"/>
    <n v="204323"/>
    <n v="22316.570000000011"/>
    <n v="0.46"/>
    <n v="4800"/>
    <n v="39115"/>
    <n v="22"/>
    <n v="2"/>
    <n v="4"/>
    <n v="6"/>
    <n v="8"/>
    <n v="10"/>
    <n v="12"/>
    <n v="14"/>
    <n v="352.83"/>
    <n v="341.7"/>
    <n v="0.1"/>
    <n v="0.2843"/>
    <n v="0.8"/>
    <n v="-287409.68"/>
    <n v="-5286.6660000000002"/>
    <n v="-5815.3326000000006"/>
    <n v="-6396.8658600000017"/>
    <n v="-7036.5524460000015"/>
    <n v="-7740.207690600002"/>
    <n v="-8514.2284596600039"/>
    <n v="-9365.6513056260046"/>
    <n v="-369120.25202399999"/>
    <n v="-1057.3331999999998"/>
    <n v="-1163.0665199999999"/>
    <n v="-1279.3731720000001"/>
    <n v="-1407.3104891999999"/>
    <n v="-1548.04153812"/>
    <n v="-1702.8456919320004"/>
    <n v="-1873.1302611252006"/>
    <n v="-546529.31602399994"/>
    <n v="-50155.504361886007"/>
    <n v="-10031.100872377201"/>
    <n v="-76.188406933498726"/>
    <n v="-0.13286128429375965"/>
    <s v="Confiabilidade em Crescimento"/>
  </r>
  <r>
    <n v="336"/>
    <x v="335"/>
    <s v="FOR101-FORNO DE REFUSÃO"/>
    <n v="10006604"/>
    <s v="BR01-CIL-FCI-REFUS2-FOR101"/>
    <n v="4645"/>
    <n v="51337"/>
    <n v="2019"/>
    <n v="3625837.6"/>
    <n v="2761890"/>
    <n v="389791.46000000008"/>
    <n v="1.34"/>
    <n v="5184"/>
    <n v="34241"/>
    <n v="333"/>
    <n v="69"/>
    <n v="138"/>
    <n v="207"/>
    <n v="276"/>
    <n v="345"/>
    <n v="414"/>
    <n v="483"/>
    <n v="635.29999999999995"/>
    <n v="7284.25"/>
    <n v="0.1"/>
    <n v="0.24679999999999999"/>
    <n v="0.8"/>
    <n v="-3625837.6"/>
    <n v="-144371.37000000002"/>
    <n v="-158808.50700000004"/>
    <n v="-174689.35770000008"/>
    <n v="-192158.29347000006"/>
    <n v="-211374.12281700008"/>
    <n v="-232511.53509870014"/>
    <n v="-255762.68860857017"/>
    <n v="-4520694.3196799997"/>
    <n v="-28874.273999999998"/>
    <n v="-31761.701400000002"/>
    <n v="-34937.871540000007"/>
    <n v="-38431.658694000005"/>
    <n v="-42274.824563400005"/>
    <n v="-46502.307019740016"/>
    <n v="-51152.537721714019"/>
    <n v="-6547602.7996799992"/>
    <n v="-1369675.8746942705"/>
    <n v="-273935.17493885406"/>
    <n v="-883.83480284636903"/>
    <n v="-0.12136279705790007"/>
    <s v="Fase de Degradação"/>
  </r>
  <r>
    <n v="337"/>
    <x v="336"/>
    <s v="FOR102-FORNO DE PRE-AQUECIMENTO"/>
    <n v="20003545"/>
    <s v="BR01-CIL-FCI-REFUS2-FOR102"/>
    <n v="4645"/>
    <n v="48170"/>
    <n v="2017"/>
    <n v="22896.76"/>
    <n v="14339"/>
    <n v="2777.74"/>
    <n v="0.46"/>
    <n v="5184"/>
    <n v="21223"/>
    <n v="7"/>
    <n v="1"/>
    <n v="2"/>
    <n v="3"/>
    <n v="4"/>
    <n v="5"/>
    <n v="6"/>
    <n v="7"/>
    <n v="271.02"/>
    <n v="382.6"/>
    <n v="0.1"/>
    <n v="0.31379999999999997"/>
    <n v="0.8"/>
    <n v="-22896.76"/>
    <n v="-5348.4420000000018"/>
    <n v="-5883.2862000000023"/>
    <n v="-6471.6148200000034"/>
    <n v="-7118.7763020000039"/>
    <n v="-7830.6539322000044"/>
    <n v="-8613.7193254200065"/>
    <n v="-9475.091257962009"/>
    <n v="-30081.763287999998"/>
    <n v="-1069.6884000000002"/>
    <n v="-1176.6572400000002"/>
    <n v="-1294.3229640000004"/>
    <n v="-1423.7552604000005"/>
    <n v="-1566.1307864400005"/>
    <n v="-1722.7438650840008"/>
    <n v="-1895.0182515924014"/>
    <n v="-17192.331287999994"/>
    <n v="-50741.583837582031"/>
    <n v="-10148.316767516404"/>
    <n v="-0.54678517399062354"/>
    <n v="-1.2309225090203128E-2"/>
    <s v="Confiabilidade em Crescimento"/>
  </r>
  <r>
    <n v="338"/>
    <x v="337"/>
    <s v="FOR103-FORNO DE SOLUBILIZAÇÃO"/>
    <n v="20003549"/>
    <s v="BR01-CIL-FGR-TRTTRM-FOR103"/>
    <n v="4715"/>
    <n v="51393"/>
    <n v="2019"/>
    <n v="358628.66"/>
    <n v="264487"/>
    <n v="97194.91999999994"/>
    <n v="1.91"/>
    <n v="5000"/>
    <n v="30197"/>
    <n v="170"/>
    <n v="42.5"/>
    <n v="85"/>
    <n v="127.5"/>
    <n v="170"/>
    <n v="212.5"/>
    <n v="255"/>
    <n v="297.5"/>
    <n v="371.11"/>
    <n v="2056.6"/>
    <n v="0.1"/>
    <n v="0.24679999999999999"/>
    <n v="0.8"/>
    <n v="-358628.66"/>
    <n v="-44496.512500000004"/>
    <n v="-48946.163750000007"/>
    <n v="-53840.780125000019"/>
    <n v="-59224.858137500014"/>
    <n v="-65147.343951250019"/>
    <n v="-71662.078346375027"/>
    <n v="-78828.286181012547"/>
    <n v="-447138.21328799991"/>
    <n v="-8899.3024999999998"/>
    <n v="-9789.2327499999992"/>
    <n v="-10768.156025000002"/>
    <n v="-11844.971627500001"/>
    <n v="-13029.468790250001"/>
    <n v="-14332.415669275002"/>
    <n v="-15765.657236202505"/>
    <n v="-485097.51328799973"/>
    <n v="-422146.02299113758"/>
    <n v="-84429.204598227516"/>
    <n v="-53.415484985012831"/>
    <n v="-7.5061259758084475E-2"/>
    <s v="Fase de Degradação"/>
  </r>
  <r>
    <n v="339"/>
    <x v="338"/>
    <s v="FOR106-FORNO A GÁS"/>
    <n v="20004126"/>
    <s v="BR01-MOT-VIR-TRTTRM-FOR106"/>
    <n v="3342"/>
    <n v="52950"/>
    <n v="2020"/>
    <n v="2969893.4"/>
    <n v="2624224"/>
    <n v="694505.8"/>
    <n v="1.01"/>
    <n v="4800"/>
    <n v="16450"/>
    <n v="137"/>
    <n v="40"/>
    <n v="80"/>
    <n v="120"/>
    <n v="160"/>
    <n v="200"/>
    <n v="240"/>
    <n v="280"/>
    <n v="935.1"/>
    <n v="3999.87"/>
    <n v="0.1"/>
    <n v="0.20369999999999999"/>
    <n v="0.8"/>
    <n v="-2969893.4"/>
    <n v="-93942.684000000008"/>
    <n v="-103336.95240000002"/>
    <n v="-113670.64764000004"/>
    <n v="-125037.71240400003"/>
    <n v="-137541.48364440005"/>
    <n v="-151295.63200884007"/>
    <n v="-166425.1952097241"/>
    <n v="-3574860.6855799998"/>
    <n v="-18788.536799999998"/>
    <n v="-20667.390480000002"/>
    <n v="-22734.129528000001"/>
    <n v="-25007.542480800003"/>
    <n v="-27508.296728880006"/>
    <n v="-30259.126401768008"/>
    <n v="-33285.039041944816"/>
    <n v="-5720831.0215800004"/>
    <n v="-891250.30730696442"/>
    <n v="-178250.06146139282"/>
    <n v="-783.72634853348973"/>
    <n v="-0.12642614003266558"/>
    <s v="Fase de Vida Útil"/>
  </r>
  <r>
    <n v="340"/>
    <x v="339"/>
    <s v="FOR109-FORNO DE SOLUBILIZAÇÃO"/>
    <n v="10006747"/>
    <s v="BR01-CIL-FGR-TRTTRM-FOR109"/>
    <n v="4715"/>
    <n v="55772"/>
    <n v="2021"/>
    <n v="622292.61"/>
    <n v="568091"/>
    <n v="49642.86"/>
    <n v="1.31"/>
    <n v="5000"/>
    <n v="12285"/>
    <n v="109"/>
    <n v="54.5"/>
    <n v="109"/>
    <n v="163.5"/>
    <n v="218"/>
    <n v="272.5"/>
    <n v="327"/>
    <n v="381.5"/>
    <n v="298.14"/>
    <n v="2049.12"/>
    <n v="0.1"/>
    <n v="0.1585"/>
    <n v="0.8"/>
    <n v="-622292.61"/>
    <n v="-44921.877"/>
    <n v="-49414.06470000001"/>
    <n v="-54355.471170000019"/>
    <n v="-59791.018287000014"/>
    <n v="-65770.120115700018"/>
    <n v="-72347.13212727003"/>
    <n v="-79581.845339997046"/>
    <n v="-720925.98868499999"/>
    <n v="-8984.375399999999"/>
    <n v="-9882.8129399999998"/>
    <n v="-10871.094234000002"/>
    <n v="-11958.203657399999"/>
    <n v="-13154.02402314"/>
    <n v="-14469.426425454003"/>
    <n v="-15916.369067999405"/>
    <n v="-1060323.796685"/>
    <n v="-426181.52873996715"/>
    <n v="-85236.305747993421"/>
    <n v="-135.43882367043233"/>
    <n v="-0.1050714031384499"/>
    <s v="Fase de Degradação"/>
  </r>
  <r>
    <n v="341"/>
    <x v="340"/>
    <s v="FOR110-FORNO DE SOLUBILIZAÇÃO"/>
    <n v="10006748"/>
    <s v="BR01-CIL-FGR-TRTTRM-FOR110"/>
    <n v="4715"/>
    <n v="56435"/>
    <n v="2022"/>
    <n v="460947.63"/>
    <n v="432257"/>
    <n v="9184.9399999999987"/>
    <n v="1.1299999999999999"/>
    <n v="5000"/>
    <n v="8883"/>
    <n v="25"/>
    <n v="17"/>
    <n v="34"/>
    <n v="51"/>
    <n v="68"/>
    <n v="85"/>
    <n v="102"/>
    <n v="119"/>
    <n v="269.47000000000003"/>
    <n v="561.91"/>
    <n v="0.1"/>
    <n v="5.79E-2"/>
    <n v="0.8"/>
    <n v="-460947.63"/>
    <n v="-12456.301000000001"/>
    <n v="-13701.931100000002"/>
    <n v="-15072.124210000004"/>
    <n v="-16579.336631000006"/>
    <n v="-18237.270294100006"/>
    <n v="-20060.997323510008"/>
    <n v="-22067.097055861013"/>
    <n v="-487636.49777700001"/>
    <n v="-2491.2601999999997"/>
    <n v="-2740.3862199999999"/>
    <n v="-3014.4248419999999"/>
    <n v="-3315.8673262000002"/>
    <n v="-3647.4540588200002"/>
    <n v="-4012.1994647020006"/>
    <n v="-4413.4194111722018"/>
    <n v="-856479.60177700012"/>
    <n v="-118175.05761447104"/>
    <n v="-23635.011522894201"/>
    <n v="-117.90763595506044"/>
    <n v="-0.12817531185946435"/>
    <s v="Fase de Degradação"/>
  </r>
  <r>
    <n v="342"/>
    <x v="341"/>
    <s v="FOR112-FORNO PRÉ AQUECIMENTO VOLANTES"/>
    <n v="10006801"/>
    <s v="BR01-CIL-UCI-BRUNI2-MACC05"/>
    <n v="4550"/>
    <n v="46252"/>
    <n v="2021"/>
    <n v="99998.66"/>
    <n v="34301"/>
    <n v="0"/>
    <m/>
    <m/>
    <m/>
    <m/>
    <s v=""/>
    <m/>
    <m/>
    <m/>
    <m/>
    <m/>
    <m/>
    <s v="-"/>
    <m/>
    <m/>
    <n v="0.1585"/>
    <m/>
    <m/>
    <m/>
    <m/>
    <m/>
    <m/>
    <m/>
    <m/>
    <m/>
    <m/>
    <m/>
    <m/>
    <m/>
    <m/>
    <m/>
    <m/>
    <m/>
    <m/>
    <m/>
    <m/>
    <m/>
    <m/>
    <m/>
  </r>
  <r>
    <n v="343"/>
    <x v="342"/>
    <s v="FOR115-FORNO DE REFUSÃO STRIKO"/>
    <n v="10006896"/>
    <s v="BR01-CIL-FCI-REFUS1-FOR115"/>
    <n v="4645"/>
    <n v="900000022942"/>
    <n v="2022"/>
    <n v="3866635.47"/>
    <n v="3866635.47"/>
    <n v="34058.6"/>
    <n v="2.75"/>
    <n v="5184"/>
    <n v="1819"/>
    <n v="24"/>
    <n v="5"/>
    <n v="10"/>
    <n v="15"/>
    <n v="20"/>
    <n v="25"/>
    <n v="30"/>
    <n v="35"/>
    <n v="652.85"/>
    <n v="5602.36"/>
    <n v="0.1"/>
    <n v="5.79E-2"/>
    <n v="0.8"/>
    <n v="-3866635.47"/>
    <n v="-77541.827000000005"/>
    <n v="-85296.00970000001"/>
    <n v="-93825.610670000024"/>
    <n v="-103208.17173700001"/>
    <n v="-113528.98891070002"/>
    <n v="-124881.88780177005"/>
    <n v="-137370.07658194707"/>
    <n v="-4090513.6637130002"/>
    <n v="-15508.365399999997"/>
    <n v="-17059.201939999999"/>
    <n v="-18765.122134000001"/>
    <n v="-20641.634347399999"/>
    <n v="-22705.797782139998"/>
    <n v="-24976.377560354005"/>
    <n v="-27474.015316389407"/>
    <n v="-7562390.7417130005"/>
    <n v="-735652.57240141719"/>
    <n v="-147130.51448028343"/>
    <n v="-1052.6610108274094"/>
    <n v="-0.13229122555557934"/>
    <s v="Fase de Degradação"/>
  </r>
  <r>
    <n v="344"/>
    <x v="343"/>
    <s v="FOR121-FORNO A GÁS"/>
    <n v="10006900"/>
    <s v="BR01-MOT-VIR-TRTTRM-FOR121"/>
    <n v="3342"/>
    <n v="900000022962"/>
    <n v="2022"/>
    <n v="4284600.29"/>
    <n v="4284600.29"/>
    <n v="5712.85"/>
    <n v="0.38"/>
    <n v="4800"/>
    <n v="3376"/>
    <n v="6"/>
    <n v="3"/>
    <n v="6"/>
    <n v="9"/>
    <n v="12"/>
    <n v="15"/>
    <n v="18"/>
    <n v="21"/>
    <n v="821.28"/>
    <n v="1485.43"/>
    <n v="0.1"/>
    <n v="5.79E-2"/>
    <n v="0.8"/>
    <n v="-4284600.29"/>
    <n v="-22317.9"/>
    <n v="-24549.690000000002"/>
    <n v="-27004.659000000007"/>
    <n v="-29705.12490000001"/>
    <n v="-32675.637390000011"/>
    <n v="-35943.201129000015"/>
    <n v="-39537.521241900024"/>
    <n v="-4532678.6467909999"/>
    <n v="-4463.579999999999"/>
    <n v="-4909.9379999999992"/>
    <n v="-5400.9318000000003"/>
    <n v="-5941.0249800000011"/>
    <n v="-6535.1274780000003"/>
    <n v="-7188.6402258000016"/>
    <n v="-7907.5042483800025"/>
    <n v="-8703660.5367909987"/>
    <n v="-211733.73366090006"/>
    <n v="-42346.746732180007"/>
    <n v="-1235.4131356946114"/>
    <n v="-0.14011274278051059"/>
    <s v="Confiabilidade em Crescimento"/>
  </r>
  <r>
    <n v="345"/>
    <x v="344"/>
    <s v="FOR131-FORNO CONTÍNUO"/>
    <n v="20004396"/>
    <s v="BR01-CIL-UCI-BRUNI2-MACC01"/>
    <n v="4566"/>
    <n v="54862"/>
    <n v="2021"/>
    <n v="71040.990000000005"/>
    <n v="64142"/>
    <n v="0"/>
    <m/>
    <m/>
    <m/>
    <m/>
    <s v=""/>
    <m/>
    <m/>
    <m/>
    <m/>
    <m/>
    <m/>
    <s v="-"/>
    <m/>
    <m/>
    <s v=""/>
    <m/>
    <m/>
    <m/>
    <m/>
    <m/>
    <m/>
    <m/>
    <m/>
    <m/>
    <m/>
    <m/>
    <m/>
    <m/>
    <m/>
    <m/>
    <m/>
    <m/>
    <m/>
    <m/>
    <m/>
    <m/>
    <m/>
    <m/>
  </r>
  <r>
    <n v="346"/>
    <x v="345"/>
    <s v="FRE020-FRESADORA VERTICAL PINNACLE"/>
    <n v="10005912"/>
    <s v="BR01-CIL-FER-MANMOL"/>
    <n v="1074"/>
    <n v="40515"/>
    <n v="2011"/>
    <n v="35249.589999999997"/>
    <n v="0"/>
    <n v="123875.05000000002"/>
    <n v="0.98"/>
    <n v="4116"/>
    <n v="69210"/>
    <n v="80"/>
    <n v="5"/>
    <n v="10"/>
    <n v="15"/>
    <n v="20"/>
    <n v="25"/>
    <n v="30"/>
    <n v="35"/>
    <n v="428.52"/>
    <n v="694.54944444444448"/>
    <n v="0.1"/>
    <n v="0.73"/>
    <n v="0.8"/>
    <n v="-35249.589999999997"/>
    <n v="-11524.912666666669"/>
    <n v="-12677.403933333337"/>
    <n v="-13945.144326666672"/>
    <n v="-15339.658759333339"/>
    <n v="-16873.624635266675"/>
    <n v="-18560.987098793343"/>
    <n v="-20417.08580867268"/>
    <n v="-60981.79069999999"/>
    <n v="-2304.9825333333333"/>
    <n v="-2535.480786666667"/>
    <n v="-2789.0288653333337"/>
    <n v="-3067.9317518666671"/>
    <n v="-3374.7249270533343"/>
    <n v="-3712.1974197586678"/>
    <n v="-4083.4171617345351"/>
    <n v="-2309.5080333333026"/>
    <n v="-109338.81722873272"/>
    <n v="-21867.763445746539"/>
    <n v="3.7841804404265975"/>
    <n v="6.2054268938130708E-2"/>
    <s v="Confiabilidade em Crescimento"/>
  </r>
  <r>
    <n v="347"/>
    <x v="346"/>
    <s v="FRE021-FRESADORA EMATIC"/>
    <n v="20001522"/>
    <s v="BR01-MOT-SAB-FINALL-FRE021"/>
    <n v="2530"/>
    <n v="35669"/>
    <n v="2008"/>
    <n v="5876.59"/>
    <n v="83"/>
    <n v="287050.36999999953"/>
    <n v="1.0900000000000001"/>
    <n v="4795.2647999999999"/>
    <n v="81312"/>
    <n v="194"/>
    <n v="13"/>
    <n v="26"/>
    <n v="39"/>
    <n v="52"/>
    <n v="65"/>
    <n v="78"/>
    <n v="91"/>
    <n v="494.97"/>
    <n v="1693.33"/>
    <n v="0.1"/>
    <n v="0.89119999999999999"/>
    <n v="0.8"/>
    <n v="-5876.59"/>
    <n v="-29430.027000000002"/>
    <n v="-32373.029700000006"/>
    <n v="-35610.332670000011"/>
    <n v="-39171.36593700001"/>
    <n v="-43088.502530700018"/>
    <n v="-47397.352783770024"/>
    <n v="-52137.088062147035"/>
    <n v="-11113.807008"/>
    <n v="-5886.0053999999991"/>
    <n v="-6474.6059399999995"/>
    <n v="-7122.0665340000005"/>
    <n v="-7834.2731874000001"/>
    <n v="-8617.7005061400014"/>
    <n v="-9479.4705567540022"/>
    <n v="-10427.417612429404"/>
    <n v="138628.784992"/>
    <n v="-279207.69868361705"/>
    <n v="-55841.539736723404"/>
    <n v="30.309907419841952"/>
    <n v="2.7070134725181778"/>
    <s v="Fase de Vida Útil"/>
  </r>
  <r>
    <n v="348"/>
    <x v="347"/>
    <s v="FRE025-FRESADORA UNIVERSAL FU 360"/>
    <n v="10006653"/>
    <s v="BR01-CIL-FER-MANMOL"/>
    <n v="1074"/>
    <n v="52812"/>
    <n v="2020"/>
    <n v="113611.2"/>
    <n v="95313"/>
    <n v="14594.109999999999"/>
    <n v="1.23"/>
    <n v="4116"/>
    <n v="16037"/>
    <n v="31"/>
    <n v="10"/>
    <n v="20"/>
    <n v="30"/>
    <n v="40"/>
    <n v="50"/>
    <n v="60"/>
    <n v="70"/>
    <n v="552.57000000000005"/>
    <n v="698.4"/>
    <n v="0.1"/>
    <n v="0.20369999999999999"/>
    <n v="0.8"/>
    <n v="-113611.2"/>
    <n v="-15297.150000000001"/>
    <n v="-16826.865000000002"/>
    <n v="-18509.551500000005"/>
    <n v="-20360.506650000007"/>
    <n v="-22396.557315000009"/>
    <n v="-24636.213046500012"/>
    <n v="-27099.834351150017"/>
    <n v="-136753.80143999998"/>
    <n v="-3059.43"/>
    <n v="-3365.3729999999996"/>
    <n v="-3701.9103"/>
    <n v="-4072.1013300000004"/>
    <n v="-4479.3114630000009"/>
    <n v="-4927.2426093000013"/>
    <n v="-5419.9668702300023"/>
    <n v="-154190.40143999999"/>
    <n v="-145126.67786265005"/>
    <n v="-29025.335572530006"/>
    <n v="-16.566494164268569"/>
    <n v="-7.138674752903755E-2"/>
    <s v="Fase de Degradação"/>
  </r>
  <r>
    <n v="349"/>
    <x v="348"/>
    <s v="GRV008-GRAVADOR"/>
    <n v="10003415"/>
    <s v="BR01-MOT-MON-LINHA3"/>
    <n v="4022"/>
    <n v="20505"/>
    <n v="2001"/>
    <n v="70747.64"/>
    <n v="0"/>
    <n v="64530.080000000016"/>
    <n v="1.03"/>
    <n v="2753"/>
    <n v="159104"/>
    <n v="53"/>
    <n v="1"/>
    <n v="2"/>
    <n v="3"/>
    <n v="4"/>
    <n v="5"/>
    <n v="6"/>
    <n v="7"/>
    <n v="204.05"/>
    <n v="221.21"/>
    <n v="0.1"/>
    <n v="1.3951"/>
    <n v="0.8"/>
    <n v="-70747.64"/>
    <n v="-3144.4270000000006"/>
    <n v="-3458.8697000000006"/>
    <n v="-3804.7566700000016"/>
    <n v="-4185.2323370000013"/>
    <n v="-4603.755570700002"/>
    <n v="-5064.1311277700024"/>
    <n v="-5570.5442405470039"/>
    <n v="-169447.67256400001"/>
    <n v="-628.8854"/>
    <n v="-691.77393999999993"/>
    <n v="-760.9513340000002"/>
    <n v="-837.0464674000001"/>
    <n v="-920.75111414000014"/>
    <n v="-1012.8262255540003"/>
    <n v="-1114.1088481094005"/>
    <n v="-153439.68056400001"/>
    <n v="-29831.716646017012"/>
    <n v="-5966.3433292034006"/>
    <n v="-20.797471321026627"/>
    <n v="-0.12273683672563557"/>
    <s v="Fase de Vida Útil"/>
  </r>
  <r>
    <n v="350"/>
    <x v="349"/>
    <s v="GRV009-GRAVADOR"/>
    <n v="10000300"/>
    <s v="BR01-MOT-MON-LINHA4"/>
    <n v="4024"/>
    <n v="20192"/>
    <n v="1999"/>
    <n v="62131.88"/>
    <n v="0"/>
    <n v="150828.33999999982"/>
    <n v="1.73"/>
    <n v="4441"/>
    <n v="163516"/>
    <n v="147"/>
    <n v="6.125"/>
    <n v="12.25"/>
    <n v="18.375"/>
    <n v="24.5"/>
    <n v="30.625"/>
    <n v="36.75"/>
    <n v="42.875"/>
    <n v="429.32"/>
    <n v="1119.18"/>
    <n v="0.1"/>
    <n v="1.5442"/>
    <n v="0.8"/>
    <n v="-62131.88"/>
    <n v="-17665.719499999999"/>
    <n v="-19432.291450000001"/>
    <n v="-21375.520595000005"/>
    <n v="-23513.072654500003"/>
    <n v="-25864.379919950006"/>
    <n v="-28450.817911945011"/>
    <n v="-31295.899703139516"/>
    <n v="-158075.92909600001"/>
    <n v="-3533.1438999999991"/>
    <n v="-3886.4582899999991"/>
    <n v="-4275.1041190000005"/>
    <n v="-4702.6145308999994"/>
    <n v="-5172.8759839900003"/>
    <n v="-5690.163582389001"/>
    <n v="-6259.1799406279015"/>
    <n v="-68141.357096000007"/>
    <n v="-167597.70173453455"/>
    <n v="-33519.540346906899"/>
    <n v="-3.4282525297674837"/>
    <n v="-2.1687378650075782E-2"/>
    <s v="Fase de Degradação"/>
  </r>
  <r>
    <n v="351"/>
    <x v="350"/>
    <s v="GRV012-GRAVADOR"/>
    <n v="10003439"/>
    <s v="BR01-MOT-MON-LINHA3"/>
    <n v="4022"/>
    <n v="46448"/>
    <n v="2015"/>
    <n v="33236.81"/>
    <n v="12741"/>
    <n v="88873.600000000049"/>
    <n v="3.36"/>
    <n v="2753"/>
    <n v="161078"/>
    <n v="90"/>
    <n v="6"/>
    <n v="12"/>
    <n v="18"/>
    <n v="24"/>
    <n v="30"/>
    <n v="36"/>
    <n v="42"/>
    <n v="308.86"/>
    <n v="529.51"/>
    <n v="0.1"/>
    <n v="0.4834"/>
    <n v="0.8"/>
    <n v="-33236.81"/>
    <n v="-9028.0080000000016"/>
    <n v="-9930.8088000000025"/>
    <n v="-10923.889680000004"/>
    <n v="-12016.278648000005"/>
    <n v="-13217.906512800006"/>
    <n v="-14539.697164080007"/>
    <n v="-15993.666880488012"/>
    <n v="-49303.483953999996"/>
    <n v="-1805.6016"/>
    <n v="-1986.16176"/>
    <n v="-2184.7779360000004"/>
    <n v="-2403.2557296000004"/>
    <n v="-2643.5813025600005"/>
    <n v="-2907.939432816001"/>
    <n v="-3198.7333760976016"/>
    <n v="-16083.715953999985"/>
    <n v="-85650.255685368043"/>
    <n v="-17130.051137073606"/>
    <n v="0.92510294204206267"/>
    <n v="1.4910317293120487E-2"/>
    <s v="Fase de Degradação"/>
  </r>
  <r>
    <n v="352"/>
    <x v="351"/>
    <s v="GRV014-GRAVADOR"/>
    <n v="10004119"/>
    <s v="BR01-MOT-MON-LINHA2"/>
    <n v="4026"/>
    <n v="47570"/>
    <n v="2016"/>
    <n v="25312.73"/>
    <n v="10672"/>
    <n v="64150.560000000005"/>
    <n v="1.51"/>
    <n v="2994"/>
    <n v="146754"/>
    <n v="64"/>
    <n v="2"/>
    <n v="4"/>
    <n v="6"/>
    <n v="8"/>
    <n v="10"/>
    <n v="12"/>
    <n v="14"/>
    <n v="315.07"/>
    <n v="436.35"/>
    <n v="0.1"/>
    <n v="0.37669999999999998"/>
    <n v="0.8"/>
    <n v="-25312.73"/>
    <n v="-6452.974000000002"/>
    <n v="-7098.2714000000024"/>
    <n v="-7808.0985400000036"/>
    <n v="-8588.9083940000037"/>
    <n v="-9447.7992334000046"/>
    <n v="-10392.579156740007"/>
    <n v="-11431.83707241401"/>
    <n v="-34848.035390999998"/>
    <n v="-1290.5948000000001"/>
    <n v="-1419.6542800000002"/>
    <n v="-1561.6197080000004"/>
    <n v="-1717.7816788000005"/>
    <n v="-1889.5598466800004"/>
    <n v="-2078.515831348001"/>
    <n v="-2286.3674144828015"/>
    <n v="-12668.531390999982"/>
    <n v="-61220.46779655404"/>
    <n v="-12244.093559310804"/>
    <n v="0.49376269232046277"/>
    <n v="1.084715088815786E-2"/>
    <s v="Fase de Degradação"/>
  </r>
  <r>
    <n v="353"/>
    <x v="352"/>
    <s v="GRV015-GRAVADOR"/>
    <n v="10004580"/>
    <s v="BR01-MOT-MON-LINHA2"/>
    <n v="4026"/>
    <n v="47571"/>
    <n v="2016"/>
    <n v="41523.269999999997"/>
    <n v="17960"/>
    <n v="63345.64"/>
    <n v="0.82"/>
    <n v="2994"/>
    <n v="135019"/>
    <n v="56"/>
    <n v="1"/>
    <n v="2"/>
    <n v="3"/>
    <n v="4"/>
    <n v="5"/>
    <n v="6"/>
    <n v="7"/>
    <n v="395.09"/>
    <n v="354.43"/>
    <n v="0.1"/>
    <n v="0.37669999999999998"/>
    <n v="0.8"/>
    <n v="-41523.269999999997"/>
    <n v="-5113.0750000000007"/>
    <n v="-5624.3825000000006"/>
    <n v="-6186.8207500000017"/>
    <n v="-6805.5028250000023"/>
    <n v="-7486.0531075000026"/>
    <n v="-8234.6584182500046"/>
    <n v="-9058.1242600750047"/>
    <n v="-57165.085808999997"/>
    <n v="-1022.6149999999999"/>
    <n v="-1124.8764999999999"/>
    <n v="-1237.3641500000001"/>
    <n v="-1361.1005650000002"/>
    <n v="-1497.2106215000001"/>
    <n v="-1646.9316836500007"/>
    <n v="-1811.6248520150004"/>
    <n v="-49094.885808999999"/>
    <n v="-48508.616860825023"/>
    <n v="-9701.7233721650009"/>
    <n v="-5.1883131886199969"/>
    <n v="-6.9062326288863107E-2"/>
    <s v="Confiabilidade em Crescimento"/>
  </r>
  <r>
    <n v="354"/>
    <x v="353"/>
    <s v="GRV016-GRAVADOR"/>
    <n v="20001449"/>
    <s v="BR01-MOT-VIR-TRTTRM-GRV016"/>
    <n v="3341"/>
    <n v="40324"/>
    <n v="2011"/>
    <n v="102393.96"/>
    <n v="777"/>
    <n v="112364.54999999989"/>
    <n v="1.21"/>
    <n v="4800"/>
    <n v="84998"/>
    <n v="208"/>
    <n v="14"/>
    <n v="28"/>
    <n v="42"/>
    <n v="56"/>
    <n v="70"/>
    <n v="84"/>
    <n v="98"/>
    <n v="329.03"/>
    <n v="684.63"/>
    <n v="0.1"/>
    <n v="0.73"/>
    <n v="0.8"/>
    <n v="-102393.96"/>
    <n v="-14104.178"/>
    <n v="-15514.595800000001"/>
    <n v="-17066.055380000005"/>
    <n v="-18772.660918000005"/>
    <n v="-20649.927009800005"/>
    <n v="-22714.91971078001"/>
    <n v="-24986.411681858015"/>
    <n v="-177141.5508"/>
    <n v="-2820.8355999999994"/>
    <n v="-3102.9191599999995"/>
    <n v="-3413.2110760000005"/>
    <n v="-3754.5321836000003"/>
    <n v="-4129.9854019599998"/>
    <n v="-4542.9839421560009"/>
    <n v="-4997.2823363716016"/>
    <n v="-106115.46280000001"/>
    <n v="-133808.74850043806"/>
    <n v="-26761.749700087603"/>
    <n v="-10.124507428521365"/>
    <n v="-5.6905293928020045E-2"/>
    <s v="Fase de Degradação"/>
  </r>
  <r>
    <n v="355"/>
    <x v="354"/>
    <s v="GRV017-GRAVADOR"/>
    <n v="10006731"/>
    <s v="BR01-MOT-VIR-TRTTRM-GRV017"/>
    <n v="3341"/>
    <n v="56269"/>
    <n v="2022"/>
    <n v="196805.89"/>
    <n v="170564"/>
    <n v="33433.86"/>
    <n v="1.41"/>
    <n v="4800"/>
    <n v="12522"/>
    <n v="35"/>
    <n v="20"/>
    <n v="40"/>
    <n v="60"/>
    <n v="80"/>
    <n v="100"/>
    <n v="120"/>
    <n v="140"/>
    <n v="670.49"/>
    <n v="1484"/>
    <n v="0.1"/>
    <n v="5.79E-2"/>
    <n v="0.8"/>
    <n v="-196805.89"/>
    <n v="-34339.58"/>
    <n v="-37773.538000000008"/>
    <n v="-41550.891800000012"/>
    <n v="-45705.980980000015"/>
    <n v="-50276.579078000017"/>
    <n v="-55304.236985800024"/>
    <n v="-60834.660684380033"/>
    <n v="-208200.95103100003"/>
    <n v="-6867.9159999999993"/>
    <n v="-7554.7075999999997"/>
    <n v="-8310.1783599999999"/>
    <n v="-9141.1961960000008"/>
    <n v="-10055.315815600001"/>
    <n v="-11060.847397160001"/>
    <n v="-12166.932136876005"/>
    <n v="-203945.27103100001"/>
    <n v="-325785.4675281801"/>
    <n v="-65157.09350563601"/>
    <n v="-16.876653858350846"/>
    <n v="-4.4557063192918231E-2"/>
    <s v="Fase de Degradação"/>
  </r>
  <r>
    <n v="356"/>
    <x v="355"/>
    <s v="GRV020-GRAVADORA DATAMATRIX"/>
    <n v="20004329"/>
    <s v="BR01-CIL-FCI-INJEC2-INJ062"/>
    <n v="4620"/>
    <n v="57908"/>
    <n v="2022"/>
    <n v="241587.8"/>
    <n v="230082"/>
    <n v="2414.9700000000003"/>
    <n v="1"/>
    <n v="3523"/>
    <n v="320"/>
    <n v="1"/>
    <n v="1"/>
    <n v="2"/>
    <n v="3"/>
    <n v="4"/>
    <n v="5"/>
    <n v="6"/>
    <n v="7"/>
    <n v="602.48"/>
    <n v="2032.08"/>
    <n v="0.1"/>
    <n v="5.79E-2"/>
    <n v="0.8"/>
    <n v="-241587.8"/>
    <n v="-27486.184000000001"/>
    <n v="-30234.802400000004"/>
    <n v="-33258.282640000005"/>
    <n v="-36584.110904000008"/>
    <n v="-40242.521994400013"/>
    <n v="-44266.774193840021"/>
    <n v="-48693.451613224024"/>
    <n v="-255575.73362000001"/>
    <n v="-5497.2367999999988"/>
    <n v="-6046.9604799999997"/>
    <n v="-6651.6565279999995"/>
    <n v="-7316.8221807999998"/>
    <n v="-8048.5043988800007"/>
    <n v="-8853.3548387680021"/>
    <n v="-9738.690322644803"/>
    <n v="-345728.06961999997"/>
    <n v="-260766.12774546407"/>
    <n v="-52153.225549092807"/>
    <n v="-39.577833060518401"/>
    <n v="-8.1493262272408981E-2"/>
    <s v="Fase de Vida Útil"/>
  </r>
  <r>
    <n v="357"/>
    <x v="356"/>
    <s v="IMP001-IMPRESSORA DE ETIQUETAS"/>
    <n v="20001587"/>
    <s v="BR01-IES-P01-SALA29"/>
    <n v="4010"/>
    <n v="40578"/>
    <n v="2011"/>
    <n v="164558.98000000001"/>
    <n v="0"/>
    <n v="24174.29"/>
    <n v="1.25"/>
    <n v="2753"/>
    <n v="60925"/>
    <n v="19"/>
    <n v="1"/>
    <n v="2"/>
    <n v="3"/>
    <n v="4"/>
    <n v="5"/>
    <n v="6"/>
    <n v="7"/>
    <n v="509.79"/>
    <n v="292.60000000000002"/>
    <n v="0.1"/>
    <n v="0.73"/>
    <n v="0.8"/>
    <n v="-164558.98000000001"/>
    <n v="-4423.0890000000009"/>
    <n v="-4865.3979000000008"/>
    <n v="-5351.9376900000016"/>
    <n v="-5887.131459000002"/>
    <n v="-6475.8446049000022"/>
    <n v="-7123.4290653900034"/>
    <n v="-7835.7719719290053"/>
    <n v="-284687.03539999999"/>
    <n v="-884.61779999999999"/>
    <n v="-973.07957999999996"/>
    <n v="-1070.3875380000002"/>
    <n v="-1177.4262918000002"/>
    <n v="-1295.1689209800002"/>
    <n v="-1424.6858130780004"/>
    <n v="-1567.1543943858007"/>
    <n v="-262169.4914"/>
    <n v="-41962.601691219017"/>
    <n v="-8392.5203382438031"/>
    <n v="-35.873850578146403"/>
    <n v="-0.12601153588796829"/>
    <s v="Fase de Degradação"/>
  </r>
  <r>
    <n v="358"/>
    <x v="357"/>
    <s v="INJ001-INJETORA DE MAGNÉSIO"/>
    <n v="10000608"/>
    <s v="BR01-MOT-FMG-INJEC1-INJ001"/>
    <n v="2111"/>
    <n v="3500100100"/>
    <n v="1977"/>
    <n v="738963.43"/>
    <n v="209273"/>
    <n v="4004118.7900000298"/>
    <n v="1.32"/>
    <n v="4648.0871999999999"/>
    <n v="200522"/>
    <n v="4021"/>
    <n v="87.413043478260875"/>
    <n v="174.82608695652175"/>
    <n v="262.23913043478262"/>
    <n v="349.6521739130435"/>
    <n v="437.06521739130437"/>
    <n v="524.47826086956525"/>
    <n v="611.89130434782612"/>
    <n v="588.88"/>
    <n v="12630.59"/>
    <n v="0.1"/>
    <n v="2.9147076923076951"/>
    <n v="0.8"/>
    <n v="-738963.43"/>
    <n v="-223347.16034782614"/>
    <n v="-245681.87638260878"/>
    <n v="-270250.06402086967"/>
    <n v="-297275.07042295666"/>
    <n v="-327002.57746525231"/>
    <n v="-359702.83521177759"/>
    <n v="-395673.11873295542"/>
    <n v="-2892825.8237550794"/>
    <n v="-44669.43206956522"/>
    <n v="-49136.375276521743"/>
    <n v="-54050.012804173923"/>
    <n v="-59455.014084591319"/>
    <n v="-65400.51549305045"/>
    <n v="-71940.567042355498"/>
    <n v="-79134.623746591067"/>
    <n v="-1965058.7347116009"/>
    <n v="-2118932.7025842466"/>
    <n v="-423786.54051684926"/>
    <n v="-200.99323738395455"/>
    <n v="-6.4792660970308141E-2"/>
    <s v="Fase de Degradação"/>
  </r>
  <r>
    <n v="359"/>
    <x v="358"/>
    <s v="INJ002-INJETORA DE MAGNÉSIO"/>
    <n v="10000635"/>
    <s v="BR01-MOT-FMG-INJEC2-INJ002"/>
    <n v="2111"/>
    <n v="3500100300"/>
    <n v="1987"/>
    <n v="867744.93"/>
    <n v="237929"/>
    <n v="4125201.3600000427"/>
    <n v="1.62"/>
    <n v="4368.6719999999996"/>
    <n v="200577"/>
    <n v="4174"/>
    <n v="115.94444444444444"/>
    <n v="231.88888888888889"/>
    <n v="347.83333333333331"/>
    <n v="463.77777777777777"/>
    <n v="579.72222222222217"/>
    <n v="695.66666666666663"/>
    <n v="811.61111111111109"/>
    <n v="673.84"/>
    <n v="20557.84"/>
    <n v="0.1"/>
    <n v="2.2798615384615393"/>
    <n v="0.8"/>
    <n v="-867744.93"/>
    <n v="-357304.29288888891"/>
    <n v="-393034.72217777785"/>
    <n v="-432338.19439555571"/>
    <n v="-475572.01383511123"/>
    <n v="-523129.21521862241"/>
    <n v="-575442.13674048474"/>
    <n v="-632986.35041453328"/>
    <n v="-2846083.2211020007"/>
    <n v="-71460.858577777763"/>
    <n v="-78606.944435555546"/>
    <n v="-86467.638879111124"/>
    <n v="-95114.402767022228"/>
    <n v="-104625.84304372445"/>
    <n v="-115088.42734809693"/>
    <n v="-126597.27008290663"/>
    <n v="-1265008.5482131112"/>
    <n v="-3389806.925670974"/>
    <n v="-677961.38513419463"/>
    <n v="-53.166668652174444"/>
    <n v="-1.723944810866429E-2"/>
    <s v="Fase de Degradação"/>
  </r>
  <r>
    <n v="360"/>
    <x v="359"/>
    <s v="INJ003-INJETORA DE MAGNÉSIO"/>
    <n v="10000664"/>
    <s v="BR01-MOT-FMG-INJEC1-INJ003"/>
    <n v="2111"/>
    <n v="3500100200"/>
    <n v="1979"/>
    <n v="1011361.76"/>
    <n v="288472"/>
    <n v="2647473.630000005"/>
    <n v="1.33"/>
    <n v="4195.3140000000003"/>
    <n v="199961"/>
    <n v="3155"/>
    <n v="71.704545454545453"/>
    <n v="143.40909090909091"/>
    <n v="215.11363636363637"/>
    <n v="286.81818181818181"/>
    <n v="358.52272727272725"/>
    <n v="430.22727272727269"/>
    <n v="501.93181818181813"/>
    <n v="598.42999999999995"/>
    <n v="17387.689999999999"/>
    <n v="0.1"/>
    <n v="2.7877384615384639"/>
    <n v="0.8"/>
    <n v="-1011361.76"/>
    <n v="-276718.67424999998"/>
    <n v="-304390.54167499999"/>
    <n v="-334829.59584250004"/>
    <n v="-368312.55542675004"/>
    <n v="-405143.81096942507"/>
    <n v="-445658.19206636766"/>
    <n v="-490224.01127300446"/>
    <n v="-3830773.8368812334"/>
    <n v="-55343.734849999986"/>
    <n v="-60878.108334999983"/>
    <n v="-66965.919168499997"/>
    <n v="-73662.511085349994"/>
    <n v="-81028.762193884992"/>
    <n v="-89131.638413273511"/>
    <n v="-98044.802254600872"/>
    <n v="-2710496.2225175975"/>
    <n v="-2625277.3815030474"/>
    <n v="-525055.4763006093"/>
    <n v="-288.43199023982794"/>
    <n v="-7.0020581839855864E-2"/>
    <s v="Fase de Degradação"/>
  </r>
  <r>
    <n v="361"/>
    <x v="360"/>
    <s v="INJ004-INJETORA DE MAGNÉSIO"/>
    <n v="10000694"/>
    <s v="BR01-MOT-FMG-INJEC2-INJ004"/>
    <n v="2111"/>
    <n v="3500100400"/>
    <n v="1986"/>
    <n v="1804764.28"/>
    <n v="639714"/>
    <n v="3475709.9699999974"/>
    <n v="1.31"/>
    <n v="3759.6"/>
    <n v="200238"/>
    <n v="3383"/>
    <n v="84"/>
    <n v="168"/>
    <n v="252"/>
    <n v="336"/>
    <n v="420"/>
    <n v="504"/>
    <n v="588"/>
    <n v="950.67"/>
    <n v="26201.66"/>
    <n v="0.1"/>
    <n v="2.3433461538461549"/>
    <n v="0.8"/>
    <n v="-1804764.28"/>
    <n v="-433703.82"/>
    <n v="-477074.20199999999"/>
    <n v="-524781.6222000001"/>
    <n v="-577259.78442000004"/>
    <n v="-634985.76286200015"/>
    <n v="-698484.33914820023"/>
    <n v="-768332.77306302043"/>
    <n v="-6033951.7141369246"/>
    <n v="-86740.763999999981"/>
    <n v="-95414.840399999972"/>
    <n v="-104956.32444"/>
    <n v="-115451.95688399998"/>
    <n v="-126997.15257239999"/>
    <n v="-139696.86782964002"/>
    <n v="-153666.55461260406"/>
    <n v="-4465718.9941369258"/>
    <n v="-4114622.3036932205"/>
    <n v="-822924.460738644"/>
    <n v="-483.13826731176403"/>
    <n v="-7.2394735967719379E-2"/>
    <s v="Fase de Degradação"/>
  </r>
  <r>
    <n v="362"/>
    <x v="361"/>
    <s v="INJ005-INJETORA DE ALUMÍNIO"/>
    <n v="10000000"/>
    <s v="BR01-MOT-FMG-INJEC1-INJ005"/>
    <n v="4620"/>
    <n v="20079"/>
    <n v="1995"/>
    <n v="1595030.62"/>
    <n v="782020"/>
    <n v="8859617.3000000715"/>
    <n v="1.35"/>
    <n v="3946"/>
    <n v="200581"/>
    <n v="3938"/>
    <n v="106"/>
    <n v="212"/>
    <n v="318"/>
    <n v="424"/>
    <n v="530"/>
    <n v="636"/>
    <n v="742"/>
    <n v="498.61"/>
    <n v="13262.45"/>
    <n v="0.1"/>
    <n v="1.7719846153846153"/>
    <n v="0.8"/>
    <n v="-1595030.62"/>
    <n v="-233202.26600000006"/>
    <n v="-256522.49260000009"/>
    <n v="-282174.74186000013"/>
    <n v="-310392.21604600013"/>
    <n v="-341431.43765060016"/>
    <n v="-375574.58141566021"/>
    <n v="-413132.03955722629"/>
    <n v="-4421400.3397073848"/>
    <n v="-46640.453200000004"/>
    <n v="-51304.498520000008"/>
    <n v="-56434.948372000013"/>
    <n v="-62078.443209200013"/>
    <n v="-68286.287530120011"/>
    <n v="-75114.916283132028"/>
    <n v="-82626.407911445247"/>
    <n v="-4016208.8037073845"/>
    <n v="-2212429.7751294873"/>
    <n v="-442485.95502589736"/>
    <n v="-490.49664565768506"/>
    <n v="-9.4264274964430073E-2"/>
    <s v="Fase de Degradação"/>
  </r>
  <r>
    <n v="363"/>
    <x v="362"/>
    <s v="INJ006-INJETORA DE MAGNÉSIO"/>
    <n v="10005195"/>
    <s v="BR01-MOT-FMG-INJEC2-INJ006"/>
    <n v="2111"/>
    <n v="49192"/>
    <n v="2008"/>
    <n v="2175306.5299999998"/>
    <n v="85223"/>
    <n v="3538957.1000000038"/>
    <n v="1.08"/>
    <n v="4805.5212000000001"/>
    <n v="131659"/>
    <n v="3340"/>
    <n v="132"/>
    <n v="264"/>
    <n v="396"/>
    <n v="528"/>
    <n v="660"/>
    <n v="792"/>
    <n v="924"/>
    <n v="621.92999999999995"/>
    <n v="16071.84"/>
    <n v="0.1"/>
    <n v="0.89119999999999999"/>
    <n v="0.8"/>
    <n v="-2175306.5299999998"/>
    <n v="-302452.52400000003"/>
    <n v="-332697.77640000009"/>
    <n v="-365967.55404000013"/>
    <n v="-402564.30944400013"/>
    <n v="-442820.74038840021"/>
    <n v="-487102.81442724029"/>
    <n v="-535813.09586996434"/>
    <n v="-4113939.7095359997"/>
    <n v="-60490.504799999995"/>
    <n v="-66539.55528"/>
    <n v="-73193.510808000006"/>
    <n v="-80512.861888800006"/>
    <n v="-88564.148077680016"/>
    <n v="-97420.562885448031"/>
    <n v="-107162.61917399285"/>
    <n v="-2659404.4055359997"/>
    <n v="-2869418.814569605"/>
    <n v="-573883.76291392092"/>
    <n v="-271.94680826861656"/>
    <n v="-6.4762150714247083E-2"/>
    <s v="Fase de Vida Útil"/>
  </r>
  <r>
    <n v="364"/>
    <x v="363"/>
    <s v="INJ007-INJETORA DE MAGNÉSIO"/>
    <n v="10006098"/>
    <s v="BR01-MOT-FMG-INJEC2-INJ007"/>
    <n v="2111"/>
    <n v="49699"/>
    <n v="2012"/>
    <n v="2436981.14"/>
    <n v="887684"/>
    <n v="2013252.640000008"/>
    <n v="1.1100000000000001"/>
    <n v="4486.0464000000002"/>
    <n v="94091"/>
    <n v="1906"/>
    <n v="101"/>
    <n v="202"/>
    <n v="303"/>
    <n v="404"/>
    <n v="505"/>
    <n v="606"/>
    <n v="707"/>
    <n v="595.08000000000004"/>
    <n v="13887.82"/>
    <n v="0.1"/>
    <n v="0.66500000000000004"/>
    <n v="0.8"/>
    <n v="-2436981.14"/>
    <n v="-249432.61199999999"/>
    <n v="-274375.87320000003"/>
    <n v="-301813.46052000008"/>
    <n v="-331994.80657200009"/>
    <n v="-365194.28722920013"/>
    <n v="-401713.71595212014"/>
    <n v="-441885.08754733222"/>
    <n v="-4057573.5981000005"/>
    <n v="-49886.522399999987"/>
    <n v="-54875.174639999997"/>
    <n v="-60362.692104000002"/>
    <n v="-66398.961314400003"/>
    <n v="-73038.857445840011"/>
    <n v="-80342.743190424007"/>
    <n v="-88377.01750946643"/>
    <n v="-3675418.8461000011"/>
    <n v="-2366409.8430206524"/>
    <n v="-473281.96860413044"/>
    <n v="-436.01853195478265"/>
    <n v="-8.8169023211713729E-2"/>
    <s v="Fase de Degradação"/>
  </r>
  <r>
    <n v="365"/>
    <x v="364"/>
    <s v="INJ010-INJETORA DE PLÁSTICO"/>
    <n v="10001852"/>
    <s v="BR01-MOT-PLA-INJEC1-INJ010"/>
    <n v="3115"/>
    <n v="20366"/>
    <n v="2001"/>
    <n v="531322.06999999995"/>
    <n v="0"/>
    <n v="1632116.6299999969"/>
    <n v="1.3"/>
    <n v="5173"/>
    <n v="193351"/>
    <n v="1845"/>
    <n v="64"/>
    <n v="128"/>
    <n v="192"/>
    <n v="256"/>
    <n v="320"/>
    <n v="384"/>
    <n v="448"/>
    <n v="551.83000000000004"/>
    <n v="5499.42"/>
    <n v="0.1"/>
    <n v="1.3951"/>
    <n v="0.8"/>
    <n v="-531322.06999999995"/>
    <n v="-111441.17600000001"/>
    <n v="-122585.29360000002"/>
    <n v="-134843.82296000005"/>
    <n v="-148328.20525600004"/>
    <n v="-163161.02578160007"/>
    <n v="-179477.1283597601"/>
    <n v="-197424.84119573614"/>
    <n v="-1272569.4898570001"/>
    <n v="-22288.235199999996"/>
    <n v="-24517.058719999997"/>
    <n v="-26968.764592000003"/>
    <n v="-29665.641051200004"/>
    <n v="-32632.205156320008"/>
    <n v="-35895.425671952013"/>
    <n v="-39484.968239147216"/>
    <n v="-705232.59385700012"/>
    <n v="-1057261.4931530964"/>
    <n v="-211452.29863061925"/>
    <n v="-60.965756476360411"/>
    <n v="-4.790760501669044E-2"/>
    <s v="Fase de Degradação"/>
  </r>
  <r>
    <n v="366"/>
    <x v="365"/>
    <s v="INJ011-INJETORA DE ALUMÍNIO"/>
    <n v="10000851"/>
    <s v="BR01-CIL-FCI-INJEC1-INJ011"/>
    <n v="4511"/>
    <n v="20139"/>
    <n v="1998"/>
    <n v="2784493.15"/>
    <n v="714022"/>
    <n v="3200690.6599999922"/>
    <n v="1.18"/>
    <n v="4882"/>
    <n v="200178"/>
    <n v="4094"/>
    <n v="119"/>
    <n v="238"/>
    <n v="357"/>
    <n v="476"/>
    <n v="595"/>
    <n v="714"/>
    <n v="833"/>
    <n v="539.64"/>
    <n v="11574.09"/>
    <n v="0.1"/>
    <n v="1.5607"/>
    <n v="0.8"/>
    <n v="-2784493.15"/>
    <n v="-223416.86400000003"/>
    <n v="-245758.55040000007"/>
    <n v="-270334.40544000012"/>
    <n v="-297367.84598400013"/>
    <n v="-327104.63058240013"/>
    <n v="-359815.0936406402"/>
    <n v="-395796.60300470429"/>
    <n v="-7130251.6092049992"/>
    <n v="-44683.372799999997"/>
    <n v="-49151.710080000004"/>
    <n v="-54066.881088000009"/>
    <n v="-59473.56919680001"/>
    <n v="-65420.926116480012"/>
    <n v="-71963.018728128023"/>
    <n v="-79159.320600940846"/>
    <n v="-6706878.6652049981"/>
    <n v="-2119593.993051745"/>
    <n v="-423918.79861034895"/>
    <n v="-878.3712021090862"/>
    <n v="-0.11197610459155151"/>
    <s v="Fase de Degradação"/>
  </r>
  <r>
    <n v="367"/>
    <x v="366"/>
    <s v="INJ012-INJETORA DE ALUMÍNIO"/>
    <n v="10000857"/>
    <s v="BR01-CIL-FCI-INJEC2-INJ012"/>
    <n v="4511"/>
    <n v="20266"/>
    <n v="1997"/>
    <n v="1562122.71"/>
    <n v="0"/>
    <n v="3102258.06"/>
    <n v="1.36"/>
    <n v="3684"/>
    <n v="199619"/>
    <n v="4536"/>
    <n v="115"/>
    <n v="230"/>
    <n v="345"/>
    <n v="460"/>
    <n v="575"/>
    <n v="690"/>
    <n v="805"/>
    <n v="538.67999999999995"/>
    <n v="17612.919999999998"/>
    <n v="0.1"/>
    <n v="1.6129"/>
    <n v="0.8"/>
    <n v="-1562122.71"/>
    <n v="-300633.56400000001"/>
    <n v="-330696.92040000006"/>
    <n v="-363766.61244000011"/>
    <n v="-400143.27368400007"/>
    <n v="-440157.60105240013"/>
    <n v="-484173.36115764023"/>
    <n v="-532590.69727340434"/>
    <n v="-4081670.4289589995"/>
    <n v="-60126.712799999987"/>
    <n v="-66139.384080000003"/>
    <n v="-72753.322488000005"/>
    <n v="-80028.654736800003"/>
    <n v="-88031.520210480012"/>
    <n v="-96834.67223152802"/>
    <n v="-106518.13945468084"/>
    <n v="-2551172.2849589996"/>
    <n v="-2852162.0300074453"/>
    <n v="-570432.40600148891"/>
    <n v="-257.13440070757753"/>
    <n v="-6.2997345126945437E-2"/>
    <s v="Fase de Degradação"/>
  </r>
  <r>
    <n v="368"/>
    <x v="367"/>
    <s v="INJ015-INJETORA DE ALUMÍNIO"/>
    <n v="10000869"/>
    <s v="BR01-CIL-FCI-INJEC1-INJ015"/>
    <n v="4511"/>
    <n v="20195"/>
    <n v="1995"/>
    <n v="1672536.94"/>
    <n v="0"/>
    <n v="3841698.0200000182"/>
    <n v="1.38"/>
    <n v="4511"/>
    <n v="201265"/>
    <n v="5269"/>
    <n v="163"/>
    <n v="326"/>
    <n v="489"/>
    <n v="652"/>
    <n v="815"/>
    <n v="978"/>
    <n v="1141"/>
    <n v="602.14"/>
    <n v="16483.39"/>
    <n v="0.1"/>
    <n v="1.7719846153846153"/>
    <n v="0.8"/>
    <n v="-1672536.94"/>
    <n v="-325544.45"/>
    <n v="-358098.89500000008"/>
    <n v="-393908.78450000013"/>
    <n v="-433299.66295000014"/>
    <n v="-476629.62924500013"/>
    <n v="-524292.59216950019"/>
    <n v="-576721.85138645035"/>
    <n v="-4636246.6663424606"/>
    <n v="-65108.889999999985"/>
    <n v="-71619.778999999995"/>
    <n v="-78781.756900000008"/>
    <n v="-86659.932590000011"/>
    <n v="-95325.925849000007"/>
    <n v="-104858.51843390001"/>
    <n v="-115344.37027729004"/>
    <n v="-2978929.4663424604"/>
    <n v="-3088495.8652509511"/>
    <n v="-617699.17305019009"/>
    <n v="-309.34999630595701"/>
    <n v="-6.6724231597022329E-2"/>
    <s v="Fase de Degradação"/>
  </r>
  <r>
    <n v="369"/>
    <x v="368"/>
    <s v="INJ016-INJETORA DE PLÁSTICO"/>
    <n v="10000129"/>
    <s v="BR01-MOT-PLA-INJEC1-INJ016"/>
    <n v="3114"/>
    <n v="20171"/>
    <n v="1998"/>
    <n v="242206.79"/>
    <n v="0"/>
    <n v="1156636.4799999988"/>
    <n v="1.47"/>
    <n v="6649"/>
    <n v="199092"/>
    <n v="1332"/>
    <n v="53.28"/>
    <n v="106.56"/>
    <n v="159.84"/>
    <n v="213.12"/>
    <n v="266.39999999999998"/>
    <n v="319.67999999999995"/>
    <n v="372.95999999999992"/>
    <n v="509.23"/>
    <n v="4801.54"/>
    <n v="0.1"/>
    <n v="1.5607"/>
    <n v="0.8"/>
    <n v="-242206.79"/>
    <n v="-93225.279840000017"/>
    <n v="-102547.80782400002"/>
    <n v="-112802.58860640004"/>
    <n v="-124082.84746704005"/>
    <n v="-136491.13221374401"/>
    <n v="-150140.24543511844"/>
    <n v="-165154.2699786303"/>
    <n v="-620218.92715299991"/>
    <n v="-18645.055968000001"/>
    <n v="-20509.561564799998"/>
    <n v="-22560.517721280001"/>
    <n v="-24816.569493408002"/>
    <n v="-27298.226442748797"/>
    <n v="-30028.049087023683"/>
    <n v="-33030.853995726051"/>
    <n v="-145617.50251300004"/>
    <n v="-884444.17136493279"/>
    <n v="-176888.83427298651"/>
    <n v="12.47662999127806"/>
    <n v="2.0116493459091483E-2"/>
    <s v="Fase de Degradação"/>
  </r>
  <r>
    <n v="370"/>
    <x v="369"/>
    <s v="INJ017-INJETORA DE PLÁSTICO"/>
    <n v="10004068"/>
    <s v="BR01-MOT-PLA-INJEC1-INJ017"/>
    <n v="3116"/>
    <n v="33916"/>
    <n v="2004"/>
    <n v="697243.4"/>
    <n v="67395"/>
    <n v="1799426.1200000006"/>
    <n v="1.62"/>
    <n v="3695"/>
    <n v="161760"/>
    <n v="2029"/>
    <n v="76"/>
    <n v="152"/>
    <n v="228"/>
    <n v="304"/>
    <n v="380"/>
    <n v="456"/>
    <n v="532"/>
    <n v="615.22"/>
    <n v="7188.45"/>
    <n v="0.1"/>
    <n v="1.1001000000000001"/>
    <n v="0.8"/>
    <n v="-697243.4"/>
    <n v="-146319.932"/>
    <n v="-160951.92520000003"/>
    <n v="-177047.11772000004"/>
    <n v="-194751.82949200005"/>
    <n v="-214227.01244120006"/>
    <n v="-235649.71368532011"/>
    <n v="-259214.68505385215"/>
    <n v="-1464280.8643400003"/>
    <n v="-29263.986399999994"/>
    <n v="-32190.385039999997"/>
    <n v="-35409.423543999997"/>
    <n v="-38950.365898399999"/>
    <n v="-42845.402488240004"/>
    <n v="-47129.942737064011"/>
    <n v="-51842.937010770416"/>
    <n v="-786774.39234000049"/>
    <n v="-1388162.2155923725"/>
    <n v="-277632.44311847439"/>
    <n v="-60.163727409443183"/>
    <n v="-3.9279673206424622E-2"/>
    <s v="Fase de Degradação"/>
  </r>
  <r>
    <n v="371"/>
    <x v="370"/>
    <s v="INJ018-INJETORA DE ALUMÍNIO"/>
    <n v="10004185"/>
    <s v="BR01-CIL-FCI-INJEC1-INJ018"/>
    <n v="4511"/>
    <n v="46358"/>
    <n v="2005"/>
    <n v="2923833.65"/>
    <n v="845305"/>
    <n v="3625556.1300000055"/>
    <n v="1.24"/>
    <n v="5078"/>
    <n v="156275"/>
    <n v="5354"/>
    <n v="217"/>
    <n v="434"/>
    <n v="651"/>
    <n v="868"/>
    <n v="1085"/>
    <n v="1302"/>
    <n v="1519"/>
    <n v="496.1"/>
    <n v="18014.150000000001"/>
    <n v="0.1"/>
    <n v="1.0241"/>
    <n v="0.8"/>
    <n v="-2923833.65"/>
    <n v="-356205.85000000003"/>
    <n v="-391826.43500000006"/>
    <n v="-431009.07850000012"/>
    <n v="-474109.98635000014"/>
    <n v="-521520.98498500016"/>
    <n v="-573673.08348350029"/>
    <n v="-631040.3918318504"/>
    <n v="-5918131.6909649996"/>
    <n v="-71241.17"/>
    <n v="-78365.286999999997"/>
    <n v="-86201.815700000006"/>
    <n v="-94821.997270000007"/>
    <n v="-104304.19699700001"/>
    <n v="-114734.61669670003"/>
    <n v="-126208.07836637006"/>
    <n v="-4950025.090964999"/>
    <n v="-3379385.8101503514"/>
    <n v="-675877.16203007009"/>
    <n v="-579.98972040638841"/>
    <n v="-8.5753699917258508E-2"/>
    <s v="Fase de Degradação"/>
  </r>
  <r>
    <n v="372"/>
    <x v="371"/>
    <s v="INJ019-INJETORA DE PLÁSTICO"/>
    <n v="10004100"/>
    <s v="BR01-MOT-PLA-INJEC1-INJ019"/>
    <n v="3117"/>
    <n v="33955"/>
    <n v="2005"/>
    <n v="511953.43"/>
    <n v="251"/>
    <n v="1082818.2099999993"/>
    <n v="1.19"/>
    <n v="5781"/>
    <n v="156212"/>
    <n v="1134"/>
    <n v="50"/>
    <n v="100"/>
    <n v="150"/>
    <n v="200"/>
    <n v="250"/>
    <n v="300"/>
    <n v="350"/>
    <n v="777.14"/>
    <n v="5385.26"/>
    <n v="0.1"/>
    <n v="1.0241"/>
    <n v="0.8"/>
    <n v="-511953.43"/>
    <n v="-113828.132"/>
    <n v="-125210.94520000002"/>
    <n v="-137732.03972000003"/>
    <n v="-151505.24369200005"/>
    <n v="-166655.76806120004"/>
    <n v="-183321.34486732009"/>
    <n v="-201653.47935405211"/>
    <n v="-1036244.9376629998"/>
    <n v="-22765.626399999994"/>
    <n v="-25042.189039999997"/>
    <n v="-27546.407943999999"/>
    <n v="-30301.048738400004"/>
    <n v="-33331.153612239999"/>
    <n v="-36664.268973464008"/>
    <n v="-40330.695870810414"/>
    <n v="-457007.26566299971"/>
    <n v="-1079906.9528945724"/>
    <n v="-215981.3905789144"/>
    <n v="-24.652910763905968"/>
    <n v="-2.3784859996162835E-2"/>
    <s v="Fase de Degradação"/>
  </r>
  <r>
    <n v="373"/>
    <x v="372"/>
    <s v="INJ027-INJETORA DE ALUMÍNIO"/>
    <n v="10004479"/>
    <s v="BR01-CIL-FCI-INJEC1-INJ027"/>
    <n v="4511"/>
    <n v="34454"/>
    <n v="2006"/>
    <n v="2210985.81"/>
    <n v="149481"/>
    <n v="2885007.7000000337"/>
    <n v="1.2"/>
    <n v="4968"/>
    <n v="146667"/>
    <n v="3697"/>
    <n v="152"/>
    <n v="304"/>
    <n v="456"/>
    <n v="608"/>
    <n v="760"/>
    <n v="912"/>
    <n v="1064"/>
    <n v="532.64"/>
    <n v="13603.76"/>
    <n v="0.1"/>
    <n v="0.96719999999999995"/>
    <n v="0.8"/>
    <n v="-2210985.81"/>
    <n v="-268627.04000000004"/>
    <n v="-295489.74400000006"/>
    <n v="-325038.71840000007"/>
    <n v="-357542.59024000011"/>
    <n v="-393296.84926400014"/>
    <n v="-432626.53419040021"/>
    <n v="-475889.1876094403"/>
    <n v="-4349451.2854320006"/>
    <n v="-53725.407999999996"/>
    <n v="-59097.948799999998"/>
    <n v="-65007.74368"/>
    <n v="-71508.518048000013"/>
    <n v="-78659.36985280001"/>
    <n v="-86525.306838080025"/>
    <n v="-95177.837521888039"/>
    <n v="-3131376.4454320008"/>
    <n v="-2548510.6637038407"/>
    <n v="-509702.13274076808"/>
    <n v="-351.44625063841835"/>
    <n v="-7.8117701788141369E-2"/>
    <s v="Fase de Degradação"/>
  </r>
  <r>
    <n v="374"/>
    <x v="373"/>
    <s v="INJ029-INJETORA DE ALUMÍNIO"/>
    <n v="10004508"/>
    <s v="BR01-CIL-FCI-INJEC1-INJ029"/>
    <n v="4511"/>
    <n v="34801"/>
    <n v="2008"/>
    <n v="2141045.23"/>
    <n v="260585"/>
    <n v="2812253.1100000273"/>
    <n v="1.2"/>
    <n v="5094"/>
    <n v="142957"/>
    <n v="3658"/>
    <n v="157"/>
    <n v="314"/>
    <n v="471"/>
    <n v="628"/>
    <n v="785"/>
    <n v="942"/>
    <n v="1099"/>
    <n v="614.28"/>
    <n v="15279.94"/>
    <n v="0.1"/>
    <n v="0.89119999999999999"/>
    <n v="0.8"/>
    <n v="-2141045.23"/>
    <n v="-307781.364"/>
    <n v="-338559.50040000002"/>
    <n v="-372415.4504400001"/>
    <n v="-409656.99548400007"/>
    <n v="-450622.69503240014"/>
    <n v="-495684.9645356402"/>
    <n v="-545253.46098920435"/>
    <n v="-4049144.7389759999"/>
    <n v="-61556.272799999984"/>
    <n v="-67711.900079999992"/>
    <n v="-74483.090087999997"/>
    <n v="-81931.3990968"/>
    <n v="-90124.539006480001"/>
    <n v="-99136.99290712802"/>
    <n v="-109050.69219784085"/>
    <n v="-2742842.7949759997"/>
    <n v="-2919974.4308812446"/>
    <n v="-583994.8861762489"/>
    <n v="-281.96431346728633"/>
    <n v="-6.5425056916511334E-2"/>
    <s v="Fase de Degradação"/>
  </r>
  <r>
    <n v="375"/>
    <x v="374"/>
    <s v="INJ030-INJETORA DE ALUMÍNIO"/>
    <n v="10004509"/>
    <s v="BR01-CIL-FCI-INJEC1-INJ030"/>
    <n v="4511"/>
    <n v="34797"/>
    <n v="2007"/>
    <n v="2709838.52"/>
    <n v="213134"/>
    <n v="4482916.9700000286"/>
    <n v="1.27"/>
    <n v="4585"/>
    <n v="140447"/>
    <n v="4788"/>
    <n v="200"/>
    <n v="400"/>
    <n v="600"/>
    <n v="800"/>
    <n v="1000"/>
    <n v="1200"/>
    <n v="1400"/>
    <n v="688.34"/>
    <n v="28719.99"/>
    <n v="0.1"/>
    <n v="0.93579999999999997"/>
    <n v="0.8"/>
    <n v="-2709838.52"/>
    <n v="-530538.66800000006"/>
    <n v="-583592.53480000014"/>
    <n v="-641951.78828000021"/>
    <n v="-706146.96710800019"/>
    <n v="-776761.66381880024"/>
    <n v="-854437.83020068042"/>
    <n v="-939881.61322074861"/>
    <n v="-5245705.4070159998"/>
    <n v="-106107.73359999999"/>
    <n v="-116718.50696"/>
    <n v="-128390.35765600001"/>
    <n v="-141229.39342160002"/>
    <n v="-155352.33276376"/>
    <n v="-170887.56604013604"/>
    <n v="-187976.32264414968"/>
    <n v="-2757915.2790159993"/>
    <n v="-5033311.06542823"/>
    <n v="-1006662.2130856457"/>
    <n v="-204.59865066763089"/>
    <n v="-3.7480247249015872E-2"/>
    <s v="Fase de Degradação"/>
  </r>
  <r>
    <n v="376"/>
    <x v="375"/>
    <s v="INJ031-INJETORA DE PLÁSTICO"/>
    <n v="10005144"/>
    <s v="BR01-MOT-PLA-INJEC1-INJ031"/>
    <n v="3118"/>
    <n v="35244"/>
    <n v="2007"/>
    <n v="549255.34"/>
    <n v="93300"/>
    <n v="886122.78999999887"/>
    <n v="0.96"/>
    <n v="6524"/>
    <n v="133664"/>
    <n v="977"/>
    <n v="46"/>
    <n v="92"/>
    <n v="138"/>
    <n v="184"/>
    <n v="230"/>
    <n v="276"/>
    <n v="322"/>
    <n v="758.51"/>
    <n v="4564.38"/>
    <n v="0.1"/>
    <n v="0.93579999999999997"/>
    <n v="0.8"/>
    <n v="-549255.34"/>
    <n v="-98630.421999999991"/>
    <n v="-108493.4642"/>
    <n v="-119342.81062000002"/>
    <n v="-131277.09168200003"/>
    <n v="-144404.80085020003"/>
    <n v="-158845.28093522004"/>
    <n v="-174729.80902874208"/>
    <n v="-1063248.4871719999"/>
    <n v="-19726.084399999992"/>
    <n v="-21698.692839999996"/>
    <n v="-23868.562124"/>
    <n v="-26255.418336399998"/>
    <n v="-28880.960170039998"/>
    <n v="-31769.056187044"/>
    <n v="-34945.961805748411"/>
    <n v="-654429.97517200001"/>
    <n v="-935723.67931616213"/>
    <n v="-187144.7358632324"/>
    <n v="-58.281363388438614"/>
    <n v="-5.0392494594799567E-2"/>
    <s v="Confiabilidade em Crescimento"/>
  </r>
  <r>
    <n v="377"/>
    <x v="376"/>
    <s v="INJ032-INJETORA DE PLÁSTICO"/>
    <n v="10005216"/>
    <s v="BR01-MOT-PLA-INJEC1-INJ032"/>
    <n v="3115"/>
    <n v="35255"/>
    <n v="2008"/>
    <n v="828680.12"/>
    <n v="63001"/>
    <n v="1460914.4199999957"/>
    <n v="1.04"/>
    <n v="5806"/>
    <n v="131642"/>
    <n v="1716"/>
    <n v="80"/>
    <n v="160"/>
    <n v="240"/>
    <n v="320"/>
    <n v="400"/>
    <n v="480"/>
    <n v="560"/>
    <n v="661.2"/>
    <n v="6503.44"/>
    <n v="0.1"/>
    <n v="0.89119999999999999"/>
    <n v="0.8"/>
    <n v="-828680.12"/>
    <n v="-144031.008"/>
    <n v="-158434.10880000002"/>
    <n v="-174277.51968000006"/>
    <n v="-191705.27164800005"/>
    <n v="-210875.79881280006"/>
    <n v="-231963.37869408011"/>
    <n v="-255159.71656348815"/>
    <n v="-1567199.8429439999"/>
    <n v="-28806.201599999993"/>
    <n v="-31686.821759999995"/>
    <n v="-34855.503936000001"/>
    <n v="-38341.054329600003"/>
    <n v="-42175.159762560004"/>
    <n v="-46392.675738816011"/>
    <n v="-51031.943312697622"/>
    <n v="-896952.07494399999"/>
    <n v="-1366446.8021983684"/>
    <n v="-273289.36043967365"/>
    <n v="-76.720485883615055"/>
    <n v="-4.7061983936325644E-2"/>
    <s v="Fase de Vida Útil"/>
  </r>
  <r>
    <n v="378"/>
    <x v="377"/>
    <s v="INJ033-INJETORA DE ALUMÍNIO"/>
    <n v="10005818"/>
    <s v="BR01-CIL-FCI-INJEC1-INJ033"/>
    <n v="4511"/>
    <n v="40214"/>
    <n v="2011"/>
    <n v="1506210.43"/>
    <n v="405047"/>
    <n v="2488303.5900000101"/>
    <n v="1.1299999999999999"/>
    <n v="4600"/>
    <n v="98987"/>
    <n v="3407"/>
    <n v="181"/>
    <n v="362"/>
    <n v="543"/>
    <n v="724"/>
    <n v="905"/>
    <n v="1086"/>
    <n v="1267"/>
    <n v="584.01"/>
    <n v="17824.990000000002"/>
    <n v="0.1"/>
    <n v="0.73"/>
    <n v="0.8"/>
    <n v="-1506210.43"/>
    <n v="-351566.25900000002"/>
    <n v="-386722.88490000006"/>
    <n v="-425395.17339000013"/>
    <n v="-467934.69072900014"/>
    <n v="-514728.15980190015"/>
    <n v="-566200.97578209022"/>
    <n v="-622821.07336029934"/>
    <n v="-2605744.0438999999"/>
    <n v="-70313.251799999984"/>
    <n v="-77344.576979999998"/>
    <n v="-85079.034678000011"/>
    <n v="-93586.938145800013"/>
    <n v="-102945.63196038001"/>
    <n v="-113240.19515641802"/>
    <n v="-124564.21467205984"/>
    <n v="-1220999.1798999994"/>
    <n v="-3335369.2169632902"/>
    <n v="-667073.84339265793"/>
    <n v="-48.927952904195344"/>
    <n v="-1.6250863042563388E-2"/>
    <s v="Fase de Degradação"/>
  </r>
  <r>
    <n v="379"/>
    <x v="378"/>
    <s v="INJ034-INJETORA DE PLÁSTICO"/>
    <n v="10005931"/>
    <s v="BR01-MOT-PLA-INJEC1-INJ034"/>
    <n v="3115"/>
    <n v="42589"/>
    <n v="2012"/>
    <n v="628421.76"/>
    <n v="203824"/>
    <n v="1301409.1499999962"/>
    <n v="1.62"/>
    <n v="5742"/>
    <n v="96731"/>
    <n v="1733"/>
    <n v="160"/>
    <n v="320"/>
    <n v="480"/>
    <n v="640"/>
    <n v="800"/>
    <n v="960"/>
    <n v="1120"/>
    <n v="565.45000000000005"/>
    <n v="8404.56"/>
    <n v="0.1"/>
    <n v="0.66500000000000004"/>
    <n v="0.8"/>
    <n v="-628421.76"/>
    <n v="-210459.39200000002"/>
    <n v="-231505.33120000004"/>
    <n v="-254655.86432000008"/>
    <n v="-280121.45075200009"/>
    <n v="-308133.5958272001"/>
    <n v="-338946.95540992013"/>
    <n v="-372841.65095091221"/>
    <n v="-1046322.2304"/>
    <n v="-42091.878399999994"/>
    <n v="-46301.06624"/>
    <n v="-50931.172864000007"/>
    <n v="-56024.290150400004"/>
    <n v="-61626.719165440009"/>
    <n v="-67789.391081984009"/>
    <n v="-74568.330190182431"/>
    <n v="-178716.59840000025"/>
    <n v="-1996664.2404600326"/>
    <n v="-399332.84809200652"/>
    <n v="49.597880281146601"/>
    <n v="3.9673663028425989E-2"/>
    <s v="Fase de Degradação"/>
  </r>
  <r>
    <n v="380"/>
    <x v="379"/>
    <s v="INJ035-INJETORA DE EMATIC"/>
    <n v="10003877"/>
    <s v="BR01-MOT-SAB-FINALL-INJ035"/>
    <n v="2530"/>
    <n v="43481"/>
    <n v="2013"/>
    <n v="494783.56"/>
    <n v="192736"/>
    <n v="1503701.3400000015"/>
    <n v="0.86"/>
    <n v="4795.2647999999999"/>
    <n v="167138"/>
    <n v="947"/>
    <n v="23"/>
    <n v="46"/>
    <n v="69"/>
    <n v="92"/>
    <n v="115"/>
    <n v="138"/>
    <n v="161"/>
    <n v="784.32"/>
    <n v="4145.4399999999996"/>
    <n v="0.1"/>
    <n v="0.60660000000000003"/>
    <n v="0.8"/>
    <n v="-494783.56"/>
    <n v="-74563.104000000007"/>
    <n v="-82019.414400000009"/>
    <n v="-90221.355840000033"/>
    <n v="-99243.491424000022"/>
    <n v="-109167.84056640003"/>
    <n v="-120084.62462304006"/>
    <n v="-132093.08708534407"/>
    <n v="-794919.26749600004"/>
    <n v="-14912.620799999999"/>
    <n v="-16403.882879999997"/>
    <n v="-18044.271168000003"/>
    <n v="-19848.698284800001"/>
    <n v="-21833.568113280002"/>
    <n v="-24016.924924608007"/>
    <n v="-26418.61741706881"/>
    <n v="-608061.28349600011"/>
    <n v="-707392.91793878423"/>
    <n v="-141478.58358775682"/>
    <n v="-60.248704734996096"/>
    <n v="-6.1001755083779877E-2"/>
    <s v="Confiabilidade em Crescimento"/>
  </r>
  <r>
    <n v="381"/>
    <x v="380"/>
    <s v="INJ036-INJETORA DE PLÁSTICO"/>
    <n v="10006187"/>
    <s v="BR01-MOT-PLA-INJEC1-INJ036"/>
    <n v="3112"/>
    <n v="42588"/>
    <n v="2012"/>
    <n v="1786360.15"/>
    <n v="638628"/>
    <n v="1402642.9799999977"/>
    <n v="1.05"/>
    <n v="3351"/>
    <n v="90903"/>
    <n v="1183"/>
    <n v="46"/>
    <n v="92"/>
    <n v="138"/>
    <n v="184"/>
    <n v="230"/>
    <n v="276"/>
    <n v="322"/>
    <n v="732.02"/>
    <n v="6266.99"/>
    <n v="0.1"/>
    <n v="0.66500000000000004"/>
    <n v="0.8"/>
    <n v="-1786360.15"/>
    <n v="-119764.48000000001"/>
    <n v="-131740.92800000001"/>
    <n v="-144915.02080000006"/>
    <n v="-159406.52288000006"/>
    <n v="-175347.17516800007"/>
    <n v="-192881.89268480008"/>
    <n v="-212170.08195328014"/>
    <n v="-2974289.6497499999"/>
    <n v="-23952.895999999997"/>
    <n v="-26348.185599999997"/>
    <n v="-28983.004160000004"/>
    <n v="-31881.304576000006"/>
    <n v="-35069.435033600006"/>
    <n v="-38576.378536960008"/>
    <n v="-42434.016390656019"/>
    <n v="-3003207.5697499998"/>
    <n v="-1136226.1014860803"/>
    <n v="-227245.22029721603"/>
    <n v="-386.27668122301941"/>
    <n v="-0.10691544028127745"/>
    <s v="Fase de Vida Útil"/>
  </r>
  <r>
    <n v="382"/>
    <x v="381"/>
    <s v="INJ037-INJETORA DE PLÁSTICO"/>
    <n v="10006188"/>
    <s v="BR01-MOT-PLA-INJEC1-INJ037"/>
    <n v="3115"/>
    <n v="41532"/>
    <n v="2012"/>
    <n v="905215.82"/>
    <n v="334175"/>
    <n v="599187.65000000119"/>
    <n v="1.02"/>
    <n v="3975"/>
    <n v="90534"/>
    <n v="783"/>
    <n v="35"/>
    <n v="70"/>
    <n v="105"/>
    <n v="140"/>
    <n v="175"/>
    <n v="210"/>
    <n v="245"/>
    <n v="578.78"/>
    <n v="3986.13"/>
    <n v="0.1"/>
    <n v="0.66500000000000004"/>
    <n v="0.8"/>
    <n v="-905215.82"/>
    <n v="-74899.946000000011"/>
    <n v="-82389.940600000016"/>
    <n v="-90628.934660000028"/>
    <n v="-99691.828126000022"/>
    <n v="-109661.01093860004"/>
    <n v="-120627.11203246006"/>
    <n v="-132689.82323570608"/>
    <n v="-1507184.3403"/>
    <n v="-14979.989199999998"/>
    <n v="-16477.988119999998"/>
    <n v="-18125.786932000003"/>
    <n v="-19938.3656252"/>
    <n v="-21932.202187720002"/>
    <n v="-24125.422406492009"/>
    <n v="-26537.964647141209"/>
    <n v="-1460050.5242999999"/>
    <n v="-710588.5955927663"/>
    <n v="-142117.71911855321"/>
    <n v="-181.84120911796958"/>
    <n v="-9.8753787562368703E-2"/>
    <s v="Fase de Vida Útil"/>
  </r>
  <r>
    <n v="383"/>
    <x v="382"/>
    <s v="INJ038-INJETORA DE PLÁSTICO"/>
    <n v="10006189"/>
    <s v="BR01-MOT-PLA-INJEC1-INJ038"/>
    <n v="3117"/>
    <n v="42590"/>
    <n v="2012"/>
    <n v="638882.49"/>
    <n v="214855"/>
    <n v="723761.76999999979"/>
    <n v="1.0900000000000001"/>
    <n v="6605"/>
    <n v="90797"/>
    <n v="648"/>
    <n v="52"/>
    <n v="104"/>
    <n v="156"/>
    <n v="208"/>
    <n v="260"/>
    <n v="312"/>
    <n v="364"/>
    <n v="623.52"/>
    <n v="3483.21"/>
    <n v="0.1"/>
    <n v="0.66500000000000004"/>
    <n v="0.8"/>
    <n v="-638882.49"/>
    <n v="-81643.716"/>
    <n v="-89808.087600000013"/>
    <n v="-98788.896360000028"/>
    <n v="-108667.78599600002"/>
    <n v="-119534.56459560004"/>
    <n v="-131488.02105516006"/>
    <n v="-144636.82316067608"/>
    <n v="-1063739.3458499999"/>
    <n v="-16328.743199999997"/>
    <n v="-17961.61752"/>
    <n v="-19757.779272"/>
    <n v="-21733.5571992"/>
    <n v="-23906.912919120001"/>
    <n v="-26297.604211032005"/>
    <n v="-28927.36463213521"/>
    <n v="-862953.60984999989"/>
    <n v="-774567.8947674362"/>
    <n v="-154913.57895348722"/>
    <n v="-94.134290005150135"/>
    <n v="-7.3623264728712973E-2"/>
    <s v="Fase de Vida Útil"/>
  </r>
  <r>
    <n v="384"/>
    <x v="383"/>
    <s v="INJ039-INJETORA DE PLÁSTICO"/>
    <n v="10006278"/>
    <s v="BR01-MOT-PLA-INJEC1-INJ039"/>
    <n v="3115"/>
    <n v="44591"/>
    <n v="2014"/>
    <n v="1083245.96"/>
    <n v="486336"/>
    <n v="888114.44999999914"/>
    <n v="1.21"/>
    <n v="5972"/>
    <n v="77024"/>
    <n v="1484"/>
    <n v="140"/>
    <n v="280"/>
    <n v="420"/>
    <n v="560"/>
    <n v="700"/>
    <n v="840"/>
    <n v="980"/>
    <n v="612.98"/>
    <n v="9150.74"/>
    <n v="0.1"/>
    <n v="0.54749999999999999"/>
    <n v="0.8"/>
    <n v="-1083245.96"/>
    <n v="-215188.68800000002"/>
    <n v="-236707.55680000005"/>
    <n v="-260378.31248000011"/>
    <n v="-286416.14372800011"/>
    <n v="-315057.75810080016"/>
    <n v="-346563.53391088021"/>
    <n v="-381219.88730196829"/>
    <n v="-1676323.1230999997"/>
    <n v="-43037.737599999993"/>
    <n v="-47341.511359999997"/>
    <n v="-52075.662496000012"/>
    <n v="-57283.228745600012"/>
    <n v="-63011.551620160019"/>
    <n v="-69312.706782176028"/>
    <n v="-76243.977460393638"/>
    <n v="-1067153.0750999993"/>
    <n v="-2041531.8803216489"/>
    <n v="-408306.3760643297"/>
    <n v="-75.633374120382925"/>
    <n v="-3.4972397319818251E-2"/>
    <s v="Fase de Degradação"/>
  </r>
  <r>
    <n v="385"/>
    <x v="384"/>
    <s v="INJ040-INJETORA DE PLÁSTICO"/>
    <n v="10006382"/>
    <s v="BR01-MOT-PLA-INJEC1-INJ040"/>
    <n v="3117"/>
    <n v="46550"/>
    <n v="2016"/>
    <n v="624733.49"/>
    <n v="340474"/>
    <n v="666315.1599999998"/>
    <n v="0.86"/>
    <n v="6441"/>
    <n v="62543"/>
    <n v="427"/>
    <n v="38"/>
    <n v="76"/>
    <n v="114"/>
    <n v="152"/>
    <n v="190"/>
    <n v="228"/>
    <n v="266"/>
    <n v="984.38"/>
    <n v="5842.4"/>
    <n v="0.1"/>
    <n v="0.37669999999999998"/>
    <n v="0.8"/>
    <n v="-624733.49"/>
    <n v="-118266.764"/>
    <n v="-130093.44040000001"/>
    <n v="-143102.78444000002"/>
    <n v="-157413.06288400004"/>
    <n v="-173154.36917240004"/>
    <n v="-190469.80608964007"/>
    <n v="-209516.78669860412"/>
    <n v="-860070.59568300005"/>
    <n v="-23653.352799999993"/>
    <n v="-26018.688079999996"/>
    <n v="-28620.556887999996"/>
    <n v="-31482.612576800002"/>
    <n v="-34630.87383448"/>
    <n v="-38093.961217928008"/>
    <n v="-41903.357339720817"/>
    <n v="-598459.25168300013"/>
    <n v="-1122017.0136846444"/>
    <n v="-224403.40273692881"/>
    <n v="-43.27585496218353"/>
    <n v="-3.6046853334559828E-2"/>
    <s v="Confiabilidade em Crescimento"/>
  </r>
  <r>
    <n v="386"/>
    <x v="385"/>
    <s v="INJ041-INJETORA DE PLÁSTICO"/>
    <n v="20002351"/>
    <s v="BR01-MOT-PLA-INJEC1-INJ041"/>
    <n v="3118"/>
    <n v="48102"/>
    <n v="2017"/>
    <n v="603098.47"/>
    <n v="371052"/>
    <n v="228912.83"/>
    <n v="0.98"/>
    <n v="6861"/>
    <n v="52997"/>
    <n v="255"/>
    <n v="33"/>
    <n v="66"/>
    <n v="99"/>
    <n v="132"/>
    <n v="165"/>
    <n v="198"/>
    <n v="231"/>
    <n v="732.61"/>
    <n v="3220.52"/>
    <n v="0.1"/>
    <n v="0.31379999999999997"/>
    <n v="0.8"/>
    <n v="-603098.47"/>
    <n v="-69104.607000000004"/>
    <n v="-76015.0677"/>
    <n v="-83616.574470000021"/>
    <n v="-91978.231917000012"/>
    <n v="-101176.05510870002"/>
    <n v="-111293.66061957004"/>
    <n v="-122423.02668152707"/>
    <n v="-792350.76988599997"/>
    <n v="-13820.921399999997"/>
    <n v="-15203.013539999996"/>
    <n v="-16723.314893999999"/>
    <n v="-18395.646383399999"/>
    <n v="-20235.21102174"/>
    <n v="-22258.732123914004"/>
    <n v="-24484.605336305409"/>
    <n v="-811597.4978860002"/>
    <n v="-655607.22349679715"/>
    <n v="-131121.44469935942"/>
    <n v="-91.273855869794602"/>
    <n v="-7.8454219151238902E-2"/>
    <s v="Confiabilidade em Crescimento"/>
  </r>
  <r>
    <n v="387"/>
    <x v="386"/>
    <s v="INJ042-INJETORA DE PLÁSTICO"/>
    <n v="10006460"/>
    <s v="BR01-MOT-PLA-INJEC1-INJ042"/>
    <n v="3112"/>
    <n v="48109"/>
    <n v="2017"/>
    <n v="1784599.66"/>
    <n v="1106840"/>
    <n v="1005323.1400000001"/>
    <n v="1"/>
    <n v="4634"/>
    <n v="51704"/>
    <n v="788"/>
    <n v="71"/>
    <n v="142"/>
    <n v="213"/>
    <n v="284"/>
    <n v="355"/>
    <n v="426"/>
    <n v="497"/>
    <n v="668.62"/>
    <n v="6636.86"/>
    <n v="0.1"/>
    <n v="0.31379999999999997"/>
    <n v="0.8"/>
    <n v="-1784599.66"/>
    <n v="-139825.774"/>
    <n v="-153808.35140000001"/>
    <n v="-169189.18654000005"/>
    <n v="-186108.10519400003"/>
    <n v="-204718.91571340006"/>
    <n v="-225190.80728474009"/>
    <n v="-247709.88801321413"/>
    <n v="-2344607.0333079998"/>
    <n v="-27965.154799999993"/>
    <n v="-30761.670279999995"/>
    <n v="-33837.837308000002"/>
    <n v="-37221.621038799996"/>
    <n v="-40943.783142680004"/>
    <n v="-45038.161456948008"/>
    <n v="-49541.977602642815"/>
    <n v="-2739606.7293079998"/>
    <n v="-1326551.0281453542"/>
    <n v="-265310.20562907081"/>
    <n v="-341.45803011310227"/>
    <n v="-9.893184708265268E-2"/>
    <s v="Fase de Vida Útil"/>
  </r>
  <r>
    <n v="388"/>
    <x v="387"/>
    <s v="INJ043-INJETORA DE PLÁSTICO"/>
    <n v="10006672"/>
    <s v="BR01-MOT-PLA-INJEC1-INJ043"/>
    <n v="3112"/>
    <n v="56298"/>
    <n v="2022"/>
    <n v="2200677"/>
    <n v="2038415"/>
    <n v="116121.41999999998"/>
    <n v="2.0099999999999998"/>
    <n v="3268"/>
    <n v="3477"/>
    <n v="29"/>
    <n v="29"/>
    <n v="58"/>
    <n v="87"/>
    <n v="116"/>
    <n v="145"/>
    <n v="174"/>
    <n v="203"/>
    <n v="594.01"/>
    <n v="5707.91"/>
    <n v="0.1"/>
    <n v="5.79E-2"/>
    <n v="0.8"/>
    <n v="-2200677"/>
    <n v="-94293.331000000006"/>
    <n v="-103722.66410000001"/>
    <n v="-114094.93051000002"/>
    <n v="-125504.42356100002"/>
    <n v="-138054.86591710005"/>
    <n v="-151860.35250881006"/>
    <n v="-167046.38775969108"/>
    <n v="-2328096.1983000003"/>
    <n v="-18858.666199999996"/>
    <n v="-20744.532819999997"/>
    <n v="-22818.986101999999"/>
    <n v="-25100.884712199997"/>
    <n v="-27610.973183420003"/>
    <n v="-30372.070501762006"/>
    <n v="-33409.277551938205"/>
    <n v="-3886472.4223000007"/>
    <n v="-894576.95535660139"/>
    <n v="-178915.39107132022"/>
    <n v="-521.54994771638849"/>
    <n v="-0.11944317191249659"/>
    <s v="Fase de Degradação"/>
  </r>
  <r>
    <n v="389"/>
    <x v="388"/>
    <s v="INJ044-INJETORA DE PLÁSTICO"/>
    <n v="10006673"/>
    <s v="BR01-MOT-PLA-INJEC1-INJ044"/>
    <n v="3115"/>
    <n v="56296"/>
    <n v="2022"/>
    <n v="1905171.66"/>
    <n v="1764697"/>
    <n v="145590.41000000003"/>
    <n v="1.27"/>
    <n v="2379"/>
    <n v="12007"/>
    <n v="133"/>
    <n v="35"/>
    <n v="70"/>
    <n v="105"/>
    <n v="140"/>
    <n v="175"/>
    <n v="210"/>
    <n v="245"/>
    <n v="721.78"/>
    <n v="4778.95"/>
    <n v="0.1"/>
    <n v="5.79E-2"/>
    <n v="0.8"/>
    <n v="-1905171.66"/>
    <n v="-90870.67"/>
    <n v="-99957.737000000008"/>
    <n v="-109953.51070000003"/>
    <n v="-120948.86177000003"/>
    <n v="-133043.74794700005"/>
    <n v="-146348.12274170006"/>
    <n v="-160982.93501587008"/>
    <n v="-2015481.0991140001"/>
    <n v="-18174.133999999995"/>
    <n v="-19991.547399999996"/>
    <n v="-21990.702140000001"/>
    <n v="-24189.772354000001"/>
    <n v="-26608.749589400006"/>
    <n v="-29269.624548340005"/>
    <n v="-32196.587003174009"/>
    <n v="-3317563.779114"/>
    <n v="-862105.58517457033"/>
    <n v="-172421.117034914"/>
    <n v="-441.49909013919194"/>
    <n v="-0.11679319824710659"/>
    <s v="Fase de Degradação"/>
  </r>
  <r>
    <n v="390"/>
    <x v="389"/>
    <s v="INJ045-INJETORA DE PLÁSTICO"/>
    <n v="10006674"/>
    <s v="BR01-MOT-PLA-INJEC1-INJ045"/>
    <n v="3115"/>
    <n v="56297"/>
    <n v="2022"/>
    <n v="1905080.02"/>
    <n v="1764612"/>
    <n v="197012.75"/>
    <n v="1.43"/>
    <n v="4537"/>
    <n v="12279"/>
    <n v="111"/>
    <n v="63"/>
    <n v="126"/>
    <n v="189"/>
    <n v="252"/>
    <n v="315"/>
    <n v="378"/>
    <n v="441"/>
    <n v="612.97"/>
    <n v="3076.93"/>
    <n v="0.1"/>
    <n v="5.79E-2"/>
    <n v="0.8"/>
    <n v="-1905080.02"/>
    <n v="-83094.296999999991"/>
    <n v="-91403.726699999999"/>
    <n v="-100544.09937000001"/>
    <n v="-110598.50930700001"/>
    <n v="-121658.36023770002"/>
    <n v="-133824.19626147003"/>
    <n v="-147206.61588761708"/>
    <n v="-2015384.1531580002"/>
    <n v="-16618.859399999994"/>
    <n v="-18280.745339999994"/>
    <n v="-20108.819873999997"/>
    <n v="-22119.701861399997"/>
    <n v="-24331.67204754"/>
    <n v="-26764.839252294001"/>
    <n v="-29441.323177523409"/>
    <n v="-3356970.6411580006"/>
    <n v="-788329.80476378708"/>
    <n v="-157665.96095275739"/>
    <n v="-449.90461562099574"/>
    <n v="-0.11902250621210887"/>
    <s v="Fase de Degradação"/>
  </r>
  <r>
    <n v="391"/>
    <x v="390"/>
    <s v="INJ061-INJETORA DE ALUMÍNIO"/>
    <n v="10005941"/>
    <s v="BR01-CIL-FCI-INJEC2-INJ061"/>
    <n v="4511"/>
    <n v="41631"/>
    <n v="2012"/>
    <n v="1880986.67"/>
    <n v="690260"/>
    <n v="2465082.2700000163"/>
    <n v="1.03"/>
    <n v="4500"/>
    <n v="96558"/>
    <n v="2857"/>
    <n v="137"/>
    <n v="274"/>
    <n v="411"/>
    <n v="548"/>
    <n v="685"/>
    <n v="822"/>
    <n v="959"/>
    <n v="634.6"/>
    <n v="19129.37"/>
    <n v="0.1"/>
    <n v="0.66500000000000004"/>
    <n v="0.8"/>
    <n v="-1880986.67"/>
    <n v="-348141.90400000004"/>
    <n v="-382956.09440000006"/>
    <n v="-421251.70384000015"/>
    <n v="-463376.87422400014"/>
    <n v="-509714.56164640019"/>
    <n v="-560686.01781104028"/>
    <n v="-616754.61959214439"/>
    <n v="-3131842.8055500002"/>
    <n v="-69628.380799999999"/>
    <n v="-76591.21888"/>
    <n v="-84250.340768000009"/>
    <n v="-92675.374844800011"/>
    <n v="-101942.91232928002"/>
    <n v="-112137.20356220803"/>
    <n v="-123350.92391842885"/>
    <n v="-2049744.0215500002"/>
    <n v="-3302881.7755135857"/>
    <n v="-660576.35510271683"/>
    <n v="-168.54248359130449"/>
    <n v="-4.4096794923089794E-2"/>
    <s v="Fase de Vida Útil"/>
  </r>
  <r>
    <n v="392"/>
    <x v="391"/>
    <s v="INJ062-INJETORA DE ALUMÍNIO"/>
    <n v="10006224"/>
    <s v="BR01-CIL-FCI-INJEC2-INJ062"/>
    <n v="4511"/>
    <n v="43428"/>
    <n v="2013"/>
    <n v="1941976.41"/>
    <n v="681915"/>
    <n v="1889714.9500000058"/>
    <n v="0.95"/>
    <n v="3523"/>
    <n v="88558"/>
    <n v="2483"/>
    <n v="94"/>
    <n v="188"/>
    <n v="282"/>
    <n v="376"/>
    <n v="470"/>
    <n v="564"/>
    <n v="658"/>
    <n v="533.02"/>
    <n v="13625.7"/>
    <n v="0.1"/>
    <n v="0.60660000000000003"/>
    <n v="0.8"/>
    <n v="-1941976.41"/>
    <n v="-234973.50800000006"/>
    <n v="-258470.85880000007"/>
    <n v="-284317.94468000013"/>
    <n v="-312749.73914800014"/>
    <n v="-344024.71306280018"/>
    <n v="-378427.18436908023"/>
    <n v="-416269.90280598833"/>
    <n v="-3119979.3003059998"/>
    <n v="-46994.7016"/>
    <n v="-51694.171760000005"/>
    <n v="-56863.588936000015"/>
    <n v="-62549.947829600016"/>
    <n v="-68804.942612560015"/>
    <n v="-75685.436873816026"/>
    <n v="-83253.980561197648"/>
    <n v="-2605665.5323059992"/>
    <n v="-2229233.8508658693"/>
    <n v="-445846.77017317375"/>
    <n v="-288.358174230472"/>
    <n v="-7.584592086299273E-2"/>
    <s v="Confiabilidade em Crescimento"/>
  </r>
  <r>
    <n v="393"/>
    <x v="392"/>
    <s v="INJ063-INJETORA DE ALUMÍNIO"/>
    <n v="10005942"/>
    <s v="BR01-CIL-FCI-INJEC2-INJ063"/>
    <n v="4511"/>
    <n v="42111"/>
    <n v="2012"/>
    <n v="1850532.09"/>
    <n v="646891"/>
    <n v="2342581.7900000112"/>
    <n v="0.99"/>
    <n v="4698"/>
    <n v="96036"/>
    <n v="2580"/>
    <n v="125"/>
    <n v="250"/>
    <n v="375"/>
    <n v="500"/>
    <n v="625"/>
    <n v="750"/>
    <n v="875"/>
    <n v="632.26"/>
    <n v="16314.99"/>
    <n v="0.1"/>
    <n v="0.66500000000000004"/>
    <n v="0.8"/>
    <n v="-1850532.09"/>
    <n v="-302293.61800000002"/>
    <n v="-332522.97980000003"/>
    <n v="-365775.27778000012"/>
    <n v="-402352.80555800011"/>
    <n v="-442588.08611380018"/>
    <n v="-486846.89472518023"/>
    <n v="-535531.58419769839"/>
    <n v="-3081135.9298500004"/>
    <n v="-60458.72359999999"/>
    <n v="-66504.595959999991"/>
    <n v="-73155.055556000007"/>
    <n v="-80470.561111600007"/>
    <n v="-88517.617222760018"/>
    <n v="-97369.37894503602"/>
    <n v="-107106.31683953965"/>
    <n v="-2189077.6018500002"/>
    <n v="-2867911.2461746791"/>
    <n v="-573582.24923493562"/>
    <n v="-204.81399041575099"/>
    <n v="-5.4938978250350733E-2"/>
    <s v="Confiabilidade em Crescimento"/>
  </r>
  <r>
    <n v="394"/>
    <x v="393"/>
    <s v="INJ064-INJETORA DE ALUMÍNIO"/>
    <n v="10006225"/>
    <s v="BR01-CIL-FCI-INJEC2-INJ064"/>
    <n v="4511"/>
    <n v="43418"/>
    <n v="2013"/>
    <n v="1931864.09"/>
    <n v="755007"/>
    <n v="2037232.8200000082"/>
    <n v="0.96"/>
    <n v="4264"/>
    <n v="88200"/>
    <n v="2578"/>
    <n v="120"/>
    <n v="240"/>
    <n v="360"/>
    <n v="480"/>
    <n v="600"/>
    <n v="720"/>
    <n v="840"/>
    <n v="553.59"/>
    <n v="15118.74"/>
    <n v="0.1"/>
    <n v="0.60660000000000003"/>
    <n v="0.8"/>
    <n v="-1931864.09"/>
    <n v="-272641.24800000002"/>
    <n v="-299905.37280000001"/>
    <n v="-329895.91008000012"/>
    <n v="-362885.50108800008"/>
    <n v="-399174.05119680014"/>
    <n v="-439091.45631648018"/>
    <n v="-483000.60194812826"/>
    <n v="-3103732.846994"/>
    <n v="-54528.249599999996"/>
    <n v="-59981.074559999986"/>
    <n v="-65979.182016000006"/>
    <n v="-72577.100217600004"/>
    <n v="-79834.810239360013"/>
    <n v="-87818.291263296021"/>
    <n v="-96600.120389625634"/>
    <n v="-2470748.0389940003"/>
    <n v="-2586594.1414294085"/>
    <n v="-517318.82828588167"/>
    <n v="-255.63779055006756"/>
    <n v="-6.6249034836907222E-2"/>
    <s v="Confiabilidade em Crescimento"/>
  </r>
  <r>
    <n v="395"/>
    <x v="394"/>
    <s v="INJ065-INJETORA DE ALUMÍNIO"/>
    <n v="10006249"/>
    <s v="BR01-CIL-FCI-INJEC2-INJ065"/>
    <n v="4511"/>
    <n v="43500"/>
    <n v="2012"/>
    <n v="1757823.13"/>
    <n v="629475"/>
    <n v="1875538.2100000011"/>
    <n v="0.92"/>
    <n v="4434"/>
    <n v="86460"/>
    <n v="2114"/>
    <n v="100"/>
    <n v="200"/>
    <n v="300"/>
    <n v="400"/>
    <n v="500"/>
    <n v="600"/>
    <n v="700"/>
    <n v="569.9"/>
    <n v="13496.44"/>
    <n v="0.1"/>
    <n v="0.66500000000000004"/>
    <n v="0.8"/>
    <n v="-1757823.13"/>
    <n v="-240842.00800000003"/>
    <n v="-264926.20880000002"/>
    <n v="-291418.82968000008"/>
    <n v="-320560.7126480001"/>
    <n v="-352616.78391280014"/>
    <n v="-387878.4623040802"/>
    <n v="-426666.30853448826"/>
    <n v="-2926775.5114500001"/>
    <n v="-48168.401599999997"/>
    <n v="-52985.24175999999"/>
    <n v="-58283.765936000003"/>
    <n v="-64112.142529600009"/>
    <n v="-70523.356782560018"/>
    <n v="-77575.692460816019"/>
    <n v="-85333.261706897625"/>
    <n v="-2330145.74345"/>
    <n v="-2284909.3138793688"/>
    <n v="-456981.86277587368"/>
    <n v="-246.90329433521504"/>
    <n v="-6.9427981392273866E-2"/>
    <s v="Confiabilidade em Crescimento"/>
  </r>
  <r>
    <n v="396"/>
    <x v="395"/>
    <s v="INJ066-INJETORA DE ALUMÍNIO"/>
    <n v="10006442"/>
    <s v="BR01-CIL-FCI-INJEC2-INJ066"/>
    <n v="4511"/>
    <n v="46743"/>
    <n v="2016"/>
    <n v="2904303.76"/>
    <n v="1627113"/>
    <n v="1120398.690000002"/>
    <n v="1.02"/>
    <n v="4812"/>
    <n v="55059"/>
    <n v="1192"/>
    <n v="107"/>
    <n v="214"/>
    <n v="321"/>
    <n v="428"/>
    <n v="535"/>
    <n v="642"/>
    <n v="749"/>
    <n v="571.78"/>
    <n v="12536.77"/>
    <n v="0.1"/>
    <n v="0.37669999999999998"/>
    <n v="0.8"/>
    <n v="-2904303.76"/>
    <n v="-232783.87"/>
    <n v="-256062.25700000001"/>
    <n v="-281668.48270000005"/>
    <n v="-309835.33097000007"/>
    <n v="-340818.8640670001"/>
    <n v="-374900.75047370017"/>
    <n v="-412390.82552107022"/>
    <n v="-3998354.9863919998"/>
    <n v="-46556.77399999999"/>
    <n v="-51212.451399999991"/>
    <n v="-56333.696539999997"/>
    <n v="-61967.066193999999"/>
    <n v="-68163.772813400006"/>
    <n v="-74980.15009474002"/>
    <n v="-82478.165104214029"/>
    <n v="-4440386.4663920002"/>
    <n v="-2208460.3807317708"/>
    <n v="-441692.07614635408"/>
    <n v="-551.24281168665482"/>
    <n v="-9.7990569499303973E-2"/>
    <s v="Fase de Vida Útil"/>
  </r>
  <r>
    <n v="397"/>
    <x v="396"/>
    <s v="INJ067-INJETORA DE ALUMÍNIO"/>
    <n v="10006331"/>
    <s v="BR01-CIL-FCI-INJEC2-INJ067"/>
    <n v="4511"/>
    <n v="45438"/>
    <n v="2015"/>
    <n v="2234675.9700000002"/>
    <n v="998535"/>
    <n v="1724837.1500000069"/>
    <n v="1.1100000000000001"/>
    <n v="4480"/>
    <n v="69880"/>
    <n v="1600"/>
    <n v="115"/>
    <n v="230"/>
    <n v="345"/>
    <n v="460"/>
    <n v="575"/>
    <n v="690"/>
    <n v="805"/>
    <n v="704.54"/>
    <n v="17205.32"/>
    <n v="0.1"/>
    <n v="0.4834"/>
    <n v="0.8"/>
    <n v="-2234675.9700000002"/>
    <n v="-316234.53400000004"/>
    <n v="-347857.98740000004"/>
    <n v="-382643.7861400001"/>
    <n v="-420908.16475400014"/>
    <n v="-462998.98122940015"/>
    <n v="-509298.87935234024"/>
    <n v="-560228.76728757436"/>
    <n v="-3314918.3338980004"/>
    <n v="-63246.906799999997"/>
    <n v="-69571.597479999997"/>
    <n v="-76528.757228000002"/>
    <n v="-84181.632950800005"/>
    <n v="-92599.796245880003"/>
    <n v="-101859.77587046803"/>
    <n v="-112045.75345751485"/>
    <n v="-2703532.069898"/>
    <n v="-3000171.100163315"/>
    <n v="-600034.22003266285"/>
    <n v="-273.33092196676409"/>
    <n v="-6.3367075243111345E-2"/>
    <s v="Fase de Degradação"/>
  </r>
  <r>
    <n v="398"/>
    <x v="397"/>
    <s v="INJ068-INJETORA DE ALUMÍNIO"/>
    <n v="10006581"/>
    <s v="BR01-CIL-FCI-INJEC2-INJ068"/>
    <n v="4511"/>
    <n v="50328"/>
    <n v="2018"/>
    <n v="3433563.83"/>
    <n v="2473210"/>
    <n v="797819.56999999937"/>
    <n v="1.23"/>
    <n v="4179"/>
    <n v="35905"/>
    <n v="880"/>
    <n v="128"/>
    <n v="256"/>
    <n v="384"/>
    <n v="512"/>
    <n v="640"/>
    <n v="768"/>
    <n v="896"/>
    <n v="630.66999999999996"/>
    <n v="15657.81"/>
    <n v="0.1"/>
    <n v="0.2843"/>
    <n v="0.8"/>
    <n v="-3433563.83"/>
    <n v="-295481.42800000001"/>
    <n v="-325029.57080000004"/>
    <n v="-357532.52788000007"/>
    <n v="-393285.78066800011"/>
    <n v="-432614.35873480013"/>
    <n v="-475875.79460828018"/>
    <n v="-523463.37406910828"/>
    <n v="-4409726.0268689999"/>
    <n v="-59096.285599999988"/>
    <n v="-65005.914159999993"/>
    <n v="-71506.505575999996"/>
    <n v="-78657.156133600001"/>
    <n v="-86522.871746960009"/>
    <n v="-95175.15892165601"/>
    <n v="-104692.67481382164"/>
    <n v="-5378666.9388690004"/>
    <n v="-2803282.8347601886"/>
    <n v="-560656.56695203763"/>
    <n v="-662.90139415154988"/>
    <n v="-9.6310846354487931E-2"/>
    <s v="Fase de Degradação"/>
  </r>
  <r>
    <n v="399"/>
    <x v="398"/>
    <s v="INJ070-INJETORA DE ALUMÍNIO"/>
    <n v="10006793"/>
    <s v="BR01-CIL-FCI-INJEC2-INJ070"/>
    <n v="4511"/>
    <n v="56643"/>
    <n v="2021"/>
    <n v="4831934.7699999996"/>
    <n v="4541123"/>
    <n v="241942.26"/>
    <n v="0.98"/>
    <n v="4062"/>
    <n v="10214"/>
    <n v="210"/>
    <n v="82"/>
    <n v="164"/>
    <n v="246"/>
    <n v="328"/>
    <n v="410"/>
    <n v="492"/>
    <n v="574"/>
    <n v="814.43"/>
    <n v="14927.8"/>
    <n v="0.1"/>
    <n v="0.1585"/>
    <n v="0.8"/>
    <n v="-4831934.7699999996"/>
    <n v="-270508.54600000003"/>
    <n v="-297559.40060000005"/>
    <n v="-327315.3406600001"/>
    <n v="-360046.87472600007"/>
    <n v="-396051.56219860009"/>
    <n v="-435656.71841846016"/>
    <n v="-479222.39026030625"/>
    <n v="-5597796.4310449995"/>
    <n v="-54101.709199999998"/>
    <n v="-59511.880119999994"/>
    <n v="-65463.068132000008"/>
    <n v="-72009.374945200005"/>
    <n v="-79210.312439720001"/>
    <n v="-87131.343683692015"/>
    <n v="-95844.478052061226"/>
    <n v="-8761785.0150450002"/>
    <n v="-2566360.8328633667"/>
    <n v="-513272.1665726733"/>
    <n v="-1155.1186806791866"/>
    <n v="-0.11392917051320632"/>
    <s v="Confiabilidade em Crescimento"/>
  </r>
  <r>
    <n v="400"/>
    <x v="399"/>
    <s v="INJ072-INJETORA DE ALUMÍNIO"/>
    <n v="10006720"/>
    <s v="BR01-CIL-FCI-INJEC2-INJ072"/>
    <n v="4511"/>
    <n v="56053"/>
    <n v="2021"/>
    <n v="4651950.47"/>
    <n v="4261666"/>
    <n v="286924.26999999961"/>
    <n v="0.91"/>
    <n v="4555"/>
    <n v="12576"/>
    <n v="254"/>
    <n v="82"/>
    <n v="164"/>
    <n v="246"/>
    <n v="328"/>
    <n v="410"/>
    <n v="492"/>
    <n v="574"/>
    <n v="697.4"/>
    <n v="13718"/>
    <n v="0.1"/>
    <n v="0.1585"/>
    <n v="0.8"/>
    <n v="-4651950.47"/>
    <n v="-243983.08000000002"/>
    <n v="-268381.38800000004"/>
    <n v="-295219.52680000005"/>
    <n v="-324741.4794800001"/>
    <n v="-357215.62742800009"/>
    <n v="-392937.19017080014"/>
    <n v="-432230.90918788023"/>
    <n v="-5389284.6194949998"/>
    <n v="-48796.615999999995"/>
    <n v="-53676.277599999994"/>
    <n v="-59043.905359999997"/>
    <n v="-64948.295896000003"/>
    <n v="-71443.125485600001"/>
    <n v="-78587.438034160004"/>
    <n v="-86446.181837576019"/>
    <n v="-8408854.939495001"/>
    <n v="-2314709.2010666807"/>
    <n v="-462941.84021333605"/>
    <n v="-1114.1690369488078"/>
    <n v="-0.11544655867352353"/>
    <s v="Confiabilidade em Crescimento"/>
  </r>
  <r>
    <n v="401"/>
    <x v="400"/>
    <s v="INJ079-INJETORA DE ALUMÍNIO"/>
    <n v="10006866"/>
    <s v="BR01-CIL-FCI-INJEC2-INJ079"/>
    <n v="4511"/>
    <n v="58893"/>
    <n v="2022"/>
    <n v="5257504.57"/>
    <n v="5111462"/>
    <n v="123196.65999999997"/>
    <n v="1.74"/>
    <n v="3199"/>
    <n v="3342"/>
    <n v="50"/>
    <n v="50"/>
    <n v="100"/>
    <n v="150"/>
    <n v="200"/>
    <n v="250"/>
    <n v="300"/>
    <n v="350"/>
    <n v="1759.52"/>
    <n v="20909.37"/>
    <n v="0.1"/>
    <n v="5.79E-2"/>
    <n v="0.8"/>
    <n v="-5257504.57"/>
    <n v="-372777.28400000004"/>
    <n v="-410055.01240000007"/>
    <n v="-451060.51364000014"/>
    <n v="-496166.56500400015"/>
    <n v="-545783.22150440014"/>
    <n v="-600361.54365484032"/>
    <n v="-660397.69802032446"/>
    <n v="-5561914.0846030004"/>
    <n v="-74555.456799999985"/>
    <n v="-82011.002479999996"/>
    <n v="-90212.102728000013"/>
    <n v="-99233.313000800001"/>
    <n v="-109156.64430088"/>
    <n v="-120072.30873096804"/>
    <n v="-132079.53960406486"/>
    <n v="-8775600.820603"/>
    <n v="-3536601.8382235658"/>
    <n v="-707320.36764471291"/>
    <n v="-1120.5849448605927"/>
    <n v="-0.10498879979288887"/>
    <s v="Fase de Degradação"/>
  </r>
  <r>
    <n v="402"/>
    <x v="401"/>
    <s v="INJ101-INJETORA DE ALUMÍNIO"/>
    <n v="10006875"/>
    <s v="BR01-CIL-FCI-INJEC1-INJ101"/>
    <n v="4511"/>
    <n v="58894"/>
    <n v="2022"/>
    <n v="5257637.6500000004"/>
    <n v="5111592"/>
    <n v="218901.77999999997"/>
    <n v="0.97"/>
    <n v="3199"/>
    <n v="3836"/>
    <n v="110"/>
    <n v="89"/>
    <n v="178"/>
    <n v="267"/>
    <n v="356"/>
    <n v="445"/>
    <n v="534"/>
    <n v="623"/>
    <n v="1086.93"/>
    <n v="24787.06"/>
    <n v="0.1"/>
    <n v="5.79E-2"/>
    <n v="0.8"/>
    <n v="-5257637.6500000004"/>
    <n v="-433599.63900000008"/>
    <n v="-476959.60290000011"/>
    <n v="-524655.56319000025"/>
    <n v="-577121.11950900021"/>
    <n v="-634833.23145990027"/>
    <n v="-698316.55460589041"/>
    <n v="-768148.21006647951"/>
    <n v="-5562054.8699350003"/>
    <n v="-86719.92779999999"/>
    <n v="-95391.920580000005"/>
    <n v="-104931.11263800002"/>
    <n v="-115424.22390180001"/>
    <n v="-126966.64629198003"/>
    <n v="-139663.31092117805"/>
    <n v="-153629.64201329587"/>
    <n v="-8466230.5259349998"/>
    <n v="-4113633.9207312712"/>
    <n v="-822726.78414625407"/>
    <n v="-1054.6771047642833"/>
    <n v="-9.8811317033079424E-2"/>
    <s v="Confiabilidade em Crescimento"/>
  </r>
  <r>
    <n v="403"/>
    <x v="402"/>
    <s v="INJ102-INJETORA DE ALUMÍNIO"/>
    <n v="10006876"/>
    <s v="BR01-CIL-FCI-INJEC1-INJ102"/>
    <n v="4511"/>
    <n v="58813"/>
    <n v="2022"/>
    <n v="4297228.9000000004"/>
    <n v="4177861"/>
    <n v="41378.789999999986"/>
    <n v="1.4"/>
    <n v="2725"/>
    <n v="3843"/>
    <n v="66"/>
    <n v="66"/>
    <n v="132"/>
    <n v="198"/>
    <n v="264"/>
    <n v="330"/>
    <n v="396"/>
    <n v="462"/>
    <n v="380.76"/>
    <n v="4256.0200000000004"/>
    <n v="0.1"/>
    <n v="5.79E-2"/>
    <n v="0.8"/>
    <n v="-4297228.9000000004"/>
    <n v="-83822.640000000014"/>
    <n v="-92204.904000000024"/>
    <n v="-101425.39440000005"/>
    <n v="-111567.93384000004"/>
    <n v="-122724.72722400006"/>
    <n v="-134997.19994640007"/>
    <n v="-148496.91994104011"/>
    <n v="-4546038.4533100007"/>
    <n v="-16764.527999999998"/>
    <n v="-18440.980800000001"/>
    <n v="-20285.078880000005"/>
    <n v="-22313.586768000005"/>
    <n v="-24544.945444800007"/>
    <n v="-26999.439989280007"/>
    <n v="-29699.383988208014"/>
    <n v="-8297166.0133100012"/>
    <n v="-795239.71935144032"/>
    <n v="-159047.94387028803"/>
    <n v="-1155.386811118407"/>
    <n v="-0.13243926266023537"/>
    <s v="Fase de Degradação"/>
  </r>
  <r>
    <n v="404"/>
    <x v="403"/>
    <s v="JAT003-JATO DE GRANALHA"/>
    <n v="10003287"/>
    <s v="BR01-MOT-VIR-TRTTRM-JAT003"/>
    <n v="3349"/>
    <n v="20546"/>
    <n v="2003"/>
    <n v="134588.04999999999"/>
    <n v="0"/>
    <n v="514783.08000000007"/>
    <n v="2.35"/>
    <n v="4800"/>
    <n v="167224"/>
    <n v="630"/>
    <n v="31.5"/>
    <n v="63"/>
    <n v="94.5"/>
    <n v="126"/>
    <n v="157.5"/>
    <n v="189"/>
    <n v="220.5"/>
    <n v="388.7"/>
    <n v="1912.42"/>
    <n v="0.1"/>
    <n v="1.1931"/>
    <n v="0.8"/>
    <n v="-134588.04999999999"/>
    <n v="-38712.398999999998"/>
    <n v="-42583.638900000005"/>
    <n v="-46842.002790000013"/>
    <n v="-51526.20306900001"/>
    <n v="-56678.823375900014"/>
    <n v="-62346.705713490024"/>
    <n v="-68581.376284839032"/>
    <n v="-295165.052455"/>
    <n v="-7742.4797999999982"/>
    <n v="-8516.7277799999993"/>
    <n v="-9368.4005580000012"/>
    <n v="-10305.240613800001"/>
    <n v="-11335.76467518"/>
    <n v="-12469.341142698002"/>
    <n v="-13716.275256967803"/>
    <n v="-98083.748455000023"/>
    <n v="-367271.14913322905"/>
    <n v="-73454.229826645809"/>
    <n v="-0.19259044977383866"/>
    <n v="-6.5248391763181519E-4"/>
    <s v="Fase de Degradação"/>
  </r>
  <r>
    <n v="405"/>
    <x v="404"/>
    <s v="JAT012-JATO DE GRANALHA"/>
    <n v="10003208"/>
    <s v="BR01-CIL-FCI-JATEA1-JAT012"/>
    <n v="4614"/>
    <s v="Não encontrado"/>
    <n v="2003"/>
    <n v="467055.57"/>
    <n v="0"/>
    <n v="1146502.6699999983"/>
    <n v="1.51"/>
    <n v="3200"/>
    <n v="176032"/>
    <n v="1548"/>
    <n v="43"/>
    <n v="86"/>
    <n v="129"/>
    <n v="172"/>
    <n v="215"/>
    <n v="258"/>
    <n v="301"/>
    <n v="569.54"/>
    <n v="4656.6400000000003"/>
    <n v="0.1"/>
    <n v="1.1931"/>
    <n v="0.8"/>
    <n v="-467055.57"/>
    <n v="-88406.890000000014"/>
    <n v="-97247.579000000027"/>
    <n v="-106972.33690000004"/>
    <n v="-117669.57059000005"/>
    <n v="-129436.52764900005"/>
    <n v="-142380.18041390009"/>
    <n v="-156618.19845529011"/>
    <n v="-1024299.5705670002"/>
    <n v="-17681.378000000001"/>
    <n v="-19449.515800000001"/>
    <n v="-21394.467380000002"/>
    <n v="-23533.914118000004"/>
    <n v="-25887.305529800004"/>
    <n v="-28476.03608278001"/>
    <n v="-31323.639691058015"/>
    <n v="-574228.13056700001"/>
    <n v="-838731.28300819034"/>
    <n v="-167746.25660163804"/>
    <n v="-50.473506308635422"/>
    <n v="-4.9276117806723134E-2"/>
    <s v="Fase de Degradação"/>
  </r>
  <r>
    <n v="406"/>
    <x v="405"/>
    <s v="JAT014-JATO DE GRANALHA"/>
    <n v="10003950"/>
    <s v="BR01-CIL-FCI-JATEA1-JAT014"/>
    <n v="4614"/>
    <n v="20674"/>
    <n v="2003"/>
    <n v="465861"/>
    <n v="62035"/>
    <n v="948980.86000000034"/>
    <n v="1.17"/>
    <n v="3200"/>
    <n v="148214"/>
    <n v="1249"/>
    <n v="32"/>
    <n v="64"/>
    <n v="96"/>
    <n v="128"/>
    <n v="160"/>
    <n v="192"/>
    <n v="224"/>
    <n v="503.27"/>
    <n v="5167.3900000000003"/>
    <n v="0.1"/>
    <n v="1.1931"/>
    <n v="0.8"/>
    <n v="-465861"/>
    <n v="-85924.652000000016"/>
    <n v="-94517.117200000022"/>
    <n v="-103968.82892000004"/>
    <n v="-114365.71181200004"/>
    <n v="-125802.28299320006"/>
    <n v="-138382.51129252007"/>
    <n v="-152220.76242177212"/>
    <n v="-1021679.7591000001"/>
    <n v="-17184.930400000001"/>
    <n v="-18903.423439999999"/>
    <n v="-20793.765784000003"/>
    <n v="-22873.142362400002"/>
    <n v="-25160.456598640005"/>
    <n v="-27676.502258504006"/>
    <n v="-30444.152484354418"/>
    <n v="-646280.16710000008"/>
    <n v="-815181.86663949245"/>
    <n v="-163036.37332789844"/>
    <n v="-61.652752255486618"/>
    <n v="-5.6890202645839931E-2"/>
    <s v="Fase de Degradação"/>
  </r>
  <r>
    <n v="407"/>
    <x v="406"/>
    <s v="JAT016-JATO DE GRANALHA"/>
    <n v="10005494"/>
    <s v="BR01-CIL-FGR-JATEAM-JAT016"/>
    <n v="4716"/>
    <n v="51017"/>
    <n v="2008"/>
    <n v="33025.07"/>
    <n v="6281"/>
    <n v="18304.18"/>
    <n v="0.59"/>
    <n v="4500"/>
    <n v="122749"/>
    <n v="46"/>
    <n v="1"/>
    <n v="2"/>
    <n v="3"/>
    <n v="4"/>
    <n v="5"/>
    <n v="6"/>
    <n v="7"/>
    <n v="289.66000000000003"/>
    <n v="446.52"/>
    <n v="0.1"/>
    <n v="0.89119999999999999"/>
    <n v="0.8"/>
    <n v="-33025.07"/>
    <n v="-6212.6900000000005"/>
    <n v="-6833.9590000000007"/>
    <n v="-7517.3549000000021"/>
    <n v="-8269.0903900000012"/>
    <n v="-9095.9994290000031"/>
    <n v="-10005.599371900003"/>
    <n v="-11006.159309090006"/>
    <n v="-62457.012384000001"/>
    <n v="-1242.5379999999998"/>
    <n v="-1366.7917999999997"/>
    <n v="-1503.4709800000001"/>
    <n v="-1653.8180779999998"/>
    <n v="-1819.1998858000002"/>
    <n v="-2001.1198743800003"/>
    <n v="-2201.2318618180007"/>
    <n v="-37109.772384000004"/>
    <n v="-58940.852399990021"/>
    <n v="-11788.170479998"/>
    <n v="-3.0836186377154258"/>
    <n v="-4.4860456838481312E-2"/>
    <s v="Confiabilidade em Crescimento"/>
  </r>
  <r>
    <n v="408"/>
    <x v="407"/>
    <s v="JAT019-JATO DE GRANALHA"/>
    <n v="10005497"/>
    <s v="BR01-CIL-FGR-JATEAM-JAT019"/>
    <n v="4716"/>
    <n v="51018"/>
    <n v="2008"/>
    <n v="33055.839999999997"/>
    <n v="6281"/>
    <n v="57882.729999999974"/>
    <n v="0.94"/>
    <n v="4500"/>
    <n v="121723"/>
    <n v="118"/>
    <n v="4"/>
    <n v="8"/>
    <n v="12"/>
    <n v="16"/>
    <n v="20"/>
    <n v="24"/>
    <n v="28"/>
    <n v="292.20999999999998"/>
    <n v="665.76"/>
    <n v="0.1"/>
    <n v="0.89119999999999999"/>
    <n v="0.8"/>
    <n v="-33055.839999999997"/>
    <n v="-10073.755999999999"/>
    <n v="-11081.131600000001"/>
    <n v="-12189.244760000003"/>
    <n v="-13408.169236000002"/>
    <n v="-14748.986159600003"/>
    <n v="-16223.884775560005"/>
    <n v="-17846.273253116011"/>
    <n v="-62515.204607999993"/>
    <n v="-2014.7511999999995"/>
    <n v="-2216.2263199999998"/>
    <n v="-2437.8489520000003"/>
    <n v="-2681.6338471999998"/>
    <n v="-2949.7972319199998"/>
    <n v="-3244.7769551120005"/>
    <n v="-3569.2546506232015"/>
    <n v="-17511.628608000006"/>
    <n v="-95571.445784276031"/>
    <n v="-19114.2891568552"/>
    <n v="1.0944217170601194"/>
    <n v="1.5908169982575666E-2"/>
    <s v="Confiabilidade em Crescimento"/>
  </r>
  <r>
    <n v="409"/>
    <x v="408"/>
    <s v="JAT021-JATO DE GRANALHA"/>
    <n v="10005499"/>
    <s v="BR01-CIL-FGR-PINTUR-JAT021"/>
    <n v="4716"/>
    <n v="35659"/>
    <n v="2008"/>
    <n v="8565.89"/>
    <n v="0"/>
    <n v="41138.090000000004"/>
    <n v="1.42"/>
    <n v="4500"/>
    <n v="121378"/>
    <n v="102"/>
    <n v="6"/>
    <n v="12"/>
    <n v="18"/>
    <n v="24"/>
    <n v="30"/>
    <n v="36"/>
    <n v="42"/>
    <n v="328.5"/>
    <n v="472.61"/>
    <n v="0.1"/>
    <n v="0.89119999999999999"/>
    <n v="0.8"/>
    <n v="-8565.89"/>
    <n v="-8406.5519999999997"/>
    <n v="-9247.2072000000007"/>
    <n v="-10171.927920000002"/>
    <n v="-11189.120712000002"/>
    <n v="-12308.032783200004"/>
    <n v="-13538.836061520005"/>
    <n v="-14892.719667672009"/>
    <n v="-16199.811167999998"/>
    <n v="-1681.3103999999996"/>
    <n v="-1849.4414399999998"/>
    <n v="-2034.3855839999999"/>
    <n v="-2237.8241423999998"/>
    <n v="-2461.6065566400002"/>
    <n v="-2707.7672123040006"/>
    <n v="-2978.5439335344013"/>
    <n v="26597.180831999987"/>
    <n v="-79754.396344392022"/>
    <n v="-15950.879268878403"/>
    <n v="6.8005294153590885"/>
    <n v="0.41979065958450118"/>
    <s v="Fase de Degradação"/>
  </r>
  <r>
    <n v="410"/>
    <x v="409"/>
    <s v="JAT023-JATO DE GRANALHA"/>
    <n v="10005501"/>
    <s v="BR01-CIL-FGR-PINTUR-JAT023"/>
    <n v="4711"/>
    <n v="35667"/>
    <n v="2008"/>
    <n v="59609.7"/>
    <n v="0"/>
    <n v="224699.44999999995"/>
    <n v="1.19"/>
    <n v="4500"/>
    <n v="122175"/>
    <n v="403"/>
    <n v="18"/>
    <n v="36"/>
    <n v="54"/>
    <n v="72"/>
    <n v="90"/>
    <n v="108"/>
    <n v="126"/>
    <n v="344.28"/>
    <n v="1778.81"/>
    <n v="0.1"/>
    <n v="0.89119999999999999"/>
    <n v="0.8"/>
    <n v="-59609.7"/>
    <n v="-30297.036000000004"/>
    <n v="-33326.739600000008"/>
    <n v="-36659.413560000015"/>
    <n v="-40325.354916000011"/>
    <n v="-44357.890407600018"/>
    <n v="-48793.679448360024"/>
    <n v="-53673.047393196037"/>
    <n v="-112733.86464"/>
    <n v="-6059.4071999999996"/>
    <n v="-6665.3479200000002"/>
    <n v="-7331.8827120000014"/>
    <n v="-8065.0709832000002"/>
    <n v="-8871.5780815200014"/>
    <n v="-9758.7358896720034"/>
    <n v="-10734.609478639204"/>
    <n v="41505.591359999991"/>
    <n v="-287433.16132515616"/>
    <n v="-57486.632265031214"/>
    <n v="16.744666345732131"/>
    <n v="0.14853270930792542"/>
    <s v="Fase de Degradação"/>
  </r>
  <r>
    <n v="411"/>
    <x v="410"/>
    <s v="JAT024-JATO DE GRANALHA"/>
    <n v="10005502"/>
    <s v="BR01-CIL-FGR-PINTUR-JAT024"/>
    <n v="4711"/>
    <n v="35201"/>
    <n v="2008"/>
    <n v="59609.7"/>
    <n v="0"/>
    <n v="294904.7099999995"/>
    <n v="1.34"/>
    <n v="4500"/>
    <n v="122468"/>
    <n v="519"/>
    <n v="26"/>
    <n v="52"/>
    <n v="78"/>
    <n v="104"/>
    <n v="130"/>
    <n v="156"/>
    <n v="182"/>
    <n v="450.54"/>
    <n v="2283.0500000000002"/>
    <n v="0.1"/>
    <n v="0.89119999999999999"/>
    <n v="0.8"/>
    <n v="-59609.7"/>
    <n v="-43021.704000000005"/>
    <n v="-47323.874400000008"/>
    <n v="-52056.261840000014"/>
    <n v="-57261.888024000014"/>
    <n v="-62988.076826400022"/>
    <n v="-69286.884509040028"/>
    <n v="-76215.572959944053"/>
    <n v="-112733.86464"/>
    <n v="-8604.3407999999999"/>
    <n v="-9464.774879999999"/>
    <n v="-10411.252368000001"/>
    <n v="-11452.3776048"/>
    <n v="-12597.615365280002"/>
    <n v="-13857.376901808002"/>
    <n v="-15243.114591988808"/>
    <n v="106285.71935999999"/>
    <n v="-408154.26255938411"/>
    <n v="-81630.852511876816"/>
    <n v="30.541363629643893"/>
    <n v="0.27091560931733794"/>
    <s v="Fase de Degradação"/>
  </r>
  <r>
    <n v="412"/>
    <x v="411"/>
    <s v="JAT025-JATO DE GRANALHA"/>
    <n v="10005686"/>
    <s v="BR01-CIL-FGR-JATEAM-JAT025"/>
    <n v="4716"/>
    <n v="40190"/>
    <n v="2011"/>
    <n v="193626.91"/>
    <n v="15821"/>
    <n v="296101.80999999994"/>
    <n v="1.33"/>
    <n v="4500"/>
    <n v="109233"/>
    <n v="468"/>
    <n v="26"/>
    <n v="52"/>
    <n v="78"/>
    <n v="104"/>
    <n v="130"/>
    <n v="156"/>
    <n v="182"/>
    <n v="487.47"/>
    <n v="3798.93"/>
    <n v="0.1"/>
    <n v="0.73"/>
    <n v="0.8"/>
    <n v="-193626.91"/>
    <n v="-64087.518000000004"/>
    <n v="-70496.269800000009"/>
    <n v="-77545.896780000025"/>
    <n v="-85300.486458000014"/>
    <n v="-93830.535103800023"/>
    <n v="-103213.58861418004"/>
    <n v="-113534.94747559806"/>
    <n v="-334974.55430000002"/>
    <n v="-12817.503599999998"/>
    <n v="-14099.253959999998"/>
    <n v="-15509.179356000002"/>
    <n v="-17060.097291599999"/>
    <n v="-18766.107020759999"/>
    <n v="-20642.717722836005"/>
    <n v="-22706.989495119607"/>
    <n v="-24531.826300000073"/>
    <n v="-608009.24223157822"/>
    <n v="-121601.84844631561"/>
    <n v="19.373119926466092"/>
    <n v="5.522624129352055E-2"/>
    <s v="Fase de Degradação"/>
  </r>
  <r>
    <n v="413"/>
    <x v="412"/>
    <s v="JAT028-JATO DE GRANALHA"/>
    <n v="10006091"/>
    <s v="BR01-CIL-FGR-JATEAM-JAT028"/>
    <n v="4716"/>
    <n v="42465"/>
    <n v="2012"/>
    <n v="226271.91"/>
    <n v="29915"/>
    <n v="464888.95999999996"/>
    <n v="1.61"/>
    <n v="4500"/>
    <n v="92171"/>
    <n v="820"/>
    <n v="66"/>
    <n v="132"/>
    <n v="198"/>
    <n v="264"/>
    <n v="330"/>
    <n v="396"/>
    <n v="462"/>
    <n v="490.44"/>
    <n v="6561.18"/>
    <n v="0.1"/>
    <n v="0.66500000000000004"/>
    <n v="0.8"/>
    <n v="-226271.91"/>
    <n v="-122213.52000000002"/>
    <n v="-134434.87200000003"/>
    <n v="-147878.35920000006"/>
    <n v="-162666.19512000005"/>
    <n v="-178932.81463200008"/>
    <n v="-196826.0960952001"/>
    <n v="-216508.70570472017"/>
    <n v="-376742.73015000002"/>
    <n v="-24442.703999999998"/>
    <n v="-26886.974399999999"/>
    <n v="-29575.671840000006"/>
    <n v="-32533.239024000002"/>
    <n v="-35786.562926400009"/>
    <n v="-39365.219219040009"/>
    <n v="-43301.741140944025"/>
    <n v="215520.18985000008"/>
    <n v="-1159460.5627519204"/>
    <n v="-231892.11255038407"/>
    <n v="74.415817150219468"/>
    <n v="0.18299373559865786"/>
    <s v="Fase de Degradação"/>
  </r>
  <r>
    <n v="414"/>
    <x v="413"/>
    <s v="JAT029-JATO DE GRANALHA"/>
    <n v="10006097"/>
    <s v="BR01-MOT-SAB-LFACAS-JAT029"/>
    <n v="2566"/>
    <n v="42603"/>
    <n v="2012"/>
    <n v="376196.24"/>
    <n v="71363"/>
    <n v="1305617.2100000004"/>
    <n v="1.58"/>
    <n v="4863.5652"/>
    <n v="89180"/>
    <n v="266"/>
    <n v="24"/>
    <n v="48"/>
    <n v="72"/>
    <n v="96"/>
    <n v="120"/>
    <n v="144"/>
    <n v="168"/>
    <n v="599.58000000000004"/>
    <n v="7771.589722222212"/>
    <n v="0.1"/>
    <n v="0.66500000000000004"/>
    <n v="0.8"/>
    <n v="-376196.24"/>
    <n v="-118413.89633333321"/>
    <n v="-130255.28596666653"/>
    <n v="-143280.8145633332"/>
    <n v="-157608.89601966651"/>
    <n v="-173369.7856216332"/>
    <n v="-190706.76418379653"/>
    <n v="-209777.44060217621"/>
    <n v="-626366.73959999997"/>
    <n v="-23682.779266666636"/>
    <n v="-26051.057193333301"/>
    <n v="-28656.162912666634"/>
    <n v="-31521.779203933296"/>
    <n v="-34673.957124326633"/>
    <n v="-38141.352836759295"/>
    <n v="-41955.488120435235"/>
    <n v="-94895.358266667346"/>
    <n v="-1123412.8832906054"/>
    <n v="-224682.57665812105"/>
    <n v="28.714366718926328"/>
    <n v="4.1153995722452548E-2"/>
    <s v="Fase de Degradação"/>
  </r>
  <r>
    <n v="415"/>
    <x v="414"/>
    <s v="JAT033-JATO DE GRANALHA"/>
    <n v="10006615"/>
    <s v="BR01-CIL-FCI-JATEA2-JAT033"/>
    <n v="4614"/>
    <n v="51417"/>
    <n v="2019"/>
    <n v="1098717.56"/>
    <n v="733367"/>
    <n v="592878.60000000056"/>
    <n v="1.31"/>
    <n v="3200"/>
    <n v="31980"/>
    <n v="333"/>
    <n v="45"/>
    <n v="90"/>
    <n v="135"/>
    <n v="180"/>
    <n v="225"/>
    <n v="270"/>
    <n v="315"/>
    <n v="564.67999999999995"/>
    <n v="4857.87"/>
    <n v="0.1"/>
    <n v="0.24679999999999999"/>
    <n v="0.8"/>
    <n v="-1098717.56"/>
    <n v="-92075.544000000024"/>
    <n v="-101283.09840000003"/>
    <n v="-111411.40824000005"/>
    <n v="-122552.54906400005"/>
    <n v="-134807.80397040007"/>
    <n v="-148288.58436744008"/>
    <n v="-163117.4428041841"/>
    <n v="-1369881.0538079999"/>
    <n v="-18415.108800000002"/>
    <n v="-20256.619680000003"/>
    <n v="-22282.281648000004"/>
    <n v="-24510.509812800006"/>
    <n v="-26961.560794080007"/>
    <n v="-29657.716873488011"/>
    <n v="-32623.488560836813"/>
    <n v="-1634499.8298079998"/>
    <n v="-873536.4308460243"/>
    <n v="-174707.28616920486"/>
    <n v="-200.63127273302578"/>
    <n v="-9.5391160528961974E-2"/>
    <s v="Fase de Degradação"/>
  </r>
  <r>
    <n v="416"/>
    <x v="415"/>
    <s v="JAT034-JATO DE GRANALHA"/>
    <n v="10006895"/>
    <s v="BR01-CIL-FCI-JATEA2-JAT034"/>
    <n v="4614"/>
    <n v="57923"/>
    <n v="2022"/>
    <n v="1471068.28"/>
    <n v="1405687"/>
    <n v="20267.48"/>
    <n v="1.03"/>
    <n v="3200"/>
    <n v="4959"/>
    <n v="30"/>
    <n v="20"/>
    <n v="40"/>
    <n v="60"/>
    <n v="80"/>
    <n v="100"/>
    <n v="120"/>
    <n v="140"/>
    <n v="474.73"/>
    <n v="1955.03"/>
    <n v="0.1"/>
    <n v="5.79E-2"/>
    <n v="0.8"/>
    <n v="-1471068.28"/>
    <n v="-36250.456000000006"/>
    <n v="-39875.501600000003"/>
    <n v="-43863.051760000009"/>
    <n v="-48249.356936000011"/>
    <n v="-53074.292629600015"/>
    <n v="-58381.721892560025"/>
    <n v="-64219.894081816041"/>
    <n v="-1556243.133412"/>
    <n v="-7250.0911999999998"/>
    <n v="-7975.1003199999986"/>
    <n v="-8772.6103519999997"/>
    <n v="-9649.8713872000008"/>
    <n v="-10614.858525920001"/>
    <n v="-11676.344378512002"/>
    <n v="-12843.978816363206"/>
    <n v="-2777382.3574119997"/>
    <n v="-343914.2748999761"/>
    <n v="-68782.854979995202"/>
    <n v="-383.82838764171703"/>
    <n v="-0.12958725235006313"/>
    <s v="Fase de Vida Útil"/>
  </r>
  <r>
    <n v="417"/>
    <x v="416"/>
    <s v="LAS001-MÁQUINA LASER DE CORTE E SOLDA"/>
    <n v="10000510"/>
    <s v="BR01-MOT-SAB-LASERS-LAS001"/>
    <n v="2513"/>
    <n v="20089"/>
    <n v="1996"/>
    <n v="1728354.38"/>
    <n v="228571"/>
    <n v="4717426.110000005"/>
    <n v="1.03"/>
    <n v="4420"/>
    <n v="200099"/>
    <n v="3102"/>
    <n v="71"/>
    <n v="142"/>
    <n v="213"/>
    <n v="284"/>
    <n v="355"/>
    <n v="426"/>
    <n v="497"/>
    <n v="651.96"/>
    <n v="15119.82"/>
    <n v="0.1"/>
    <n v="1.7084999999999999"/>
    <n v="0.8"/>
    <n v="-1728354.38"/>
    <n v="-250499.7"/>
    <n v="-275549.67000000004"/>
    <n v="-303104.6370000001"/>
    <n v="-333415.10070000007"/>
    <n v="-366756.61077000014"/>
    <n v="-403432.27184700017"/>
    <n v="-443775.49903170025"/>
    <n v="-4681247.8382299999"/>
    <n v="-50099.939999999988"/>
    <n v="-55109.933999999994"/>
    <n v="-60620.927400000008"/>
    <n v="-66683.020139999993"/>
    <n v="-73351.322154000009"/>
    <n v="-80686.454369400017"/>
    <n v="-88755.099806340033"/>
    <n v="-3634547.6382299997"/>
    <n v="-2376533.4893487007"/>
    <n v="-475306.69786974008"/>
    <n v="-429.79886382157702"/>
    <n v="-8.7538640015589753E-2"/>
    <s v="Fase de Vida Útil"/>
  </r>
  <r>
    <n v="418"/>
    <x v="417"/>
    <s v="LAS003-MÁQUINA LASER DE CORTE"/>
    <n v="10004228"/>
    <s v="BR01-MOT-SAB-LASERS-LAS003"/>
    <n v="2513"/>
    <n v="33966"/>
    <n v="2005"/>
    <n v="2131320.17"/>
    <n v="19665"/>
    <n v="5301215.5499999886"/>
    <n v="1.0900000000000001"/>
    <n v="4634"/>
    <n v="151145"/>
    <n v="1729"/>
    <n v="58"/>
    <n v="116"/>
    <n v="174"/>
    <n v="232"/>
    <n v="290"/>
    <n v="348"/>
    <n v="406"/>
    <n v="745.71"/>
    <n v="14908.12"/>
    <n v="0.1"/>
    <n v="1.0241"/>
    <n v="0.8"/>
    <n v="-2131320.17"/>
    <n v="-244363.48200000002"/>
    <n v="-268799.83020000003"/>
    <n v="-295679.81322000007"/>
    <n v="-325247.79454200011"/>
    <n v="-357772.57399620011"/>
    <n v="-393549.83139582019"/>
    <n v="-432904.81453540229"/>
    <n v="-4314005.1560969995"/>
    <n v="-48872.696399999993"/>
    <n v="-53759.966039999992"/>
    <n v="-59135.962643999999"/>
    <n v="-65049.558908400009"/>
    <n v="-71554.514799240002"/>
    <n v="-78709.966279164015"/>
    <n v="-86580.962907080437"/>
    <n v="-3089637.8840969997"/>
    <n v="-2318318.1398894228"/>
    <n v="-463663.62797788443"/>
    <n v="-354.14509202649447"/>
    <n v="-8.1719438552159088E-2"/>
    <s v="Fase de Vida Útil"/>
  </r>
  <r>
    <n v="419"/>
    <x v="418"/>
    <s v="LAS005-MÁQUINA LASER DE SOLDA"/>
    <n v="10006430"/>
    <s v="BR01-MOT-SAB-LASERS-LAS005"/>
    <n v="2513"/>
    <n v="47154"/>
    <n v="2016"/>
    <n v="2020657.94"/>
    <n v="1034061"/>
    <n v="1367549.4799999974"/>
    <n v="1.1599999999999999"/>
    <n v="5081"/>
    <n v="54771"/>
    <n v="1378"/>
    <n v="150"/>
    <n v="300"/>
    <n v="450"/>
    <n v="600"/>
    <n v="750"/>
    <n v="900"/>
    <n v="1050"/>
    <n v="659.81"/>
    <n v="14558.36"/>
    <n v="0.1"/>
    <n v="0.37669999999999998"/>
    <n v="0.8"/>
    <n v="-2020657.94"/>
    <n v="-301039.00200000004"/>
    <n v="-331142.90220000007"/>
    <n v="-364257.19242000009"/>
    <n v="-400682.91166200012"/>
    <n v="-440751.20282820018"/>
    <n v="-484826.32311102026"/>
    <n v="-533308.95542212238"/>
    <n v="-2781839.7859979998"/>
    <n v="-60207.800399999993"/>
    <n v="-66228.580440000005"/>
    <n v="-72851.438483999998"/>
    <n v="-80136.582332400008"/>
    <n v="-88150.240565640022"/>
    <n v="-96965.264622204035"/>
    <n v="-106661.79108442445"/>
    <n v="-2283338.5939979996"/>
    <n v="-2856008.4896433433"/>
    <n v="-571201.69792866858"/>
    <n v="-218.72771346904651"/>
    <n v="-5.732007348609329E-2"/>
    <s v="Fase de Degradação"/>
  </r>
  <r>
    <n v="420"/>
    <x v="419"/>
    <s v="LAS006-MÁQUINA LASER DE GRAVAÇÃO"/>
    <n v="10006501"/>
    <s v="BR01-MOT-SAB-LFACAS-LAS004"/>
    <n v="2549"/>
    <n v="48671"/>
    <n v="2017"/>
    <n v="125950.69"/>
    <n v="57722"/>
    <n v="82284.390000000058"/>
    <n v="1.1399999999999999"/>
    <n v="4863.5652"/>
    <n v="45384"/>
    <n v="149"/>
    <n v="19"/>
    <n v="38"/>
    <n v="57"/>
    <n v="76"/>
    <n v="95"/>
    <n v="114"/>
    <n v="133"/>
    <n v="404.81"/>
    <n v="1514.46"/>
    <n v="0.1"/>
    <n v="0.31379999999999997"/>
    <n v="0.8"/>
    <n v="-125950.69"/>
    <n v="-28451.401000000002"/>
    <n v="-31296.541100000006"/>
    <n v="-34426.195210000013"/>
    <n v="-37868.814731000013"/>
    <n v="-41655.696204100015"/>
    <n v="-45821.265824510025"/>
    <n v="-50403.392406961029"/>
    <n v="-165474.01652200002"/>
    <n v="-5690.2801999999992"/>
    <n v="-6259.3082199999999"/>
    <n v="-6885.2390420000011"/>
    <n v="-7573.7629462000014"/>
    <n v="-8331.1392408200009"/>
    <n v="-9164.253164902002"/>
    <n v="-10080.678481392204"/>
    <n v="-78352.520521999977"/>
    <n v="-269923.30647657107"/>
    <n v="-53984.66129531421"/>
    <n v="-1.0367673343918735"/>
    <n v="-4.6450978406672467E-3"/>
    <s v="Fase de Degradação"/>
  </r>
  <r>
    <n v="421"/>
    <x v="420"/>
    <s v="LAS007-MÁQUINA LASER DE CORTE DE STELLIT"/>
    <n v="10006502"/>
    <s v="BR01-MOT-SAB-LASERS-LAS007"/>
    <n v="2516"/>
    <n v="49327"/>
    <n v="2018"/>
    <n v="1937750.51"/>
    <n v="973810"/>
    <n v="843232.5899999995"/>
    <n v="1.44"/>
    <n v="5374"/>
    <n v="42922"/>
    <n v="774"/>
    <n v="144"/>
    <n v="288"/>
    <n v="432"/>
    <n v="576"/>
    <n v="720"/>
    <n v="864"/>
    <n v="1008"/>
    <n v="698.81"/>
    <n v="14931.89"/>
    <n v="0.1"/>
    <n v="0.2843"/>
    <n v="0.8"/>
    <n v="-1937750.51"/>
    <n v="-307792.45199999999"/>
    <n v="-338571.6972"/>
    <n v="-372428.86692000006"/>
    <n v="-409671.75361200003"/>
    <n v="-450638.92897320009"/>
    <n v="-495702.82187052013"/>
    <n v="-545273.1040575722"/>
    <n v="-2488652.9799930002"/>
    <n v="-61558.490399999988"/>
    <n v="-67714.339439999982"/>
    <n v="-74485.773384"/>
    <n v="-81934.350722399991"/>
    <n v="-90127.785794640004"/>
    <n v="-99140.564374103997"/>
    <n v="-109054.62081151441"/>
    <n v="-1895519.5879930002"/>
    <n v="-2920079.6246332927"/>
    <n v="-584015.92492665839"/>
    <n v="-160.9141828980523"/>
    <n v="-4.6473907108279783E-2"/>
    <s v="Fase de Degradação"/>
  </r>
  <r>
    <n v="422"/>
    <x v="421"/>
    <s v="LAS008-MÁQUINA LASER DE GRAVAÇÃO"/>
    <n v="10006541"/>
    <s v="BR01-MOT-MON-LINHA1"/>
    <n v="4023"/>
    <n v="49680"/>
    <n v="2018"/>
    <n v="158710.24"/>
    <n v="83318"/>
    <n v="88442.330000000016"/>
    <n v="0.96"/>
    <n v="4547"/>
    <n v="42548"/>
    <n v="62"/>
    <n v="7"/>
    <n v="14"/>
    <n v="21"/>
    <n v="28"/>
    <n v="35"/>
    <n v="42"/>
    <n v="49"/>
    <n v="388.01"/>
    <n v="444.83"/>
    <n v="0.1"/>
    <n v="0.2843"/>
    <n v="0.8"/>
    <n v="-158710.24"/>
    <n v="-8859.4330000000009"/>
    <n v="-9745.3763000000017"/>
    <n v="-10719.913930000002"/>
    <n v="-11791.905323000003"/>
    <n v="-12971.095855300004"/>
    <n v="-14268.205440830006"/>
    <n v="-15695.025984913009"/>
    <n v="-203831.56123199998"/>
    <n v="-1771.8865999999998"/>
    <n v="-1949.0752599999998"/>
    <n v="-2143.982786"/>
    <n v="-2358.3810646000002"/>
    <n v="-2594.21917106"/>
    <n v="-2853.6410881660008"/>
    <n v="-3139.0051969826009"/>
    <n v="-242046.99323200001"/>
    <n v="-84050.955834043023"/>
    <n v="-16810.191166808603"/>
    <n v="-31.41554236639508"/>
    <n v="-0.10940480713816297"/>
    <s v="Confiabilidade em Crescimento"/>
  </r>
  <r>
    <n v="423"/>
    <x v="422"/>
    <s v="LAS009-MÁQUINA LASER DE GRAVAÇÃO"/>
    <n v="20003529"/>
    <s v="BR01-MOT-SAB-FINALL-LAS009"/>
    <n v="2534"/>
    <n v="51925"/>
    <n v="2019"/>
    <n v="180846.83"/>
    <n v="127928.47"/>
    <n v="59931.37000000001"/>
    <n v="1.1100000000000001"/>
    <n v="5406"/>
    <n v="34494"/>
    <n v="27"/>
    <n v="5"/>
    <n v="10"/>
    <n v="15"/>
    <n v="20"/>
    <n v="25"/>
    <n v="30"/>
    <n v="35"/>
    <n v="486.32"/>
    <n v="580.63"/>
    <n v="0.1"/>
    <n v="0.24679999999999999"/>
    <n v="0.8"/>
    <n v="-180846.83"/>
    <n v="-10339.076000000001"/>
    <n v="-11372.983600000001"/>
    <n v="-12510.281960000004"/>
    <n v="-13761.310156000003"/>
    <n v="-15137.441171600005"/>
    <n v="-16651.185288760007"/>
    <n v="-18316.30381763601"/>
    <n v="-225479.82764399998"/>
    <n v="-2067.8151999999995"/>
    <n v="-2274.5967199999996"/>
    <n v="-2502.0563920000004"/>
    <n v="-2752.2620311999999"/>
    <n v="-3027.4882343200002"/>
    <n v="-3330.2370577520005"/>
    <n v="-3663.2607635272011"/>
    <n v="-300773.001644"/>
    <n v="-98088.581993996035"/>
    <n v="-19617.716398799199"/>
    <n v="-39.276776006971879"/>
    <n v="-0.11113710761408521"/>
    <s v="Fase de Degradação"/>
  </r>
  <r>
    <n v="424"/>
    <x v="423"/>
    <s v="LAS010-MÁQUINA LASER GRAVAÇÃO"/>
    <n v="20004035"/>
    <s v="BR01-CIL-FER-FABMOL"/>
    <n v="1073"/>
    <n v="50461"/>
    <n v="2018"/>
    <n v="149010.54999999999"/>
    <n v="90836"/>
    <n v="9486.0399999999991"/>
    <n v="1.41"/>
    <n v="4116"/>
    <n v="24886"/>
    <n v="17"/>
    <n v="3.4"/>
    <n v="6.8"/>
    <n v="10.199999999999999"/>
    <n v="13.6"/>
    <n v="17"/>
    <n v="20.399999999999999"/>
    <n v="23.799999999999997"/>
    <n v="684.85"/>
    <n v="378.49"/>
    <n v="0.1"/>
    <n v="0.2843"/>
    <n v="0.8"/>
    <n v="-149010.54999999999"/>
    <n v="-7557.4070000000011"/>
    <n v="-8313.1477000000014"/>
    <n v="-9144.4624700000022"/>
    <n v="-10058.908717000004"/>
    <n v="-11064.799588700005"/>
    <n v="-12171.279547570004"/>
    <n v="-13388.407502327007"/>
    <n v="-191374.249365"/>
    <n v="-1511.4813999999999"/>
    <n v="-1662.6295399999999"/>
    <n v="-1828.8924939999999"/>
    <n v="-2011.7817434000003"/>
    <n v="-2212.9599177400005"/>
    <n v="-2434.2559095140005"/>
    <n v="-2677.6815004654009"/>
    <n v="-243736.17736499998"/>
    <n v="-71698.412525597028"/>
    <n v="-14339.682505119399"/>
    <n v="-32.121645620646049"/>
    <n v="-0.11382168327664506"/>
    <s v="Fase de Degradação"/>
  </r>
  <r>
    <n v="425"/>
    <x v="424"/>
    <s v="LAS011-MÁQUINA DE CORTE À LASER"/>
    <n v="10006897"/>
    <s v="BR01-MOT-SAB-LASERS-LAS011"/>
    <n v="2513"/>
    <n v="58019"/>
    <n v="2022"/>
    <n v="3733052.6"/>
    <n v="3577508"/>
    <n v="138936.10999999984"/>
    <n v="0.91"/>
    <n v="4877"/>
    <n v="4994"/>
    <n v="93"/>
    <n v="81"/>
    <n v="162"/>
    <n v="243"/>
    <n v="324"/>
    <n v="405"/>
    <n v="486"/>
    <n v="567"/>
    <n v="1044.18"/>
    <n v="12097.81"/>
    <n v="0.1"/>
    <n v="5.79E-2"/>
    <n v="0.8"/>
    <n v="-3733052.6"/>
    <n v="-252727.53"/>
    <n v="-278000.28300000005"/>
    <n v="-305800.31130000006"/>
    <n v="-336380.34243000008"/>
    <n v="-370018.37667300011"/>
    <n v="-407020.21434030018"/>
    <n v="-447722.23577433027"/>
    <n v="-3949196.3455400001"/>
    <n v="-50545.505999999987"/>
    <n v="-55600.056599999996"/>
    <n v="-61160.062259999999"/>
    <n v="-67276.068486000004"/>
    <n v="-74003.675334600004"/>
    <n v="-81404.042868060016"/>
    <n v="-89544.447154866037"/>
    <n v="-6240091.4655399993"/>
    <n v="-2397669.293517631"/>
    <n v="-479533.85870352597"/>
    <n v="-801.22413010369917"/>
    <n v="-0.10645085728370213"/>
    <s v="Confiabilidade em Crescimento"/>
  </r>
  <r>
    <n v="426"/>
    <x v="425"/>
    <s v="LAS012-MÁQUINA LASER DE GRAVAÇÃO"/>
    <n v="10006933"/>
    <s v="BR01-MOT-MON-LINHA1"/>
    <n v="4023"/>
    <n v="59267"/>
    <n v="2023"/>
    <n v="206226.06"/>
    <n v="201315"/>
    <m/>
    <m/>
    <n v="4547"/>
    <m/>
    <m/>
    <s v=""/>
    <m/>
    <m/>
    <m/>
    <m/>
    <m/>
    <m/>
    <s v="-"/>
    <s v="-"/>
    <m/>
    <n v="0"/>
    <m/>
    <m/>
    <m/>
    <m/>
    <m/>
    <m/>
    <m/>
    <m/>
    <m/>
    <m/>
    <m/>
    <m/>
    <m/>
    <m/>
    <m/>
    <m/>
    <m/>
    <m/>
    <m/>
    <m/>
    <m/>
    <m/>
    <m/>
  </r>
  <r>
    <n v="427"/>
    <x v="426"/>
    <s v="LAV015-LAVADORA DE PEÇAS"/>
    <n v="10001650"/>
    <s v="BR01-MOT-VIR-LBIELA-LAV015"/>
    <n v="3338"/>
    <n v="20525"/>
    <n v="2002"/>
    <n v="67146.38"/>
    <n v="0"/>
    <n v="81918.679999999935"/>
    <n v="1.4"/>
    <n v="4392"/>
    <n v="188751"/>
    <n v="154"/>
    <n v="5"/>
    <n v="10"/>
    <n v="15"/>
    <n v="20"/>
    <n v="25"/>
    <n v="30"/>
    <n v="35"/>
    <n v="424.62"/>
    <n v="548.61"/>
    <n v="0.1"/>
    <n v="1.3184"/>
    <n v="0.8"/>
    <n v="-67146.38"/>
    <n v="-9577.0620000000017"/>
    <n v="-10534.768200000002"/>
    <n v="-11588.245020000004"/>
    <n v="-12747.069522000003"/>
    <n v="-14021.776474200005"/>
    <n v="-15423.954121620007"/>
    <n v="-16966.34953378201"/>
    <n v="-155672.167392"/>
    <n v="-1915.4123999999999"/>
    <n v="-2106.9536400000002"/>
    <n v="-2317.6490040000003"/>
    <n v="-2549.4139044000003"/>
    <n v="-2804.3552948400006"/>
    <n v="-3084.7908243240008"/>
    <n v="-3393.2699067564013"/>
    <n v="-106916.21539199998"/>
    <n v="-90859.224871602026"/>
    <n v="-18171.844974320404"/>
    <n v="-11.854969642102626"/>
    <n v="-7.6153430897191024E-2"/>
    <s v="Fase de Degradação"/>
  </r>
  <r>
    <n v="428"/>
    <x v="427"/>
    <s v="LAV018-LAVADORA PEÇAS"/>
    <n v="10004224"/>
    <s v="BR01-MOT-SAB-LFACAS-LAV018"/>
    <n v="2568"/>
    <n v="34071"/>
    <n v="2006"/>
    <n v="119045.67"/>
    <n v="0"/>
    <n v="123172.56000000001"/>
    <n v="1.23"/>
    <n v="4863.5652"/>
    <n v="146917"/>
    <n v="136"/>
    <n v="6"/>
    <n v="12"/>
    <n v="18"/>
    <n v="24"/>
    <n v="30"/>
    <n v="36"/>
    <n v="42"/>
    <n v="457.93"/>
    <n v="894.65"/>
    <n v="0.1"/>
    <n v="0.96719999999999995"/>
    <n v="0.8"/>
    <n v="-119045.67"/>
    <n v="-14831.718000000001"/>
    <n v="-16314.889800000001"/>
    <n v="-17946.378780000003"/>
    <n v="-19741.016658000004"/>
    <n v="-21715.118323800005"/>
    <n v="-23886.63015618001"/>
    <n v="-26275.293171798014"/>
    <n v="-234186.642024"/>
    <n v="-2966.3435999999997"/>
    <n v="-3262.9779599999993"/>
    <n v="-3589.2757559999995"/>
    <n v="-3948.2033315999997"/>
    <n v="-4343.0236647600004"/>
    <n v="-4777.3260312360007"/>
    <n v="-5255.0586343596015"/>
    <n v="-158679.71402400002"/>
    <n v="-140711.04488977804"/>
    <n v="-28142.208977955597"/>
    <n v="-17.373972301739656"/>
    <n v="-7.4188570926086939E-2"/>
    <s v="Fase de Degradação"/>
  </r>
  <r>
    <n v="429"/>
    <x v="428"/>
    <s v="LAV035-LAVADORA DE SABRES"/>
    <n v="10006096"/>
    <s v="BR01-MOT-SAB-FINALL-LAV035"/>
    <n v="2537"/>
    <n v="42617"/>
    <n v="2012"/>
    <n v="386984.23"/>
    <n v="0"/>
    <n v="239048.17"/>
    <n v="0.94"/>
    <n v="4795.2647999999999"/>
    <n v="86012"/>
    <n v="198"/>
    <n v="11"/>
    <n v="22"/>
    <n v="33"/>
    <n v="44"/>
    <n v="55"/>
    <n v="66"/>
    <n v="77"/>
    <n v="441.05"/>
    <n v="512.35"/>
    <n v="0.1"/>
    <n v="0.66500000000000004"/>
    <n v="0.8"/>
    <n v="-386984.23"/>
    <n v="-12099.725"/>
    <n v="-13309.697500000002"/>
    <n v="-14640.667250000004"/>
    <n v="-16104.733975000005"/>
    <n v="-17715.207372500005"/>
    <n v="-19486.728109750009"/>
    <n v="-21435.400920725013"/>
    <n v="-644328.74294999999"/>
    <n v="-2419.9449999999997"/>
    <n v="-2661.9395"/>
    <n v="-2928.1334500000003"/>
    <n v="-3220.9467950000003"/>
    <n v="-3543.0414745000003"/>
    <n v="-3897.3456219500008"/>
    <n v="-4287.080184145002"/>
    <n v="-582730.14295000001"/>
    <n v="-114792.16012797505"/>
    <n v="-22958.432025595004"/>
    <n v="-78.927859263945706"/>
    <n v="-0.12249625696128617"/>
    <s v="Confiabilidade em Crescimento"/>
  </r>
  <r>
    <n v="430"/>
    <x v="429"/>
    <s v="LAV040-LAVADORA DE PEÇAS"/>
    <n v="10005281"/>
    <s v="BR01-MOT-VIR-USIDUR-LAV040"/>
    <n v="3338"/>
    <n v="35280"/>
    <n v="2008"/>
    <n v="161017.63"/>
    <n v="0"/>
    <n v="163374.80999999991"/>
    <n v="1.34"/>
    <n v="4392"/>
    <n v="127917"/>
    <n v="239"/>
    <n v="11"/>
    <n v="22"/>
    <n v="33"/>
    <n v="44"/>
    <n v="55"/>
    <n v="66"/>
    <n v="77"/>
    <n v="536.01"/>
    <n v="1371.86"/>
    <n v="0.1"/>
    <n v="0.89119999999999999"/>
    <n v="0.8"/>
    <n v="-161017.63"/>
    <n v="-24594.273000000001"/>
    <n v="-27053.700300000004"/>
    <n v="-29759.07033000001"/>
    <n v="-32734.977363000009"/>
    <n v="-36008.475099300013"/>
    <n v="-39609.322609230017"/>
    <n v="-43570.254870153025"/>
    <n v="-304516.54185600003"/>
    <n v="-4918.8545999999988"/>
    <n v="-5410.7400599999992"/>
    <n v="-5951.8140660000008"/>
    <n v="-6546.9954726000005"/>
    <n v="-7201.6950198600007"/>
    <n v="-7921.8645218460015"/>
    <n v="-8714.0509740306024"/>
    <n v="-179309.33385599998"/>
    <n v="-233330.07357168308"/>
    <n v="-46666.014714336605"/>
    <n v="-16.836068999807644"/>
    <n v="-5.5287863500594642E-2"/>
    <s v="Fase de Degradação"/>
  </r>
  <r>
    <n v="431"/>
    <x v="430"/>
    <s v="LAV041-LAVADORA DE PEÇAS"/>
    <n v="10005282"/>
    <s v="BR01-MOT-VIR-USIDUR-LAV041"/>
    <n v="3338"/>
    <n v="35281"/>
    <n v="2008"/>
    <n v="162603.85999999999"/>
    <n v="0"/>
    <n v="172581.72000000012"/>
    <n v="1.18"/>
    <n v="4392"/>
    <n v="126093"/>
    <n v="299"/>
    <n v="12"/>
    <n v="24"/>
    <n v="36"/>
    <n v="48"/>
    <n v="60"/>
    <n v="72"/>
    <n v="84"/>
    <n v="445.84"/>
    <n v="1305.56"/>
    <n v="0.1"/>
    <n v="0.89119999999999999"/>
    <n v="0.8"/>
    <n v="-162603.85999999999"/>
    <n v="-23118.48"/>
    <n v="-25430.328000000001"/>
    <n v="-27973.360800000006"/>
    <n v="-30770.696880000007"/>
    <n v="-33847.766568000014"/>
    <n v="-37232.543224800014"/>
    <n v="-40955.797547280024"/>
    <n v="-307516.42003199999"/>
    <n v="-4623.695999999999"/>
    <n v="-5086.065599999999"/>
    <n v="-5594.6721600000001"/>
    <n v="-6154.1393760000001"/>
    <n v="-6769.5533136000013"/>
    <n v="-7446.5086449600012"/>
    <n v="-8191.1595094560034"/>
    <n v="-189822.34003199995"/>
    <n v="-219328.97302008007"/>
    <n v="-43865.794604016002"/>
    <n v="-18.864748802276559"/>
    <n v="-6.1345500836389497E-2"/>
    <s v="Fase de Degradação"/>
  </r>
  <r>
    <n v="432"/>
    <x v="431"/>
    <s v="LAV055-LAVADORA MOLDES ULTRASSOM"/>
    <n v="20001365"/>
    <s v="BR01-CIL-FER-MANMOL-DEPMOL"/>
    <n v="1075"/>
    <n v="42602"/>
    <n v="2012"/>
    <n v="576791.1"/>
    <n v="162750"/>
    <n v="889030.37999999954"/>
    <n v="0.8"/>
    <n v="4116"/>
    <n v="89107"/>
    <n v="523"/>
    <n v="19"/>
    <n v="38"/>
    <n v="57"/>
    <n v="76"/>
    <n v="95"/>
    <n v="114"/>
    <n v="133"/>
    <n v="2435.96"/>
    <n v="2959.69"/>
    <n v="0.1"/>
    <n v="0.66500000000000004"/>
    <n v="0.8"/>
    <n v="-576791.1"/>
    <n v="-89979.471999999994"/>
    <n v="-98977.419200000004"/>
    <n v="-108875.16112000002"/>
    <n v="-119762.67723200002"/>
    <n v="-131738.94495520002"/>
    <n v="-144912.83945072006"/>
    <n v="-159404.12339579209"/>
    <n v="-960357.18149999995"/>
    <n v="-17995.894399999994"/>
    <n v="-19795.483839999997"/>
    <n v="-21775.032223999999"/>
    <n v="-23952.535446399997"/>
    <n v="-26347.788991039997"/>
    <n v="-28982.567890144004"/>
    <n v="-31880.82467915841"/>
    <n v="-665029.86950000015"/>
    <n v="-853650.63735371211"/>
    <n v="-170730.12747074239"/>
    <n v="-62.883810231004304"/>
    <n v="-5.5990925235664429E-2"/>
    <s v="Confiabilidade em Crescimento"/>
  </r>
  <r>
    <n v="433"/>
    <x v="432"/>
    <s v="LAV073-LAVADORA DE PEÇAS"/>
    <n v="20003145"/>
    <s v="BR01-CIL-CRO-REBAR1-REB009"/>
    <n v="4543"/>
    <n v="51258"/>
    <n v="2018"/>
    <n v="933346.58"/>
    <n v="916062"/>
    <n v="142495.18000000005"/>
    <n v="1.26"/>
    <n v="3676"/>
    <n v="39493"/>
    <n v="417"/>
    <n v="50"/>
    <n v="100"/>
    <n v="150"/>
    <n v="200"/>
    <n v="250"/>
    <n v="300"/>
    <n v="350"/>
    <n v="345.18"/>
    <n v="2480.59"/>
    <n v="0.1"/>
    <n v="0.2843"/>
    <n v="0.8"/>
    <n v="-933346.58"/>
    <n v="-51728.688000000009"/>
    <n v="-56901.556800000013"/>
    <n v="-62591.712480000024"/>
    <n v="-68850.883728000015"/>
    <n v="-75735.972100800034"/>
    <n v="-83309.569310880048"/>
    <n v="-91640.526241968066"/>
    <n v="-1198697.012694"/>
    <n v="-10345.7376"/>
    <n v="-11380.31136"/>
    <n v="-12518.342496000001"/>
    <n v="-13770.1767456"/>
    <n v="-15147.194420160004"/>
    <n v="-16661.913862176007"/>
    <n v="-18328.105248393607"/>
    <n v="-1851412.9646940003"/>
    <n v="-490758.90866164817"/>
    <n v="-98151.781732329619"/>
    <n v="-246.0216979663831"/>
    <n v="-0.11633557132969731"/>
    <s v="Fase de Degradação"/>
  </r>
  <r>
    <n v="434"/>
    <x v="433"/>
    <s v="LAV078-LAVADORA FLEXICLEAN EKFE 2"/>
    <n v="20003487"/>
    <s v="BR01-MOT-VIR-TRTTRM-LAV078"/>
    <n v="3342"/>
    <n v="50255"/>
    <n v="2018"/>
    <n v="922234.54"/>
    <n v="564554"/>
    <n v="114950.24000000002"/>
    <n v="0.84"/>
    <n v="4392"/>
    <n v="36618"/>
    <n v="63"/>
    <n v="7"/>
    <n v="14"/>
    <n v="21"/>
    <n v="28"/>
    <n v="35"/>
    <n v="42"/>
    <n v="49"/>
    <n v="416.65"/>
    <n v="1039.1500000000001"/>
    <n v="0.1"/>
    <n v="0.2843"/>
    <n v="0.8"/>
    <n v="-922234.54"/>
    <n v="-16924.985000000001"/>
    <n v="-18617.483500000002"/>
    <n v="-20479.231850000007"/>
    <n v="-22527.155035000007"/>
    <n v="-24779.87053850001"/>
    <n v="-27257.857592350014"/>
    <n v="-29983.643351585019"/>
    <n v="-1184425.819722"/>
    <n v="-3384.9969999999994"/>
    <n v="-3723.4966999999997"/>
    <n v="-4095.8463700000007"/>
    <n v="-4505.4310070000001"/>
    <n v="-4955.9741077000008"/>
    <n v="-5451.5715184700011"/>
    <n v="-5996.7286703170021"/>
    <n v="-1662816.259722"/>
    <n v="-160570.22686743506"/>
    <n v="-32114.045373487006"/>
    <n v="-231.50337688972172"/>
    <n v="-0.1323648073461014"/>
    <s v="Confiabilidade em Crescimento"/>
  </r>
  <r>
    <n v="435"/>
    <x v="434"/>
    <s v="LAV079-LAVADORA FLEXICLEAN EKFE 4"/>
    <n v="20003488"/>
    <s v="BR01-MOT-VIR-TRTTRM-LAV079"/>
    <n v="3342"/>
    <n v="50255"/>
    <n v="2018"/>
    <n v="922234.54"/>
    <n v="564554"/>
    <n v="188808.65000000008"/>
    <n v="1.03"/>
    <n v="4392"/>
    <n v="35907"/>
    <n v="152"/>
    <n v="19"/>
    <n v="38"/>
    <n v="57"/>
    <n v="76"/>
    <n v="95"/>
    <n v="114"/>
    <n v="133"/>
    <n v="599.47"/>
    <n v="2122.36"/>
    <n v="0.1"/>
    <n v="0.2843"/>
    <n v="0.8"/>
    <n v="-922234.54"/>
    <n v="-40544.075000000004"/>
    <n v="-44598.482500000006"/>
    <n v="-49058.330750000016"/>
    <n v="-53964.163825000018"/>
    <n v="-59360.580207500017"/>
    <n v="-65296.638228250027"/>
    <n v="-71826.30205107505"/>
    <n v="-1184425.819722"/>
    <n v="-8108.8149999999987"/>
    <n v="-8919.6965"/>
    <n v="-9811.6661500000009"/>
    <n v="-10792.832765000001"/>
    <n v="-11872.116041500001"/>
    <n v="-13059.327645650003"/>
    <n v="-14365.260410215007"/>
    <n v="-1542573.6197220001"/>
    <n v="-384648.57256182516"/>
    <n v="-76929.714512365012"/>
    <n v="-205.89442309607713"/>
    <n v="-0.11772258363095578"/>
    <s v="Fase de Vida Útil"/>
  </r>
  <r>
    <n v="436"/>
    <x v="435"/>
    <s v="LAV081-LAVADORA DE PEÇAS"/>
    <n v="10006605"/>
    <s v="BR01-CIL-CRO-REBAR1-REB002"/>
    <n v="4543"/>
    <n v="51284"/>
    <n v="2019"/>
    <n v="194287.98"/>
    <n v="126115"/>
    <n v="27512.290000000005"/>
    <n v="1.22"/>
    <n v="4299"/>
    <n v="34384"/>
    <n v="69"/>
    <n v="11"/>
    <n v="22"/>
    <n v="33"/>
    <n v="44"/>
    <n v="55"/>
    <n v="66"/>
    <n v="77"/>
    <n v="406.49"/>
    <n v="675.66"/>
    <n v="0.1"/>
    <n v="0.24679999999999999"/>
    <n v="0.8"/>
    <n v="-194287.98"/>
    <n v="-13837.241000000002"/>
    <n v="-15220.965100000003"/>
    <n v="-16743.061610000008"/>
    <n v="-18417.367771000008"/>
    <n v="-20259.104548100007"/>
    <n v="-22285.015002910011"/>
    <n v="-24513.516503201019"/>
    <n v="-242238.25346400001"/>
    <n v="-2767.4481999999998"/>
    <n v="-3044.1930200000002"/>
    <n v="-3348.6123220000009"/>
    <n v="-3683.4735542000008"/>
    <n v="-4051.8209096200007"/>
    <n v="-4457.0030005820017"/>
    <n v="-4902.7033006402025"/>
    <n v="-297909.11746400001"/>
    <n v="-131276.27153521104"/>
    <n v="-26255.254307042203"/>
    <n v="-37.618890890833022"/>
    <n v="-0.10212721222648195"/>
    <s v="Fase de Degradação"/>
  </r>
  <r>
    <n v="437"/>
    <x v="436"/>
    <s v="LAV082-LAVADORA DE PEÇAS"/>
    <n v="10006606"/>
    <s v="BR01-CIL-CRO-REBAR1-REB002"/>
    <n v="4543"/>
    <n v="51285"/>
    <n v="2019"/>
    <n v="194287.98"/>
    <n v="126115"/>
    <n v="21856.739999999998"/>
    <n v="1.55"/>
    <n v="4299"/>
    <n v="30495"/>
    <n v="31"/>
    <n v="7"/>
    <n v="14"/>
    <n v="21"/>
    <n v="28"/>
    <n v="35"/>
    <n v="42"/>
    <n v="49"/>
    <n v="404.02"/>
    <n v="715.98"/>
    <n v="0.1"/>
    <n v="0.24679999999999999"/>
    <n v="0.8"/>
    <n v="-194287.98"/>
    <n v="-12561.890000000001"/>
    <n v="-13818.079000000002"/>
    <n v="-15199.886900000005"/>
    <n v="-16719.875590000003"/>
    <n v="-18391.863149000004"/>
    <n v="-20231.04946390001"/>
    <n v="-22254.154410290012"/>
    <n v="-242238.25346400001"/>
    <n v="-2512.3779999999997"/>
    <n v="-2763.6157999999996"/>
    <n v="-3039.9773800000003"/>
    <n v="-3343.9751179999998"/>
    <n v="-3678.3726298000001"/>
    <n v="-4046.2098927800012"/>
    <n v="-4450.8308820580014"/>
    <n v="-304401.81346400001"/>
    <n v="-119176.79851319004"/>
    <n v="-23835.359702638005"/>
    <n v="-39.001687807635427"/>
    <n v="-0.10588120897769443"/>
    <s v="Fase de Degradação"/>
  </r>
  <r>
    <n v="438"/>
    <x v="437"/>
    <s v="LAV083-LAVADORA DE PEÇAS"/>
    <n v="10006607"/>
    <s v="BR01-CIL-CRO-REBAR1-REB003"/>
    <n v="4543"/>
    <n v="51286"/>
    <n v="2019"/>
    <n v="194287.98"/>
    <n v="126115"/>
    <n v="20453.170000000002"/>
    <n v="1.38"/>
    <n v="4315"/>
    <n v="32605"/>
    <n v="41"/>
    <n v="8"/>
    <n v="16"/>
    <n v="24"/>
    <n v="32"/>
    <n v="40"/>
    <n v="48"/>
    <n v="56"/>
    <n v="371.34"/>
    <n v="739.97"/>
    <n v="0.1"/>
    <n v="0.24679999999999999"/>
    <n v="0.8"/>
    <n v="-194287.98"/>
    <n v="-13035.395999999999"/>
    <n v="-14338.935600000001"/>
    <n v="-15772.829160000003"/>
    <n v="-17350.112076000001"/>
    <n v="-19085.123283600005"/>
    <n v="-20993.635611960006"/>
    <n v="-23092.999173156011"/>
    <n v="-242238.25346400001"/>
    <n v="-2607.0791999999992"/>
    <n v="-2867.7871199999995"/>
    <n v="-3154.5658319999998"/>
    <n v="-3470.0224151999996"/>
    <n v="-3817.0246567200002"/>
    <n v="-4198.7271223920006"/>
    <n v="-4618.5998346312008"/>
    <n v="-301991.23746400006"/>
    <n v="-123669.03090471604"/>
    <n v="-24733.8061809432"/>
    <n v="-38.488289820032449"/>
    <n v="-0.10448744366471029"/>
    <s v="Fase de Degradação"/>
  </r>
  <r>
    <n v="439"/>
    <x v="438"/>
    <s v="LAV084-LAVADORA DE PEÇAS"/>
    <n v="10006608"/>
    <s v="BR01-CIL-CRO-REBAR1-REB003"/>
    <n v="4543"/>
    <n v="51287"/>
    <n v="2019"/>
    <n v="194287.99"/>
    <n v="126115"/>
    <n v="25205.21"/>
    <n v="1.43"/>
    <n v="4315"/>
    <n v="32705"/>
    <n v="14"/>
    <n v="3"/>
    <n v="6"/>
    <n v="9"/>
    <n v="12"/>
    <n v="15"/>
    <n v="18"/>
    <n v="21"/>
    <n v="773.57"/>
    <n v="864.67"/>
    <n v="0.1"/>
    <n v="0.24679999999999999"/>
    <n v="0.8"/>
    <n v="-194287.99"/>
    <n v="-13966.425000000001"/>
    <n v="-15363.067500000003"/>
    <n v="-16899.374250000004"/>
    <n v="-18589.311675000004"/>
    <n v="-20448.242842500007"/>
    <n v="-22493.067126750011"/>
    <n v="-24742.373839425014"/>
    <n v="-242238.26593199998"/>
    <n v="-2793.2849999999994"/>
    <n v="-3072.6134999999999"/>
    <n v="-3379.8748500000002"/>
    <n v="-3717.8623350000003"/>
    <n v="-4089.6485685000007"/>
    <n v="-4498.6134253500013"/>
    <n v="-4948.4747678850017"/>
    <n v="-297251.46593200002"/>
    <n v="-132501.86223367506"/>
    <n v="-26500.372446735004"/>
    <n v="-37.478825163579998"/>
    <n v="-0.10174696040430599"/>
    <s v="Fase de Degradação"/>
  </r>
  <r>
    <n v="440"/>
    <x v="439"/>
    <s v="LAV085-LAVADORA DE PEÇAS"/>
    <n v="10006609"/>
    <s v="BR01-CIL-CRO-REBAR1-REB008"/>
    <n v="4543"/>
    <n v="51288"/>
    <n v="2019"/>
    <n v="194287.77"/>
    <n v="126115"/>
    <n v="21953.669999999995"/>
    <n v="1.8"/>
    <n v="4500"/>
    <n v="34209"/>
    <n v="36"/>
    <n v="9"/>
    <n v="18"/>
    <n v="27"/>
    <n v="36"/>
    <n v="45"/>
    <n v="54"/>
    <n v="63"/>
    <n v="510.63"/>
    <n v="766.14"/>
    <n v="0.1"/>
    <n v="0.24679999999999999"/>
    <n v="0.8"/>
    <n v="-194287.77"/>
    <n v="-15168.285000000002"/>
    <n v="-16685.113500000003"/>
    <n v="-18353.624850000007"/>
    <n v="-20188.987335000005"/>
    <n v="-22207.886068500007"/>
    <n v="-24428.674675350012"/>
    <n v="-26871.542142885017"/>
    <n v="-242237.99163599996"/>
    <n v="-3033.6569999999997"/>
    <n v="-3337.0227"/>
    <n v="-3670.7249700000007"/>
    <n v="-4037.7974670000003"/>
    <n v="-4441.5772137000004"/>
    <n v="-4885.7349350700015"/>
    <n v="-5374.3084285770019"/>
    <n v="-291132.63163599995"/>
    <n v="-143904.11357173504"/>
    <n v="-28780.822714347007"/>
    <n v="-36.175671539801705"/>
    <n v="-9.820925134646355E-2"/>
    <s v="Fase de Degradação"/>
  </r>
  <r>
    <n v="441"/>
    <x v="440"/>
    <s v="LAV087-LAVADORA DE MOLDES"/>
    <n v="20004110"/>
    <s v="BR01-CIL-FER-MANMOL-DEPMOL"/>
    <n v="1074"/>
    <n v="2017"/>
    <n v="2016"/>
    <n v="99651.45"/>
    <n v="48183"/>
    <n v="4168.67"/>
    <n v="2.11"/>
    <n v="4116"/>
    <n v="14410"/>
    <n v="13"/>
    <n v="1.8571428571428572"/>
    <n v="3.7142857142857144"/>
    <n v="5.5714285714285712"/>
    <n v="7.4285714285714288"/>
    <n v="9.2857142857142865"/>
    <n v="11.142857142857144"/>
    <n v="13.000000000000002"/>
    <n v="688.76"/>
    <n v="459.96"/>
    <n v="0.1"/>
    <n v="0.37669999999999998"/>
    <n v="0.8"/>
    <n v="-99651.45"/>
    <n v="-7478.5102857142865"/>
    <n v="-8226.3613142857157"/>
    <n v="-9048.9974457142871"/>
    <n v="-9953.8971902857174"/>
    <n v="-10949.286909314289"/>
    <n v="-12044.21560024572"/>
    <n v="-13248.637160270295"/>
    <n v="-137190.15121499999"/>
    <n v="-1495.702057142857"/>
    <n v="-1645.2722628571428"/>
    <n v="-1809.7994891428571"/>
    <n v="-1990.7794380571431"/>
    <n v="-2189.8573818628574"/>
    <n v="-2408.8431200491432"/>
    <n v="-2649.7274320540582"/>
    <n v="-147300.73521499999"/>
    <n v="-70949.90590583031"/>
    <n v="-14189.981181166058"/>
    <n v="-18.373318070047958"/>
    <n v="-9.911531389320867E-2"/>
    <s v="Fase de Degradação"/>
  </r>
  <r>
    <n v="442"/>
    <x v="441"/>
    <s v="LIX005-LIXADEIRA"/>
    <n v="10001671"/>
    <s v="BR01-MOT-SAB-LASERS-LIX005"/>
    <n v="2533"/>
    <n v="36093"/>
    <n v="2008"/>
    <n v="22393.59"/>
    <n v="0"/>
    <n v="241471.86000000019"/>
    <n v="0.96"/>
    <n v="4251.8483999999999"/>
    <n v="198002"/>
    <n v="350"/>
    <n v="8"/>
    <n v="16"/>
    <n v="24"/>
    <n v="32"/>
    <n v="40"/>
    <n v="48"/>
    <n v="56"/>
    <n v="664.68"/>
    <n v="1687.51"/>
    <n v="0.1"/>
    <n v="0.89119999999999999"/>
    <n v="0.8"/>
    <n v="-22393.59"/>
    <n v="-28124.315999999999"/>
    <n v="-30936.747600000002"/>
    <n v="-34030.422360000004"/>
    <n v="-37433.464596000005"/>
    <n v="-41176.81105560001"/>
    <n v="-45294.492161160015"/>
    <n v="-49823.941377276024"/>
    <n v="-42350.757407999998"/>
    <n v="-5624.8631999999989"/>
    <n v="-6187.3495199999988"/>
    <n v="-6806.0844719999996"/>
    <n v="-7486.6929191999998"/>
    <n v="-8235.3622111200002"/>
    <n v="-9058.8984322320011"/>
    <n v="-9964.7882754552029"/>
    <n v="100827.57859199998"/>
    <n v="-266820.19515003607"/>
    <n v="-53364.039030007203"/>
    <n v="24.443628387432696"/>
    <n v="0.57717098544299772"/>
    <s v="Confiabilidade em Crescimento"/>
  </r>
  <r>
    <n v="443"/>
    <x v="442"/>
    <s v="LUB006-LUBRIFICADORA"/>
    <n v="10006299"/>
    <s v="BR01-MOT-SAB-FINALL-LUB006"/>
    <n v="2526"/>
    <n v="45293"/>
    <n v="2014"/>
    <n v="739802.62"/>
    <n v="190124"/>
    <n v="233523.63000000024"/>
    <n v="1.02"/>
    <n v="5406"/>
    <n v="69617"/>
    <n v="161"/>
    <n v="13"/>
    <n v="26"/>
    <n v="39"/>
    <n v="52"/>
    <n v="65"/>
    <n v="78"/>
    <n v="91"/>
    <n v="413.16"/>
    <n v="1243"/>
    <n v="0.1"/>
    <n v="0.54749999999999999"/>
    <n v="0.8"/>
    <n v="-739802.62"/>
    <n v="-22315.788000000004"/>
    <n v="-24547.366800000007"/>
    <n v="-27002.103480000009"/>
    <n v="-29702.313828000009"/>
    <n v="-32672.545210800014"/>
    <n v="-35939.799731880019"/>
    <n v="-39533.779705068031"/>
    <n v="-1144844.5544499999"/>
    <n v="-4463.1575999999995"/>
    <n v="-4909.47336"/>
    <n v="-5400.4206960000001"/>
    <n v="-5940.4627656000002"/>
    <n v="-6534.5090421600016"/>
    <n v="-7187.9599463760023"/>
    <n v="-7906.7559410136046"/>
    <n v="-1221360.9064499999"/>
    <n v="-211713.6967557481"/>
    <n v="-42342.739351149605"/>
    <n v="-166.51394243505734"/>
    <n v="-0.12473248293377233"/>
    <s v="Fase de Vida Útil"/>
  </r>
  <r>
    <n v="444"/>
    <x v="443"/>
    <s v="MAC001-MÁQUINA DE COLA"/>
    <n v="10005822"/>
    <s v="BR01-CIL-UCI-BRUNI1-MACC01"/>
    <n v="4563"/>
    <n v="42717"/>
    <n v="2012"/>
    <n v="747033.24"/>
    <n v="265075"/>
    <n v="151557.24999999983"/>
    <n v="1.43"/>
    <n v="3867"/>
    <n v="105791"/>
    <n v="390"/>
    <n v="21"/>
    <n v="42"/>
    <n v="63"/>
    <n v="84"/>
    <n v="105"/>
    <n v="126"/>
    <n v="147"/>
    <n v="351.94"/>
    <n v="969.65"/>
    <n v="0.1"/>
    <n v="0.66500000000000004"/>
    <n v="0.8"/>
    <n v="-747033.24"/>
    <n v="-20929.194000000003"/>
    <n v="-23022.113400000006"/>
    <n v="-25324.324740000007"/>
    <n v="-27856.757214000008"/>
    <n v="-30642.432935400011"/>
    <n v="-33706.676228940014"/>
    <n v="-37077.343851834026"/>
    <n v="-1243810.3446"/>
    <n v="-4185.8387999999995"/>
    <n v="-4604.4226799999997"/>
    <n v="-5064.8649480000004"/>
    <n v="-5571.3514428000008"/>
    <n v="-6128.4865870800013"/>
    <n v="-6741.335245788001"/>
    <n v="-7415.4687703668033"/>
    <n v="-1402336.7205999999"/>
    <n v="-198558.84237017407"/>
    <n v="-39711.768474034805"/>
    <n v="-192.86261010055154"/>
    <n v="-0.12781793579662523"/>
    <s v="Fase de Degradação"/>
  </r>
  <r>
    <n v="445"/>
    <x v="444"/>
    <s v="MAC002-MÁQUINA DE COLA"/>
    <n v="10005702"/>
    <s v="BR01-CIL-UCI-BRUNI1-MACC02"/>
    <n v="4563"/>
    <n v="36438"/>
    <n v="2009"/>
    <n v="448914.03"/>
    <n v="324"/>
    <n v="165851.47999999975"/>
    <n v="1.44"/>
    <n v="4099"/>
    <n v="106391"/>
    <n v="438"/>
    <n v="25"/>
    <n v="50"/>
    <n v="75"/>
    <n v="100"/>
    <n v="125"/>
    <n v="150"/>
    <n v="175"/>
    <n v="313.74"/>
    <n v="795.43"/>
    <n v="0.1"/>
    <n v="0.83220000000000005"/>
    <n v="0.8"/>
    <n v="-448914.03"/>
    <n v="-19127.526000000002"/>
    <n v="-21040.278600000001"/>
    <n v="-23144.306460000007"/>
    <n v="-25458.737106000008"/>
    <n v="-28004.610816600009"/>
    <n v="-30805.071898260016"/>
    <n v="-33885.579088086022"/>
    <n v="-822500.28576600004"/>
    <n v="-3825.5051999999996"/>
    <n v="-4208.0557199999994"/>
    <n v="-4628.8612920000005"/>
    <n v="-5091.7474212000006"/>
    <n v="-5600.9221633200004"/>
    <n v="-6161.0143796520015"/>
    <n v="-6777.115817617203"/>
    <n v="-725447.789766"/>
    <n v="-181466.10996894605"/>
    <n v="-36293.221993789208"/>
    <n v="-96.807342541549019"/>
    <n v="-0.11765251003916005"/>
    <s v="Fase de Degradação"/>
  </r>
  <r>
    <n v="446"/>
    <x v="445"/>
    <s v="MAC004-MÁQUINA DE COLA"/>
    <n v="10006168"/>
    <s v="BR01-MOT-MON-LINHA2"/>
    <n v="4026"/>
    <n v="44516"/>
    <n v="2014"/>
    <n v="301618.11"/>
    <n v="67707"/>
    <n v="48544.19000000001"/>
    <n v="0.77"/>
    <n v="2994"/>
    <n v="75948"/>
    <n v="39"/>
    <n v="2"/>
    <n v="4"/>
    <n v="6"/>
    <n v="8"/>
    <n v="10"/>
    <n v="12"/>
    <n v="14"/>
    <n v="250.37"/>
    <n v="481.11"/>
    <n v="0.1"/>
    <n v="0.54749999999999999"/>
    <n v="0.8"/>
    <n v="-301618.11"/>
    <n v="-6901.4660000000003"/>
    <n v="-7591.6126000000004"/>
    <n v="-8350.7738600000012"/>
    <n v="-9185.851246000002"/>
    <n v="-10104.436370600002"/>
    <n v="-11114.880007660004"/>
    <n v="-12226.368008426007"/>
    <n v="-466754.02522499993"/>
    <n v="-1380.2931999999998"/>
    <n v="-1518.3225199999997"/>
    <n v="-1670.1547719999999"/>
    <n v="-1837.1702491999999"/>
    <n v="-2020.88727412"/>
    <n v="-2222.9760015320003"/>
    <n v="-2445.2736016852009"/>
    <n v="-499326.28922500001"/>
    <n v="-65475.388092686015"/>
    <n v="-13095.077618537201"/>
    <n v="-68.868673535835882"/>
    <n v="-0.12885630623270092"/>
    <s v="Confiabilidade em Crescimento"/>
  </r>
  <r>
    <n v="447"/>
    <x v="446"/>
    <s v="MAC005-MÁQUINA DE COLA"/>
    <n v="20001348"/>
    <s v="BR01-MOT-MON-LINHA3"/>
    <n v="4022"/>
    <n v="46408"/>
    <n v="2015"/>
    <n v="283691.59000000003"/>
    <n v="93715"/>
    <n v="37454.39"/>
    <n v="0.79"/>
    <n v="2753"/>
    <n v="83553"/>
    <n v="61"/>
    <n v="2"/>
    <n v="4"/>
    <n v="6"/>
    <n v="8"/>
    <n v="10"/>
    <n v="12"/>
    <n v="14"/>
    <n v="263.61"/>
    <n v="265.99"/>
    <n v="0.1"/>
    <n v="0.4834"/>
    <n v="0.8"/>
    <n v="-283691.59000000003"/>
    <n v="-4091.0100000000007"/>
    <n v="-4500.1110000000008"/>
    <n v="-4950.1221000000023"/>
    <n v="-5445.1343100000022"/>
    <n v="-5989.6477410000025"/>
    <n v="-6588.6125151000033"/>
    <n v="-7247.4737666100054"/>
    <n v="-420828.10460600007"/>
    <n v="-818.202"/>
    <n v="-900.0222"/>
    <n v="-990.02442000000019"/>
    <n v="-1089.0268620000002"/>
    <n v="-1197.9295482000002"/>
    <n v="-1317.7225030200004"/>
    <n v="-1449.4947533220009"/>
    <n v="-493716.14460600005"/>
    <n v="-38812.111432710015"/>
    <n v="-7762.4222865420024"/>
    <n v="-69.070487922833152"/>
    <n v="-0.13423654365307713"/>
    <s v="Confiabilidade em Crescimento"/>
  </r>
  <r>
    <n v="448"/>
    <x v="447"/>
    <s v="MAC007-MÁQUINA DE COLA"/>
    <n v="10006081"/>
    <s v="BR01-CIL-UCI-BRUNI2-MACC02"/>
    <n v="4566"/>
    <n v="41686"/>
    <n v="2012"/>
    <n v="117303.93"/>
    <n v="8178"/>
    <n v="236432.75999999963"/>
    <n v="1.19"/>
    <n v="4099"/>
    <n v="93637"/>
    <n v="402"/>
    <n v="21"/>
    <n v="42"/>
    <n v="63"/>
    <n v="84"/>
    <n v="105"/>
    <n v="126"/>
    <n v="147"/>
    <n v="350.8"/>
    <n v="882.54"/>
    <n v="0.1"/>
    <n v="0.66500000000000004"/>
    <n v="0.8"/>
    <n v="-117303.93"/>
    <n v="-19753.008000000002"/>
    <n v="-21728.308800000003"/>
    <n v="-23901.139680000008"/>
    <n v="-26291.253648000005"/>
    <n v="-28920.379012800007"/>
    <n v="-31812.416914080011"/>
    <n v="-34993.658605488017"/>
    <n v="-195311.04345"/>
    <n v="-3950.6015999999995"/>
    <n v="-4345.66176"/>
    <n v="-4780.2279360000002"/>
    <n v="-5258.2507296000003"/>
    <n v="-5784.0758025599998"/>
    <n v="-6362.4833828160008"/>
    <n v="-6998.7317210976016"/>
    <n v="-102928.27544999997"/>
    <n v="-187400.16466036806"/>
    <n v="-37480.032932073605"/>
    <n v="-7.6527016745293626"/>
    <n v="-3.7607438438864813E-2"/>
    <s v="Fase de Degradação"/>
  </r>
  <r>
    <n v="449"/>
    <x v="448"/>
    <s v="MAC008-MÁQUINA DE COLA"/>
    <n v="10006082"/>
    <s v="BR01-CIL-UCI-BRUNI2-MACC01"/>
    <n v="4566"/>
    <n v="41685"/>
    <n v="2012"/>
    <n v="585798.09"/>
    <n v="29994"/>
    <n v="466606.94"/>
    <n v="1.34"/>
    <n v="3867"/>
    <n v="94328"/>
    <n v="588"/>
    <n v="33"/>
    <n v="66"/>
    <n v="99"/>
    <n v="132"/>
    <n v="165"/>
    <n v="198"/>
    <n v="231"/>
    <n v="456.45"/>
    <n v="562.9"/>
    <n v="0.1"/>
    <n v="0.66500000000000004"/>
    <n v="0.8"/>
    <n v="-585798.09"/>
    <n v="-23999.415000000005"/>
    <n v="-26399.356500000005"/>
    <n v="-29039.292150000012"/>
    <n v="-31943.221365000012"/>
    <n v="-35137.543501500011"/>
    <n v="-38651.297851650022"/>
    <n v="-42516.427636815031"/>
    <n v="-975353.81984999997"/>
    <n v="-4799.8829999999998"/>
    <n v="-5279.8712999999998"/>
    <n v="-5807.8584300000011"/>
    <n v="-6388.6442730000008"/>
    <n v="-7027.5087003000008"/>
    <n v="-7730.259570330003"/>
    <n v="-8503.2855273630048"/>
    <n v="-883168.97985"/>
    <n v="-227686.55400496509"/>
    <n v="-45537.310800993007"/>
    <n v="-117.59979666371827"/>
    <n v="-0.1169742395037614"/>
    <s v="Fase de Degradação"/>
  </r>
  <r>
    <n v="450"/>
    <x v="449"/>
    <s v="MAC010-MÁQUINA DE COLA"/>
    <n v="10006199"/>
    <s v="BR01-CIL-UCI-BRUNI1-MACC03"/>
    <n v="4563"/>
    <n v="40157"/>
    <n v="2011"/>
    <n v="414790.39"/>
    <n v="40808"/>
    <n v="224219.42999999993"/>
    <n v="1.45"/>
    <n v="4354"/>
    <n v="89281"/>
    <n v="522"/>
    <n v="38"/>
    <n v="76"/>
    <n v="114"/>
    <n v="152"/>
    <n v="190"/>
    <n v="228"/>
    <n v="266"/>
    <n v="347.64"/>
    <n v="1650.94"/>
    <n v="0.1"/>
    <n v="0.73"/>
    <n v="0.8"/>
    <n v="-414790.39"/>
    <n v="-36323.760000000002"/>
    <n v="-39956.136000000006"/>
    <n v="-43951.74960000001"/>
    <n v="-48346.924560000014"/>
    <n v="-53181.617016000018"/>
    <n v="-58499.778717600027"/>
    <n v="-64349.75658936004"/>
    <n v="-717587.37470000004"/>
    <n v="-7264.7519999999986"/>
    <n v="-7991.2271999999994"/>
    <n v="-8790.3499200000006"/>
    <n v="-9669.3849120000013"/>
    <n v="-10636.323403200002"/>
    <n v="-11699.955743520002"/>
    <n v="-12869.951317872004"/>
    <n v="-573474.41470000008"/>
    <n v="-344609.72248296009"/>
    <n v="-68921.944496592012"/>
    <n v="-68.958228101947427"/>
    <n v="-9.0926488217607293E-2"/>
    <s v="Fase de Degradação"/>
  </r>
  <r>
    <n v="451"/>
    <x v="450"/>
    <s v="MAC011-MÁQUINA DE COLA"/>
    <n v="10006399"/>
    <s v="BR01-CIL-UCI-BRUNI2-MACC04"/>
    <n v="4566"/>
    <n v="46284"/>
    <n v="2015"/>
    <n v="670896.03"/>
    <n v="211528"/>
    <n v="182480.93999999977"/>
    <n v="1.28"/>
    <n v="3724"/>
    <n v="56311"/>
    <n v="243"/>
    <n v="21"/>
    <n v="42"/>
    <n v="63"/>
    <n v="84"/>
    <n v="105"/>
    <n v="126"/>
    <n v="147"/>
    <n v="351.26"/>
    <n v="399.92"/>
    <n v="0.1"/>
    <n v="0.4834"/>
    <n v="0.8"/>
    <n v="-670896.03"/>
    <n v="-13393.050000000001"/>
    <n v="-14732.355000000001"/>
    <n v="-16205.590500000006"/>
    <n v="-17826.149550000006"/>
    <n v="-19608.764505000006"/>
    <n v="-21569.64095550001"/>
    <n v="-23726.605051050014"/>
    <n v="-995207.17090200004"/>
    <n v="-2678.6099999999997"/>
    <n v="-2946.4709999999995"/>
    <n v="-3241.1181000000006"/>
    <n v="-3565.2299100000005"/>
    <n v="-3921.7529010000003"/>
    <n v="-4313.9281911000007"/>
    <n v="-4745.321010210002"/>
    <n v="-1138552.370902"/>
    <n v="-127062.15556155005"/>
    <n v="-25412.431112310001"/>
    <n v="-157.86934949325143"/>
    <n v="-0.13082352557541571"/>
    <s v="Fase de Degradação"/>
  </r>
  <r>
    <n v="452"/>
    <x v="451"/>
    <s v="MAG002-MAGNETIZADORA"/>
    <n v="10005331"/>
    <s v="BR01-CIL-UCI-VOLANT-MAG002"/>
    <n v="2373"/>
    <n v="36296"/>
    <n v="2009"/>
    <n v="162367.74"/>
    <n v="0"/>
    <n v="89576.959999999948"/>
    <n v="1.32"/>
    <n v="4433"/>
    <n v="111140"/>
    <n v="161"/>
    <n v="9"/>
    <n v="18"/>
    <n v="27"/>
    <n v="36"/>
    <n v="45"/>
    <n v="54"/>
    <n v="63"/>
    <n v="280.02"/>
    <n v="315.01"/>
    <n v="0.1"/>
    <n v="0.83220000000000005"/>
    <n v="0.8"/>
    <n v="-162367.74"/>
    <n v="-6930.33"/>
    <n v="-7623.3630000000003"/>
    <n v="-8385.699300000002"/>
    <n v="-9224.2692300000017"/>
    <n v="-10146.696153000003"/>
    <n v="-11161.365768300004"/>
    <n v="-12277.502345130006"/>
    <n v="-297490.173228"/>
    <n v="-1386.0659999999996"/>
    <n v="-1524.6725999999996"/>
    <n v="-1677.13986"/>
    <n v="-1844.853846"/>
    <n v="-2029.3392306000001"/>
    <n v="-2232.2731536600004"/>
    <n v="-2455.5004690260007"/>
    <n v="-262208.49322800001"/>
    <n v="-65749.225796430008"/>
    <n v="-13149.845159286"/>
    <n v="-34.984398941550857"/>
    <n v="-0.11759850270663696"/>
    <s v="Fase de Degradação"/>
  </r>
  <r>
    <n v="453"/>
    <x v="452"/>
    <s v="MAG003-MAGNETIZADORA"/>
    <n v="10006294"/>
    <s v="BR01-CIL-UCI-VOLANT-MAG003"/>
    <n v="2373"/>
    <n v="45328"/>
    <n v="2014"/>
    <n v="436691.62"/>
    <n v="147920"/>
    <n v="356203.62999999971"/>
    <n v="1.23"/>
    <n v="3523.5"/>
    <n v="72083"/>
    <n v="344"/>
    <n v="21"/>
    <n v="42"/>
    <n v="63"/>
    <n v="84"/>
    <n v="105"/>
    <n v="126"/>
    <n v="147"/>
    <n v="424.17"/>
    <n v="1180.21"/>
    <n v="0.1"/>
    <n v="0.54749999999999999"/>
    <n v="0.8"/>
    <n v="-436691.62"/>
    <n v="-25377.099000000002"/>
    <n v="-27914.808900000004"/>
    <n v="-30706.28979000001"/>
    <n v="-33776.918769000011"/>
    <n v="-37154.610645900015"/>
    <n v="-40870.071710490018"/>
    <n v="-44957.078881539026"/>
    <n v="-675780.28194999998"/>
    <n v="-5075.4197999999997"/>
    <n v="-5582.9617799999996"/>
    <n v="-6141.2579580000011"/>
    <n v="-6755.3837538000007"/>
    <n v="-7430.9221291800013"/>
    <n v="-8174.0143420980021"/>
    <n v="-8991.4157763078038"/>
    <n v="-694507.77795000002"/>
    <n v="-240756.87769692909"/>
    <n v="-48151.375539385808"/>
    <n v="-90.156397113208087"/>
    <n v="-0.10945291520330053"/>
    <s v="Fase de Degradação"/>
  </r>
  <r>
    <n v="454"/>
    <x v="453"/>
    <s v="MAG004-MAGNETIZADORA"/>
    <n v="10006795"/>
    <s v="BR01-CIL-UCI-VOLAN4-MAG004"/>
    <n v="4549"/>
    <n v="55783"/>
    <n v="2021"/>
    <n v="222113.86"/>
    <n v="197629"/>
    <n v="20401.070000000003"/>
    <n v="4.04"/>
    <n v="4152.4427999999998"/>
    <n v="9311"/>
    <n v="20"/>
    <n v="10"/>
    <n v="20"/>
    <n v="30"/>
    <n v="40"/>
    <n v="50"/>
    <n v="60"/>
    <n v="70"/>
    <n v="427.73"/>
    <n v="916.33"/>
    <n v="0.1"/>
    <n v="0.1585"/>
    <n v="0.8"/>
    <n v="-222113.86"/>
    <n v="-16800.586000000003"/>
    <n v="-18480.644600000007"/>
    <n v="-20328.709060000008"/>
    <n v="-22361.579966000008"/>
    <n v="-24597.737962600011"/>
    <n v="-27057.511758860015"/>
    <n v="-29763.262934746021"/>
    <n v="-257318.90681000001"/>
    <n v="-3360.1171999999997"/>
    <n v="-3696.1289200000006"/>
    <n v="-4065.7418120000007"/>
    <n v="-4472.3159932000008"/>
    <n v="-4919.5475925200008"/>
    <n v="-5411.5023517720019"/>
    <n v="-5952.6525869492025"/>
    <n v="-369417.65081000002"/>
    <n v="-159390.03228220608"/>
    <n v="-31878.00645644121"/>
    <n v="-46.776554426319308"/>
    <n v="-0.10281738574050549"/>
    <s v="Fase de Degradação"/>
  </r>
  <r>
    <n v="455"/>
    <x v="454"/>
    <s v="MAN010-MANDRILADORA"/>
    <n v="10004501"/>
    <s v="BR01-CIL-UCI-USINA1-MAN010"/>
    <n v="4544"/>
    <n v="34289"/>
    <n v="2006"/>
    <n v="2627991.15"/>
    <n v="327965"/>
    <n v="6174713.5200000443"/>
    <n v="1.46"/>
    <n v="4726"/>
    <n v="149302"/>
    <n v="5584"/>
    <n v="260"/>
    <n v="520"/>
    <n v="780"/>
    <n v="1040"/>
    <n v="1300"/>
    <n v="1560"/>
    <n v="1820"/>
    <n v="708.4"/>
    <n v="16927.75"/>
    <n v="0.1"/>
    <n v="0.96719999999999995"/>
    <n v="0.8"/>
    <n v="-2627991.15"/>
    <n v="-426048.7"/>
    <n v="-468653.57000000007"/>
    <n v="-515518.92700000014"/>
    <n v="-567070.81970000011"/>
    <n v="-623777.90167000017"/>
    <n v="-686155.69183700031"/>
    <n v="-754771.26102070045"/>
    <n v="-5169784.1902799997"/>
    <n v="-85209.739999999991"/>
    <n v="-93730.713999999993"/>
    <n v="-103103.78540000001"/>
    <n v="-113414.16394"/>
    <n v="-124755.580334"/>
    <n v="-137231.13836740004"/>
    <n v="-150954.25220414007"/>
    <n v="-3328773.9902799996"/>
    <n v="-4041996.8712277012"/>
    <n v="-808399.37424554012"/>
    <n v="-323.45024189969121"/>
    <n v="-5.8833211684438065E-2"/>
    <s v="Fase de Degradação"/>
  </r>
  <r>
    <n v="456"/>
    <x v="455"/>
    <s v="MAQ021-MÁQUINA APLICAÇÃO ISOLAÇÃO"/>
    <n v="10006158"/>
    <s v="BR01-MOT-VIR-TRTTRM-MAQ021"/>
    <n v="3341"/>
    <n v="42282"/>
    <n v="2012"/>
    <n v="165403.01"/>
    <n v="46802"/>
    <n v="393302.68999999872"/>
    <n v="1.03"/>
    <n v="4800"/>
    <n v="87627"/>
    <n v="655"/>
    <n v="37"/>
    <n v="74"/>
    <n v="111"/>
    <n v="148"/>
    <n v="185"/>
    <n v="222"/>
    <n v="259"/>
    <n v="660.5"/>
    <n v="4134.7"/>
    <n v="0.1"/>
    <n v="0.66500000000000004"/>
    <n v="0.8"/>
    <n v="-165403.01"/>
    <n v="-81460.39"/>
    <n v="-89606.429000000004"/>
    <n v="-98567.071900000024"/>
    <n v="-108423.77909000003"/>
    <n v="-119266.15699900003"/>
    <n v="-131192.77269890005"/>
    <n v="-144312.04996879009"/>
    <n v="-275396.01165"/>
    <n v="-16292.077999999996"/>
    <n v="-17921.285799999998"/>
    <n v="-19713.414380000002"/>
    <n v="-21684.755818000001"/>
    <n v="-23853.231399799999"/>
    <n v="-26238.554539780005"/>
    <n v="-28862.40999375801"/>
    <n v="92509.428349999944"/>
    <n v="-772828.64965669019"/>
    <n v="-154565.72993133802"/>
    <n v="42.294986867907461"/>
    <n v="0.13127016722204984"/>
    <s v="Fase de Vida Útil"/>
  </r>
  <r>
    <n v="457"/>
    <x v="456"/>
    <s v="MAQ159-MÁQUINA MONTAGEM TUBO"/>
    <n v="10006295"/>
    <s v="BR01-MOT-MON-LINHA5"/>
    <n v="4011"/>
    <n v="67388000000"/>
    <n v="2015"/>
    <n v="144520.76999999999"/>
    <n v="53809"/>
    <n v="150149.02999999991"/>
    <n v="1.63"/>
    <n v="3580"/>
    <n v="70929"/>
    <n v="243"/>
    <n v="21"/>
    <n v="42"/>
    <n v="63"/>
    <n v="84"/>
    <n v="105"/>
    <n v="126"/>
    <n v="147"/>
    <n v="435.1"/>
    <n v="1699.84"/>
    <n v="0.1"/>
    <n v="0.4834"/>
    <n v="0.8"/>
    <n v="-144520.76999999999"/>
    <n v="-32488.698000000004"/>
    <n v="-35737.567800000004"/>
    <n v="-39311.324580000015"/>
    <n v="-43242.457038000015"/>
    <n v="-47566.702741800014"/>
    <n v="-52323.373015980025"/>
    <n v="-57555.710317578036"/>
    <n v="-214382.11021799999"/>
    <n v="-6497.739599999999"/>
    <n v="-7147.5135599999994"/>
    <n v="-7862.264916000001"/>
    <n v="-8648.4914076000005"/>
    <n v="-9513.34054836"/>
    <n v="-10464.674603196003"/>
    <n v="-11511.142063515605"/>
    <n v="-102794.10221799999"/>
    <n v="-308225.83349335811"/>
    <n v="-61645.166698671608"/>
    <n v="-3.0872062033304903"/>
    <n v="-1.1511217507623744E-2"/>
    <s v="Fase de Degradação"/>
  </r>
  <r>
    <n v="458"/>
    <x v="457"/>
    <s v="MAQ201-MAQUINA MEDIÇÃO COORD DURAMAX"/>
    <n v="20002364"/>
    <s v="BR01-CIL-UCI-USINA2-MAQ201"/>
    <n v="168"/>
    <n v="46628"/>
    <n v="2016"/>
    <n v="16799.75"/>
    <n v="6277"/>
    <n v="15971.91"/>
    <n v="1.31"/>
    <n v="3124"/>
    <n v="46928"/>
    <n v="44"/>
    <n v="4"/>
    <n v="8"/>
    <n v="12"/>
    <n v="16"/>
    <n v="20"/>
    <n v="24"/>
    <n v="28"/>
    <n v="731.26"/>
    <n v="1417.32"/>
    <n v="0.1"/>
    <n v="0.37669999999999998"/>
    <n v="0.8"/>
    <n v="-16799.75"/>
    <n v="-21926.168000000001"/>
    <n v="-24118.784800000005"/>
    <n v="-26530.663280000008"/>
    <n v="-29183.729608000009"/>
    <n v="-32102.102568800012"/>
    <n v="-35312.312825680019"/>
    <n v="-38843.544108248025"/>
    <n v="-23128.215824999999"/>
    <n v="-4385.2335999999996"/>
    <n v="-4823.7569599999997"/>
    <n v="-5306.1326560000007"/>
    <n v="-5836.7459216000007"/>
    <n v="-6420.4205137600011"/>
    <n v="-7062.462565136002"/>
    <n v="-7768.7088216496031"/>
    <n v="82218.912175000005"/>
    <n v="-208017.30519072808"/>
    <n v="-41603.461038145608"/>
    <n v="19.572661189654639"/>
    <n v="0.66561868840337413"/>
    <s v="Fase de Degradação"/>
  </r>
  <r>
    <n v="459"/>
    <x v="458"/>
    <s v="MAQ240-MÁQUINA DE CORTE E USINAGEM"/>
    <n v="20002892"/>
    <s v="BR01-CIL-FGR-VAZAM1-COQC03"/>
    <n v="4713"/>
    <n v="50143"/>
    <n v="2018"/>
    <n v="406883.38"/>
    <n v="255706"/>
    <n v="265459.81999999983"/>
    <n v="1.1399999999999999"/>
    <n v="3654"/>
    <n v="35025"/>
    <n v="328"/>
    <n v="40"/>
    <n v="80"/>
    <n v="120"/>
    <n v="160"/>
    <n v="200"/>
    <n v="240"/>
    <n v="280"/>
    <n v="525.97"/>
    <n v="4399.68"/>
    <n v="0.1"/>
    <n v="0.2843"/>
    <n v="0.8"/>
    <n v="-406883.38"/>
    <n v="-81218.45600000002"/>
    <n v="-89340.301600000021"/>
    <n v="-98274.331760000045"/>
    <n v="-108101.76493600004"/>
    <n v="-118911.94142960005"/>
    <n v="-130803.13557256007"/>
    <n v="-143883.44912981612"/>
    <n v="-522560.32493400003"/>
    <n v="-16243.691200000001"/>
    <n v="-17868.060320000001"/>
    <n v="-19654.866352000005"/>
    <n v="-21620.352987200004"/>
    <n v="-23782.388285920006"/>
    <n v="-26160.627114512008"/>
    <n v="-28776.689825963218"/>
    <n v="-364790.54893400008"/>
    <n v="-770533.38042797637"/>
    <n v="-154106.67608559525"/>
    <n v="-23.119945798802704"/>
    <n v="-2.9706984689030921E-2"/>
    <s v="Fase de Degradação"/>
  </r>
  <r>
    <n v="460"/>
    <x v="459"/>
    <s v="MAQ243-MÁQUINA DE CORTE E USINAGEM"/>
    <n v="20003344"/>
    <s v="BR01-CIL-FGR-VAZAM1-COQC04"/>
    <n v="4713"/>
    <n v="50303"/>
    <n v="2018"/>
    <n v="344944.27"/>
    <n v="216581"/>
    <n v="470340.91000000009"/>
    <n v="1.49"/>
    <n v="3992"/>
    <n v="34881"/>
    <n v="465"/>
    <n v="82"/>
    <n v="164"/>
    <n v="246"/>
    <n v="328"/>
    <n v="410"/>
    <n v="492"/>
    <n v="574"/>
    <n v="640.80999999999995"/>
    <n v="8779.94"/>
    <n v="0.1"/>
    <n v="0.2843"/>
    <n v="0.8"/>
    <n v="-344944.27"/>
    <n v="-173696.27000000002"/>
    <n v="-191065.89700000006"/>
    <n v="-210172.48670000007"/>
    <n v="-231189.73537000007"/>
    <n v="-254308.70890700011"/>
    <n v="-279739.57979770016"/>
    <n v="-307713.53777747019"/>
    <n v="-443011.92596100003"/>
    <n v="-34739.253999999994"/>
    <n v="-38213.179400000001"/>
    <n v="-42034.497340000002"/>
    <n v="-46237.947074000003"/>
    <n v="-50861.741781400007"/>
    <n v="-55947.91595954002"/>
    <n v="-61542.707555494024"/>
    <n v="224678.99403900024"/>
    <n v="-1647886.2155521705"/>
    <n v="-329577.24311043404"/>
    <n v="94.102292354390897"/>
    <n v="0.14266722496650142"/>
    <s v="Fase de Degradação"/>
  </r>
  <r>
    <n v="461"/>
    <x v="460"/>
    <s v="MAQ248-MÁQUINA DE ESCOVAR"/>
    <n v="10006834"/>
    <s v="BR01-MOT-VIR-USIDUR-RET042"/>
    <n v="3319"/>
    <n v="57796"/>
    <n v="2022"/>
    <n v="270000"/>
    <n v="250152"/>
    <m/>
    <n v="0.98"/>
    <n v="3938.13"/>
    <n v="79177"/>
    <n v="567"/>
    <n v="34"/>
    <n v="68"/>
    <n v="102"/>
    <n v="136"/>
    <n v="170"/>
    <n v="204"/>
    <n v="238"/>
    <n v="1405.78"/>
    <n v="938.25"/>
    <n v="0.1"/>
    <n v="5.79E-2"/>
    <n v="0.8"/>
    <n v="-270000"/>
    <n v="-64961.072"/>
    <n v="-71457.179200000013"/>
    <n v="-78602.897120000023"/>
    <n v="-86463.186832000021"/>
    <n v="-95109.505515200028"/>
    <n v="-104620.45606672004"/>
    <n v="-115082.50167339206"/>
    <n v="-285633"/>
    <n v="-12992.214399999997"/>
    <n v="-14291.43584"/>
    <n v="-15720.579424000001"/>
    <n v="-17292.637366400002"/>
    <n v="-19021.90110304"/>
    <n v="-20924.091213344003"/>
    <n v="-23016.500334678407"/>
    <n v="-205074.08800000005"/>
    <n v="-616296.79840731213"/>
    <n v="-123259.3596814624"/>
    <n v="-6.106794467735746"/>
    <n v="-1.139784515754593E-2"/>
    <s v="Confiabilidade em Crescimento"/>
  </r>
  <r>
    <n v="462"/>
    <x v="461"/>
    <s v="MAQ252-MÁQUINA DE CORTE E USINAGEM"/>
    <n v="20003493"/>
    <s v="BR01-CIL-FGR-VAZAM1-COQC05"/>
    <n v="4713"/>
    <n v="50304"/>
    <n v="2018"/>
    <n v="344854.79"/>
    <n v="216527"/>
    <n v="465489.41000000003"/>
    <n v="1.42"/>
    <n v="3881"/>
    <n v="35655"/>
    <n v="490"/>
    <n v="78"/>
    <n v="156"/>
    <n v="234"/>
    <n v="312"/>
    <n v="390"/>
    <n v="468"/>
    <n v="546"/>
    <n v="600.41999999999996"/>
    <n v="7331.8"/>
    <n v="0.1"/>
    <n v="0.2843"/>
    <n v="0.8"/>
    <n v="-344854.79"/>
    <n v="-148295.796"/>
    <n v="-163125.3756"/>
    <n v="-179437.91316000003"/>
    <n v="-197381.70447600004"/>
    <n v="-217119.87492360006"/>
    <n v="-238831.86241596009"/>
    <n v="-262715.04865755612"/>
    <n v="-442897.00679699995"/>
    <n v="-29659.159199999995"/>
    <n v="-32625.075119999994"/>
    <n v="-35887.582631999998"/>
    <n v="-39476.340895200003"/>
    <n v="-43423.97498472"/>
    <n v="-47766.372483192004"/>
    <n v="-52543.009731511214"/>
    <n v="95536.409202999901"/>
    <n v="-1406907.5752331163"/>
    <n v="-281381.51504662324"/>
    <n v="66.58600762707043"/>
    <n v="0.10097601382530279"/>
    <s v="Fase de Degradação"/>
  </r>
  <r>
    <n v="463"/>
    <x v="462"/>
    <s v="MAQ254-MÁQUINA DE CORTE E USINAGEM"/>
    <n v="20003531"/>
    <s v="BR01-CIL-FGR-VAZAM1-COQC02"/>
    <n v="4713"/>
    <n v="50305"/>
    <n v="2018"/>
    <n v="368386.86"/>
    <n v="231422"/>
    <n v="315704.64999999985"/>
    <n v="1.21"/>
    <n v="3404"/>
    <n v="31261"/>
    <n v="319"/>
    <n v="43"/>
    <n v="86"/>
    <n v="129"/>
    <n v="172"/>
    <n v="215"/>
    <n v="258"/>
    <n v="301"/>
    <n v="592.55999999999995"/>
    <n v="5537.63"/>
    <n v="0.1"/>
    <n v="0.2843"/>
    <n v="0.8"/>
    <n v="-368386.86"/>
    <n v="-101124.804"/>
    <n v="-111237.28440000002"/>
    <n v="-122361.01284000004"/>
    <n v="-134597.11412400004"/>
    <n v="-148056.82553640005"/>
    <n v="-162862.50809004006"/>
    <n v="-179148.7588990441"/>
    <n v="-473119.24429800001"/>
    <n v="-20224.960799999997"/>
    <n v="-22247.456879999998"/>
    <n v="-24472.202568000004"/>
    <n v="-26919.422824800004"/>
    <n v="-29611.365107280002"/>
    <n v="-32572.501618008006"/>
    <n v="-35829.751779808816"/>
    <n v="-189724.060298"/>
    <n v="-959388.30788948433"/>
    <n v="-191877.66157789683"/>
    <n v="8.9956288590839364"/>
    <n v="1.2768065648232019E-2"/>
    <s v="Fase de Degradação"/>
  </r>
  <r>
    <n v="464"/>
    <x v="463"/>
    <s v="MAQ288-MÁQUINA DE CORTE E USINAGEM"/>
    <n v="10006862"/>
    <s v="BR01-CIL-FGR-CORTE"/>
    <n v="4713"/>
    <n v="900000023037"/>
    <n v="2022"/>
    <n v="531412.43000000005"/>
    <n v="531412.43000000005"/>
    <n v="60737.139999999992"/>
    <n v="0.93"/>
    <n v="3733"/>
    <n v="6560"/>
    <n v="103"/>
    <n v="54"/>
    <n v="108"/>
    <n v="162"/>
    <n v="216"/>
    <n v="270"/>
    <n v="324"/>
    <n v="378"/>
    <n v="403.56"/>
    <n v="3965.2"/>
    <n v="0.1"/>
    <n v="5.79E-2"/>
    <n v="0.8"/>
    <n v="-531412.43000000005"/>
    <n v="-76312.104000000007"/>
    <n v="-83943.314400000017"/>
    <n v="-92337.645840000027"/>
    <n v="-101571.41042400003"/>
    <n v="-111728.55146640004"/>
    <n v="-122901.40661304006"/>
    <n v="-135191.54727434408"/>
    <n v="-562181.2096970001"/>
    <n v="-15262.420799999998"/>
    <n v="-16788.66288"/>
    <n v="-18467.529168000001"/>
    <n v="-20314.282084800001"/>
    <n v="-22345.710293280001"/>
    <n v="-24580.281322608007"/>
    <n v="-27038.30945486881"/>
    <n v="-705095.65569700021"/>
    <n v="-723985.98001778428"/>
    <n v="-144797.19600355683"/>
    <n v="-73.486407954681823"/>
    <n v="-6.719717936092108E-2"/>
    <s v="Confiabilidade em Crescimento"/>
  </r>
  <r>
    <n v="465"/>
    <x v="464"/>
    <s v="MAQ289-MÁQUINA DE PREPARAÇÃO SUPERFÍCIE"/>
    <n v="20004127"/>
    <s v="BR01-MOT-UMG-DECPIN-MAQ289"/>
    <n v="2318"/>
    <n v="53177"/>
    <n v="2021"/>
    <n v="1152423.22"/>
    <n v="985821"/>
    <n v="137567.97"/>
    <n v="1.54"/>
    <n v="3854"/>
    <n v="16866"/>
    <n v="91"/>
    <n v="34"/>
    <n v="68"/>
    <n v="102"/>
    <n v="136"/>
    <n v="170"/>
    <n v="204"/>
    <n v="238"/>
    <n v="608.83000000000004"/>
    <n v="1966.29"/>
    <n v="0.1"/>
    <n v="0.1585"/>
    <n v="0.8"/>
    <n v="-1152423.22"/>
    <n v="-48725.270000000004"/>
    <n v="-53597.797000000006"/>
    <n v="-58957.576700000012"/>
    <n v="-64853.334370000011"/>
    <n v="-71338.66780700002"/>
    <n v="-78472.534587700036"/>
    <n v="-86319.788046470043"/>
    <n v="-1335082.3003700001"/>
    <n v="-9745.0539999999983"/>
    <n v="-10719.559399999998"/>
    <n v="-11791.51534"/>
    <n v="-12970.666873999999"/>
    <n v="-14267.7335614"/>
    <n v="-15694.506917540004"/>
    <n v="-17263.957609294004"/>
    <n v="-2072847.3803700004"/>
    <n v="-462264.96851117013"/>
    <n v="-92452.993702234002"/>
    <n v="-278.72733222300917"/>
    <n v="-0.12009433231387721"/>
    <s v="Fase de Degradação"/>
  </r>
  <r>
    <n v="466"/>
    <x v="465"/>
    <s v="MOC011-MONTA CARGA L3 B"/>
    <n v="10006523"/>
    <s v="BR01-CIL-CRO-LINHA3-MOC011"/>
    <n v="4552"/>
    <n v="49052"/>
    <n v="2018"/>
    <n v="830350.91"/>
    <n v="453260"/>
    <n v="417883.38999999984"/>
    <n v="0.82"/>
    <n v="3702"/>
    <n v="42516"/>
    <n v="237"/>
    <n v="17"/>
    <n v="34"/>
    <n v="51"/>
    <n v="68"/>
    <n v="85"/>
    <n v="102"/>
    <n v="119"/>
    <n v="881.25"/>
    <n v="2947.68"/>
    <n v="0.1"/>
    <n v="0.2843"/>
    <n v="0.8"/>
    <n v="-830350.91"/>
    <n v="-55388.751000000004"/>
    <n v="-60927.626100000001"/>
    <n v="-67020.388710000014"/>
    <n v="-73722.427581000011"/>
    <n v="-81094.670339100019"/>
    <n v="-89204.137373010031"/>
    <n v="-98124.551110311048"/>
    <n v="-1066419.673713"/>
    <n v="-11077.750199999999"/>
    <n v="-12185.525219999998"/>
    <n v="-13404.077741999999"/>
    <n v="-14744.485516199999"/>
    <n v="-16218.934067820001"/>
    <n v="-17840.827474602003"/>
    <n v="-19624.910222062204"/>
    <n v="-1237700.5777130001"/>
    <n v="-525482.55221342109"/>
    <n v="-105096.5104426842"/>
    <n v="-157.04194742032331"/>
    <n v="-0.10333884840127272"/>
    <s v="Confiabilidade em Crescimento"/>
  </r>
  <r>
    <n v="467"/>
    <x v="466"/>
    <s v="MOC012-MONTA CARGA L2 I"/>
    <n v="10006805"/>
    <s v="BR01-CIL-CRO-LINHA2-MOC012"/>
    <n v="4552"/>
    <n v="63236"/>
    <n v="2022"/>
    <n v="1080409.46"/>
    <n v="997754"/>
    <n v="29592.170000000009"/>
    <n v="0.78"/>
    <n v="3516"/>
    <n v="7165"/>
    <n v="52"/>
    <n v="19"/>
    <n v="38"/>
    <n v="57"/>
    <n v="76"/>
    <n v="95"/>
    <n v="114"/>
    <n v="133"/>
    <n v="411.27"/>
    <n v="1061.8900000000001"/>
    <n v="0.1"/>
    <n v="5.79E-2"/>
    <n v="0.8"/>
    <n v="-1080409.46"/>
    <n v="-22612.490999999998"/>
    <n v="-24873.740100000003"/>
    <n v="-27361.114110000006"/>
    <n v="-30097.225521000004"/>
    <n v="-33106.948073100008"/>
    <n v="-36417.642880410014"/>
    <n v="-40059.40716845102"/>
    <n v="-1142965.1677340001"/>
    <n v="-4522.4981999999982"/>
    <n v="-4974.7480199999991"/>
    <n v="-5472.2228219999997"/>
    <n v="-6019.4451041999992"/>
    <n v="-6621.3896146200004"/>
    <n v="-7283.5285760820016"/>
    <n v="-8011.8814336902024"/>
    <n v="-2025601.031734"/>
    <n v="-214528.56885296106"/>
    <n v="-42905.7137705922"/>
    <n v="-281.29947323594729"/>
    <n v="-0.131404192327436"/>
    <s v="Confiabilidade em Crescimento"/>
  </r>
  <r>
    <n v="468"/>
    <x v="467"/>
    <s v="MOC013-MONTA CARGA L2 II"/>
    <n v="10006806"/>
    <s v="BR01-CIL-CRO-LINHA2-MOC013"/>
    <n v="4552"/>
    <n v="63237"/>
    <n v="2022"/>
    <n v="1080408.8400000001"/>
    <n v="997754"/>
    <n v="51007.219999999987"/>
    <n v="1.35"/>
    <n v="3330"/>
    <n v="7513"/>
    <n v="62"/>
    <n v="40"/>
    <n v="80"/>
    <n v="120"/>
    <n v="160"/>
    <n v="200"/>
    <n v="240"/>
    <n v="280"/>
    <n v="597.15"/>
    <n v="2366.38"/>
    <n v="0.1"/>
    <n v="5.79E-2"/>
    <n v="0.8"/>
    <n v="-1080408.8400000001"/>
    <n v="-57510.815999999999"/>
    <n v="-63261.897600000004"/>
    <n v="-69588.08736000002"/>
    <n v="-76546.896096000011"/>
    <n v="-84201.585705600024"/>
    <n v="-92621.74427616004"/>
    <n v="-101883.91870377606"/>
    <n v="-1142964.5118360003"/>
    <n v="-11502.163199999997"/>
    <n v="-12652.379519999999"/>
    <n v="-13917.617472000002"/>
    <n v="-15309.379219199998"/>
    <n v="-16840.317141120002"/>
    <n v="-18524.348855232005"/>
    <n v="-20376.783740755207"/>
    <n v="-1847936.1758360001"/>
    <n v="-545614.9457415361"/>
    <n v="-109122.98914830721"/>
    <n v="-243.46093646325303"/>
    <n v="-0.11372860799640924"/>
    <s v="Fase de Degradação"/>
  </r>
  <r>
    <n v="469"/>
    <x v="468"/>
    <s v="MOC014-MONTA CARGA DESPLAQUE"/>
    <n v="10006923"/>
    <s v="BR01-CIL-CRO-PORAO3-MOC014"/>
    <n v="4552"/>
    <n v="900000023863"/>
    <n v="2022"/>
    <n v="435519.9"/>
    <n v="435519"/>
    <m/>
    <m/>
    <m/>
    <m/>
    <m/>
    <s v=""/>
    <m/>
    <m/>
    <m/>
    <m/>
    <m/>
    <m/>
    <m/>
    <m/>
    <m/>
    <n v="5.79E-2"/>
    <m/>
    <m/>
    <m/>
    <m/>
    <m/>
    <m/>
    <m/>
    <m/>
    <m/>
    <m/>
    <m/>
    <m/>
    <m/>
    <m/>
    <m/>
    <m/>
    <m/>
    <m/>
    <m/>
    <m/>
    <m/>
    <m/>
    <m/>
  </r>
  <r>
    <n v="470"/>
    <x v="469"/>
    <s v="MOD004-MONTADORA"/>
    <n v="10004026"/>
    <s v="BR01-CIL-UCI-BRUNI1-MOD004"/>
    <n v="4536"/>
    <n v="20725"/>
    <n v="2004"/>
    <n v="1083456.4099999999"/>
    <n v="40801"/>
    <n v="424016.85999999894"/>
    <n v="1.34"/>
    <n v="3724"/>
    <n v="111383"/>
    <n v="1281"/>
    <n v="58"/>
    <n v="116"/>
    <n v="174"/>
    <n v="232"/>
    <n v="290"/>
    <n v="348"/>
    <n v="406"/>
    <m/>
    <m/>
    <n v="0.1"/>
    <n v="1.1001000000000001"/>
    <n v="0.8"/>
    <n v="-1083456.4099999999"/>
    <n v="0"/>
    <n v="0"/>
    <n v="0"/>
    <n v="0"/>
    <n v="0"/>
    <n v="0"/>
    <n v="0"/>
    <n v="-2275366.8066410003"/>
    <n v="0"/>
    <n v="0"/>
    <n v="0"/>
    <n v="0"/>
    <n v="0"/>
    <n v="0"/>
    <n v="0"/>
    <n v="-2316167.8066410003"/>
    <n v="0"/>
    <n v="0"/>
    <n v="-330.88111523442865"/>
    <n v="-0.14285714285714288"/>
    <s v="Fase de Degradação"/>
  </r>
  <r>
    <n v="471"/>
    <x v="470"/>
    <s v="MOD009-MONTADORA"/>
    <n v="10004930"/>
    <s v="BR01-CIL-UCI-BRUNI1-MOD009"/>
    <n v="4536"/>
    <n v="35972"/>
    <n v="2007"/>
    <n v="98027.67"/>
    <n v="15747"/>
    <n v="541804.04000000027"/>
    <n v="0.76"/>
    <n v="3604"/>
    <n v="139340"/>
    <n v="1730"/>
    <n v="35"/>
    <n v="70"/>
    <n v="105"/>
    <n v="140"/>
    <n v="175"/>
    <n v="210"/>
    <n v="245"/>
    <n v="403.2"/>
    <n v="2814.37"/>
    <n v="0.1"/>
    <n v="0.93579999999999997"/>
    <n v="0.8"/>
    <n v="-98027.67"/>
    <n v="-52672.884000000005"/>
    <n v="-57940.17240000001"/>
    <n v="-63734.189640000026"/>
    <n v="-70107.608604000023"/>
    <n v="-77118.369464400035"/>
    <n v="-84830.206410840037"/>
    <n v="-93313.227051924056"/>
    <n v="-189761.963586"/>
    <n v="-10534.576799999999"/>
    <n v="-11588.03448"/>
    <n v="-12746.837928000003"/>
    <n v="-14021.521720800001"/>
    <n v="-15423.673892880004"/>
    <n v="-16966.041282168004"/>
    <n v="-18662.645410384808"/>
    <n v="62643.900414000091"/>
    <n v="-499716.65757116419"/>
    <n v="-99943.331514232821"/>
    <n v="27.752051781561626"/>
    <n v="0.13504059043122046"/>
    <s v="Confiabilidade em Crescimento"/>
  </r>
  <r>
    <n v="472"/>
    <x v="471"/>
    <s v="MOD012-MONTADORA"/>
    <n v="10005926"/>
    <s v="BR01-CIL-UCI-BRUNI1-MACC01"/>
    <n v="4563"/>
    <n v="41486"/>
    <n v="2012"/>
    <n v="226836.67"/>
    <n v="0"/>
    <n v="295896.94000000018"/>
    <n v="1.2"/>
    <n v="3769"/>
    <n v="93033"/>
    <n v="503"/>
    <n v="25"/>
    <n v="50"/>
    <n v="75"/>
    <n v="100"/>
    <n v="125"/>
    <n v="150"/>
    <n v="175"/>
    <n v="475.9"/>
    <n v="2691.28"/>
    <n v="0.1"/>
    <n v="0.66500000000000004"/>
    <n v="0.8"/>
    <n v="-226836.67"/>
    <n v="-48612.146000000008"/>
    <n v="-53473.360600000007"/>
    <n v="-58820.696660000016"/>
    <n v="-64702.766326000019"/>
    <n v="-71173.042958600025"/>
    <n v="-78290.347254460037"/>
    <n v="-86119.381979906058"/>
    <n v="-377683.05555000005"/>
    <n v="-9722.4291999999987"/>
    <n v="-10694.672119999999"/>
    <n v="-11764.139332000001"/>
    <n v="-12940.5532652"/>
    <n v="-14234.608591720002"/>
    <n v="-15658.069450892004"/>
    <n v="-17223.876395981209"/>
    <n v="-130203.03954999999"/>
    <n v="-461191.74177896616"/>
    <n v="-92238.34835579322"/>
    <n v="-1.2470945895467338"/>
    <n v="-3.301960655160066E-3"/>
    <s v="Fase de Degradação"/>
  </r>
  <r>
    <n v="473"/>
    <x v="472"/>
    <s v="MOD013-MONTADORA"/>
    <n v="10006138"/>
    <s v="BR01-CIL-UCI-BRUNI1-MACC02"/>
    <n v="4563"/>
    <n v="41688"/>
    <n v="2012"/>
    <n v="409932.87"/>
    <n v="14116"/>
    <n v="378841.8799999996"/>
    <n v="1.4"/>
    <n v="5218"/>
    <n v="92745"/>
    <n v="841"/>
    <n v="67"/>
    <n v="134"/>
    <n v="201"/>
    <n v="268"/>
    <n v="335"/>
    <n v="402"/>
    <n v="469"/>
    <n v="393.69"/>
    <n v="3166.51"/>
    <n v="0.1"/>
    <n v="0.66500000000000004"/>
    <n v="0.8"/>
    <n v="-409932.87"/>
    <n v="-70812.885000000009"/>
    <n v="-77894.173500000019"/>
    <n v="-85683.590850000037"/>
    <n v="-94251.949935000041"/>
    <n v="-103677.14492850004"/>
    <n v="-114044.85942135006"/>
    <n v="-125449.34536348509"/>
    <n v="-682538.22855"/>
    <n v="-14162.576999999999"/>
    <n v="-15578.834699999999"/>
    <n v="-17136.718170000004"/>
    <n v="-18850.389987000002"/>
    <n v="-20735.428985700004"/>
    <n v="-22808.971884270006"/>
    <n v="-25089.869072697013"/>
    <n v="-336152.26854999998"/>
    <n v="-671813.94899833528"/>
    <n v="-134362.78979966705"/>
    <n v="-22.743295621618831"/>
    <n v="-3.2646461744668086E-2"/>
    <s v="Fase de Degradação"/>
  </r>
  <r>
    <n v="474"/>
    <x v="473"/>
    <s v="MOD014-MONTADORA"/>
    <n v="10006139"/>
    <s v="BR01-CIL-UCI-BRUNI1-MACC03"/>
    <n v="4563"/>
    <n v="34846"/>
    <n v="2012"/>
    <n v="1082430.94"/>
    <n v="0"/>
    <n v="278128.72999999986"/>
    <n v="1.46"/>
    <n v="4354"/>
    <n v="90684"/>
    <n v="548"/>
    <n v="39"/>
    <n v="78"/>
    <n v="117"/>
    <n v="156"/>
    <n v="195"/>
    <n v="234"/>
    <n v="273"/>
    <n v="433.32"/>
    <n v="2299.41"/>
    <n v="0.1"/>
    <n v="0.66500000000000004"/>
    <n v="0.8"/>
    <n v="-1082430.94"/>
    <n v="-48941.64"/>
    <n v="-53835.804000000004"/>
    <n v="-59219.38440000001"/>
    <n v="-65141.322840000008"/>
    <n v="-71655.455124000015"/>
    <n v="-78821.000636400029"/>
    <n v="-86703.100700040042"/>
    <n v="-1802247.5151"/>
    <n v="-9788.3279999999977"/>
    <n v="-10767.160799999998"/>
    <n v="-11843.87688"/>
    <n v="-13028.264567999999"/>
    <n v="-14331.0910248"/>
    <n v="-15764.200127280003"/>
    <n v="-17340.620140008006"/>
    <n v="-1553090.0751"/>
    <n v="-464317.70770044008"/>
    <n v="-92863.541540088001"/>
    <n v="-204.39904984852114"/>
    <n v="-0.11341341748898448"/>
    <s v="Fase de Degradação"/>
  </r>
  <r>
    <n v="475"/>
    <x v="474"/>
    <s v="MOD015-MONTADORA"/>
    <n v="10006185"/>
    <s v="BR01-CIL-UCI-BRUNI1-MOD015"/>
    <n v="4536"/>
    <n v="42604"/>
    <n v="2012"/>
    <n v="1045961.88"/>
    <n v="208661"/>
    <n v="1010092.5499999989"/>
    <n v="1.08"/>
    <n v="5011"/>
    <n v="91905"/>
    <n v="2047"/>
    <n v="121"/>
    <n v="242"/>
    <n v="363"/>
    <n v="484"/>
    <n v="605"/>
    <n v="726"/>
    <n v="847"/>
    <n v="539.13"/>
    <n v="6571.66"/>
    <n v="0.1"/>
    <n v="0.66500000000000004"/>
    <n v="0.8"/>
    <n v="-1045961.88"/>
    <n v="-158504.11500000002"/>
    <n v="-174354.52650000001"/>
    <n v="-191789.97915000006"/>
    <n v="-210968.97706500004"/>
    <n v="-232065.87477150006"/>
    <n v="-255272.46224865012"/>
    <n v="-280799.70847351517"/>
    <n v="-1741526.5302000002"/>
    <n v="-31700.822999999997"/>
    <n v="-34870.905299999991"/>
    <n v="-38357.99583"/>
    <n v="-42193.795413"/>
    <n v="-46413.174954300004"/>
    <n v="-51054.492449730009"/>
    <n v="-56159.941694703019"/>
    <n v="-1143257.4902000003"/>
    <n v="-1503755.6432086655"/>
    <n v="-300751.12864173297"/>
    <n v="-106.74043080472397"/>
    <n v="-5.4733418787565151E-2"/>
    <s v="Fase de Vida Útil"/>
  </r>
  <r>
    <n v="476"/>
    <x v="475"/>
    <s v="MOD017-MONTADORA"/>
    <n v="10006246"/>
    <s v="BR01-CIL-UCI-USINA2-MOD017"/>
    <n v="4531"/>
    <n v="40331"/>
    <n v="2011"/>
    <n v="1782077.82"/>
    <n v="727548"/>
    <n v="729183.78999999911"/>
    <n v="1.19"/>
    <n v="4638"/>
    <n v="80477"/>
    <n v="881"/>
    <n v="61"/>
    <n v="122"/>
    <n v="183"/>
    <n v="244"/>
    <n v="305"/>
    <n v="366"/>
    <n v="427"/>
    <n v="451.71508033575202"/>
    <n v="2214.4"/>
    <n v="0.1"/>
    <n v="0.73"/>
    <n v="0.8"/>
    <n v="-1782077.82"/>
    <n v="-59540.161890528965"/>
    <n v="-65494.17807958187"/>
    <n v="-72043.595887540068"/>
    <n v="-79247.955476294068"/>
    <n v="-87172.751023923483"/>
    <n v="-95890.026126315846"/>
    <n v="-105479.02873894744"/>
    <n v="-3082994.6285999999"/>
    <n v="-11908.03237810579"/>
    <n v="-13098.83561591637"/>
    <n v="-14408.71917750801"/>
    <n v="-15849.591095258809"/>
    <n v="-17434.550204784693"/>
    <n v="-19178.005225263165"/>
    <n v="-21095.805747789484"/>
    <n v="-3507429.077157307"/>
    <n v="-564867.69722313178"/>
    <n v="-112973.53944462631"/>
    <n v="-479.80692440307064"/>
    <n v="-0.12591564277535783"/>
    <s v="Fase de Degradação"/>
  </r>
  <r>
    <n v="477"/>
    <x v="476"/>
    <s v="MOD020-MONTADORA"/>
    <n v="10006306"/>
    <s v="BR01-CIL-UCI-BRUNI2-MOD020"/>
    <n v="4536"/>
    <n v="44094"/>
    <n v="2014"/>
    <n v="889452.33"/>
    <n v="67306"/>
    <n v="890107.59000000008"/>
    <n v="1.21"/>
    <n v="4230"/>
    <n v="72690"/>
    <n v="1474"/>
    <n v="105"/>
    <n v="210"/>
    <n v="315"/>
    <n v="420"/>
    <n v="525"/>
    <n v="630"/>
    <n v="735"/>
    <n v="522.09"/>
    <n v="7563.79"/>
    <n v="0.1"/>
    <n v="0.54749999999999999"/>
    <n v="0.8"/>
    <n v="-889452.33"/>
    <n v="-160143.42300000001"/>
    <n v="-176157.76530000003"/>
    <n v="-193773.54183000006"/>
    <n v="-213150.89601300005"/>
    <n v="-234465.98561430007"/>
    <n v="-257912.5841757301"/>
    <n v="-283703.84259330318"/>
    <n v="-1376427.4806749998"/>
    <n v="-32028.684599999993"/>
    <n v="-35231.553059999998"/>
    <n v="-38754.708366000006"/>
    <n v="-42630.179202599997"/>
    <n v="-46893.197122860001"/>
    <n v="-51582.516835146009"/>
    <n v="-56740.768518660625"/>
    <n v="-628457.87267499999"/>
    <n v="-1519308.0385263334"/>
    <n v="-303861.60770526662"/>
    <n v="-32.612435693419016"/>
    <n v="-2.2588958509275184E-2"/>
    <s v="Fase de Degradação"/>
  </r>
  <r>
    <n v="478"/>
    <x v="477"/>
    <s v="MOD021-MONTADORA"/>
    <n v="10006391"/>
    <s v="BR01-CIL-UCI-USINA2-MOD021"/>
    <n v="4531"/>
    <n v="44693"/>
    <n v="2014"/>
    <n v="562148.87"/>
    <n v="181911"/>
    <n v="926980.62999999931"/>
    <n v="1.21"/>
    <n v="5230"/>
    <n v="62045"/>
    <n v="761"/>
    <n v="79"/>
    <n v="158"/>
    <n v="237"/>
    <n v="316"/>
    <n v="395"/>
    <n v="474"/>
    <n v="553"/>
    <n v="500.64"/>
    <n v="3934.75"/>
    <n v="0.1"/>
    <n v="0.54749999999999999"/>
    <n v="0.8"/>
    <n v="-562148.87"/>
    <n v="-95444.316000000006"/>
    <n v="-104988.74760000002"/>
    <n v="-115487.62236000004"/>
    <n v="-127036.38459600003"/>
    <n v="-139740.02305560003"/>
    <n v="-153714.02536116008"/>
    <n v="-169085.42789727609"/>
    <n v="-869925.37632499996"/>
    <n v="-19088.863199999996"/>
    <n v="-20997.749519999998"/>
    <n v="-23097.524472000001"/>
    <n v="-25407.276919200001"/>
    <n v="-27948.004611119999"/>
    <n v="-30742.805072232008"/>
    <n v="-33817.085579455212"/>
    <n v="-565938.04032500007"/>
    <n v="-905496.54687003628"/>
    <n v="-181099.30937400722"/>
    <n v="-46.777019832710153"/>
    <n v="-4.4471764701791254E-2"/>
    <s v="Fase de Degradação"/>
  </r>
  <r>
    <n v="479"/>
    <x v="478"/>
    <s v="MOD022-MONTADORA"/>
    <n v="10006435"/>
    <s v="BR01-CIL-UCI-BRUNI2-MOD022"/>
    <n v="4562"/>
    <n v="46815"/>
    <n v="2016"/>
    <n v="1349453.24"/>
    <n v="547895"/>
    <n v="558093.96999999869"/>
    <n v="1.82"/>
    <n v="4037"/>
    <n v="53614"/>
    <n v="1188"/>
    <n v="169"/>
    <n v="338"/>
    <n v="507"/>
    <n v="676"/>
    <n v="845"/>
    <n v="1014"/>
    <n v="1183"/>
    <n v="498.24"/>
    <n v="9511.5300000000007"/>
    <n v="0.1"/>
    <n v="0.37669999999999998"/>
    <n v="0.8"/>
    <n v="-1349453.24"/>
    <n v="-218175.01200000005"/>
    <n v="-239992.51320000004"/>
    <n v="-263991.76452000008"/>
    <n v="-290390.94097200007"/>
    <n v="-319430.03506920015"/>
    <n v="-351373.03857612016"/>
    <n v="-386510.34243373224"/>
    <n v="-1857792.275508"/>
    <n v="-43635.002399999998"/>
    <n v="-47998.502639999999"/>
    <n v="-52798.352904000007"/>
    <n v="-58078.188194399998"/>
    <n v="-63886.007013840019"/>
    <n v="-70274.607715224018"/>
    <n v="-77302.06848674643"/>
    <n v="-1294978.123508"/>
    <n v="-2069863.6467710531"/>
    <n v="-413972.72935421043"/>
    <n v="-107.11376544159388"/>
    <n v="-4.4525224260071397E-2"/>
    <s v="Fase de Degradação"/>
  </r>
  <r>
    <n v="480"/>
    <x v="479"/>
    <s v="MOD023-MONTADORA DE BUJÃO"/>
    <n v="20002586"/>
    <s v="BR01-CIL-UCI-BRUNI2-PRE045"/>
    <n v="4561"/>
    <n v="46817"/>
    <n v="2016"/>
    <n v="64505.94"/>
    <n v="20423"/>
    <n v="77458.64999999998"/>
    <n v="1.1399999999999999"/>
    <n v="3542"/>
    <n v="42598"/>
    <n v="209"/>
    <n v="20"/>
    <n v="40"/>
    <n v="60"/>
    <n v="80"/>
    <n v="100"/>
    <n v="120"/>
    <n v="140"/>
    <n v="377.3"/>
    <n v="1306.17"/>
    <n v="0.1"/>
    <n v="0.37669999999999998"/>
    <n v="0.8"/>
    <n v="-64505.94"/>
    <n v="-25542.044000000002"/>
    <n v="-28096.248400000004"/>
    <n v="-30905.873240000012"/>
    <n v="-33996.460564000008"/>
    <n v="-37396.106620400016"/>
    <n v="-41135.717282440019"/>
    <n v="-45249.289010684028"/>
    <n v="-88805.327598000003"/>
    <n v="-5108.4087999999992"/>
    <n v="-5619.2496799999999"/>
    <n v="-6181.1746480000011"/>
    <n v="-6799.2921127999998"/>
    <n v="-7479.221324080002"/>
    <n v="-8227.1434564880019"/>
    <n v="-9049.857802136803"/>
    <n v="20803.896401999984"/>
    <n v="-242321.73911752409"/>
    <n v="-48464.347823504802"/>
    <n v="12.089866242288469"/>
    <n v="0.11068434817370432"/>
    <s v="Fase de Degradação"/>
  </r>
  <r>
    <n v="481"/>
    <x v="480"/>
    <s v="MOD024-MÁQUINA APLICADORA DIRKO"/>
    <n v="10006750"/>
    <s v="BR01-CIL-UCI-BRUNI1-MACC04"/>
    <n v="4563"/>
    <n v="55766"/>
    <n v="2021"/>
    <n v="545770.01"/>
    <n v="497514"/>
    <n v="29247.389999999996"/>
    <n v="1.01"/>
    <n v="4408"/>
    <n v="12149"/>
    <n v="38"/>
    <n v="14"/>
    <n v="28"/>
    <n v="42"/>
    <n v="56"/>
    <n v="70"/>
    <n v="84"/>
    <n v="98"/>
    <n v="414.31"/>
    <n v="905.75"/>
    <n v="0.1"/>
    <n v="0.1585"/>
    <n v="0.8"/>
    <n v="-545770.01"/>
    <n v="-18336.274000000001"/>
    <n v="-20169.901400000002"/>
    <n v="-22186.891540000008"/>
    <n v="-24405.580694000007"/>
    <n v="-26846.138763400009"/>
    <n v="-29530.752639740014"/>
    <n v="-32483.82790371402"/>
    <n v="-632274.55658500001"/>
    <n v="-3667.2547999999992"/>
    <n v="-4033.9802799999998"/>
    <n v="-4437.3783080000003"/>
    <n v="-4881.1161388"/>
    <n v="-5369.2277526800008"/>
    <n v="-5906.1505279480016"/>
    <n v="-6496.7655807428027"/>
    <n v="-1036440.2525849998"/>
    <n v="-173959.36694085409"/>
    <n v="-34791.873388170803"/>
    <n v="-141.51729471890241"/>
    <n v="-0.12525998240472999"/>
    <s v="Fase de Vida Útil"/>
  </r>
  <r>
    <n v="482"/>
    <x v="481"/>
    <s v="MOD025-MONTADORA TÉRMICA DE BUCHAS"/>
    <n v="10006894"/>
    <s v="BR01-CIL-UCI-USINA2-MOD025"/>
    <n v="4531"/>
    <n v="58072"/>
    <n v="2022"/>
    <n v="1069021.3600000001"/>
    <n v="1011751"/>
    <n v="27975.929999999993"/>
    <n v="1.24"/>
    <n v="3124"/>
    <n v="4480"/>
    <n v="59"/>
    <n v="55"/>
    <n v="110"/>
    <n v="165"/>
    <n v="220"/>
    <n v="275"/>
    <n v="330"/>
    <n v="385"/>
    <n v="533.52"/>
    <n v="2621.75"/>
    <n v="0.1"/>
    <n v="5.79E-2"/>
    <n v="0.8"/>
    <n v="-1069021.3600000001"/>
    <n v="-66885.06"/>
    <n v="-73573.566000000006"/>
    <n v="-80930.92260000002"/>
    <n v="-89024.014860000025"/>
    <n v="-97926.416346000027"/>
    <n v="-107719.05798060005"/>
    <n v="-118490.96377866007"/>
    <n v="-1130917.6967440001"/>
    <n v="-13377.011999999997"/>
    <n v="-14714.713199999998"/>
    <n v="-16186.184520000001"/>
    <n v="-17804.802972000001"/>
    <n v="-19585.283269200001"/>
    <n v="-21543.811596120006"/>
    <n v="-23698.192755732009"/>
    <n v="-1802162.9367440001"/>
    <n v="-634550.00156526023"/>
    <n v="-126910.00031305203"/>
    <n v="-233.57552792739884"/>
    <n v="-0.10901149966970641"/>
    <s v="Fase de Degradação"/>
  </r>
  <r>
    <n v="483"/>
    <x v="482"/>
    <s v="MON001-MONOVIA"/>
    <n v="10000517"/>
    <s v="BR01-MOT-SAB-TRTTRM-MON001"/>
    <n v="2514"/>
    <n v="4700100100"/>
    <n v="1981"/>
    <n v="68377.94"/>
    <n v="0"/>
    <n v="1475211.209999999"/>
    <n v="1.73"/>
    <n v="5020"/>
    <n v="198630"/>
    <n v="1379"/>
    <n v="32.833333333333336"/>
    <n v="65.666666666666671"/>
    <n v="98.5"/>
    <n v="131.33333333333334"/>
    <n v="164.16666666666669"/>
    <n v="197.00000000000003"/>
    <n v="229.83333333333337"/>
    <n v="747.81"/>
    <n v="6652.24"/>
    <n v="0.1"/>
    <n v="2.6607692307692328"/>
    <n v="0.8"/>
    <n v="-68377.94"/>
    <n v="-114817.97250000002"/>
    <n v="-126299.76975000002"/>
    <n v="-138929.74672500006"/>
    <n v="-152822.72139750005"/>
    <n v="-168104.99353725006"/>
    <n v="-184915.49289097509"/>
    <n v="-203407.04218007263"/>
    <n v="-250315.85881538477"/>
    <n v="-22963.594499999999"/>
    <n v="-25259.953949999999"/>
    <n v="-27785.949345000008"/>
    <n v="-30564.544279500002"/>
    <n v="-33620.998707450002"/>
    <n v="-36983.098578195008"/>
    <n v="-40681.408436014521"/>
    <n v="334212.00118461531"/>
    <n v="-1089297.7389807981"/>
    <n v="-217859.54779615952"/>
    <n v="88.731761767036247"/>
    <n v="0.35447918556561975"/>
    <s v="Fase de Degradação"/>
  </r>
  <r>
    <n v="484"/>
    <x v="483"/>
    <s v="MON028-MONOVIA"/>
    <n v="20004129"/>
    <s v="BR01-MOT-UMG-DECPIN-MON028"/>
    <n v="2318"/>
    <n v="53176"/>
    <n v="2019"/>
    <n v="324858.21999999997"/>
    <n v="277893"/>
    <n v="8017.57"/>
    <n v="1.81"/>
    <n v="3854"/>
    <n v="15691"/>
    <n v="58"/>
    <n v="14.5"/>
    <n v="29"/>
    <n v="43.5"/>
    <n v="58"/>
    <n v="72.5"/>
    <n v="87"/>
    <n v="101.5"/>
    <n v="805.46"/>
    <n v="3804.68"/>
    <n v="0.1"/>
    <n v="0.24679999999999999"/>
    <n v="0.8"/>
    <n v="-324858.21999999997"/>
    <n v="-63068.862999999998"/>
    <n v="-69375.74930000001"/>
    <n v="-76313.324230000013"/>
    <n v="-83944.656653000013"/>
    <n v="-92339.122318300026"/>
    <n v="-101573.03455013003"/>
    <n v="-111730.33800514306"/>
    <n v="-405033.22869599995"/>
    <n v="-12613.772599999997"/>
    <n v="-13875.14986"/>
    <n v="-15262.664846"/>
    <n v="-16788.9313306"/>
    <n v="-18467.824463659999"/>
    <n v="-20314.606910026003"/>
    <n v="-22346.067601028608"/>
    <n v="-361848.38069599995"/>
    <n v="-598345.08805657306"/>
    <n v="-119669.01761131462"/>
    <n v="-29.178594035820204"/>
    <n v="-4.2725835983096878E-2"/>
    <s v="Fase de Degradação"/>
  </r>
  <r>
    <n v="485"/>
    <x v="484"/>
    <s v="PON005-PONTE ROLANTE"/>
    <n v="10001823"/>
    <s v="BR01-UTL-PON"/>
    <n v="4711"/>
    <n v="20095"/>
    <n v="1996"/>
    <n v="54764.78"/>
    <n v="0"/>
    <n v="174492.20000000013"/>
    <n v="0.91"/>
    <n v="2000"/>
    <n v="194172"/>
    <n v="210"/>
    <n v="2"/>
    <n v="4"/>
    <n v="6"/>
    <n v="8"/>
    <n v="10"/>
    <n v="12"/>
    <n v="14"/>
    <n v="190.87"/>
    <n v="129.05000000000001"/>
    <n v="0.1"/>
    <n v="1.7084999999999999"/>
    <n v="0.8"/>
    <n v="-54764.78"/>
    <n v="-2123.3740000000003"/>
    <n v="-2335.7114000000006"/>
    <n v="-2569.2825400000011"/>
    <n v="-2826.210794000001"/>
    <n v="-3108.8318734000013"/>
    <n v="-3419.7150607400017"/>
    <n v="-3761.6865668140026"/>
    <n v="-148330.40662999998"/>
    <n v="-424.67479999999995"/>
    <n v="-467.14228000000003"/>
    <n v="-513.85650800000008"/>
    <n v="-565.24215880000008"/>
    <n v="-621.76637468000013"/>
    <n v="-683.94301214800021"/>
    <n v="-752.33731336280039"/>
    <n v="-137520.50262999997"/>
    <n v="-20144.81223495401"/>
    <n v="-4028.9624469908003"/>
    <n v="-18.887793834576684"/>
    <n v="-0.12733595399418671"/>
    <s v="Confiabilidade em Crescimento"/>
  </r>
  <r>
    <n v="486"/>
    <x v="485"/>
    <s v="PON008-PONTE ROLANTE"/>
    <n v="10003951"/>
    <s v="BR01-UTL-PON"/>
    <n v="4711"/>
    <n v="33615"/>
    <n v="2005"/>
    <n v="88466.92"/>
    <n v="4430"/>
    <n v="176763.58000000005"/>
    <n v="4.9800000000000004"/>
    <n v="2000"/>
    <n v="163128"/>
    <n v="101"/>
    <n v="5.6111111111111107"/>
    <n v="11.222222222222221"/>
    <n v="16.833333333333332"/>
    <n v="22.444444444444443"/>
    <n v="28.055555555555554"/>
    <n v="33.666666666666664"/>
    <n v="39.277777777777771"/>
    <n v="137.53"/>
    <n v="144.02000000000001"/>
    <n v="0.1"/>
    <n v="1.0241"/>
    <n v="0.8"/>
    <n v="-88466.92"/>
    <n v="-2749.9297222222226"/>
    <n v="-3024.9226944444449"/>
    <n v="-3327.4149638888898"/>
    <n v="-3660.1564602777789"/>
    <n v="-4026.172106305557"/>
    <n v="-4428.7893169361132"/>
    <n v="-4871.6682486297241"/>
    <n v="-179065.89277199999"/>
    <n v="-549.98594444444439"/>
    <n v="-604.98453888888889"/>
    <n v="-665.48299277777778"/>
    <n v="-732.03129205555558"/>
    <n v="-805.23442126111127"/>
    <n v="-885.75786338722241"/>
    <n v="-974.33364972594461"/>
    <n v="-169496.25054977776"/>
    <n v="-26089.05351270473"/>
    <n v="-5217.8107025409445"/>
    <n v="-23.232092851690886"/>
    <n v="-0.12660824447203059"/>
    <s v="Fase de Degradação"/>
  </r>
  <r>
    <n v="487"/>
    <x v="486"/>
    <s v="PON010-PONTE ROLANTE"/>
    <n v="10004472"/>
    <s v="BR01-UTL-PON"/>
    <n v="4511"/>
    <n v="32132"/>
    <n v="2003"/>
    <n v="67241.289999999994"/>
    <n v="0"/>
    <n v="336089.27000000008"/>
    <n v="0.89"/>
    <n v="2000"/>
    <n v="148341"/>
    <n v="103"/>
    <n v="2"/>
    <n v="4"/>
    <n v="6"/>
    <n v="8"/>
    <n v="10"/>
    <n v="12"/>
    <n v="14"/>
    <n v="223.67"/>
    <n v="733.94"/>
    <n v="0.1"/>
    <n v="1.1931"/>
    <n v="0.8"/>
    <n v="-67241.289999999994"/>
    <n v="-10180.082000000002"/>
    <n v="-11198.090200000002"/>
    <n v="-12317.899220000005"/>
    <n v="-13549.689142000005"/>
    <n v="-14904.658056200007"/>
    <n v="-16395.123861820008"/>
    <n v="-18034.636248002014"/>
    <n v="-147466.87309900002"/>
    <n v="-2036.0164"/>
    <n v="-2239.6180399999998"/>
    <n v="-2463.5798440000003"/>
    <n v="-2709.9378284000004"/>
    <n v="-2980.9316112400006"/>
    <n v="-3279.0247723640009"/>
    <n v="-3606.9272496004019"/>
    <n v="-95641.001098999986"/>
    <n v="-96580.178728022045"/>
    <n v="-19316.035745604404"/>
    <n v="-10.028961445226054"/>
    <n v="-6.8008232862530674E-2"/>
    <s v="Confiabilidade em Crescimento"/>
  </r>
  <r>
    <n v="488"/>
    <x v="487"/>
    <s v="PON016-PONTE ROLANTE"/>
    <n v="20000475"/>
    <s v="BR01-UTL-PON"/>
    <n v="4511"/>
    <n v="42238"/>
    <n v="2012"/>
    <n v="132453.79"/>
    <n v="60356"/>
    <n v="22276.78"/>
    <n v="1.32"/>
    <n v="2000"/>
    <n v="84188"/>
    <n v="21"/>
    <n v="2"/>
    <n v="4"/>
    <n v="6"/>
    <n v="8"/>
    <n v="10"/>
    <n v="12"/>
    <n v="14"/>
    <n v="501.9"/>
    <n v="557.65"/>
    <n v="0.1"/>
    <n v="0.66500000000000004"/>
    <n v="0.8"/>
    <n v="-132453.79"/>
    <n v="-8465.16"/>
    <n v="-9311.6760000000013"/>
    <n v="-10242.843600000002"/>
    <n v="-11267.127960000002"/>
    <n v="-12393.840756000003"/>
    <n v="-13633.224831600006"/>
    <n v="-14996.547314760008"/>
    <n v="-220535.56035000001"/>
    <n v="-1693.0319999999997"/>
    <n v="-1862.3351999999998"/>
    <n v="-2048.5687199999998"/>
    <n v="-2253.4255919999996"/>
    <n v="-2478.7681511999999"/>
    <n v="-2726.6449663200005"/>
    <n v="-2999.309462952001"/>
    <n v="-237796.20035000003"/>
    <n v="-80310.420462360024"/>
    <n v="-16062.084092472"/>
    <n v="-30.949031997158862"/>
    <n v="-0.11018142360203119"/>
    <s v="Fase de Degradação"/>
  </r>
  <r>
    <n v="489"/>
    <x v="488"/>
    <s v="PON025-PONTE ROLANTE"/>
    <n v="20004150"/>
    <s v="BR01-OFC-PON"/>
    <n v="3109"/>
    <n v="62518"/>
    <n v="2019"/>
    <n v="292063.5"/>
    <n v="262856"/>
    <n v="3711.6899999999996"/>
    <n v="1.53"/>
    <n v="5141"/>
    <n v="12184"/>
    <n v="16"/>
    <n v="4"/>
    <n v="8"/>
    <n v="12"/>
    <n v="16"/>
    <n v="20"/>
    <n v="24"/>
    <n v="28"/>
    <n v="612.97"/>
    <n v="3076.93"/>
    <n v="0.1"/>
    <n v="0.24679999999999999"/>
    <n v="0.8"/>
    <n v="-292063.5"/>
    <n v="-43312.543999999994"/>
    <n v="-47643.7984"/>
    <n v="-52408.178240000008"/>
    <n v="-57648.996064000006"/>
    <n v="-63413.895670400008"/>
    <n v="-69755.285237440025"/>
    <n v="-76730.813761184036"/>
    <n v="-364144.77179999999"/>
    <n v="-8662.5087999999978"/>
    <n v="-9528.7596799999974"/>
    <n v="-10481.635647999999"/>
    <n v="-11529.799212799999"/>
    <n v="-12682.779134079999"/>
    <n v="-13951.057047488002"/>
    <n v="-15346.162752236803"/>
    <n v="-406500.5478"/>
    <n v="-410913.51137302408"/>
    <n v="-82182.702274604802"/>
    <n v="-42.609994671654384"/>
    <n v="-6.795844054438592E-2"/>
    <s v="Fase de Degradação"/>
  </r>
  <r>
    <n v="490"/>
    <x v="489"/>
    <s v="PRE010-PRENSA HIDRÁULICA"/>
    <n v="10002150"/>
    <s v="BR01-CIL-FER-MANMOL"/>
    <n v="1074"/>
    <n v="5500101100"/>
    <n v="1998"/>
    <n v="364876.98"/>
    <n v="0"/>
    <n v="153641.34"/>
    <n v="1.98"/>
    <n v="4116"/>
    <n v="180191"/>
    <n v="79"/>
    <n v="3.16"/>
    <n v="6.32"/>
    <n v="9.48"/>
    <n v="12.64"/>
    <n v="15.8"/>
    <n v="18.96"/>
    <n v="22.12"/>
    <n v="586.44000000000005"/>
    <n v="859.35"/>
    <n v="0.1"/>
    <n v="1.5607"/>
    <n v="0.8"/>
    <n v="-364876.98"/>
    <n v="-13381.885440000002"/>
    <n v="-14720.073984000004"/>
    <n v="-16192.081382400007"/>
    <n v="-17811.289520640006"/>
    <n v="-19592.418472704008"/>
    <n v="-21551.660319974413"/>
    <n v="-23706.826351971857"/>
    <n v="-934340.48268599983"/>
    <n v="-2676.3770879999997"/>
    <n v="-2944.0147968000001"/>
    <n v="-3238.4162764800008"/>
    <n v="-3562.2579041280005"/>
    <n v="-3918.4836945408006"/>
    <n v="-4310.3320639948815"/>
    <n v="-4741.3652703943699"/>
    <n v="-866214.52044599981"/>
    <n v="-126956.23547169031"/>
    <n v="-25391.24709433805"/>
    <n v="-118.96792775837824"/>
    <n v="-0.12732823843442448"/>
    <s v="Fase de Degradação"/>
  </r>
  <r>
    <n v="491"/>
    <x v="490"/>
    <s v="PRE019-PRENSA FKL FECHAMENTO"/>
    <n v="10001266"/>
    <s v="BR01-CIL-FER-FABMOL"/>
    <n v="1074"/>
    <n v="34373"/>
    <n v="2006"/>
    <n v="371023.7"/>
    <n v="56012"/>
    <n v="269327.72999999992"/>
    <n v="1.85"/>
    <n v="4116"/>
    <n v="193184"/>
    <n v="219"/>
    <n v="9"/>
    <n v="18"/>
    <n v="27"/>
    <n v="36"/>
    <n v="45"/>
    <n v="54"/>
    <n v="63"/>
    <n v="506.8"/>
    <n v="1135.69"/>
    <n v="0.1"/>
    <n v="0.96719999999999995"/>
    <n v="0.8"/>
    <n v="-371023.7"/>
    <n v="-20008.428"/>
    <n v="-22009.270800000002"/>
    <n v="-24210.197880000007"/>
    <n v="-26631.217668000008"/>
    <n v="-29294.339434800011"/>
    <n v="-32223.773378280013"/>
    <n v="-35446.150716108023"/>
    <n v="-729877.82264000003"/>
    <n v="-4001.6855999999989"/>
    <n v="-4401.8541599999999"/>
    <n v="-4842.0395760000001"/>
    <n v="-5326.2435336000008"/>
    <n v="-5858.8678869600008"/>
    <n v="-6444.7546756560014"/>
    <n v="-7089.2301432216027"/>
    <n v="-684028.73464000004"/>
    <n v="-189823.37787718809"/>
    <n v="-37964.675575437606"/>
    <n v="-90.575874334035632"/>
    <n v="-0.11525263685152287"/>
    <s v="Fase de Degradação"/>
  </r>
  <r>
    <n v="492"/>
    <x v="491"/>
    <s v="PRE024-PRENSA"/>
    <n v="10000529"/>
    <s v="BR01-MOT-SAB-TRTTRM-PRE024"/>
    <n v="2511"/>
    <n v="5500200400"/>
    <n v="1984"/>
    <n v="183127.38"/>
    <n v="20657"/>
    <n v="857111.32"/>
    <n v="0.8"/>
    <n v="5020"/>
    <n v="198925"/>
    <n v="741"/>
    <n v="15"/>
    <n v="30"/>
    <n v="45"/>
    <n v="60"/>
    <n v="75"/>
    <n v="90"/>
    <n v="105"/>
    <n v="834.26"/>
    <n v="2724.74"/>
    <n v="0.1"/>
    <n v="2.470315384615386"/>
    <n v="0.8"/>
    <n v="-183127.38"/>
    <n v="-49731.858"/>
    <n v="-54705.043800000007"/>
    <n v="-60175.54818000002"/>
    <n v="-66193.102998000017"/>
    <n v="-72812.413297800027"/>
    <n v="-80093.654627580036"/>
    <n v="-88103.020090338046"/>
    <n v="-635509.76415830792"/>
    <n v="-9946.3715999999986"/>
    <n v="-10941.008759999999"/>
    <n v="-12035.109636000001"/>
    <n v="-13238.620599600001"/>
    <n v="-14562.482659560003"/>
    <n v="-16018.730925516003"/>
    <n v="-17620.604018067606"/>
    <n v="-402986.39615830785"/>
    <n v="-471814.64099371817"/>
    <n v="-94362.928198743612"/>
    <n v="-39.81643590904762"/>
    <n v="-6.0680360670388109E-2"/>
    <s v="Confiabilidade em Crescimento"/>
  </r>
  <r>
    <n v="493"/>
    <x v="492"/>
    <s v="PRE031-PRENSA"/>
    <n v="10002861"/>
    <s v="BR01-MOT-VIR-USIDUR-PRE031"/>
    <n v="3325"/>
    <n v="20350"/>
    <n v="2000"/>
    <n v="234370.79"/>
    <n v="0"/>
    <n v="213952.09000000008"/>
    <n v="1.62"/>
    <n v="4392"/>
    <n v="183389"/>
    <n v="264"/>
    <n v="11"/>
    <n v="22"/>
    <n v="33"/>
    <n v="44"/>
    <n v="55"/>
    <n v="66"/>
    <n v="77"/>
    <n v="778.41"/>
    <n v="1767.46"/>
    <n v="0.1"/>
    <n v="1.4548000000000001"/>
    <n v="0.8"/>
    <n v="-234370.79"/>
    <n v="-32749.233"/>
    <n v="-36024.156300000002"/>
    <n v="-39626.571930000013"/>
    <n v="-43589.229123000012"/>
    <n v="-47948.152035300016"/>
    <n v="-52742.967238830024"/>
    <n v="-58017.263962713034"/>
    <n v="-575333.41529200005"/>
    <n v="-6549.8465999999989"/>
    <n v="-7204.831259999999"/>
    <n v="-7925.3143860000009"/>
    <n v="-8717.8458246000009"/>
    <n v="-9589.6304070600017"/>
    <n v="-10548.593447766003"/>
    <n v="-11603.452792542605"/>
    <n v="-408610.04729200003"/>
    <n v="-310697.57358984306"/>
    <n v="-62139.514717968617"/>
    <n v="-46.682193774303649"/>
    <n v="-8.1139375071081085E-2"/>
    <s v="Fase de Degradação"/>
  </r>
  <r>
    <n v="494"/>
    <x v="493"/>
    <s v="PRE032-PRENSA"/>
    <n v="10000378"/>
    <s v="BR01-MOT-VIR-USIDUR-PRE032"/>
    <n v="3318"/>
    <n v="20069"/>
    <n v="1995"/>
    <n v="107370.58"/>
    <n v="0"/>
    <n v="275834.17999999912"/>
    <n v="1.29"/>
    <n v="4392"/>
    <n v="197630"/>
    <n v="388"/>
    <n v="11"/>
    <n v="22"/>
    <n v="33"/>
    <n v="44"/>
    <n v="55"/>
    <n v="66"/>
    <n v="77"/>
    <n v="658.76"/>
    <n v="2312.2399999999998"/>
    <n v="0.1"/>
    <n v="1.7719846153846153"/>
    <n v="0.8"/>
    <n v="-107370.58"/>
    <n v="-38492.563999999998"/>
    <n v="-42341.820400000004"/>
    <n v="-46576.002440000011"/>
    <n v="-51233.602684000012"/>
    <n v="-56356.962952400019"/>
    <n v="-61992.659247640026"/>
    <n v="-68191.925172404037"/>
    <n v="-297629.59590492304"/>
    <n v="-7698.5127999999977"/>
    <n v="-8468.3640799999994"/>
    <n v="-9315.2004880000004"/>
    <n v="-10246.7205368"/>
    <n v="-11271.392590480002"/>
    <n v="-12398.531849528003"/>
    <n v="-13638.385034480805"/>
    <n v="-101667.45190492299"/>
    <n v="-365185.53689644416"/>
    <n v="-73037.107379288806"/>
    <n v="-0.78302376968110821"/>
    <n v="-2.6308666223208627E-3"/>
    <s v="Fase de Degradação"/>
  </r>
  <r>
    <n v="495"/>
    <x v="494"/>
    <s v="PRE038-PRENSA"/>
    <n v="10004029"/>
    <s v="BR01-CIL-UCI-BRUNI1-PRE038"/>
    <n v="4535"/>
    <n v="20724"/>
    <n v="2004"/>
    <n v="414404.54"/>
    <n v="24379"/>
    <n v="376349.16999999987"/>
    <n v="0.88"/>
    <n v="3542"/>
    <n v="157194"/>
    <n v="555"/>
    <n v="11"/>
    <n v="22"/>
    <n v="33"/>
    <n v="44"/>
    <n v="55"/>
    <n v="66"/>
    <n v="77"/>
    <n v="740.62"/>
    <n v="1282.1500000000001"/>
    <n v="0.1"/>
    <n v="1.1001000000000001"/>
    <n v="0.8"/>
    <n v="-414404.54"/>
    <n v="-25885.882000000005"/>
    <n v="-28474.470200000007"/>
    <n v="-31321.917220000014"/>
    <n v="-34454.108942000013"/>
    <n v="-37899.519836200016"/>
    <n v="-41689.471819820021"/>
    <n v="-45858.419001802031"/>
    <n v="-870290.97445400013"/>
    <n v="-5177.1764000000003"/>
    <n v="-5694.8940400000001"/>
    <n v="-6264.383444000001"/>
    <n v="-6890.8217884000014"/>
    <n v="-7579.9039672400013"/>
    <n v="-8337.894363964002"/>
    <n v="-9171.6838003604043"/>
    <n v="-762887.30245400011"/>
    <n v="-245583.78901982214"/>
    <n v="-49116.757803964414"/>
    <n v="-99.74327760544891"/>
    <n v="-0.11148611270465437"/>
    <s v="Confiabilidade em Crescimento"/>
  </r>
  <r>
    <n v="496"/>
    <x v="495"/>
    <s v="PRE045-PRENSA"/>
    <n v="10005224"/>
    <s v="BR01-CIL-UCI-BRUNI2-PRE045"/>
    <n v="4561"/>
    <n v="35334"/>
    <n v="2008"/>
    <n v="431223.22"/>
    <n v="0"/>
    <n v="394873.8499999987"/>
    <n v="2.25"/>
    <n v="3542"/>
    <n v="128175"/>
    <n v="807"/>
    <n v="51"/>
    <n v="102"/>
    <n v="153"/>
    <n v="204"/>
    <n v="255"/>
    <n v="306"/>
    <n v="357"/>
    <n v="329.52"/>
    <n v="2297.44"/>
    <n v="0.1"/>
    <n v="0.89119999999999999"/>
    <n v="0.8"/>
    <n v="-431223.22"/>
    <n v="-48812.280000000006"/>
    <n v="-53693.508000000009"/>
    <n v="-59062.858800000024"/>
    <n v="-64969.144680000019"/>
    <n v="-71466.059148000029"/>
    <n v="-78612.665062800035"/>
    <n v="-86473.931569080058"/>
    <n v="-815529.35366399994"/>
    <n v="-9762.4559999999983"/>
    <n v="-10738.701599999999"/>
    <n v="-11812.571760000003"/>
    <n v="-12993.828936000002"/>
    <n v="-14293.211829600003"/>
    <n v="-15722.533012560003"/>
    <n v="-17294.786313816006"/>
    <n v="-567030.47366399993"/>
    <n v="-463090.44725988019"/>
    <n v="-92618.089451976019"/>
    <n v="-63.57957083658512"/>
    <n v="-7.7961106551144521E-2"/>
    <s v="Fase de Degradação"/>
  </r>
  <r>
    <n v="497"/>
    <x v="496"/>
    <s v="PRE046-PRENSA"/>
    <n v="10005226"/>
    <s v="BR01-MOT-VIR-USIDUR-PRE046"/>
    <n v="3318"/>
    <n v="35269"/>
    <n v="2008"/>
    <n v="133787.01"/>
    <n v="47765"/>
    <n v="185953.83"/>
    <n v="0.93"/>
    <n v="4392"/>
    <n v="129118"/>
    <n v="232"/>
    <n v="8"/>
    <n v="16"/>
    <n v="24"/>
    <n v="32"/>
    <n v="40"/>
    <n v="48"/>
    <n v="56"/>
    <n v="301.17"/>
    <n v="498.12"/>
    <n v="0.1"/>
    <n v="0.89119999999999999"/>
    <n v="0.8"/>
    <n v="-133787.01"/>
    <n v="-9225.4800000000014"/>
    <n v="-10148.028000000002"/>
    <n v="-11162.830800000005"/>
    <n v="-12279.113880000004"/>
    <n v="-13507.025268000007"/>
    <n v="-14857.727794800008"/>
    <n v="-16343.500574280013"/>
    <n v="-253017.99331200001"/>
    <n v="-1845.0959999999998"/>
    <n v="-2029.6055999999999"/>
    <n v="-2232.5661600000008"/>
    <n v="-2455.8227760000004"/>
    <n v="-2701.4050536000009"/>
    <n v="-2971.545558960001"/>
    <n v="-3268.7001148560021"/>
    <n v="-253816.91331200002"/>
    <n v="-87523.706317080039"/>
    <n v="-17504.741263416006"/>
    <n v="-32.96628975119085"/>
    <n v="-0.10960157483702929"/>
    <s v="Confiabilidade em Crescimento"/>
  </r>
  <r>
    <n v="498"/>
    <x v="497"/>
    <s v="PRE047-PRENSA HIDRÁULICA"/>
    <n v="10005644"/>
    <s v="BR01-CIL-FER-MANMOL"/>
    <n v="1074"/>
    <n v="20392"/>
    <n v="1995"/>
    <n v="150435.76999999999"/>
    <n v="28976"/>
    <n v="169230.05000000005"/>
    <n v="0.9"/>
    <n v="4116"/>
    <n v="106611"/>
    <n v="188"/>
    <n v="7"/>
    <n v="14"/>
    <n v="21"/>
    <n v="28"/>
    <n v="35"/>
    <n v="42"/>
    <n v="49"/>
    <n v="444.43"/>
    <n v="675.76222222222236"/>
    <n v="0.1"/>
    <n v="1.7719846153846153"/>
    <n v="0.8"/>
    <n v="-150435.76999999999"/>
    <n v="-12342.172333333338"/>
    <n v="-13576.389566666672"/>
    <n v="-14934.028523333342"/>
    <n v="-16427.431375666674"/>
    <n v="-18070.174513233345"/>
    <n v="-19877.191964556681"/>
    <n v="-21864.911161012351"/>
    <n v="-417005.64004353835"/>
    <n v="-2468.434466666667"/>
    <n v="-2715.2779133333338"/>
    <n v="-2986.8057046666677"/>
    <n v="-3285.4862751333339"/>
    <n v="-3614.0349026466683"/>
    <n v="-3975.4383929113355"/>
    <n v="-4372.9822322024693"/>
    <n v="-383148.76271020499"/>
    <n v="-117092.2994378024"/>
    <n v="-23418.459887560475"/>
    <n v="-50.329685784756627"/>
    <n v="-0.11285147473748754"/>
    <s v="Confiabilidade em Crescimento"/>
  </r>
  <r>
    <n v="499"/>
    <x v="498"/>
    <s v="PRE048-PRENSA"/>
    <n v="10005701"/>
    <s v="BR01-CIL-UCI-USINA1-PRE048"/>
    <n v="4568"/>
    <s v="-"/>
    <n v="2011"/>
    <n v="274937.14"/>
    <n v="0"/>
    <n v="27697.150000000009"/>
    <n v="0.91"/>
    <n v="5391"/>
    <n v="98923"/>
    <n v="88"/>
    <n v="5"/>
    <n v="10"/>
    <n v="15"/>
    <n v="20"/>
    <n v="25"/>
    <n v="30"/>
    <n v="35"/>
    <n v="289.43"/>
    <n v="439.17"/>
    <n v="0.1"/>
    <n v="0.73"/>
    <n v="0.8"/>
    <n v="-274937.14"/>
    <n v="-7388.9090000000015"/>
    <n v="-8127.7999000000018"/>
    <n v="-8940.5798900000027"/>
    <n v="-9834.6378790000035"/>
    <n v="-10818.101666900004"/>
    <n v="-11899.911833590006"/>
    <n v="-13089.903016949009"/>
    <n v="-475641.25220000005"/>
    <n v="-1477.7818"/>
    <n v="-1625.55998"/>
    <n v="-1788.115978"/>
    <n v="-1966.9275758000003"/>
    <n v="-2163.6203333800004"/>
    <n v="-2379.9823667180008"/>
    <n v="-2617.9806033898012"/>
    <n v="-438024.98820000002"/>
    <n v="-70099.84318643903"/>
    <n v="-14019.968637287802"/>
    <n v="-59.937339664406977"/>
    <n v="-0.1260137538263906"/>
    <s v="Confiabilidade em Crescimento"/>
  </r>
  <r>
    <n v="500"/>
    <x v="499"/>
    <s v="PRE053-PRENSA"/>
    <n v="10005923"/>
    <s v="BR01-CIL-UCI-USINA1-PRE053"/>
    <n v="4568"/>
    <n v="43439"/>
    <n v="2013"/>
    <n v="394263.8"/>
    <n v="212734"/>
    <n v="208126.24999999977"/>
    <n v="1.54"/>
    <n v="5434"/>
    <n v="101142"/>
    <n v="561"/>
    <n v="47"/>
    <n v="94"/>
    <n v="141"/>
    <n v="188"/>
    <n v="235"/>
    <n v="282"/>
    <n v="329"/>
    <n v="403.41"/>
    <n v="2574.3200000000002"/>
    <n v="0.1"/>
    <n v="0.60660000000000003"/>
    <n v="0.8"/>
    <n v="-394263.8"/>
    <n v="-54837.321000000004"/>
    <n v="-60321.053100000012"/>
    <n v="-66353.158410000018"/>
    <n v="-72988.474251000021"/>
    <n v="-80287.321676100022"/>
    <n v="-88316.053843710048"/>
    <n v="-97147.659228081058"/>
    <n v="-633424.22108000005"/>
    <n v="-10967.464199999999"/>
    <n v="-12064.21062"/>
    <n v="-13270.631682000001"/>
    <n v="-14597.694850200001"/>
    <n v="-16057.46433522"/>
    <n v="-17663.210768742007"/>
    <n v="-19429.531845616206"/>
    <n v="-566986.40508000017"/>
    <n v="-520251.04150889121"/>
    <n v="-104050.20830177821"/>
    <n v="-61.422483981841012"/>
    <n v="-7.2589833026078729E-2"/>
    <s v="Fase de Degradação"/>
  </r>
  <r>
    <n v="501"/>
    <x v="500"/>
    <s v="PRE054-PRENSA"/>
    <n v="10006222"/>
    <s v="BR01-CIL-UCI-USINA1-PRE054"/>
    <n v="4568"/>
    <n v="43169"/>
    <n v="2013"/>
    <n v="470560.24"/>
    <n v="254513"/>
    <n v="258043.48999999985"/>
    <n v="1.32"/>
    <n v="5347"/>
    <n v="87507"/>
    <n v="621"/>
    <n v="51"/>
    <n v="102"/>
    <n v="153"/>
    <n v="204"/>
    <n v="255"/>
    <n v="306"/>
    <n v="357"/>
    <n v="468.93"/>
    <n v="2740.41"/>
    <n v="0.1"/>
    <n v="0.60660000000000003"/>
    <n v="0.8"/>
    <n v="-470560.24"/>
    <n v="-62480.385000000002"/>
    <n v="-68728.423500000004"/>
    <n v="-75601.265850000025"/>
    <n v="-83161.392435000016"/>
    <n v="-91477.531678500032"/>
    <n v="-100625.28484635004"/>
    <n v="-110687.81333098507"/>
    <n v="-756002.08158400003"/>
    <n v="-12496.076999999997"/>
    <n v="-13745.684699999998"/>
    <n v="-15120.253170000002"/>
    <n v="-16632.278487"/>
    <n v="-18295.506335700004"/>
    <n v="-20125.056969270005"/>
    <n v="-22137.562666197009"/>
    <n v="-692433.12158400007"/>
    <n v="-592762.09664083517"/>
    <n v="-118552.41932816702"/>
    <n v="-76.615057753047438"/>
    <n v="-7.5817827115407313E-2"/>
    <s v="Fase de Degradação"/>
  </r>
  <r>
    <n v="502"/>
    <x v="501"/>
    <s v="PRE055-PRENSA"/>
    <n v="10006245"/>
    <s v="BR01-CIL-FER-FABMOL"/>
    <n v="1074"/>
    <n v="42622"/>
    <n v="2012"/>
    <n v="650207.77"/>
    <n v="332565"/>
    <n v="729400.01000000094"/>
    <n v="1.91"/>
    <n v="4116"/>
    <n v="84215"/>
    <n v="465"/>
    <n v="44"/>
    <n v="88"/>
    <n v="132"/>
    <n v="176"/>
    <n v="220"/>
    <n v="264"/>
    <n v="308"/>
    <n v="1187.1400000000001"/>
    <n v="13113.37"/>
    <n v="0.1"/>
    <n v="0.66500000000000004"/>
    <n v="0.8"/>
    <n v="-650207.77"/>
    <n v="-230554.06000000003"/>
    <n v="-253609.46600000004"/>
    <n v="-278970.4126000001"/>
    <n v="-306867.45386000007"/>
    <n v="-337554.19924600015"/>
    <n v="-371309.6191706002"/>
    <n v="-408440.58108766028"/>
    <n v="-1082595.9370500001"/>
    <n v="-46110.811999999998"/>
    <n v="-50721.893199999999"/>
    <n v="-55794.082520000004"/>
    <n v="-61373.490771999997"/>
    <n v="-67510.839849200012"/>
    <n v="-74261.923834120025"/>
    <n v="-81688.116217532035"/>
    <n v="-241431.17705000006"/>
    <n v="-2187305.7919642609"/>
    <n v="-437461.15839285206"/>
    <n v="47.811956645915579"/>
    <n v="3.3785526009206333E-2"/>
    <s v="Fase de Degradação"/>
  </r>
  <r>
    <n v="503"/>
    <x v="502"/>
    <s v="PRE083-PRENSA"/>
    <n v="10006683"/>
    <s v="BR01-MOT-VIR-USIDUR-PRE083"/>
    <n v="3318"/>
    <n v="58808"/>
    <n v="2021"/>
    <n v="284781.64"/>
    <n v="278848"/>
    <n v="13700.490000000002"/>
    <n v="0.99"/>
    <n v="4392"/>
    <n v="9320"/>
    <n v="25"/>
    <n v="12"/>
    <n v="24"/>
    <n v="36"/>
    <n v="48"/>
    <n v="60"/>
    <n v="72"/>
    <n v="84"/>
    <n v="730.26"/>
    <n v="1071.06"/>
    <n v="0.1"/>
    <n v="0.1585"/>
    <n v="0.8"/>
    <n v="-284781.64"/>
    <n v="-23777.423999999999"/>
    <n v="-26155.166399999998"/>
    <n v="-28770.683040000004"/>
    <n v="-31647.751344000004"/>
    <n v="-34812.526478400003"/>
    <n v="-38293.779126240013"/>
    <n v="-42123.157038864018"/>
    <n v="-329919.52994000004"/>
    <n v="-4755.4847999999984"/>
    <n v="-5231.0332799999987"/>
    <n v="-5754.1366079999998"/>
    <n v="-6329.5502687999997"/>
    <n v="-6962.5052956799991"/>
    <n v="-7658.7558252480012"/>
    <n v="-8424.631407772802"/>
    <n v="-487718.82594000001"/>
    <n v="-225580.48742750401"/>
    <n v="-45116.097485500803"/>
    <n v="-61.18616285685669"/>
    <n v="-0.10050825618588295"/>
    <s v="Confiabilidade em Crescimento"/>
  </r>
  <r>
    <n v="504"/>
    <x v="503"/>
    <s v="RBT001-REBITADEIRA"/>
    <n v="10004451"/>
    <s v="BR01-MOT-SAB-MONCAB-RBT001"/>
    <n v="2538"/>
    <n v="34273"/>
    <n v="2006"/>
    <n v="653578.49"/>
    <n v="0"/>
    <n v="261050.36999999994"/>
    <n v="0.75"/>
    <n v="4795.2647999999999"/>
    <n v="149149"/>
    <n v="351"/>
    <n v="9"/>
    <n v="18"/>
    <n v="27"/>
    <n v="36"/>
    <n v="45"/>
    <n v="54"/>
    <n v="63"/>
    <n v="628.86"/>
    <n v="1791.64"/>
    <n v="0.1"/>
    <n v="0.96719999999999995"/>
    <n v="0.8"/>
    <n v="-653578.49"/>
    <n v="-29875.362000000001"/>
    <n v="-32862.898200000003"/>
    <n v="-36149.188020000009"/>
    <n v="-39764.106822000009"/>
    <n v="-43740.517504200012"/>
    <n v="-48114.569254620023"/>
    <n v="-52926.02618008203"/>
    <n v="-1285719.605528"/>
    <n v="-5975.0723999999991"/>
    <n v="-6572.579639999999"/>
    <n v="-7229.8376040000003"/>
    <n v="-7952.8213643999998"/>
    <n v="-8748.1035008400013"/>
    <n v="-9622.913850924002"/>
    <n v="-10585.205236016403"/>
    <n v="-1133626.8535280002"/>
    <n v="-283432.66798090213"/>
    <n v="-56686.533596180401"/>
    <n v="-151.28192444903976"/>
    <n v="-0.11766323216866058"/>
    <s v="Confiabilidade em Crescimento"/>
  </r>
  <r>
    <n v="505"/>
    <x v="504"/>
    <s v="REB001-REBARBADORA"/>
    <n v="20001033"/>
    <s v="BR01-MOT-SAB-FINALL-REB001"/>
    <n v="2537"/>
    <n v="42637"/>
    <n v="2012"/>
    <n v="255974.6"/>
    <n v="16"/>
    <n v="232120.25000000003"/>
    <n v="1.17"/>
    <n v="5512"/>
    <n v="92015"/>
    <n v="188"/>
    <n v="14"/>
    <n v="28"/>
    <n v="42"/>
    <n v="56"/>
    <n v="70"/>
    <n v="84"/>
    <n v="98"/>
    <n v="468.78"/>
    <n v="1134.06"/>
    <n v="0.1"/>
    <n v="0.66500000000000004"/>
    <n v="0.8"/>
    <n v="-255974.6"/>
    <n v="-22188.804"/>
    <n v="-24407.684400000002"/>
    <n v="-26848.452840000009"/>
    <n v="-29533.298124000008"/>
    <n v="-32486.627936400011"/>
    <n v="-35735.290730040018"/>
    <n v="-39308.819803044025"/>
    <n v="-426197.70900000003"/>
    <n v="-4437.7607999999991"/>
    <n v="-4881.5368799999997"/>
    <n v="-5369.6905680000009"/>
    <n v="-5906.6596248000005"/>
    <n v="-6497.3255872800009"/>
    <n v="-7147.058146008002"/>
    <n v="-7861.7639606088032"/>
    <n v="-313252.52500000002"/>
    <n v="-210508.9778334841"/>
    <n v="-42101.795566696805"/>
    <n v="-36.829503819030386"/>
    <n v="-8.6410885059143835E-2"/>
    <s v="Fase de Degradação"/>
  </r>
  <r>
    <n v="506"/>
    <x v="505"/>
    <s v="REB002-REBARBAÇÃO ELETROQUÍMICA"/>
    <n v="10001270"/>
    <s v="BR01-CIL-CRO-REBAR1-REB002"/>
    <n v="4540"/>
    <n v="20396"/>
    <n v="1998"/>
    <n v="778963.47"/>
    <n v="83389"/>
    <n v="1141227.8700000006"/>
    <n v="1.24"/>
    <n v="4299"/>
    <n v="198708"/>
    <n v="1779"/>
    <n v="48"/>
    <n v="96"/>
    <n v="144"/>
    <n v="192"/>
    <n v="240"/>
    <n v="288"/>
    <n v="336"/>
    <n v="386.25"/>
    <n v="3215.74"/>
    <n v="0.1"/>
    <n v="1.5607"/>
    <n v="0.8"/>
    <n v="-778963.47"/>
    <n v="-62841.768000000004"/>
    <n v="-69125.944800000012"/>
    <n v="-76038.539280000026"/>
    <n v="-83642.393208000023"/>
    <n v="-92006.632528800023"/>
    <n v="-101207.29578168005"/>
    <n v="-111328.02535984806"/>
    <n v="-1994691.7576289997"/>
    <n v="-12568.353599999999"/>
    <n v="-13825.188959999999"/>
    <n v="-15207.707856000003"/>
    <n v="-16728.478641600002"/>
    <n v="-18401.32650576"/>
    <n v="-20241.459156336005"/>
    <n v="-22265.605071969607"/>
    <n v="-1758159.0296289998"/>
    <n v="-596190.59895832813"/>
    <n v="-119238.11979166562"/>
    <n v="-228.73261120890527"/>
    <n v="-0.11006916375563736"/>
    <s v="Fase de Degradação"/>
  </r>
  <r>
    <n v="507"/>
    <x v="506"/>
    <s v="REB003-REBARBAÇÃO ELETROQUÍMICA"/>
    <n v="10003386"/>
    <s v="BR01-CIL-CRO-REBAR1-REB003"/>
    <n v="4540"/>
    <n v="20624"/>
    <n v="2003"/>
    <n v="1116572.8999999999"/>
    <n v="14093"/>
    <n v="1842696.9900000077"/>
    <n v="1.46"/>
    <n v="4315"/>
    <n v="172691"/>
    <n v="2698"/>
    <n v="99"/>
    <n v="198"/>
    <n v="297"/>
    <n v="396"/>
    <n v="495"/>
    <n v="594"/>
    <n v="693"/>
    <n v="452.77"/>
    <n v="5065.34"/>
    <n v="0.1"/>
    <n v="1.1931"/>
    <n v="0.8"/>
    <n v="-1116572.8999999999"/>
    <n v="-116169.141"/>
    <n v="-127786.05510000001"/>
    <n v="-140564.66061000005"/>
    <n v="-154621.12667100003"/>
    <n v="-170083.23933810004"/>
    <n v="-187091.5632719101"/>
    <n v="-205800.71959910111"/>
    <n v="-2448756.0269900002"/>
    <n v="-23233.828199999996"/>
    <n v="-25557.211019999995"/>
    <n v="-28112.932122000002"/>
    <n v="-30924.2253342"/>
    <n v="-34016.647867619999"/>
    <n v="-37418.312654382011"/>
    <n v="-41160.143919820213"/>
    <n v="-1871442.4909900003"/>
    <n v="-1102116.5055901115"/>
    <n v="-220423.30111802218"/>
    <n v="-225.87940321684439"/>
    <n v="-9.1714677083924057E-2"/>
    <s v="Fase de Degradação"/>
  </r>
  <r>
    <n v="508"/>
    <x v="507"/>
    <s v="REB004-REBARBAÇÃO ELETROQUÍMICA"/>
    <n v="10005125"/>
    <s v="BR01-CIL-CRO-REBAR2-REB004"/>
    <n v="4540"/>
    <n v="35091"/>
    <n v="2007"/>
    <n v="1071885.2"/>
    <n v="168604"/>
    <n v="1142471.6300000006"/>
    <n v="1.19"/>
    <n v="5141"/>
    <n v="135614"/>
    <n v="1785"/>
    <n v="81"/>
    <n v="162"/>
    <n v="243"/>
    <n v="324"/>
    <n v="405"/>
    <n v="486"/>
    <n v="567"/>
    <n v="502.3"/>
    <n v="3610.92"/>
    <n v="0.1"/>
    <n v="0.93579999999999997"/>
    <n v="0.8"/>
    <n v="-1071885.2"/>
    <n v="-92419.074000000008"/>
    <n v="-101660.9814"/>
    <n v="-111827.07954000004"/>
    <n v="-123009.78749400003"/>
    <n v="-135310.76624340005"/>
    <n v="-148841.84286774005"/>
    <n v="-163726.0271545141"/>
    <n v="-2074955.3701599999"/>
    <n v="-18483.814799999996"/>
    <n v="-20332.196279999996"/>
    <n v="-22365.415908000003"/>
    <n v="-24601.957498800002"/>
    <n v="-27062.153248680006"/>
    <n v="-29768.368573548003"/>
    <n v="-32745.205430902814"/>
    <n v="-1773062.2661600001"/>
    <n v="-876795.5586996543"/>
    <n v="-175359.11173993081"/>
    <n v="-220.3032747428966"/>
    <n v="-9.8193646075515117E-2"/>
    <s v="Fase de Degradação"/>
  </r>
  <r>
    <n v="509"/>
    <x v="508"/>
    <s v="REB007-REBARBAÇÃO ELETROQUÍMICA"/>
    <n v="10006243"/>
    <s v="BR01-CIL-CRO-REBAR2-REB007"/>
    <n v="4540"/>
    <n v="43373"/>
    <n v="2013"/>
    <n v="1346093.57"/>
    <n v="217167"/>
    <n v="787389.53000000026"/>
    <n v="1.07"/>
    <n v="4964"/>
    <n v="85444"/>
    <n v="1346"/>
    <n v="84"/>
    <n v="168"/>
    <n v="252"/>
    <n v="336"/>
    <n v="420"/>
    <n v="504"/>
    <n v="588"/>
    <n v="456.59"/>
    <n v="3861.6"/>
    <n v="0.1"/>
    <n v="0.60660000000000003"/>
    <n v="0.8"/>
    <n v="-1346093.57"/>
    <n v="-93162.036000000007"/>
    <n v="-102478.23960000002"/>
    <n v="-112726.06356000002"/>
    <n v="-123998.66991600003"/>
    <n v="-136398.53690760004"/>
    <n v="-150038.39059836007"/>
    <n v="-165042.2296581961"/>
    <n v="-2162633.9295620001"/>
    <n v="-18632.407199999998"/>
    <n v="-20495.647919999999"/>
    <n v="-22545.212712"/>
    <n v="-24799.7339832"/>
    <n v="-27279.707381520002"/>
    <n v="-30007.678119672008"/>
    <n v="-33008.445931639209"/>
    <n v="-1905521.4735620003"/>
    <n v="-883844.16624015628"/>
    <n v="-176768.83324803121"/>
    <n v="-238.96079950998214"/>
    <n v="-0.10041209604618595"/>
    <s v="Fase de Vida Útil"/>
  </r>
  <r>
    <n v="510"/>
    <x v="509"/>
    <s v="REB008-REBARBAÇÃO ELETROQUÍMICA"/>
    <n v="10006324"/>
    <s v="BR01-CIL-CRO-REBAR1-REB008"/>
    <n v="4540"/>
    <n v="45295"/>
    <n v="2014"/>
    <n v="530377.51"/>
    <n v="174882"/>
    <n v="392224.85999999987"/>
    <n v="1.3"/>
    <n v="4500"/>
    <n v="67870"/>
    <n v="541"/>
    <n v="47"/>
    <n v="94"/>
    <n v="141"/>
    <n v="188"/>
    <n v="235"/>
    <n v="282"/>
    <n v="329"/>
    <n v="479.5"/>
    <n v="2243.6999999999998"/>
    <n v="0.1"/>
    <n v="0.54749999999999999"/>
    <n v="0.8"/>
    <n v="-530377.51"/>
    <n v="-54406.99"/>
    <n v="-59847.689000000006"/>
    <n v="-65832.457900000009"/>
    <n v="-72415.703690000009"/>
    <n v="-79657.274059000018"/>
    <n v="-87623.001464900037"/>
    <n v="-96385.301611390052"/>
    <n v="-820759.19672499993"/>
    <n v="-10881.397999999997"/>
    <n v="-11969.537799999998"/>
    <n v="-13166.491579999998"/>
    <n v="-14483.140737999998"/>
    <n v="-15931.4548118"/>
    <n v="-17524.600292980005"/>
    <n v="-19277.060322278005"/>
    <n v="-718660.15672500001"/>
    <n v="-516168.41772529017"/>
    <n v="-103233.683545058"/>
    <n v="-83.243780363538264"/>
    <n v="-8.3608212112310301E-2"/>
    <s v="Fase de Degradação"/>
  </r>
  <r>
    <n v="511"/>
    <x v="510"/>
    <s v="REB009-REBARBAÇÃO ELETROQUÍMICA"/>
    <n v="10006370"/>
    <s v="BR01-CIL-CRO-REBAR1-REB009"/>
    <n v="4540"/>
    <n v="46268"/>
    <n v="2015"/>
    <n v="1582342.71"/>
    <n v="508886"/>
    <n v="597640.38000000024"/>
    <n v="1.48"/>
    <n v="3676"/>
    <n v="66023"/>
    <n v="686"/>
    <n v="58"/>
    <n v="116"/>
    <n v="174"/>
    <n v="232"/>
    <n v="290"/>
    <n v="348"/>
    <n v="406"/>
    <n v="528.12"/>
    <n v="5636.99"/>
    <n v="0.1"/>
    <n v="0.4834"/>
    <n v="0.8"/>
    <n v="-1582342.71"/>
    <n v="-108102.32400000001"/>
    <n v="-118912.55640000002"/>
    <n v="-130803.81204000003"/>
    <n v="-143884.19324400002"/>
    <n v="-158272.61256840004"/>
    <n v="-174099.87382524007"/>
    <n v="-191509.8612077641"/>
    <n v="-2347247.1760140001"/>
    <n v="-21620.464799999998"/>
    <n v="-23782.511279999999"/>
    <n v="-26160.762408000002"/>
    <n v="-28776.8386488"/>
    <n v="-31654.52251368"/>
    <n v="-34819.974765048006"/>
    <n v="-38301.972241552809"/>
    <n v="-2305794.0720140003"/>
    <n v="-1025585.2332854044"/>
    <n v="-205117.04665708082"/>
    <n v="-290.80928419795384"/>
    <n v="-0.10181923120398934"/>
    <s v="Fase de Degradação"/>
  </r>
  <r>
    <n v="512"/>
    <x v="511"/>
    <s v="REB010-REBARBADORA"/>
    <n v="10006375"/>
    <s v="BR01-MOT-VIR-USIDUR-REB010"/>
    <n v="3320"/>
    <n v="35175"/>
    <n v="2008"/>
    <n v="81681.05"/>
    <n v="0"/>
    <n v="93492.020000000062"/>
    <n v="1.25"/>
    <n v="4392"/>
    <n v="64305"/>
    <n v="200"/>
    <n v="13.333333333333334"/>
    <n v="26.666666666666668"/>
    <n v="40"/>
    <n v="53.333333333333336"/>
    <n v="66.666666666666671"/>
    <n v="80"/>
    <n v="93.333333333333329"/>
    <n v="398.32"/>
    <n v="1480.77"/>
    <n v="0.1"/>
    <n v="0.89119999999999999"/>
    <n v="0.8"/>
    <n v="-81681.05"/>
    <n v="-25388.190666666669"/>
    <n v="-27927.009733333336"/>
    <n v="-30719.710706666676"/>
    <n v="-33791.681777333339"/>
    <n v="-37170.849955066675"/>
    <n v="-40887.934950573341"/>
    <n v="-44976.728445630688"/>
    <n v="-154475.20176"/>
    <n v="-5077.6381333333329"/>
    <n v="-5585.4019466666659"/>
    <n v="-6143.9421413333339"/>
    <n v="-6758.3363554666666"/>
    <n v="-7434.1699910133329"/>
    <n v="-8177.5869901146662"/>
    <n v="-8995.3456891261358"/>
    <n v="-25226.231093333336"/>
    <n v="-240862.10623527071"/>
    <n v="-48172.421247054132"/>
    <n v="5.4592118897452266"/>
    <n v="3.5340377144979666E-2"/>
    <s v="Fase de Degradação"/>
  </r>
  <r>
    <n v="513"/>
    <x v="512"/>
    <s v="REB011-REBARBAÇÃO ELETROQUÍMICA"/>
    <n v="10006510"/>
    <s v="BR01-CIL-CRO-REBAR2-REB011"/>
    <n v="4540"/>
    <n v="48348"/>
    <n v="2017"/>
    <n v="1589626.11"/>
    <n v="806313"/>
    <n v="215099.81999999998"/>
    <n v="1.29"/>
    <n v="4053"/>
    <n v="44496"/>
    <n v="294"/>
    <n v="35"/>
    <n v="70"/>
    <n v="105"/>
    <n v="140"/>
    <n v="175"/>
    <n v="210"/>
    <n v="245"/>
    <n v="556.97"/>
    <n v="2984.15"/>
    <n v="0.1"/>
    <n v="0.31379999999999997"/>
    <n v="0.8"/>
    <n v="-1589626.11"/>
    <n v="-60834.125000000007"/>
    <n v="-66917.537500000006"/>
    <n v="-73609.291250000024"/>
    <n v="-80970.220375000019"/>
    <n v="-89067.242412500025"/>
    <n v="-97973.966653750045"/>
    <n v="-107771.36331912507"/>
    <n v="-2088450.7833180001"/>
    <n v="-12166.824999999999"/>
    <n v="-13383.507499999998"/>
    <n v="-14721.858250000001"/>
    <n v="-16194.044075"/>
    <n v="-17813.4484825"/>
    <n v="-19594.793330750006"/>
    <n v="-21554.27266382501"/>
    <n v="-2585062.7833179999"/>
    <n v="-577143.74651037517"/>
    <n v="-115428.74930207501"/>
    <n v="-347.57839801567138"/>
    <n v="-0.12007141999589148"/>
    <s v="Fase de Degradação"/>
  </r>
  <r>
    <n v="514"/>
    <x v="513"/>
    <s v="REB012-REBARBAÇÃO ELETROQUÍMICA"/>
    <n v="10006919"/>
    <s v="BR01-CIL-CRO-REBAR2-REB012"/>
    <n v="4540"/>
    <n v="900000022475"/>
    <n v="2022"/>
    <n v="2917957.84"/>
    <n v="2917957.84"/>
    <n v="534.84"/>
    <n v="3.36"/>
    <n v="4421"/>
    <n v="766"/>
    <n v="5"/>
    <n v="5"/>
    <n v="10"/>
    <n v="15"/>
    <n v="20"/>
    <n v="25"/>
    <n v="30"/>
    <n v="35"/>
    <n v="174.84"/>
    <n v="268.79000000000002"/>
    <n v="0.1"/>
    <n v="5.79E-2"/>
    <n v="0.8"/>
    <n v="-2917957.84"/>
    <n v="-4509.648000000001"/>
    <n v="-4960.6128000000008"/>
    <n v="-5456.6740800000016"/>
    <n v="-6002.3414880000018"/>
    <n v="-6602.5756368000029"/>
    <n v="-7262.8332004800041"/>
    <n v="-7989.1165205280058"/>
    <n v="-3086907.5989359999"/>
    <n v="-901.92960000000005"/>
    <n v="-992.12255999999991"/>
    <n v="-1091.334816"/>
    <n v="-1200.4682976000001"/>
    <n v="-1320.5151273600004"/>
    <n v="-1452.5666400960006"/>
    <n v="-1597.8233041056008"/>
    <n v="-5981907.2309360001"/>
    <n v="-42783.801725808022"/>
    <n v="-8556.7603451616014"/>
    <n v="-852.94834250790768"/>
    <n v="-0.14204287359668819"/>
    <s v="Fase de Degradação"/>
  </r>
  <r>
    <n v="515"/>
    <x v="514"/>
    <s v="RET002-RETÍFICA"/>
    <n v="10000381"/>
    <s v="BR01-MOT-VIR-USIDUR-RET002"/>
    <n v="3319"/>
    <n v="20311"/>
    <n v="1977"/>
    <n v="403404.94"/>
    <n v="82638"/>
    <n v="1593976.0499999998"/>
    <n v="1.93"/>
    <n v="4200.4440000000004"/>
    <n v="198584"/>
    <n v="1176"/>
    <n v="25.565217391304348"/>
    <n v="51.130434782608695"/>
    <n v="76.695652173913047"/>
    <n v="102.26086956521739"/>
    <n v="127.82608695652173"/>
    <n v="153.39130434782609"/>
    <n v="178.95652173913044"/>
    <n v="843.14"/>
    <n v="8526.75"/>
    <n v="0.1"/>
    <n v="2.9147076923076951"/>
    <n v="0.8"/>
    <n v="-403404.94"/>
    <n v="-136263.66313043478"/>
    <n v="-149890.02944347827"/>
    <n v="-164879.03238782613"/>
    <n v="-181366.93562660876"/>
    <n v="-199503.62918926965"/>
    <n v="-219453.99210819663"/>
    <n v="-241399.39131901631"/>
    <n v="-1579212.4217329242"/>
    <n v="-27252.732626086952"/>
    <n v="-29978.005888695647"/>
    <n v="-32975.806477565216"/>
    <n v="-36273.387125321744"/>
    <n v="-39900.725837853919"/>
    <n v="-43890.798421639316"/>
    <n v="-48279.87826380325"/>
    <n v="-968144.5003416196"/>
    <n v="-1292756.6732048304"/>
    <n v="-258551.33464096603"/>
    <n v="-89.6635833098657"/>
    <n v="-5.3954063577134337E-2"/>
    <s v="Fase de Degradação"/>
  </r>
  <r>
    <n v="516"/>
    <x v="515"/>
    <s v="RET003-RETÍFICA"/>
    <n v="10000388"/>
    <s v="BR01-MOT-VIR-USIDUR-RET003"/>
    <n v="3319"/>
    <n v="5700100200"/>
    <n v="1977"/>
    <n v="315444.75"/>
    <n v="0"/>
    <n v="1205452.4099999988"/>
    <n v="1.35"/>
    <n v="4200.4440000000004"/>
    <n v="198569"/>
    <n v="784"/>
    <n v="17.043478260869566"/>
    <n v="34.086956521739133"/>
    <n v="51.130434782608702"/>
    <n v="68.173913043478265"/>
    <n v="85.217391304347828"/>
    <n v="102.26086956521739"/>
    <n v="119.30434782608695"/>
    <n v="817.74"/>
    <n v="3817.28"/>
    <n v="0.1"/>
    <n v="2.9147076923076951"/>
    <n v="0.8"/>
    <n v="-315444.75"/>
    <n v="-65718.943304347835"/>
    <n v="-72290.837634782627"/>
    <n v="-79519.921398260893"/>
    <n v="-87471.913538086985"/>
    <n v="-96219.10489189568"/>
    <n v="-105841.01538108526"/>
    <n v="-116425.11691919381"/>
    <n v="-1234873.9893230777"/>
    <n v="-13143.788660869564"/>
    <n v="-14458.167526956522"/>
    <n v="-15903.984279652175"/>
    <n v="-17494.382707617395"/>
    <n v="-19243.820978379132"/>
    <n v="-21168.203076217047"/>
    <n v="-23285.023383838758"/>
    <n v="-900304.8234100343"/>
    <n v="-623486.85306765314"/>
    <n v="-124697.3706135306"/>
    <n v="-105.15492955270788"/>
    <n v="-8.5154380497034179E-2"/>
    <s v="Fase de Degradação"/>
  </r>
  <r>
    <n v="517"/>
    <x v="516"/>
    <s v="RET004-RETÍFICA"/>
    <n v="10000395"/>
    <s v="BR01-MOT-VIR-USIDUR-RET004"/>
    <n v="3319"/>
    <n v="5700100600"/>
    <n v="1982"/>
    <n v="621256.14"/>
    <n v="80554"/>
    <n v="1571071.1099999994"/>
    <n v="1.53"/>
    <n v="4200.4440000000004"/>
    <n v="197981"/>
    <n v="1052"/>
    <n v="25.658536585365855"/>
    <n v="51.31707317073171"/>
    <n v="76.975609756097569"/>
    <n v="102.63414634146342"/>
    <n v="128.29268292682929"/>
    <n v="153.95121951219514"/>
    <n v="179.60975609756099"/>
    <n v="966.98"/>
    <n v="6651.7"/>
    <n v="0.1"/>
    <n v="2.5972846153846172"/>
    <n v="0.8"/>
    <n v="-621256.14"/>
    <n v="-115094.8608780488"/>
    <n v="-126604.34696585368"/>
    <n v="-139264.78166243908"/>
    <n v="-153191.25982868296"/>
    <n v="-168510.38581155127"/>
    <n v="-185361.42439270642"/>
    <n v="-203897.56683197708"/>
    <n v="-2234835.1546352319"/>
    <n v="-23018.972175609753"/>
    <n v="-25320.869393170731"/>
    <n v="-27852.956332487811"/>
    <n v="-30638.251965736585"/>
    <n v="-33702.077162310248"/>
    <n v="-37072.284878541279"/>
    <n v="-40779.513366395404"/>
    <n v="-1729451.6810742563"/>
    <n v="-1091924.6263712593"/>
    <n v="-218384.92527425181"/>
    <n v="-205.97849336260344"/>
    <n v="-8.8960636681851196E-2"/>
    <s v="Fase de Degradação"/>
  </r>
  <r>
    <n v="518"/>
    <x v="517"/>
    <s v="RET006-RETÍFICA"/>
    <n v="10000402"/>
    <s v="BR01-MOT-VIR-USIDUR-RET006"/>
    <n v="3316"/>
    <n v="5700101700"/>
    <n v="1988"/>
    <n v="355723.46"/>
    <n v="89154"/>
    <n v="1000447.4200000003"/>
    <n v="1.47"/>
    <n v="4392"/>
    <n v="198452"/>
    <n v="676"/>
    <n v="19.314285714285713"/>
    <n v="38.628571428571426"/>
    <n v="57.942857142857136"/>
    <n v="77.257142857142853"/>
    <n v="96.571428571428569"/>
    <n v="115.88571428571429"/>
    <n v="135.19999999999999"/>
    <n v="1089.79"/>
    <n v="5621.7"/>
    <n v="0.1"/>
    <n v="2.2163769230769237"/>
    <n v="0.8"/>
    <n v="-355723.46"/>
    <n v="-97359.806971428567"/>
    <n v="-107095.78766857143"/>
    <n v="-117805.36643542859"/>
    <n v="-129585.90307897147"/>
    <n v="-142544.49338686862"/>
    <n v="-156798.94272555551"/>
    <n v="-172478.83699811102"/>
    <n v="-1144140.7277410773"/>
    <n v="-19471.96139428571"/>
    <n v="-21419.157533714282"/>
    <n v="-23561.073287085714"/>
    <n v="-25917.180615794288"/>
    <n v="-28508.898677373716"/>
    <n v="-31359.788545111092"/>
    <n v="-34495.767399622193"/>
    <n v="-737644.80134107743"/>
    <n v="-923669.13726493518"/>
    <n v="-184733.827452987"/>
    <n v="-70.622773989875625"/>
    <n v="-5.7263501092905379E-2"/>
    <s v="Fase de Degradação"/>
  </r>
  <r>
    <n v="519"/>
    <x v="518"/>
    <s v="RET012-RETÍFICA PLANA"/>
    <n v="10000536"/>
    <s v="BR01-MOT-SAB-RETIFC-RET012"/>
    <n v="2518"/>
    <n v="5700200200"/>
    <n v="1982"/>
    <n v="753053.96"/>
    <n v="0"/>
    <n v="2064684.9100000006"/>
    <n v="1.1100000000000001"/>
    <n v="3438"/>
    <n v="199309"/>
    <n v="1584"/>
    <n v="31"/>
    <n v="62"/>
    <n v="93"/>
    <n v="124"/>
    <n v="155"/>
    <n v="186"/>
    <n v="217"/>
    <n v="758.64"/>
    <n v="7522.55"/>
    <n v="0.1"/>
    <n v="2.5972846153846172"/>
    <n v="0.8"/>
    <n v="-753053.96"/>
    <n v="-125167.28400000001"/>
    <n v="-137684.01240000004"/>
    <n v="-151452.41364000004"/>
    <n v="-166597.65500400006"/>
    <n v="-183257.42050440007"/>
    <n v="-201583.16255484009"/>
    <n v="-221741.47881032413"/>
    <n v="-2708949.4248624626"/>
    <n v="-25033.456799999996"/>
    <n v="-27536.802480000002"/>
    <n v="-30290.482728000003"/>
    <n v="-33319.531000800001"/>
    <n v="-36651.484100880007"/>
    <n v="-40316.632510968011"/>
    <n v="-44348.295762064816"/>
    <n v="-2071734.1608624626"/>
    <n v="-1187483.4269135643"/>
    <n v="-237496.68538271284"/>
    <n v="-251.28038333308726"/>
    <n v="-9.2759348338828859E-2"/>
    <s v="Fase de Degradação"/>
  </r>
  <r>
    <n v="520"/>
    <x v="519"/>
    <s v="RET013-RETÍFICA RANHURA"/>
    <n v="10000542"/>
    <s v="BR01-MOT-SAB-RETIFC-RET013"/>
    <n v="2520"/>
    <n v="5700100900"/>
    <n v="1981"/>
    <n v="651868.06000000006"/>
    <n v="255480"/>
    <n v="2190208.1699999943"/>
    <n v="0.94"/>
    <n v="2343"/>
    <n v="198853"/>
    <n v="1417"/>
    <n v="16"/>
    <n v="32"/>
    <n v="48"/>
    <n v="64"/>
    <n v="80"/>
    <n v="96"/>
    <n v="112"/>
    <n v="833.21"/>
    <n v="11111.29"/>
    <n v="0.1"/>
    <n v="2.6607692307692328"/>
    <n v="0.8"/>
    <n v="-651868.06000000006"/>
    <n v="-161333.52400000003"/>
    <n v="-177466.87640000007"/>
    <n v="-195213.56404000008"/>
    <n v="-214734.9204440001"/>
    <n v="-236208.41248840012"/>
    <n v="-259829.25373724016"/>
    <n v="-285812.17911096424"/>
    <n v="-2386338.5365692321"/>
    <n v="-32266.7048"/>
    <n v="-35493.375280000007"/>
    <n v="-39042.712808000011"/>
    <n v="-42946.984088800011"/>
    <n v="-47241.682497680013"/>
    <n v="-51965.850747448021"/>
    <n v="-57162.435822192834"/>
    <n v="-1820484.2325692321"/>
    <n v="-1530598.7302206049"/>
    <n v="-306119.74604412087"/>
    <n v="-202.4770789132497"/>
    <n v="-7.6643068443373971E-2"/>
    <s v="Confiabilidade em Crescimento"/>
  </r>
  <r>
    <n v="521"/>
    <x v="520"/>
    <s v="RET014-RETÍFICA RANHURA"/>
    <n v="10000553"/>
    <s v="BR01-MOT-SAB-RETIFC-RET014"/>
    <n v="2520"/>
    <n v="34786"/>
    <n v="2007"/>
    <n v="557689.21"/>
    <n v="228024"/>
    <n v="2069959.3099999935"/>
    <n v="0.89"/>
    <n v="4006"/>
    <n v="198773"/>
    <n v="1535"/>
    <n v="28"/>
    <n v="56"/>
    <n v="84"/>
    <n v="112"/>
    <n v="140"/>
    <n v="168"/>
    <n v="196"/>
    <n v="906.38"/>
    <n v="9537.11"/>
    <n v="0.1"/>
    <n v="0.93579999999999997"/>
    <n v="0.8"/>
    <n v="-557689.21"/>
    <n v="-153806.35600000003"/>
    <n v="-169186.99160000004"/>
    <n v="-186105.69076000008"/>
    <n v="-204716.2598360001"/>
    <n v="-225187.88581960011"/>
    <n v="-247706.67440156016"/>
    <n v="-272477.3418417162"/>
    <n v="-1079574.772718"/>
    <n v="-30761.271199999999"/>
    <n v="-33837.39832"/>
    <n v="-37221.138152000007"/>
    <n v="-40943.251967200013"/>
    <n v="-45037.57716392001"/>
    <n v="-49541.334880312017"/>
    <n v="-54495.46836834323"/>
    <n v="-524584.59671800002"/>
    <n v="-1459187.2002588767"/>
    <n v="-291837.44005177531"/>
    <n v="-20.035573215842689"/>
    <n v="-1.5322416657057853E-2"/>
    <s v="Confiabilidade em Crescimento"/>
  </r>
  <r>
    <n v="522"/>
    <x v="521"/>
    <s v="RET015-RETÍFICA RANHURA"/>
    <n v="10000564"/>
    <s v="BR01-MOT-SAB-RETIFC-RET015"/>
    <n v="2520"/>
    <n v="20040"/>
    <n v="1982"/>
    <n v="605586.18000000005"/>
    <n v="173806"/>
    <n v="2146002.349999995"/>
    <n v="0.88"/>
    <n v="4026"/>
    <n v="199412"/>
    <n v="1717"/>
    <n v="31"/>
    <n v="62"/>
    <n v="93"/>
    <n v="124"/>
    <n v="155"/>
    <n v="186"/>
    <n v="217"/>
    <n v="956.84"/>
    <n v="11957.37"/>
    <n v="0.1"/>
    <n v="2.5972846153846172"/>
    <n v="0.8"/>
    <n v="-605586.18000000005"/>
    <n v="-190465.52800000002"/>
    <n v="-209512.08080000005"/>
    <n v="-230463.28888000009"/>
    <n v="-253509.61776800008"/>
    <n v="-278860.5795448001"/>
    <n v="-306746.63749928016"/>
    <n v="-337421.30124920822"/>
    <n v="-2178465.8486035396"/>
    <n v="-38093.105599999995"/>
    <n v="-41902.416160000001"/>
    <n v="-46092.657776000007"/>
    <n v="-50701.923553600005"/>
    <n v="-55772.115908960004"/>
    <n v="-61349.327499856015"/>
    <n v="-67484.260249841624"/>
    <n v="-1382629.1606035398"/>
    <n v="-1806979.0337412886"/>
    <n v="-361395.80674825766"/>
    <n v="-129.5269459443584"/>
    <n v="-5.5064615946177294E-2"/>
    <s v="Confiabilidade em Crescimento"/>
  </r>
  <r>
    <n v="523"/>
    <x v="522"/>
    <s v="RET016-RETÍFICA RANHURA"/>
    <n v="10000575"/>
    <s v="BR01-MOT-SAB-RETIFC-RET016"/>
    <n v="2520"/>
    <n v="5700101100"/>
    <n v="1986"/>
    <n v="620106.74"/>
    <n v="179965"/>
    <n v="1729322.9999999953"/>
    <n v="0.86"/>
    <n v="2479"/>
    <n v="199211"/>
    <n v="1338"/>
    <n v="15"/>
    <n v="30"/>
    <n v="45"/>
    <n v="60"/>
    <n v="75"/>
    <n v="90"/>
    <n v="105"/>
    <n v="900.19"/>
    <n v="7932.76"/>
    <n v="0.1"/>
    <n v="2.3433461538461549"/>
    <n v="0.8"/>
    <n v="-620106.74"/>
    <n v="-119565.56700000001"/>
    <n v="-131522.12370000003"/>
    <n v="-144674.33607000005"/>
    <n v="-159141.76967700003"/>
    <n v="-175055.94664470007"/>
    <n v="-192561.5413091701"/>
    <n v="-211817.69544008715"/>
    <n v="-2073231.4841530775"/>
    <n v="-23913.113399999998"/>
    <n v="-26304.424739999999"/>
    <n v="-28934.867214000002"/>
    <n v="-31828.353935399999"/>
    <n v="-35011.18932894001"/>
    <n v="-38512.308261834012"/>
    <n v="-42363.539088017424"/>
    <n v="-1644499.0521530774"/>
    <n v="-1134338.9798409573"/>
    <n v="-226867.79596819147"/>
    <n v="-192.24647146861594"/>
    <n v="-8.5321663166395709E-2"/>
    <s v="Confiabilidade em Crescimento"/>
  </r>
  <r>
    <n v="524"/>
    <x v="523"/>
    <s v="RET017-RETÍFICA RANHURA"/>
    <n v="10000586"/>
    <s v="BR01-MOT-SAB-RETIFC-RET017"/>
    <n v="2520"/>
    <n v="5700200400"/>
    <n v="1989"/>
    <n v="548737.44999999995"/>
    <n v="230285"/>
    <n v="2045599.6299999962"/>
    <n v="1.1200000000000001"/>
    <n v="4458"/>
    <n v="197997"/>
    <n v="1760"/>
    <n v="45"/>
    <n v="90"/>
    <n v="135"/>
    <n v="180"/>
    <n v="225"/>
    <n v="270"/>
    <n v="315"/>
    <n v="884.07"/>
    <n v="9491.17"/>
    <n v="0.1"/>
    <n v="2.1528923076923081"/>
    <n v="0.8"/>
    <n v="-548737.44999999995"/>
    <n v="-169044.90900000001"/>
    <n v="-185949.39990000002"/>
    <n v="-204544.33989000006"/>
    <n v="-224998.77387900007"/>
    <n v="-247498.65126690009"/>
    <n v="-272248.51639359014"/>
    <n v="-299473.36803294916"/>
    <n v="-1730110.0850476923"/>
    <n v="-33808.981799999994"/>
    <n v="-37189.879979999998"/>
    <n v="-40908.867978000002"/>
    <n v="-44999.754775800007"/>
    <n v="-49499.73025338001"/>
    <n v="-54449.703278718014"/>
    <n v="-59894.673606589822"/>
    <n v="-1099802.8210476923"/>
    <n v="-1603757.9583624396"/>
    <n v="-320751.59167248785"/>
    <n v="-96.769816908248657"/>
    <n v="-4.9362405387735626E-2"/>
    <s v="Fase de Degradação"/>
  </r>
  <r>
    <n v="525"/>
    <x v="524"/>
    <s v="RET019-RETIFICA PLANA SULMECÂNICA"/>
    <n v="10004444"/>
    <s v="BR01-CIL-FER-MANMOL"/>
    <n v="1074"/>
    <n v="20009"/>
    <n v="1989"/>
    <n v="192673.02"/>
    <n v="21992"/>
    <n v="73453.94"/>
    <n v="1.19"/>
    <n v="4116"/>
    <n v="104864"/>
    <n v="52"/>
    <n v="1.5294117647058822"/>
    <n v="3.0588235294117645"/>
    <n v="4.5882352941176467"/>
    <n v="6.117647058823529"/>
    <n v="7.6470588235294112"/>
    <n v="9.1764705882352935"/>
    <n v="10.705882352941176"/>
    <n v="202.56"/>
    <n v="158.82750000000001"/>
    <n v="0.1"/>
    <n v="2.1528923076923081"/>
    <n v="0.8"/>
    <n v="-192673.02"/>
    <n v="-2437.3004117647065"/>
    <n v="-2681.0304529411774"/>
    <n v="-2949.1334982352955"/>
    <n v="-3244.0468480588252"/>
    <n v="-3568.451532864708"/>
    <n v="-3925.2966861511791"/>
    <n v="-4317.8263547662973"/>
    <n v="-607477.28265784623"/>
    <n v="-487.46008235294119"/>
    <n v="-536.20609058823538"/>
    <n v="-589.82669964705894"/>
    <n v="-648.80936961176485"/>
    <n v="-713.69030657294149"/>
    <n v="-785.05933723023566"/>
    <n v="-863.5652709532593"/>
    <n v="-617061.20783431688"/>
    <n v="-23123.08578478219"/>
    <n v="-4624.6171569564367"/>
    <n v="-87.281544861431499"/>
    <n v="-0.13865894216934202"/>
    <s v="Fase de Degradação"/>
  </r>
  <r>
    <n v="526"/>
    <x v="525"/>
    <s v="RET020-RETÍFICA"/>
    <n v="10002062"/>
    <s v="BR01-MOT-SAB-TRTIND-RET020"/>
    <n v="2522"/>
    <n v="20362"/>
    <n v="2001"/>
    <n v="14080"/>
    <n v="0"/>
    <n v="133617.51"/>
    <n v="1.34"/>
    <n v="4795.2647999999999"/>
    <n v="179783"/>
    <n v="73"/>
    <n v="3"/>
    <n v="6"/>
    <n v="9"/>
    <n v="12"/>
    <n v="15"/>
    <n v="18"/>
    <n v="21"/>
    <n v="596.09"/>
    <n v="747.53"/>
    <n v="0.1"/>
    <n v="1.3951"/>
    <n v="0.8"/>
    <n v="-14080"/>
    <n v="-11834.493000000002"/>
    <n v="-13017.942300000002"/>
    <n v="-14319.736530000006"/>
    <n v="-15751.710183000007"/>
    <n v="-17326.881201300006"/>
    <n v="-19059.569321430012"/>
    <n v="-20965.526253573014"/>
    <n v="-33723.008000000002"/>
    <n v="-2366.8986"/>
    <n v="-2603.5884599999999"/>
    <n v="-2863.9473060000005"/>
    <n v="-3150.3420366000005"/>
    <n v="-3465.3762402600005"/>
    <n v="-3811.9138642860016"/>
    <n v="-4193.1052507146023"/>
    <n v="26525.320000000007"/>
    <n v="-112275.85878930303"/>
    <n v="-22455.171757860604"/>
    <n v="8.0139541473489189"/>
    <n v="0.23764054936466281"/>
    <s v="Fase de Degradação"/>
  </r>
  <r>
    <n v="527"/>
    <x v="526"/>
    <s v="RET023-RETÍFICA  CILINDRICA MELLO"/>
    <n v="10003095"/>
    <s v="BR01-CIL-FER-FABMOL"/>
    <n v="1074"/>
    <n v="20104"/>
    <n v="1997"/>
    <n v="44100"/>
    <n v="0"/>
    <n v="34369.799999999996"/>
    <n v="1.66"/>
    <n v="4116"/>
    <n v="144323"/>
    <n v="40"/>
    <n v="1.5384615384615385"/>
    <n v="3.0769230769230771"/>
    <n v="4.6153846153846159"/>
    <n v="6.1538461538461542"/>
    <n v="7.6923076923076925"/>
    <n v="9.2307692307692317"/>
    <n v="10.76923076923077"/>
    <n v="391.37"/>
    <n v="153.41999999999999"/>
    <n v="0.1"/>
    <n v="1.6129"/>
    <n v="0.8"/>
    <n v="-44100"/>
    <n v="-2687.4624615384619"/>
    <n v="-2956.2087076923085"/>
    <n v="-3251.8295784615398"/>
    <n v="-3577.0125363076932"/>
    <n v="-3934.7137899384625"/>
    <n v="-4328.1851689323103"/>
    <n v="-4761.0036858255407"/>
    <n v="-115228.88999999998"/>
    <n v="-537.49249230769226"/>
    <n v="-591.24174153846161"/>
    <n v="-650.36591569230779"/>
    <n v="-715.40250726153852"/>
    <n v="-786.94275798769229"/>
    <n v="-865.63703378646187"/>
    <n v="-952.20073716510797"/>
    <n v="-101547.26292307691"/>
    <n v="-25496.415928696319"/>
    <n v="-5099.2831857392621"/>
    <n v="-13.547393893863273"/>
    <n v="-0.11756942112228344"/>
    <s v="Fase de Degradação"/>
  </r>
  <r>
    <n v="528"/>
    <x v="527"/>
    <s v="RET024-RETÍFICA DE ROSCAS"/>
    <n v="10001564"/>
    <s v="BR01-MOT-VIR-USIDUR-RET024"/>
    <n v="3326"/>
    <n v="20185"/>
    <n v="1999"/>
    <n v="161359.06"/>
    <n v="0"/>
    <n v="328368.0399999994"/>
    <n v="1.49"/>
    <n v="2763.6480000000001"/>
    <n v="198569"/>
    <n v="347"/>
    <n v="7"/>
    <n v="14"/>
    <n v="21"/>
    <n v="28"/>
    <n v="35"/>
    <n v="42"/>
    <n v="49"/>
    <n v="587.24"/>
    <n v="1717.71"/>
    <n v="0.1"/>
    <n v="1.5442"/>
    <n v="0.8"/>
    <n v="-161359.06"/>
    <n v="-27195.520000000004"/>
    <n v="-29915.072000000004"/>
    <n v="-32906.579200000007"/>
    <n v="-36197.237120000013"/>
    <n v="-39816.960832000012"/>
    <n v="-43798.656915200023"/>
    <n v="-48178.522606720035"/>
    <n v="-410529.72045199998"/>
    <n v="-5439.1039999999994"/>
    <n v="-5983.0143999999991"/>
    <n v="-6581.3158400000002"/>
    <n v="-7239.4474240000009"/>
    <n v="-7963.3921664000009"/>
    <n v="-8759.7313830400035"/>
    <n v="-9635.7045213440051"/>
    <n v="-272079.800452"/>
    <n v="-258008.5486739201"/>
    <n v="-51601.70973478401"/>
    <n v="-29.160411644694843"/>
    <n v="-7.1031182864394693E-2"/>
    <s v="Fase de Degradação"/>
  </r>
  <r>
    <n v="529"/>
    <x v="528"/>
    <s v="RET026- RETÍFICA"/>
    <n v="10004104"/>
    <s v="BR01-MOT-VIR-USIDUR-RET026"/>
    <n v="3316"/>
    <n v="33902"/>
    <n v="2004"/>
    <n v="587995.59"/>
    <n v="9168"/>
    <n v="600437.08999999892"/>
    <n v="1.1200000000000001"/>
    <n v="2763.6480000000001"/>
    <n v="150274"/>
    <n v="327"/>
    <n v="7"/>
    <n v="14"/>
    <n v="21"/>
    <n v="28"/>
    <n v="35"/>
    <n v="42"/>
    <n v="49"/>
    <n v="790.9"/>
    <n v="2552.58"/>
    <n v="0.1"/>
    <n v="1.1001000000000001"/>
    <n v="0.8"/>
    <n v="-587995.59"/>
    <n v="-39783.986000000004"/>
    <n v="-43762.384600000012"/>
    <n v="-48138.62306000002"/>
    <n v="-52952.485366000015"/>
    <n v="-58247.733902600026"/>
    <n v="-64072.507292860035"/>
    <n v="-70479.758022146052"/>
    <n v="-1234849.538559"/>
    <n v="-7956.7971999999991"/>
    <n v="-8752.476920000001"/>
    <n v="-9627.7246120000018"/>
    <n v="-10590.4970732"/>
    <n v="-11649.546780520002"/>
    <n v="-12814.501458572004"/>
    <n v="-14095.951604429207"/>
    <n v="-1041480.8825590002"/>
    <n v="-377437.47824360617"/>
    <n v="-75487.495648721218"/>
    <n v="-134.581079423445"/>
    <n v="-0.1081826222316256"/>
    <s v="Fase de Degradação"/>
  </r>
  <r>
    <n v="530"/>
    <x v="529"/>
    <s v="RET030-RETÍFICA DE BIELAS"/>
    <n v="10004866"/>
    <s v="BR01-MOT-VIR-LBIELA-RET030"/>
    <n v="3339"/>
    <n v="34777"/>
    <n v="2007"/>
    <n v="1879426.84"/>
    <n v="32266"/>
    <n v="1517076.1"/>
    <n v="1.1599999999999999"/>
    <n v="5933.8320000000003"/>
    <n v="139943"/>
    <n v="1086"/>
    <n v="53"/>
    <n v="106"/>
    <n v="159"/>
    <n v="212"/>
    <n v="265"/>
    <n v="318"/>
    <n v="371"/>
    <n v="684.5"/>
    <n v="5987.45"/>
    <n v="0.1"/>
    <n v="0.93579999999999997"/>
    <n v="0.8"/>
    <n v="-1879426.84"/>
    <n v="-118940.69"/>
    <n v="-130834.75900000002"/>
    <n v="-143918.23490000004"/>
    <n v="-158310.05839000005"/>
    <n v="-174141.06422900004"/>
    <n v="-191555.17065190009"/>
    <n v="-210710.68771709013"/>
    <n v="-3638194.4768719999"/>
    <n v="-23788.137999999995"/>
    <n v="-26166.951799999999"/>
    <n v="-28783.646980000001"/>
    <n v="-31662.011678000003"/>
    <n v="-34828.212845800001"/>
    <n v="-38311.034130380009"/>
    <n v="-42142.137543418015"/>
    <n v="-3064944.2368720002"/>
    <n v="-1128410.6648879903"/>
    <n v="-225682.13297759803"/>
    <n v="-395.39027785165831"/>
    <n v="-0.10772225456262466"/>
    <s v="Fase de Degradação"/>
  </r>
  <r>
    <n v="531"/>
    <x v="530"/>
    <s v="RET031-RETIFICA"/>
    <n v="10004975"/>
    <s v="BR01-MOT-VIR-USIDUR-RET031"/>
    <n v="3319"/>
    <n v="34712"/>
    <n v="2007"/>
    <n v="370131.9"/>
    <n v="0"/>
    <n v="974945.0900000002"/>
    <n v="1.05"/>
    <n v="4200.4440000000004"/>
    <n v="137101"/>
    <n v="633"/>
    <n v="21"/>
    <n v="42"/>
    <n v="63"/>
    <n v="84"/>
    <n v="105"/>
    <n v="126"/>
    <n v="147"/>
    <n v="824.08"/>
    <n v="3885.62"/>
    <n v="0.1"/>
    <n v="0.93579999999999997"/>
    <n v="0.8"/>
    <n v="-370131.9"/>
    <n v="-70326.432000000015"/>
    <n v="-77359.075200000021"/>
    <n v="-85094.982720000029"/>
    <n v="-93604.480992000026"/>
    <n v="-102964.92909120004"/>
    <n v="-113261.42200032006"/>
    <n v="-124587.56420035208"/>
    <n v="-716501.33202000009"/>
    <n v="-14065.286399999999"/>
    <n v="-15471.815040000001"/>
    <n v="-17018.996544000001"/>
    <n v="-18720.896198400002"/>
    <n v="-20592.985818240006"/>
    <n v="-22652.284400064007"/>
    <n v="-24917.512840070409"/>
    <n v="-358475.86002000008"/>
    <n v="-667198.88620387227"/>
    <n v="-133439.77724077442"/>
    <n v="-26.106031865271746"/>
    <n v="-3.6435426842364942E-2"/>
    <s v="Fase de Vida Útil"/>
  </r>
  <r>
    <n v="532"/>
    <x v="531"/>
    <s v="RET032-RETIFICA RANHURA"/>
    <n v="10005143"/>
    <s v="BR01-MOT-SAB-RETIFC-RET032"/>
    <n v="2520"/>
    <n v="20380"/>
    <n v="2001"/>
    <n v="356005.56"/>
    <n v="246151"/>
    <n v="1717433.0499999966"/>
    <n v="1.1399999999999999"/>
    <n v="3316"/>
    <n v="133737"/>
    <n v="882"/>
    <n v="25"/>
    <n v="50"/>
    <n v="75"/>
    <n v="100"/>
    <n v="125"/>
    <n v="150"/>
    <n v="175"/>
    <n v="735.96"/>
    <n v="10066.66"/>
    <n v="0.1"/>
    <n v="1.3951"/>
    <n v="0.8"/>
    <n v="-356005.56"/>
    <n v="-153118.81200000001"/>
    <n v="-168430.69320000001"/>
    <n v="-185273.76252000005"/>
    <n v="-203801.13877200003"/>
    <n v="-224181.25264920006"/>
    <n v="-246599.37791412009"/>
    <n v="-271259.31570553215"/>
    <n v="-852668.91675600002"/>
    <n v="-30623.762399999996"/>
    <n v="-33686.138639999997"/>
    <n v="-37054.752504000004"/>
    <n v="-40760.227754399995"/>
    <n v="-44836.250529839999"/>
    <n v="-49319.87558282401"/>
    <n v="-54251.86314110642"/>
    <n v="-319305.9647560002"/>
    <n v="-1452664.3527608523"/>
    <n v="-290532.87055217044"/>
    <n v="9.0445093503831373"/>
    <n v="8.2311115884073725E-3"/>
    <s v="Fase de Degradação"/>
  </r>
  <r>
    <n v="533"/>
    <x v="532"/>
    <s v="RET033-RETÍFICA INTERNA"/>
    <n v="10005908"/>
    <s v="BR01-MOT-VIR-LBIELA-RET033"/>
    <n v="3335"/>
    <n v="40608"/>
    <n v="2011"/>
    <n v="679054.92"/>
    <n v="16375"/>
    <n v="1590614.3899999997"/>
    <n v="1.57"/>
    <n v="5980.2623999999996"/>
    <n v="101940"/>
    <n v="932"/>
    <n v="77.666666666666671"/>
    <n v="155.33333333333334"/>
    <n v="233"/>
    <n v="310.66666666666669"/>
    <n v="388.33333333333337"/>
    <n v="466.00000000000006"/>
    <n v="543.66666666666674"/>
    <n v="604.52"/>
    <n v="7270.32"/>
    <n v="0.1"/>
    <n v="0.73"/>
    <n v="0.8"/>
    <n v="-679054.92"/>
    <n v="-147614.3826666667"/>
    <n v="-162375.82093333337"/>
    <n v="-178613.4030266667"/>
    <n v="-196474.7433293334"/>
    <n v="-216122.21766226675"/>
    <n v="-237734.43942849347"/>
    <n v="-261507.88337134285"/>
    <n v="-1174765.0116000001"/>
    <n v="-29522.876533333332"/>
    <n v="-32475.164186666665"/>
    <n v="-35722.680605333335"/>
    <n v="-39294.948665866672"/>
    <n v="-43224.443532453341"/>
    <n v="-47546.887885698685"/>
    <n v="-52301.576674268559"/>
    <n v="-439648.60893333354"/>
    <n v="-1400442.8904181032"/>
    <n v="-280088.57808362064"/>
    <n v="-10.11224275221678"/>
    <n v="-8.4895500560286784E-3"/>
    <s v="Fase de Degradação"/>
  </r>
  <r>
    <n v="534"/>
    <x v="533"/>
    <s v="RET038-RETIFICA ZEMA"/>
    <n v="20002852"/>
    <s v="BR01-MOT-VIR-USIDUR-RET038"/>
    <n v="3319"/>
    <n v="49141"/>
    <n v="2018"/>
    <n v="2248496.4500000002"/>
    <n v="1327692"/>
    <n v="1112346.1500000004"/>
    <n v="1.1599999999999999"/>
    <n v="3938.13"/>
    <n v="40756"/>
    <n v="417"/>
    <n v="47"/>
    <n v="94"/>
    <n v="141"/>
    <n v="188"/>
    <n v="235"/>
    <n v="282"/>
    <n v="329"/>
    <n v="914.59"/>
    <n v="9619.7800000000007"/>
    <n v="0.1"/>
    <n v="0.2843"/>
    <n v="0.8"/>
    <n v="-2248496.4500000002"/>
    <n v="-174265.39900000003"/>
    <n v="-191691.93890000007"/>
    <n v="-210861.13279000009"/>
    <n v="-231947.2460690001"/>
    <n v="-255141.97067590014"/>
    <n v="-280656.16774349019"/>
    <n v="-308721.78451783926"/>
    <n v="-2887743.9907350005"/>
    <n v="-34853.0798"/>
    <n v="-38338.387780000005"/>
    <n v="-42172.226558000009"/>
    <n v="-46389.449213800013"/>
    <n v="-51028.394135180017"/>
    <n v="-56131.233548698023"/>
    <n v="-61744.356903567837"/>
    <n v="-3328266.6867350005"/>
    <n v="-1653285.6396962299"/>
    <n v="-330657.1279392459"/>
    <n v="-413.25821128257377"/>
    <n v="-9.8034512252318254E-2"/>
    <s v="Fase de Degradação"/>
  </r>
  <r>
    <n v="535"/>
    <x v="534"/>
    <s v="RET039-RETIFICA ZEMA"/>
    <n v="20002859"/>
    <s v="BR01-MOT-VIR-USIDUR-RET039"/>
    <n v="3319"/>
    <n v="49142"/>
    <n v="2018"/>
    <n v="2266540.96"/>
    <n v="1339261"/>
    <n v="556985.81000000006"/>
    <n v="1.24"/>
    <n v="3938.13"/>
    <n v="39991"/>
    <n v="371"/>
    <n v="46"/>
    <n v="92"/>
    <n v="138"/>
    <n v="184"/>
    <n v="230"/>
    <n v="276"/>
    <n v="322"/>
    <n v="682.16"/>
    <n v="6821.3"/>
    <n v="0.1"/>
    <n v="0.2843"/>
    <n v="0.8"/>
    <n v="-2266540.96"/>
    <n v="-124558.45600000002"/>
    <n v="-137014.30160000004"/>
    <n v="-150715.73176000005"/>
    <n v="-165787.30493600006"/>
    <n v="-182366.03542960007"/>
    <n v="-200602.63897256012"/>
    <n v="-220662.90286981614"/>
    <n v="-2910918.5549280001"/>
    <n v="-24911.691199999997"/>
    <n v="-27402.86032"/>
    <n v="-30143.146352000003"/>
    <n v="-33157.460987200007"/>
    <n v="-36473.207085920003"/>
    <n v="-40120.527794512018"/>
    <n v="-44132.58057396322"/>
    <n v="-3616063.7789280005"/>
    <n v="-1181707.3715679764"/>
    <n v="-236341.47431359522"/>
    <n v="-472.11623681051697"/>
    <n v="-0.11108148037254273"/>
    <s v="Fase de Degradação"/>
  </r>
  <r>
    <n v="536"/>
    <x v="535"/>
    <s v="RET041-RETIFICA PLANA TANGECIAL"/>
    <n v="20003542"/>
    <s v="BR01-CIL-FER-FABMOL"/>
    <n v="1074"/>
    <n v="50460"/>
    <n v="2018"/>
    <n v="165405.91"/>
    <n v="103124"/>
    <n v="10336.89"/>
    <n v="1.29"/>
    <n v="4116"/>
    <n v="26401"/>
    <n v="24"/>
    <n v="5"/>
    <n v="10"/>
    <n v="15"/>
    <n v="20"/>
    <n v="25"/>
    <n v="30"/>
    <n v="35"/>
    <n v="1162.83"/>
    <n v="549.19000000000005"/>
    <n v="0.1"/>
    <n v="0.2843"/>
    <n v="0.8"/>
    <n v="-165405.91"/>
    <n v="-13644.873000000001"/>
    <n v="-15009.360300000002"/>
    <n v="-16510.296330000005"/>
    <n v="-18161.325963000007"/>
    <n v="-19977.458559300008"/>
    <n v="-21975.204415230011"/>
    <n v="-24172.724856753015"/>
    <n v="-212430.81021299999"/>
    <n v="-2728.9745999999996"/>
    <n v="-3001.8720599999997"/>
    <n v="-3302.0592660000002"/>
    <n v="-3632.2651926000003"/>
    <n v="-3995.4917118600006"/>
    <n v="-4395.040883046001"/>
    <n v="-4834.5449713506023"/>
    <n v="-246090.00221299997"/>
    <n v="-129451.24342428305"/>
    <n v="-25890.248684856604"/>
    <n v="-30.284830781939075"/>
    <n v="-9.597328198387077E-2"/>
    <s v="Fase de Degradação"/>
  </r>
  <r>
    <n v="537"/>
    <x v="536"/>
    <s v="RET042-RETIFICA ZEMA"/>
    <n v="10006682"/>
    <s v="BR01-MOT-VIR-USIDUR-RET042"/>
    <n v="3319"/>
    <n v="57510"/>
    <n v="2021"/>
    <n v="2798708.59"/>
    <n v="2612127"/>
    <n v="65458.57999999998"/>
    <n v="1.37"/>
    <n v="3938.13"/>
    <n v="7674"/>
    <n v="89"/>
    <n v="44.5"/>
    <n v="89"/>
    <n v="133.5"/>
    <n v="178"/>
    <n v="222.5"/>
    <n v="267"/>
    <n v="311.5"/>
    <n v="767.11"/>
    <n v="5156.53"/>
    <n v="0.1"/>
    <n v="0.1585"/>
    <n v="0.8"/>
    <n v="-2798708.59"/>
    <n v="-105616.23050000002"/>
    <n v="-116177.85355000003"/>
    <n v="-127795.63890500004"/>
    <n v="-140575.20279550005"/>
    <n v="-154632.72307505007"/>
    <n v="-170095.99538255509"/>
    <n v="-187105.59492081063"/>
    <n v="-3242303.901515"/>
    <n v="-21123.2461"/>
    <n v="-23235.57071"/>
    <n v="-25559.127781000003"/>
    <n v="-28115.040559100005"/>
    <n v="-30926.544615010007"/>
    <n v="-34019.199076511009"/>
    <n v="-37421.118984162116"/>
    <n v="-5316748.2735149991"/>
    <n v="-1001999.2391289159"/>
    <n v="-200399.84782578313"/>
    <n v="-721.83307288740957"/>
    <n v="-0.12329688146129025"/>
    <s v="Fase de Degradação"/>
  </r>
  <r>
    <n v="538"/>
    <x v="537"/>
    <s v="RET043-RETIFICA CILINDRICA CNC INTERNO"/>
    <n v="10006928"/>
    <s v="BR01-MOT-VIR-LBIELA-RET043"/>
    <n v="3335"/>
    <n v="900000023311"/>
    <n v="2022"/>
    <n v="2029939.86"/>
    <n v="2029939.86"/>
    <m/>
    <n v="1.06"/>
    <n v="3938.13"/>
    <n v="31087"/>
    <n v="233"/>
    <n v="34"/>
    <n v="68"/>
    <n v="102"/>
    <n v="136"/>
    <n v="170"/>
    <n v="204"/>
    <n v="238"/>
    <n v="554.74"/>
    <n v="5397.6702777777755"/>
    <n v="0.1"/>
    <n v="5.79E-2"/>
    <n v="0.8"/>
    <n v="-2029939.86"/>
    <n v="-91996.523666666646"/>
    <n v="-101196.17603333332"/>
    <n v="-111315.79363666667"/>
    <n v="-122447.37300033333"/>
    <n v="-134692.11030036668"/>
    <n v="-148161.32133040336"/>
    <n v="-162977.45346344373"/>
    <n v="-2147473.3778940002"/>
    <n v="-18399.304733333323"/>
    <n v="-20239.235206666661"/>
    <n v="-22263.158727333328"/>
    <n v="-24489.47460006666"/>
    <n v="-26938.422060073332"/>
    <n v="-29632.264266080663"/>
    <n v="-32595.490692688738"/>
    <n v="-3709067.2992273341"/>
    <n v="-872786.75143121369"/>
    <n v="-174557.3502862427"/>
    <n v="-497.02626239271854"/>
    <n v="-0.11897943394350165"/>
    <s v="Fase de Vida Útil"/>
  </r>
  <r>
    <n v="539"/>
    <x v="538"/>
    <s v="RET044-RETIFICA CILINDRICA EXTERNA ZEMA"/>
    <n v="10006927"/>
    <s v="BR01-MOT-VIR-USIDUR-RET044"/>
    <n v="3319"/>
    <n v="900000023474"/>
    <n v="2023"/>
    <n v="2494386.1"/>
    <n v="2494386.1"/>
    <m/>
    <n v="1.06"/>
    <n v="3938.13"/>
    <n v="31087"/>
    <n v="233"/>
    <n v="34"/>
    <n v="68"/>
    <n v="102"/>
    <n v="136"/>
    <n v="170"/>
    <n v="204"/>
    <n v="238"/>
    <n v="554.74"/>
    <n v="5397.6702777777755"/>
    <n v="0.1"/>
    <n v="0"/>
    <n v="0.8"/>
    <n v="-2494386.1"/>
    <n v="-91996.523666666646"/>
    <n v="-101196.17603333332"/>
    <n v="-111315.79363666667"/>
    <n v="-122447.37300033333"/>
    <n v="-134692.11030036668"/>
    <n v="-148161.32133040336"/>
    <n v="-162977.45346344373"/>
    <n v="-2494386.1"/>
    <n v="-18399.304733333323"/>
    <n v="-20239.235206666661"/>
    <n v="-22263.158727333328"/>
    <n v="-24489.47460006666"/>
    <n v="-26938.422060073332"/>
    <n v="-29632.264266080663"/>
    <n v="-32595.490692688738"/>
    <n v="-4520426.2613333343"/>
    <n v="-872786.75143121369"/>
    <n v="-174557.3502862427"/>
    <n v="-612.93468555071854"/>
    <n v="-0.12286283297335535"/>
    <s v="Fase de Vida Útil"/>
  </r>
  <r>
    <n v="540"/>
    <x v="539"/>
    <s v="ROB003-ROBÔ"/>
    <n v="10004900"/>
    <s v="BR01-UTL-OFC-ROB"/>
    <n v="4511"/>
    <n v="34942"/>
    <n v="2007"/>
    <n v="152885.69"/>
    <n v="0"/>
    <n v="106095.32999999997"/>
    <n v="1.46"/>
    <n v="4414"/>
    <n v="127848"/>
    <n v="110"/>
    <n v="6"/>
    <n v="12"/>
    <n v="18"/>
    <n v="24"/>
    <n v="30"/>
    <n v="36"/>
    <n v="42"/>
    <n v="387.21"/>
    <n v="1414.42"/>
    <n v="0.1"/>
    <n v="0.93579999999999997"/>
    <n v="0.8"/>
    <n v="-152885.69"/>
    <n v="-21225.93"/>
    <n v="-23348.523000000001"/>
    <n v="-25683.375300000007"/>
    <n v="-28251.712830000008"/>
    <n v="-31076.884113000011"/>
    <n v="-34184.572524300012"/>
    <n v="-37603.029776730022"/>
    <n v="-295956.11870200001"/>
    <n v="-4245.1859999999988"/>
    <n v="-4669.7045999999991"/>
    <n v="-5136.6750600000005"/>
    <n v="-5650.3425660000003"/>
    <n v="-6215.3768226000011"/>
    <n v="-6836.9145048600012"/>
    <n v="-7520.6059553460027"/>
    <n v="-187896.83870200004"/>
    <n v="-201374.02754403005"/>
    <n v="-40274.805508806006"/>
    <n v="-19.26527095239657"/>
    <n v="-6.5095025022256378E-2"/>
    <s v="Fase de Degradação"/>
  </r>
  <r>
    <n v="541"/>
    <x v="540"/>
    <s v="ROB004-ROBÔ"/>
    <n v="10004901"/>
    <s v="BR01-CIL-FGR-VAZAM1-COQC03"/>
    <n v="4711"/>
    <n v="35461"/>
    <n v="2008"/>
    <n v="135432.43"/>
    <n v="17288"/>
    <n v="141075.74000000002"/>
    <n v="1.46"/>
    <n v="3654"/>
    <n v="137407"/>
    <n v="110"/>
    <n v="5"/>
    <n v="10"/>
    <n v="15"/>
    <n v="20"/>
    <n v="25"/>
    <n v="30"/>
    <n v="35"/>
    <n v="372.76"/>
    <n v="727.11"/>
    <n v="0.1"/>
    <n v="0.89119999999999999"/>
    <n v="0.8"/>
    <n v="-135432.43"/>
    <n v="-11648.031999999999"/>
    <n v="-12812.835200000001"/>
    <n v="-14094.118720000002"/>
    <n v="-15503.530592000003"/>
    <n v="-17053.883651200005"/>
    <n v="-18759.272016320007"/>
    <n v="-20635.199217952009"/>
    <n v="-256129.81161599999"/>
    <n v="-2329.6063999999992"/>
    <n v="-2562.5670399999999"/>
    <n v="-2818.8237439999998"/>
    <n v="-3100.7061183999999"/>
    <n v="-3410.7767302400002"/>
    <n v="-3751.8544032640007"/>
    <n v="-4127.0398435904008"/>
    <n v="-214118.73961600004"/>
    <n v="-110506.87139747202"/>
    <n v="-22101.374279494397"/>
    <n v="-26.430330642574628"/>
    <n v="-9.6666455218705899E-2"/>
    <s v="Fase de Degradação"/>
  </r>
  <r>
    <n v="542"/>
    <x v="541"/>
    <s v="ROB005-ROBÔ"/>
    <n v="10004911"/>
    <s v="BR01-CIL-FGR-VAZAM1-COQC04"/>
    <n v="4711"/>
    <n v="34857"/>
    <n v="2007"/>
    <n v="227461.1"/>
    <n v="22098"/>
    <n v="203950.67"/>
    <n v="1.92"/>
    <n v="3992"/>
    <n v="136283"/>
    <n v="122"/>
    <n v="7"/>
    <n v="14"/>
    <n v="21"/>
    <n v="28"/>
    <n v="35"/>
    <n v="42"/>
    <n v="49"/>
    <n v="546.66999999999996"/>
    <n v="1492.09"/>
    <n v="0.1"/>
    <n v="0.93579999999999997"/>
    <n v="0.8"/>
    <n v="-227461.1"/>
    <n v="-23904.947"/>
    <n v="-26295.441699999999"/>
    <n v="-28924.985870000004"/>
    <n v="-31817.484457000002"/>
    <n v="-34999.232902700009"/>
    <n v="-38499.156192970011"/>
    <n v="-42349.071812267022"/>
    <n v="-440319.19738000003"/>
    <n v="-4780.9893999999986"/>
    <n v="-5259.0883399999984"/>
    <n v="-5784.9971739999992"/>
    <n v="-6363.4968913999992"/>
    <n v="-6999.8465805400001"/>
    <n v="-7699.8312385940008"/>
    <n v="-8469.8143624534023"/>
    <n v="-340719.28538000002"/>
    <n v="-226790.319934937"/>
    <n v="-45358.063986987399"/>
    <n v="-40.140705918864349"/>
    <n v="-8.680625665804978E-2"/>
    <s v="Fase de Degradação"/>
  </r>
  <r>
    <n v="543"/>
    <x v="542"/>
    <s v="ROB006-ROBO"/>
    <n v="10004091"/>
    <s v="BR01-CIL-FCI-INJEC1-INJ029"/>
    <n v="4511"/>
    <n v="35045"/>
    <n v="2007"/>
    <n v="340660.41"/>
    <n v="0"/>
    <n v="263969.37000000011"/>
    <n v="2.17"/>
    <s v=""/>
    <n v="147988"/>
    <n v="157"/>
    <n v="9.8125"/>
    <n v="19.625"/>
    <n v="29.4375"/>
    <n v="39.25"/>
    <n v="49.0625"/>
    <n v="58.875"/>
    <n v="68.6875"/>
    <n v="358.61"/>
    <n v="1362.66"/>
    <n v="0.1"/>
    <n v="0.93579999999999997"/>
    <n v="0.8"/>
    <n v="-340660.41"/>
    <n v="-21857.858687500004"/>
    <n v="-24043.644556250008"/>
    <n v="-26448.009011875012"/>
    <n v="-29092.809913062512"/>
    <n v="-32002.090904368764"/>
    <n v="-35202.299994805646"/>
    <n v="-38722.529994286218"/>
    <n v="-659450.4216779999"/>
    <n v="-4371.5717374999995"/>
    <n v="-4808.7289112500002"/>
    <n v="-5289.6018023750012"/>
    <n v="-5818.5619826125012"/>
    <n v="-6400.4181808737512"/>
    <n v="-7040.4599989611279"/>
    <n v="-7744.505998857242"/>
    <n v="-548174.05017799989"/>
    <n v="-207369.24306214816"/>
    <n v="-41473.848612429618"/>
    <n v="-70.507861032611629"/>
    <n v="-0.10691912343190463"/>
    <s v="Fase de Degradação"/>
  </r>
  <r>
    <n v="544"/>
    <x v="543"/>
    <s v="ROB007-ROBO"/>
    <n v="10005054"/>
    <s v="BR01-CIL-FCI-INJEC1-INJ030"/>
    <n v="4511"/>
    <n v="20529"/>
    <n v="2002"/>
    <n v="176679.66"/>
    <n v="0"/>
    <n v="203750.63999999978"/>
    <n v="2.83"/>
    <s v=""/>
    <n v="108889"/>
    <n v="98"/>
    <n v="4.666666666666667"/>
    <n v="9.3333333333333339"/>
    <n v="14"/>
    <n v="18.666666666666668"/>
    <n v="23.333333333333336"/>
    <n v="28.000000000000004"/>
    <n v="32.666666666666671"/>
    <n v="376.79"/>
    <n v="1209.78"/>
    <n v="0.1"/>
    <n v="1.3184"/>
    <n v="0.8"/>
    <n v="-176679.66"/>
    <n v="-17903.284666666666"/>
    <n v="-19693.613133333336"/>
    <n v="-21662.974446666674"/>
    <n v="-23829.271891333341"/>
    <n v="-26212.199080466678"/>
    <n v="-28833.418988513349"/>
    <n v="-31716.76088736469"/>
    <n v="-409614.12374399998"/>
    <n v="-3580.6569333333323"/>
    <n v="-3938.7226266666662"/>
    <n v="-4332.5948893333343"/>
    <n v="-4765.8543782666675"/>
    <n v="-5242.4398160933342"/>
    <n v="-5766.6837977026689"/>
    <n v="-6343.3521774729361"/>
    <n v="-318470.12907733332"/>
    <n v="-169851.52309434474"/>
    <n v="-33970.30461886894"/>
    <n v="-39.104700752646309"/>
    <n v="-9.5467168942362707E-2"/>
    <s v="Fase de Degradação"/>
  </r>
  <r>
    <n v="545"/>
    <x v="544"/>
    <s v="ROB009-ROBO"/>
    <n v="10005057"/>
    <s v="BR01-CIL-FCI-INJEC1-INJ015"/>
    <n v="4511"/>
    <n v="34719"/>
    <n v="2007"/>
    <n v="257552.04"/>
    <n v="15762"/>
    <n v="163099.00999999989"/>
    <n v="0.95"/>
    <s v=""/>
    <n v="102006"/>
    <n v="147"/>
    <n v="7"/>
    <n v="14"/>
    <n v="21"/>
    <n v="28"/>
    <n v="35"/>
    <n v="42"/>
    <n v="49"/>
    <n v="393.88"/>
    <n v="963.79277777777804"/>
    <n v="0.1"/>
    <n v="0.93579999999999997"/>
    <n v="0.8"/>
    <n v="-257552.04"/>
    <n v="-15754.940666666671"/>
    <n v="-17330.434733333339"/>
    <n v="-19063.478206666678"/>
    <n v="-20969.826027333344"/>
    <n v="-23066.80863006668"/>
    <n v="-25373.48949307335"/>
    <n v="-27910.838442380689"/>
    <n v="-498569.23903200001"/>
    <n v="-3150.9881333333333"/>
    <n v="-3466.0869466666672"/>
    <n v="-3812.6956413333346"/>
    <n v="-4193.9652054666676"/>
    <n v="-4613.3617260133351"/>
    <n v="-5074.6978986146687"/>
    <n v="-5582.1676884761364"/>
    <n v="-434124.26836533332"/>
    <n v="-149469.81619952075"/>
    <n v="-29893.96323990414"/>
    <n v="-56.393626581769055"/>
    <n v="-0.10964456813454497"/>
    <s v="Confiabilidade em Crescimento"/>
  </r>
  <r>
    <n v="546"/>
    <x v="545"/>
    <s v="ROB010-ROBO"/>
    <n v="10005058"/>
    <s v="BR01-CIL-FGR-VAZAM1-COQC02"/>
    <n v="4511"/>
    <n v="33956"/>
    <n v="2005"/>
    <n v="149142.85999999999"/>
    <n v="88430"/>
    <n v="289119.22999999992"/>
    <n v="1.72"/>
    <n v="3404"/>
    <n v="129283"/>
    <n v="149"/>
    <n v="7"/>
    <n v="14"/>
    <n v="21"/>
    <n v="28"/>
    <n v="35"/>
    <n v="42"/>
    <n v="49"/>
    <n v="657.06"/>
    <n v="1642.4"/>
    <n v="0.1"/>
    <n v="1.0241"/>
    <n v="0.8"/>
    <n v="-149142.85999999999"/>
    <n v="-26739.042000000005"/>
    <n v="-29412.946200000006"/>
    <n v="-32354.24082000001"/>
    <n v="-35589.664902000011"/>
    <n v="-39148.631392200012"/>
    <n v="-43063.494531420023"/>
    <n v="-47369.843984562031"/>
    <n v="-301880.06292599993"/>
    <n v="-5347.8083999999999"/>
    <n v="-5882.5892400000002"/>
    <n v="-6470.8481640000009"/>
    <n v="-7117.9329804000008"/>
    <n v="-7829.7262784400009"/>
    <n v="-8612.6989062840021"/>
    <n v="-9473.9687969124043"/>
    <n v="-254184.03092599992"/>
    <n v="-253677.86383018209"/>
    <n v="-50735.572766036406"/>
    <n v="-26.76682455169346"/>
    <n v="-6.8578361395638068E-2"/>
    <s v="Fase de Degradação"/>
  </r>
  <r>
    <n v="547"/>
    <x v="546"/>
    <s v="ROB011-ROBÔ"/>
    <n v="10005248"/>
    <s v="BR01-CIL-FGR-VAZAM1-COQC05"/>
    <n v="4711"/>
    <s v="Não encontrado"/>
    <n v="2008"/>
    <n v="152760.10999999999"/>
    <n v="0"/>
    <n v="141809.24"/>
    <n v="1.4"/>
    <n v="3881"/>
    <n v="124274"/>
    <n v="152"/>
    <n v="7"/>
    <n v="14"/>
    <n v="21"/>
    <n v="28"/>
    <n v="35"/>
    <n v="42"/>
    <n v="49"/>
    <n v="280.51"/>
    <n v="748.6933333333335"/>
    <n v="0.1"/>
    <n v="0.89119999999999999"/>
    <n v="0.8"/>
    <n v="-152760.10999999999"/>
    <n v="-12042.679000000002"/>
    <n v="-13246.946900000003"/>
    <n v="-14571.641590000007"/>
    <n v="-16028.805749000006"/>
    <n v="-17631.686323900009"/>
    <n v="-19394.854956290012"/>
    <n v="-21334.340451919015"/>
    <n v="-288899.92003199999"/>
    <n v="-2408.5357999999997"/>
    <n v="-2649.3893800000001"/>
    <n v="-2914.3283180000008"/>
    <n v="-3205.7611498000006"/>
    <n v="-3526.3372647800011"/>
    <n v="-3878.9709912580015"/>
    <n v="-4266.8680903838022"/>
    <n v="-227591.73603199996"/>
    <n v="-114250.95497110905"/>
    <n v="-22850.190994221808"/>
    <n v="-28.214165150730395"/>
    <n v="-9.7660688682798008E-2"/>
    <s v="Fase de Degradação"/>
  </r>
  <r>
    <n v="548"/>
    <x v="547"/>
    <s v="ROB012-ROBO"/>
    <n v="10005060"/>
    <s v="BR01-CIL-FCI-INJEC2-INJ012"/>
    <n v="4511"/>
    <n v="34944"/>
    <n v="2007"/>
    <n v="163158.68"/>
    <n v="0"/>
    <n v="349515.01999999961"/>
    <n v="1.51"/>
    <s v=""/>
    <n v="107035"/>
    <n v="117"/>
    <n v="7"/>
    <n v="14"/>
    <n v="21"/>
    <n v="28"/>
    <n v="35"/>
    <n v="42"/>
    <n v="49"/>
    <n v="480.27"/>
    <n v="1172.28"/>
    <n v="0.1"/>
    <n v="0.93579999999999997"/>
    <n v="0.8"/>
    <n v="-163158.68"/>
    <n v="-19172.175000000003"/>
    <n v="-21089.392500000002"/>
    <n v="-23198.331750000008"/>
    <n v="-25518.164925000008"/>
    <n v="-28069.98141750001"/>
    <n v="-30876.979559250016"/>
    <n v="-33964.677515175019"/>
    <n v="-315842.572744"/>
    <n v="-3834.4349999999999"/>
    <n v="-4217.8784999999998"/>
    <n v="-4639.6663500000004"/>
    <n v="-5103.6329850000002"/>
    <n v="-5613.9962835000006"/>
    <n v="-6175.3959118500015"/>
    <n v="-6792.9355030350025"/>
    <n v="-218238.77274400002"/>
    <n v="-181889.70266692506"/>
    <n v="-36377.940533385008"/>
    <n v="-24.332972944351425"/>
    <n v="-7.7041460031653297E-2"/>
    <s v="Fase de Degradação"/>
  </r>
  <r>
    <n v="549"/>
    <x v="548"/>
    <s v="ROB013-ROBO"/>
    <n v="10005061"/>
    <s v="BR01-CIL-FCI-INJEC1-INJ030"/>
    <n v="4511"/>
    <n v="34854"/>
    <n v="2007"/>
    <n v="181739.83"/>
    <n v="0"/>
    <n v="214295.78999999986"/>
    <n v="0.65"/>
    <s v=""/>
    <n v="84673"/>
    <n v="83"/>
    <n v="3"/>
    <n v="6"/>
    <n v="9"/>
    <n v="12"/>
    <n v="15"/>
    <n v="18"/>
    <n v="21"/>
    <n v="438.12"/>
    <n v="156.09"/>
    <n v="0.1"/>
    <n v="0.93579999999999997"/>
    <n v="0.8"/>
    <n v="-181739.83"/>
    <n v="-3506.1840000000002"/>
    <n v="-3856.8024000000005"/>
    <n v="-4242.4826400000011"/>
    <n v="-4666.7309040000009"/>
    <n v="-5133.4039944000015"/>
    <n v="-5646.7443938400029"/>
    <n v="-6211.4188332240037"/>
    <n v="-351811.96291399997"/>
    <n v="-701.2367999999999"/>
    <n v="-771.36047999999994"/>
    <n v="-848.49652800000001"/>
    <n v="-933.34618079999996"/>
    <n v="-1026.6807988800001"/>
    <n v="-1129.3488787680003"/>
    <n v="-1242.2837666448004"/>
    <n v="-333962.29891399998"/>
    <n v="-33263.767165464007"/>
    <n v="-6652.7534330928002"/>
    <n v="-46.457278454518395"/>
    <n v="-0.13205144608989552"/>
    <s v="Confiabilidade em Crescimento"/>
  </r>
  <r>
    <n v="550"/>
    <x v="549"/>
    <s v="ROB014-ROBO"/>
    <n v="10005062"/>
    <s v="BR01-UTL-OFC-ROB"/>
    <n v="4511"/>
    <n v="35044"/>
    <n v="2007"/>
    <n v="227237.29"/>
    <n v="0"/>
    <n v="232443.05999999988"/>
    <n v="1.03"/>
    <s v=""/>
    <n v="99507"/>
    <n v="140"/>
    <n v="7"/>
    <n v="14"/>
    <n v="21"/>
    <n v="28"/>
    <n v="35"/>
    <n v="42"/>
    <n v="49"/>
    <n v="386.37"/>
    <n v="1016.67"/>
    <n v="0.1"/>
    <n v="0.93579999999999997"/>
    <n v="0.8"/>
    <n v="-227237.29"/>
    <n v="-16395.093000000001"/>
    <n v="-18034.602300000002"/>
    <n v="-19838.062530000007"/>
    <n v="-21821.868783000005"/>
    <n v="-24004.055661300008"/>
    <n v="-26404.461227430013"/>
    <n v="-29044.907350173016"/>
    <n v="-439885.94598200003"/>
    <n v="-3279.0185999999994"/>
    <n v="-3606.9204599999998"/>
    <n v="-3967.6125060000004"/>
    <n v="-4364.3737566"/>
    <n v="-4800.8111322600007"/>
    <n v="-5280.8922454860012"/>
    <n v="-5808.9814700346024"/>
    <n v="-356420.01798200008"/>
    <n v="-155543.05085190307"/>
    <n v="-31108.610170380602"/>
    <n v="-45.064500757211071"/>
    <n v="-0.10244587527480384"/>
    <s v="Fase de Vida Útil"/>
  </r>
  <r>
    <n v="551"/>
    <x v="550"/>
    <s v="ROB015-ROBÔ"/>
    <n v="10004092"/>
    <s v="BR01-MOT-FMG-INJEC2-INJ006"/>
    <n v="2111"/>
    <n v="44040"/>
    <n v="2014"/>
    <n v="201885.2"/>
    <n v="16012"/>
    <n v="126486.54999999999"/>
    <n v="2.04"/>
    <n v="4805.5212000000001"/>
    <n v="145159"/>
    <n v="32"/>
    <n v="3"/>
    <n v="6"/>
    <n v="9"/>
    <n v="12"/>
    <n v="15"/>
    <n v="18"/>
    <n v="21"/>
    <n v="676.05"/>
    <n v="902.54"/>
    <n v="0.1"/>
    <n v="0.54749999999999999"/>
    <n v="0.8"/>
    <n v="-201885.2"/>
    <n v="-14144.493"/>
    <n v="-15558.942300000001"/>
    <n v="-17114.836530000004"/>
    <n v="-18826.320183000003"/>
    <n v="-20708.952201300006"/>
    <n v="-22779.847421430008"/>
    <n v="-25057.832163573014"/>
    <n v="-312417.34700000001"/>
    <n v="-2828.8985999999995"/>
    <n v="-3111.7884599999993"/>
    <n v="-3422.967306"/>
    <n v="-3765.2640366000001"/>
    <n v="-4141.7904402600007"/>
    <n v="-4555.9694842860008"/>
    <n v="-5011.5664327146014"/>
    <n v="-256421.01900000003"/>
    <n v="-134191.22379930306"/>
    <n v="-26838.244759860601"/>
    <n v="-31.582338280079643"/>
    <n v="-9.6161742452569698E-2"/>
    <s v="Fase de Degradação"/>
  </r>
  <r>
    <n v="552"/>
    <x v="551"/>
    <s v="ROB016-ROBO"/>
    <n v="10005056"/>
    <s v="BR01-CIL-FCI-INJEC1-INJ018"/>
    <n v="4511"/>
    <s v="Não encontrado"/>
    <n v="2007"/>
    <n v="304386.05"/>
    <n v="0"/>
    <n v="192345.54999999984"/>
    <n v="1.56"/>
    <s v=""/>
    <n v="128382"/>
    <n v="101"/>
    <n v="6.3125"/>
    <n v="12.625"/>
    <n v="18.9375"/>
    <n v="25.25"/>
    <n v="31.5625"/>
    <n v="37.875"/>
    <n v="44.1875"/>
    <n v="284.31"/>
    <n v="1110.0444444444452"/>
    <n v="0.1"/>
    <n v="0.93579999999999997"/>
    <n v="0.8"/>
    <n v="-304386.05"/>
    <n v="-16626.764229166678"/>
    <n v="-18289.440652083347"/>
    <n v="-20118.384717291683"/>
    <n v="-22130.223189020853"/>
    <n v="-24343.24550792294"/>
    <n v="-26777.570058715235"/>
    <n v="-29455.327064586763"/>
    <n v="-589230.51558999997"/>
    <n v="-3325.3528458333349"/>
    <n v="-3657.8881304166684"/>
    <n v="-4023.6769434583357"/>
    <n v="-4426.0446378041697"/>
    <n v="-4868.6491015845868"/>
    <n v="-5355.5140117430456"/>
    <n v="-5891.0654129173518"/>
    <n v="-504585.1704233333"/>
    <n v="-157740.95541878752"/>
    <n v="-31548.191083757494"/>
    <n v="-66.148250179281419"/>
    <n v="-0.11226209170963725"/>
    <s v="Fase de Degradação"/>
  </r>
  <r>
    <n v="553"/>
    <x v="552"/>
    <s v="ROB017-ROBO"/>
    <n v="10005059"/>
    <s v="BR01-CIL-FCI-INJEC1-INJ027"/>
    <n v="4511"/>
    <n v="33957"/>
    <n v="2005"/>
    <n v="304386.05"/>
    <n v="0"/>
    <n v="192492.79000000007"/>
    <n v="2.13"/>
    <s v=""/>
    <n v="128778"/>
    <n v="150"/>
    <n v="8.3333333333333339"/>
    <n v="16.666666666666668"/>
    <n v="25"/>
    <n v="33.333333333333336"/>
    <n v="41.666666666666671"/>
    <n v="50.000000000000007"/>
    <n v="58.333333333333343"/>
    <n v="461.41"/>
    <n v="1180.5"/>
    <n v="0.1"/>
    <n v="1.0241"/>
    <n v="0.8"/>
    <n v="-304386.05"/>
    <n v="-19812.191666666669"/>
    <n v="-21793.410833333339"/>
    <n v="-23972.751916666672"/>
    <n v="-26370.027108333343"/>
    <n v="-29007.029819166681"/>
    <n v="-31907.732801083352"/>
    <n v="-35098.506081191692"/>
    <n v="-616107.80380499992"/>
    <n v="-3962.438333333333"/>
    <n v="-4358.6821666666665"/>
    <n v="-4794.5503833333332"/>
    <n v="-5274.0054216666676"/>
    <n v="-5801.4059638333347"/>
    <n v="-6381.5465602166687"/>
    <n v="-7019.7012162383371"/>
    <n v="-515245.73713833321"/>
    <n v="-187961.65022644174"/>
    <n v="-37592.330045288341"/>
    <n v="-66.534069089120933"/>
    <n v="-0.10799095333351626"/>
    <s v="Fase de Degradação"/>
  </r>
  <r>
    <n v="554"/>
    <x v="553"/>
    <s v="ROB021-ROBO"/>
    <n v="20000442"/>
    <s v="BR01-UTL-OFC-ROB"/>
    <n v="4511"/>
    <n v="36968"/>
    <n v="2010"/>
    <n v="154033.24"/>
    <n v="0"/>
    <n v="271565.51"/>
    <n v="0.92"/>
    <s v=""/>
    <n v="97142"/>
    <n v="177"/>
    <n v="8"/>
    <n v="16"/>
    <n v="24"/>
    <n v="32"/>
    <n v="40"/>
    <n v="48"/>
    <n v="56"/>
    <n v="600.21"/>
    <n v="2668.43"/>
    <n v="0.1"/>
    <n v="0.78910000000000002"/>
    <n v="0.8"/>
    <n v="-154033.24"/>
    <n v="-40505.123999999996"/>
    <n v="-44555.636400000003"/>
    <n v="-49011.200040000011"/>
    <n v="-53912.320044000007"/>
    <n v="-59303.552048400015"/>
    <n v="-65233.907253240024"/>
    <n v="-71757.297978564035"/>
    <n v="-275580.86968399998"/>
    <n v="-8101.0247999999974"/>
    <n v="-8911.1272799999988"/>
    <n v="-9802.2400080000007"/>
    <n v="-10782.4640088"/>
    <n v="-11860.710409680001"/>
    <n v="-13046.781450648003"/>
    <n v="-14351.459595712804"/>
    <n v="-69372.965683999937"/>
    <n v="-384279.03776420408"/>
    <n v="-76855.807552840808"/>
    <n v="4.5489086467661863"/>
    <n v="1.6506619824453991E-2"/>
    <s v="Confiabilidade em Crescimento"/>
  </r>
  <r>
    <n v="555"/>
    <x v="554"/>
    <s v="ROB022-ROBO"/>
    <n v="20000443"/>
    <s v="BR01-CIL-FCI-INJEC1-INJ033"/>
    <n v="4511"/>
    <s v="Não encontrado"/>
    <n v="2010"/>
    <n v="154033.24"/>
    <n v="0"/>
    <n v="132281.76999999987"/>
    <n v="0.92"/>
    <s v=""/>
    <n v="93865"/>
    <n v="103"/>
    <n v="5"/>
    <n v="10"/>
    <n v="15"/>
    <n v="20"/>
    <n v="25"/>
    <n v="30"/>
    <n v="35"/>
    <n v="381.4"/>
    <n v="945.59194444444495"/>
    <n v="0.1"/>
    <n v="0.78910000000000002"/>
    <n v="0.8"/>
    <n v="-154033.24"/>
    <n v="-14579.513666666675"/>
    <n v="-16037.465033333343"/>
    <n v="-17641.21153666668"/>
    <n v="-19405.332690333347"/>
    <n v="-21345.865959366685"/>
    <n v="-23480.452555303356"/>
    <n v="-25828.497810833695"/>
    <n v="-275580.86968399998"/>
    <n v="-2915.9027333333343"/>
    <n v="-3207.493006666668"/>
    <n v="-3528.2423073333352"/>
    <n v="-3881.0665380666687"/>
    <n v="-4269.1731918733358"/>
    <n v="-4696.09051106067"/>
    <n v="-5165.6995621667375"/>
    <n v="-201357.89101733326"/>
    <n v="-138318.33925250376"/>
    <n v="-27663.667850500748"/>
    <n v="-23.560885468856714"/>
    <n v="-8.5495359296431747E-2"/>
    <s v="Confiabilidade em Crescimento"/>
  </r>
  <r>
    <n v="556"/>
    <x v="555"/>
    <s v="ROB023-ROBÔ"/>
    <n v="20000444"/>
    <s v="BR01-CIL-FGR-SOPRO1-ROB023"/>
    <n v="4712"/>
    <n v="20716"/>
    <n v="2003"/>
    <n v="158451.95000000001"/>
    <n v="0"/>
    <n v="15498.739999999998"/>
    <n v="0.69"/>
    <n v="4988"/>
    <n v="150343"/>
    <n v="19"/>
    <n v="1"/>
    <n v="2"/>
    <n v="3"/>
    <n v="4"/>
    <n v="5"/>
    <n v="6"/>
    <n v="7"/>
    <n v="229.43"/>
    <n v="865.52894470000001"/>
    <n v="0.1"/>
    <n v="1.1931"/>
    <n v="0.8"/>
    <n v="-158451.95000000001"/>
    <n v="-11677.355070040001"/>
    <n v="-12845.090577044002"/>
    <n v="-14129.599634748405"/>
    <n v="-15542.559598223244"/>
    <n v="-17096.815558045571"/>
    <n v="-18806.497113850131"/>
    <n v="-20687.146825235144"/>
    <n v="-347500.97154500009"/>
    <n v="-2335.4710140079997"/>
    <n v="-2569.0181154088"/>
    <n v="-2825.9199269496803"/>
    <n v="-3108.5119196446481"/>
    <n v="-3419.3631116091137"/>
    <n v="-3761.2994227700256"/>
    <n v="-4137.4293650470281"/>
    <n v="-288052.61846116011"/>
    <n v="-110785.0643771865"/>
    <n v="-22157.012875437296"/>
    <n v="-36.981845720464406"/>
    <n v="-0.10642228007605842"/>
    <s v="Confiabilidade em Crescimento"/>
  </r>
  <r>
    <n v="557"/>
    <x v="556"/>
    <s v="ROB024-ROBO"/>
    <n v="20000465"/>
    <s v="BR01-CIL-FCI-INJEC2-INJ061"/>
    <n v="4511"/>
    <n v="41635"/>
    <n v="2012"/>
    <n v="162672.01"/>
    <n v="0"/>
    <n v="176135.7799999998"/>
    <n v="1.55"/>
    <s v=""/>
    <n v="94715"/>
    <n v="100"/>
    <n v="8"/>
    <n v="16"/>
    <n v="24"/>
    <n v="32"/>
    <n v="40"/>
    <n v="48"/>
    <n v="56"/>
    <n v="386.85"/>
    <n v="1512.81"/>
    <n v="0.1"/>
    <n v="0.66500000000000004"/>
    <n v="0.8"/>
    <n v="-162672.01"/>
    <n v="-23373.372000000003"/>
    <n v="-25710.709200000005"/>
    <n v="-28281.78012000001"/>
    <n v="-31109.958132000011"/>
    <n v="-34220.95394520001"/>
    <n v="-37643.049339720019"/>
    <n v="-41407.354273692028"/>
    <n v="-270848.89665000001"/>
    <n v="-4674.6743999999999"/>
    <n v="-5142.1418400000002"/>
    <n v="-5656.3560240000006"/>
    <n v="-6221.9916264000003"/>
    <n v="-6844.1907890400007"/>
    <n v="-7528.609867944002"/>
    <n v="-8281.4708547384034"/>
    <n v="-151857.18465000001"/>
    <n v="-221747.1770106121"/>
    <n v="-44349.435402122399"/>
    <n v="-13.350165005930045"/>
    <n v="-4.9290084512256929E-2"/>
    <s v="Fase de Degradação"/>
  </r>
  <r>
    <n v="558"/>
    <x v="557"/>
    <s v="ROB025-ROBO"/>
    <n v="20000466"/>
    <s v="BR01-CIL-FCI-INJEC1-INJ033"/>
    <n v="2111"/>
    <n v="41636"/>
    <n v="2012"/>
    <n v="208197.13"/>
    <n v="0"/>
    <n v="146647.90000000002"/>
    <n v="0.8"/>
    <s v=""/>
    <n v="93262"/>
    <n v="46"/>
    <n v="2"/>
    <n v="4"/>
    <n v="6"/>
    <n v="8"/>
    <n v="10"/>
    <n v="12"/>
    <n v="14"/>
    <n v="721.29"/>
    <n v="1604.88"/>
    <n v="0.1"/>
    <n v="0.66500000000000004"/>
    <n v="0.8"/>
    <n v="-208197.13"/>
    <n v="-22771.254000000001"/>
    <n v="-25048.379400000002"/>
    <n v="-27553.217340000007"/>
    <n v="-30308.539074000008"/>
    <n v="-33339.392981400008"/>
    <n v="-36673.332279540016"/>
    <n v="-40340.665507494021"/>
    <n v="-346648.22145000001"/>
    <n v="-4554.2507999999989"/>
    <n v="-5009.6758799999989"/>
    <n v="-5510.6434680000002"/>
    <n v="-6061.7078148000001"/>
    <n v="-6667.8785962800002"/>
    <n v="-7334.6664559080018"/>
    <n v="-8068.1331014988027"/>
    <n v="-230721.83744999999"/>
    <n v="-216034.78058243409"/>
    <n v="-43206.956116486799"/>
    <n v="-24.831485283436095"/>
    <n v="-7.1633095879067563E-2"/>
    <s v="Confiabilidade em Crescimento"/>
  </r>
  <r>
    <n v="559"/>
    <x v="558"/>
    <s v="ROB026-ROBO"/>
    <n v="20000467"/>
    <s v="BR01-CIL-FCI-INJEC2-INJ063"/>
    <n v="4511"/>
    <n v="42114"/>
    <n v="2012"/>
    <n v="230148.66"/>
    <n v="0"/>
    <n v="103568.78999999998"/>
    <n v="1.39"/>
    <s v=""/>
    <n v="91310"/>
    <n v="82"/>
    <n v="6"/>
    <n v="12"/>
    <n v="18"/>
    <n v="24"/>
    <n v="30"/>
    <n v="36"/>
    <n v="42"/>
    <n v="330.35"/>
    <n v="851.98"/>
    <n v="0.1"/>
    <n v="0.66500000000000004"/>
    <n v="0.8"/>
    <n v="-230148.66"/>
    <n v="-13426.446000000002"/>
    <n v="-14769.090600000003"/>
    <n v="-16245.999660000005"/>
    <n v="-17870.599626000007"/>
    <n v="-19657.659588600007"/>
    <n v="-21623.42554746001"/>
    <n v="-23785.768102206017"/>
    <n v="-383197.51890000002"/>
    <n v="-2685.2891999999997"/>
    <n v="-2953.8181199999999"/>
    <n v="-3249.1999320000004"/>
    <n v="-3574.1199252000006"/>
    <n v="-3931.5319177200004"/>
    <n v="-4324.6851094920012"/>
    <n v="-4757.1536204412023"/>
    <n v="-314844.70290000003"/>
    <n v="-127378.98912426604"/>
    <n v="-25475.797824853202"/>
    <n v="-40.184903942941027"/>
    <n v="-0.10486733854200073"/>
    <s v="Fase de Degradação"/>
  </r>
  <r>
    <n v="560"/>
    <x v="559"/>
    <s v="ROB027-ROBO"/>
    <n v="20000468"/>
    <s v="BR01-CIL-FCI-INJEC2-INJ063"/>
    <n v="4511"/>
    <n v="42113"/>
    <n v="2012"/>
    <n v="190219.74"/>
    <n v="0"/>
    <n v="91653.45"/>
    <n v="1.59"/>
    <s v=""/>
    <n v="92709"/>
    <n v="67"/>
    <n v="6"/>
    <n v="12"/>
    <n v="18"/>
    <n v="24"/>
    <n v="30"/>
    <n v="36"/>
    <n v="42"/>
    <n v="449.61"/>
    <n v="984.36"/>
    <n v="0.1"/>
    <n v="0.66500000000000004"/>
    <n v="0.8"/>
    <n v="-190219.74"/>
    <n v="-15960.978000000001"/>
    <n v="-17557.075800000002"/>
    <n v="-19312.783380000004"/>
    <n v="-21244.061718000004"/>
    <n v="-23368.467889800006"/>
    <n v="-25705.314678780011"/>
    <n v="-28275.846146658016"/>
    <n v="-316715.86709999997"/>
    <n v="-3192.1955999999996"/>
    <n v="-3511.4151599999996"/>
    <n v="-3862.5566760000002"/>
    <n v="-4248.8123435999996"/>
    <n v="-4673.6935779599999"/>
    <n v="-5141.062935756001"/>
    <n v="-5655.1692293316019"/>
    <n v="-235459.9791"/>
    <n v="-151424.52761323802"/>
    <n v="-30284.905522647598"/>
    <n v="-27.939463572772794"/>
    <n v="-8.8216178837516784E-2"/>
    <s v="Fase de Degradação"/>
  </r>
  <r>
    <n v="561"/>
    <x v="560"/>
    <s v="ROB028-ROBÔ"/>
    <n v="20001174"/>
    <s v="BR01-MOT-VIR-USIDUR-TOR020"/>
    <n v="3350"/>
    <n v="44140"/>
    <n v="2014"/>
    <n v="142255.09"/>
    <n v="0"/>
    <n v="401248.5699999996"/>
    <n v="1.25"/>
    <n v="5334.3047999999999"/>
    <n v="87556"/>
    <n v="441"/>
    <n v="34"/>
    <n v="68"/>
    <n v="102"/>
    <n v="136"/>
    <n v="170"/>
    <n v="204"/>
    <n v="238"/>
    <n v="877.26"/>
    <n v="1616.66"/>
    <n v="0.1"/>
    <n v="0.54749999999999999"/>
    <n v="0.8"/>
    <n v="-142255.09"/>
    <n v="-54149.436000000009"/>
    <n v="-59564.379600000015"/>
    <n v="-65520.817560000025"/>
    <n v="-72072.899316000025"/>
    <n v="-79280.189247600036"/>
    <n v="-87208.208172360042"/>
    <n v="-95929.02898959606"/>
    <n v="-220139.75177499998"/>
    <n v="-10829.887199999999"/>
    <n v="-11912.87592"/>
    <n v="-13104.163512000003"/>
    <n v="-14414.579863200002"/>
    <n v="-15856.037849520004"/>
    <n v="-17441.641634472006"/>
    <n v="-19185.805797919209"/>
    <n v="55530.104224999959"/>
    <n v="-513724.9588855562"/>
    <n v="-102744.99177711122"/>
    <n v="27.262887904777848"/>
    <n v="0.12384354795058845"/>
    <s v="Fase de Degradação"/>
  </r>
  <r>
    <n v="562"/>
    <x v="561"/>
    <s v="ROB031-ROBO"/>
    <n v="10006174"/>
    <s v="BR01-CIL-FCI-INJEC1-INJ011"/>
    <n v="4511"/>
    <s v="Não encontrado"/>
    <n v="2012"/>
    <n v="257552.04"/>
    <n v="0"/>
    <n v="289180.29999999987"/>
    <n v="1.1299999999999999"/>
    <s v=""/>
    <n v="88774"/>
    <n v="136"/>
    <n v="9"/>
    <n v="18"/>
    <n v="27"/>
    <n v="36"/>
    <n v="45"/>
    <n v="54"/>
    <n v="63"/>
    <n v="717.20499999999993"/>
    <n v="3651.4927777777802"/>
    <n v="0.1"/>
    <n v="0.66500000000000004"/>
    <n v="0.8"/>
    <n v="-257552.04"/>
    <n v="-55300.034166666701"/>
    <n v="-60830.037583333375"/>
    <n v="-66913.041341666729"/>
    <n v="-73604.345475833397"/>
    <n v="-80964.780023416737"/>
    <n v="-89061.25802575842"/>
    <n v="-97967.383828334277"/>
    <n v="-428824.14660000004"/>
    <n v="-11060.006833333338"/>
    <n v="-12166.007516666672"/>
    <n v="-13382.608268333342"/>
    <n v="-14720.869095166676"/>
    <n v="-16192.956004683343"/>
    <n v="-17812.25160515168"/>
    <n v="-19593.476765666852"/>
    <n v="-147296.69993333326"/>
    <n v="-524640.88044500968"/>
    <n v="-104928.17608900191"/>
    <n v="-1.3016346062846154"/>
    <n v="-3.0353575389931533E-3"/>
    <s v="Fase de Degradação"/>
  </r>
  <r>
    <n v="563"/>
    <x v="562"/>
    <s v="ROB033-ROBÔ"/>
    <n v="20001377"/>
    <s v="BR01-MOT-FMG-INJEC2-INJ007"/>
    <n v="2111"/>
    <n v="49701"/>
    <n v="2012"/>
    <n v="221400.42"/>
    <n v="37929"/>
    <n v="45592.489999999969"/>
    <n v="1.7"/>
    <n v="4486.0464000000002"/>
    <n v="86628"/>
    <n v="19"/>
    <n v="1.7272727272727273"/>
    <n v="3.4545454545454546"/>
    <n v="5.1818181818181817"/>
    <n v="6.9090909090909092"/>
    <n v="8.6363636363636367"/>
    <n v="10.363636363636363"/>
    <n v="12.09090909090909"/>
    <n v="371.32"/>
    <n v="570.75149829999998"/>
    <n v="0.1"/>
    <n v="0.66500000000000004"/>
    <n v="0.8"/>
    <n v="-221400.42"/>
    <n v="-8239.4277775600003"/>
    <n v="-9063.3705553159998"/>
    <n v="-9969.7076108476012"/>
    <n v="-10966.678371932361"/>
    <n v="-12063.346209125599"/>
    <n v="-13269.68083003816"/>
    <n v="-14596.648913041978"/>
    <n v="-368631.69930000004"/>
    <n v="-1647.8855555119997"/>
    <n v="-1812.6741110631995"/>
    <n v="-1993.9415221695199"/>
    <n v="-2193.335674386472"/>
    <n v="-2412.6692418251191"/>
    <n v="-2653.9361660076315"/>
    <n v="-2919.3297826083949"/>
    <n v="-364614.52152333094"/>
    <n v="-78168.860267861703"/>
    <n v="-15633.772053572337"/>
    <n v="-49.146515869387237"/>
    <n v="-0.12088358750367595"/>
    <s v="Fase de Degradação"/>
  </r>
  <r>
    <n v="564"/>
    <x v="563"/>
    <s v="ROB037-ROBÔ"/>
    <n v="20001451"/>
    <s v="BR01-CIL-FCI-INJEC2-INJ064"/>
    <n v="4511"/>
    <s v="Não encontrado"/>
    <n v="2012"/>
    <n v="193697.7"/>
    <n v="0"/>
    <n v="116038.7199999999"/>
    <n v="1.79"/>
    <s v=""/>
    <n v="83690"/>
    <n v="112"/>
    <n v="11"/>
    <n v="22"/>
    <n v="33"/>
    <n v="44"/>
    <n v="55"/>
    <n v="66"/>
    <n v="77"/>
    <n v="358.53"/>
    <n v="901.16"/>
    <n v="0.1"/>
    <n v="0.66500000000000004"/>
    <n v="0.8"/>
    <n v="-193697.7"/>
    <n v="-16233.525000000001"/>
    <n v="-17856.877500000002"/>
    <n v="-19642.565250000007"/>
    <n v="-21606.821775000008"/>
    <n v="-23767.503952500007"/>
    <n v="-26144.254347750011"/>
    <n v="-28758.679782525018"/>
    <n v="-322506.67050000001"/>
    <n v="-3246.7049999999995"/>
    <n v="-3571.3754999999996"/>
    <n v="-3928.5130500000005"/>
    <n v="-4321.3643550000006"/>
    <n v="-4753.5007905000002"/>
    <n v="-5228.8508695500013"/>
    <n v="-5751.7359565050019"/>
    <n v="-239863.27049999998"/>
    <n v="-154010.22760777504"/>
    <n v="-30802.045521555003"/>
    <n v="-28.471212630539991"/>
    <n v="-8.8281003882491771E-2"/>
    <s v="Fase de Degradação"/>
  </r>
  <r>
    <n v="565"/>
    <x v="564"/>
    <s v="ROB038-ROBÔ"/>
    <n v="20001452"/>
    <s v="BR01-CIL-FCI-INJEC2-INJ064"/>
    <n v="4511"/>
    <s v="Não encontrado"/>
    <n v="2012"/>
    <n v="193697.7"/>
    <n v="0"/>
    <n v="120417.96999999975"/>
    <n v="2.75"/>
    <s v=""/>
    <n v="84219"/>
    <n v="55"/>
    <n v="5"/>
    <n v="10"/>
    <n v="15"/>
    <n v="20"/>
    <n v="25"/>
    <n v="30"/>
    <n v="35"/>
    <n v="330.76"/>
    <n v="934.48"/>
    <n v="0.1"/>
    <n v="0.66500000000000004"/>
    <n v="0.8"/>
    <n v="-193697.7"/>
    <n v="-14154.316000000001"/>
    <n v="-15569.747600000002"/>
    <n v="-17126.722360000003"/>
    <n v="-18839.394596000006"/>
    <n v="-20723.334055600008"/>
    <n v="-22795.66746116001"/>
    <n v="-25075.234207276015"/>
    <n v="-322506.67050000001"/>
    <n v="-2830.8631999999993"/>
    <n v="-3113.9495199999997"/>
    <n v="-3425.3444719999998"/>
    <n v="-3767.8789192000004"/>
    <n v="-4144.6668111200006"/>
    <n v="-4559.1334922320011"/>
    <n v="-5015.0468414552015"/>
    <n v="-250448.33449999997"/>
    <n v="-134284.41628003604"/>
    <n v="-26856.883256007204"/>
    <n v="-30.725591067995879"/>
    <n v="-9.5271180035936279E-2"/>
    <s v="Fase de Degradação"/>
  </r>
  <r>
    <n v="566"/>
    <x v="565"/>
    <s v="ROB039-ROBÔ"/>
    <n v="20001453"/>
    <s v="BR01-UTL-OFC-ROB"/>
    <n v="4511"/>
    <s v="Não encontrado"/>
    <n v="2012"/>
    <n v="193697.7"/>
    <n v="0"/>
    <n v="401851.74000000017"/>
    <n v="2.0699999999999998"/>
    <s v=""/>
    <n v="84325"/>
    <n v="155"/>
    <n v="14.090909090909092"/>
    <n v="28.181818181818183"/>
    <n v="42.272727272727273"/>
    <n v="56.363636363636367"/>
    <n v="70.454545454545453"/>
    <n v="84.545454545454547"/>
    <n v="98.63636363636364"/>
    <n v="568.25"/>
    <n v="4451.51"/>
    <n v="0.1"/>
    <n v="0.66500000000000004"/>
    <n v="0.8"/>
    <n v="-193697.7"/>
    <n v="-67567.807000000001"/>
    <n v="-74324.587700000018"/>
    <n v="-81757.04647000003"/>
    <n v="-89932.751117000036"/>
    <n v="-98926.026228700037"/>
    <n v="-108818.62885157006"/>
    <n v="-119700.49173672708"/>
    <n v="-322506.67050000001"/>
    <n v="-13513.561399999997"/>
    <n v="-14864.91754"/>
    <n v="-16351.409294000003"/>
    <n v="-17986.550223400005"/>
    <n v="-19785.205245740002"/>
    <n v="-21763.725770314006"/>
    <n v="-23940.098347345411"/>
    <n v="21474.892409090942"/>
    <n v="-641027.33910399722"/>
    <n v="-128205.46782079941"/>
    <n v="27.187885826171119"/>
    <n v="8.4301778267160274E-2"/>
    <s v="Fase de Degradação"/>
  </r>
  <r>
    <n v="567"/>
    <x v="566"/>
    <s v="ROB040-ROBÔ"/>
    <n v="20001454"/>
    <s v="BR01-CIL-FCI-INJEC2-INJ062"/>
    <n v="4511"/>
    <s v="Não encontrado"/>
    <n v="2012"/>
    <n v="193697.7"/>
    <n v="0"/>
    <n v="97459.509999999718"/>
    <n v="3.95"/>
    <s v=""/>
    <n v="86079"/>
    <n v="69"/>
    <n v="6.2727272727272725"/>
    <n v="12.545454545454545"/>
    <n v="18.818181818181817"/>
    <n v="25.09090909090909"/>
    <n v="31.363636363636363"/>
    <n v="37.636363636363633"/>
    <n v="43.909090909090907"/>
    <n v="359.29"/>
    <n v="961.68"/>
    <n v="0.1"/>
    <n v="0.66500000000000004"/>
    <n v="0.8"/>
    <n v="-193697.7"/>
    <n v="-15173.277000000002"/>
    <n v="-16690.604700000004"/>
    <n v="-18359.665170000004"/>
    <n v="-20195.631687000005"/>
    <n v="-22215.194855700007"/>
    <n v="-24436.71434127001"/>
    <n v="-26880.385775397015"/>
    <n v="-322506.67050000001"/>
    <n v="-3034.6553999999996"/>
    <n v="-3338.1209399999998"/>
    <n v="-3671.9330340000001"/>
    <n v="-4039.1263374"/>
    <n v="-4443.0389711400003"/>
    <n v="-4887.3428682540007"/>
    <n v="-5376.0771550794016"/>
    <n v="-245260.89668181818"/>
    <n v="-143951.47352936704"/>
    <n v="-28790.294705873403"/>
    <n v="-29.620784525215193"/>
    <n v="-9.1845494170066141E-2"/>
    <s v="Fase de Degradação"/>
  </r>
  <r>
    <n v="568"/>
    <x v="567"/>
    <s v="ROB041-ROBÔ"/>
    <n v="20001484"/>
    <s v="BR01-CIL-FCI-INJEC2-INJ065"/>
    <n v="4511"/>
    <n v="43507"/>
    <n v="2013"/>
    <n v="193697.7"/>
    <n v="0"/>
    <n v="349606.3000000001"/>
    <n v="1.65"/>
    <s v=""/>
    <n v="81936"/>
    <n v="161"/>
    <n v="15"/>
    <n v="30"/>
    <n v="45"/>
    <n v="60"/>
    <n v="75"/>
    <n v="90"/>
    <n v="105"/>
    <n v="578.11"/>
    <n v="3489.94027777778"/>
    <n v="0.1"/>
    <n v="0.60660000000000003"/>
    <n v="0.8"/>
    <n v="-193697.7"/>
    <n v="-55606.026666666701"/>
    <n v="-61166.629333333382"/>
    <n v="-67283.292266666729"/>
    <n v="-74011.621493333398"/>
    <n v="-81412.783642666749"/>
    <n v="-89554.062006933425"/>
    <n v="-98509.468207626793"/>
    <n v="-311194.72482"/>
    <n v="-11121.205333333337"/>
    <n v="-12233.325866666673"/>
    <n v="-13456.658453333343"/>
    <n v="-14802.324298666676"/>
    <n v="-16282.556728533345"/>
    <n v="-17910.81240138668"/>
    <n v="-19701.893641525356"/>
    <n v="-28109.498153333203"/>
    <n v="-527543.8836172272"/>
    <n v="-105508.77672344541"/>
    <n v="15.834340296254553"/>
    <n v="5.0882418734486547E-2"/>
    <s v="Fase de Degradação"/>
  </r>
  <r>
    <n v="569"/>
    <x v="568"/>
    <s v="ROB042-ROBÔ"/>
    <n v="20001485"/>
    <s v="BR01-CIL-FCI-INJEC2-INJ065"/>
    <n v="4511"/>
    <n v="43506"/>
    <n v="2013"/>
    <n v="150560.9"/>
    <n v="0"/>
    <n v="142975.14999999994"/>
    <n v="2.2999999999999998"/>
    <s v=""/>
    <n v="74858"/>
    <n v="101"/>
    <n v="10.1"/>
    <n v="20.2"/>
    <n v="30.299999999999997"/>
    <n v="40.4"/>
    <n v="50.5"/>
    <n v="60.6"/>
    <n v="70.7"/>
    <n v="619.80999999999995"/>
    <n v="1518.5281944444444"/>
    <n v="0.1"/>
    <n v="0.60660000000000003"/>
    <n v="0.8"/>
    <n v="-150560.9"/>
    <n v="-26930.661266666666"/>
    <n v="-29623.727393333334"/>
    <n v="-32586.100132666674"/>
    <n v="-35844.710145933343"/>
    <n v="-39429.181160526678"/>
    <n v="-43372.099276579349"/>
    <n v="-47709.309204237295"/>
    <n v="-241891.14194"/>
    <n v="-5386.1322533333323"/>
    <n v="-5924.7454786666658"/>
    <n v="-6517.2200265333331"/>
    <n v="-7168.9420291866672"/>
    <n v="-7885.8362321053337"/>
    <n v="-8674.4198553158676"/>
    <n v="-9541.8618408474576"/>
    <n v="-104789.59367333338"/>
    <n v="-255495.78857994336"/>
    <n v="-51099.157715988651"/>
    <n v="-5.356358725149331"/>
    <n v="-2.2143674556209879E-2"/>
    <s v="Fase de Degradação"/>
  </r>
  <r>
    <n v="570"/>
    <x v="569"/>
    <s v="ROB044-ROBÔ"/>
    <n v="20001511"/>
    <s v="BR01-MOT-SAB-FINALL-ROB044"/>
    <n v="2530"/>
    <n v="43972"/>
    <n v="2014"/>
    <n v="195200"/>
    <n v="27802"/>
    <n v="452872.01999999944"/>
    <n v="0.84"/>
    <n v="5853.5532000000003"/>
    <n v="81370"/>
    <n v="324"/>
    <n v="20"/>
    <n v="40"/>
    <n v="60"/>
    <n v="80"/>
    <n v="100"/>
    <n v="120"/>
    <n v="140"/>
    <n v="472.36"/>
    <n v="1664.6"/>
    <n v="0.1"/>
    <n v="0.54749999999999999"/>
    <n v="0.8"/>
    <n v="-195200"/>
    <n v="-32364.639999999999"/>
    <n v="-35601.103999999999"/>
    <n v="-39161.214400000012"/>
    <n v="-43077.335840000007"/>
    <n v="-47385.069424000016"/>
    <n v="-52123.576366400019"/>
    <n v="-57335.934003040034"/>
    <n v="-302072"/>
    <n v="-6472.9279999999981"/>
    <n v="-7120.2207999999982"/>
    <n v="-7832.2428800000007"/>
    <n v="-8615.4671679999992"/>
    <n v="-9477.0138848000006"/>
    <n v="-10424.715273280002"/>
    <n v="-11467.186800608004"/>
    <n v="-165108.56000000003"/>
    <n v="-307048.87403344008"/>
    <n v="-61409.774806688001"/>
    <n v="-12.033557253321135"/>
    <n v="-3.6479253452291284E-2"/>
    <s v="Confiabilidade em Crescimento"/>
  </r>
  <r>
    <n v="571"/>
    <x v="570"/>
    <s v="ROB045-ROBÔ"/>
    <n v="20001530"/>
    <s v="BR01-CIL-UCI-USINA1-CEN025"/>
    <n v="4531"/>
    <n v="43963"/>
    <n v="2013"/>
    <n v="163653.96"/>
    <n v="0"/>
    <n v="179717.12999999989"/>
    <n v="1.21"/>
    <n v="6107"/>
    <n v="80852"/>
    <n v="248"/>
    <n v="23"/>
    <n v="46"/>
    <n v="69"/>
    <n v="92"/>
    <n v="115"/>
    <n v="138"/>
    <n v="161"/>
    <n v="699.64"/>
    <n v="1595.82"/>
    <n v="0.1"/>
    <n v="0.60660000000000003"/>
    <n v="0.8"/>
    <n v="-163653.96"/>
    <n v="-38765.716"/>
    <n v="-42642.287600000003"/>
    <n v="-46906.516360000009"/>
    <n v="-51597.167996000011"/>
    <n v="-56756.884795600017"/>
    <n v="-62432.573275160023"/>
    <n v="-68675.83060267604"/>
    <n v="-262926.45213599998"/>
    <n v="-7753.1431999999986"/>
    <n v="-8528.4575199999981"/>
    <n v="-9381.3032719999992"/>
    <n v="-10319.4335992"/>
    <n v="-11351.376959120002"/>
    <n v="-12486.514655032002"/>
    <n v="-13735.166120535205"/>
    <n v="-65573.716136000032"/>
    <n v="-367776.97662943607"/>
    <n v="-73555.395325887206"/>
    <n v="4.4707327382212725"/>
    <n v="1.7003738885537332E-2"/>
    <s v="Fase de Degradação"/>
  </r>
  <r>
    <n v="572"/>
    <x v="571"/>
    <s v="ROB046-ROBÔ"/>
    <n v="20001531"/>
    <s v="BR01-CIL-UCI-USINA1-CEN026"/>
    <n v="4531"/>
    <n v="44019"/>
    <n v="2014"/>
    <n v="187340.61"/>
    <n v="5604"/>
    <n v="228847.28999999989"/>
    <n v="1.29"/>
    <n v="6064"/>
    <n v="80300"/>
    <n v="259"/>
    <n v="26"/>
    <n v="52"/>
    <n v="78"/>
    <n v="104"/>
    <n v="130"/>
    <n v="156"/>
    <n v="182"/>
    <n v="378.7"/>
    <n v="1454.93"/>
    <n v="0.1"/>
    <n v="0.54749999999999999"/>
    <n v="0.8"/>
    <n v="-187340.61"/>
    <n v="-30035.896000000004"/>
    <n v="-33039.485600000007"/>
    <n v="-36343.434160000012"/>
    <n v="-39977.777576000015"/>
    <n v="-43975.555333600016"/>
    <n v="-48373.110866960022"/>
    <n v="-53210.421953656034"/>
    <n v="-289909.59397499997"/>
    <n v="-6007.1791999999996"/>
    <n v="-6607.8971199999996"/>
    <n v="-7268.6868320000003"/>
    <n v="-7995.5555152000015"/>
    <n v="-8795.111066720001"/>
    <n v="-9674.6221733920029"/>
    <n v="-10642.084390731205"/>
    <n v="-142603.57797499991"/>
    <n v="-284955.68149021611"/>
    <n v="-56991.136298043202"/>
    <n v="-9.6498641118324269"/>
    <n v="-3.2654552306818053E-2"/>
    <s v="Fase de Degradação"/>
  </r>
  <r>
    <n v="573"/>
    <x v="572"/>
    <s v="ROB047-ROBÔ"/>
    <n v="20001591"/>
    <s v="BR01-MOT-PLA-INJEC1-INJ034"/>
    <n v="3115"/>
    <n v="42589"/>
    <n v="2013"/>
    <n v="114126.71"/>
    <n v="40573"/>
    <n v="96634.239999999932"/>
    <n v="1.57"/>
    <n v="5742"/>
    <n v="50570"/>
    <n v="84"/>
    <n v="8.4"/>
    <n v="16.8"/>
    <n v="25.200000000000003"/>
    <n v="33.6"/>
    <n v="42"/>
    <n v="50.4"/>
    <n v="58.8"/>
    <n v="519.11"/>
    <n v="1289"/>
    <n v="0.1"/>
    <n v="0.60660000000000003"/>
    <n v="0.8"/>
    <n v="-114126.71"/>
    <n v="-21811.376400000005"/>
    <n v="-23992.514040000005"/>
    <n v="-26391.765444000011"/>
    <n v="-29030.941988400005"/>
    <n v="-31934.036187240006"/>
    <n v="-35127.439805964015"/>
    <n v="-38640.183786560418"/>
    <n v="-183355.972286"/>
    <n v="-4362.2752799999998"/>
    <n v="-4798.5028080000002"/>
    <n v="-5278.3530888000014"/>
    <n v="-5806.18839768"/>
    <n v="-6386.8072374479998"/>
    <n v="-7025.4879611928018"/>
    <n v="-7728.036757312082"/>
    <n v="-112889.23788600002"/>
    <n v="-206928.25765216444"/>
    <n v="-41385.651530432886"/>
    <n v="-8.3409094520383498"/>
    <n v="-3.724801380942086E-2"/>
    <s v="Fase de Degradação"/>
  </r>
  <r>
    <n v="574"/>
    <x v="573"/>
    <s v="ROB048-ROBÔ"/>
    <n v="10006305"/>
    <s v="BR01-CIL-UCI-BRUNI1-MODC01"/>
    <n v="4536"/>
    <n v="46253"/>
    <n v="2013"/>
    <n v="94467.7"/>
    <n v="29784"/>
    <n v="8484.06"/>
    <n v="1.67"/>
    <n v="4241"/>
    <n v="57903"/>
    <n v="197"/>
    <n v="19.7"/>
    <n v="39.4"/>
    <n v="59.099999999999994"/>
    <n v="78.8"/>
    <n v="98.5"/>
    <n v="118.2"/>
    <n v="137.9"/>
    <n v="158.68"/>
    <n v="170.89"/>
    <n v="0.1"/>
    <n v="0.60660000000000003"/>
    <n v="0.8"/>
    <n v="-94467.7"/>
    <n v="-5694.3436000000002"/>
    <n v="-6263.7779600000003"/>
    <n v="-6890.155756000001"/>
    <n v="-7579.1713316000023"/>
    <n v="-8337.0884647600033"/>
    <n v="-9170.797311236005"/>
    <n v="-10087.877042359607"/>
    <n v="-151771.80682"/>
    <n v="-1138.8687199999997"/>
    <n v="-1252.7555919999998"/>
    <n v="-1378.0311511999998"/>
    <n v="-1515.8342663200001"/>
    <n v="-1667.4176929520004"/>
    <n v="-1834.1594622472005"/>
    <n v="-2017.575408471921"/>
    <n v="-152566.42122000002"/>
    <n v="-54023.211465955617"/>
    <n v="-10804.64229319112"/>
    <n v="-19.76246252103364"/>
    <n v="-0.10885062211547303"/>
    <s v="Fase de Degradação"/>
  </r>
  <r>
    <n v="575"/>
    <x v="574"/>
    <s v="ROB056-ROBÔ"/>
    <n v="10006335"/>
    <s v="BR01-CIL-FCI-INJEC2-INJ067"/>
    <n v="4511"/>
    <n v="46430"/>
    <n v="2015"/>
    <n v="218272.68"/>
    <n v="38995"/>
    <n v="56845.19000000001"/>
    <n v="1.43"/>
    <s v=""/>
    <n v="69055"/>
    <n v="87"/>
    <n v="9"/>
    <n v="18"/>
    <n v="27"/>
    <n v="36"/>
    <n v="45"/>
    <n v="54"/>
    <n v="63"/>
    <n v="357.11"/>
    <n v="677.03"/>
    <n v="0.1"/>
    <n v="0.4834"/>
    <n v="0.8"/>
    <n v="-218272.68"/>
    <n v="-12472.185000000001"/>
    <n v="-13719.403500000002"/>
    <n v="-15091.343850000005"/>
    <n v="-16600.478235000006"/>
    <n v="-18260.526058500007"/>
    <n v="-20086.578664350011"/>
    <n v="-22095.236530785016"/>
    <n v="-323785.69351200003"/>
    <n v="-2494.4369999999999"/>
    <n v="-2743.8806999999997"/>
    <n v="-3018.2687700000001"/>
    <n v="-3320.0956470000006"/>
    <n v="-3652.1052117000004"/>
    <n v="-4017.3157328700013"/>
    <n v="-4419.0473061570019"/>
    <n v="-299285.93351200002"/>
    <n v="-118325.75183863504"/>
    <n v="-23665.150367727001"/>
    <n v="-38.302870291584568"/>
    <n v="-0.10558133598781928"/>
    <s v="Fase de Degradação"/>
  </r>
  <r>
    <n v="576"/>
    <x v="575"/>
    <s v="ROB057-ROBÔ"/>
    <n v="10006336"/>
    <s v="BR01-CIL-FCI-INJEC2-INJ067"/>
    <n v="4511"/>
    <n v="46431"/>
    <n v="2015"/>
    <n v="268117.81"/>
    <n v="57554"/>
    <n v="69203.170000000013"/>
    <n v="1.39"/>
    <s v=""/>
    <n v="64383"/>
    <n v="56"/>
    <n v="6"/>
    <n v="12"/>
    <n v="18"/>
    <n v="24"/>
    <n v="30"/>
    <n v="36"/>
    <n v="42"/>
    <n v="467.4"/>
    <n v="896.52"/>
    <n v="0.1"/>
    <n v="0.4834"/>
    <n v="0.8"/>
    <n v="-268117.81"/>
    <n v="-14918.904"/>
    <n v="-16410.794400000002"/>
    <n v="-18051.873840000004"/>
    <n v="-19857.061224000005"/>
    <n v="-21842.767346400007"/>
    <n v="-24027.04408104001"/>
    <n v="-26429.748489144014"/>
    <n v="-397725.95935399999"/>
    <n v="-2983.7807999999995"/>
    <n v="-3282.15888"/>
    <n v="-3610.3747680000001"/>
    <n v="-3971.4122447999998"/>
    <n v="-4368.5534692800002"/>
    <n v="-4805.4088162080006"/>
    <n v="-5285.9496978288016"/>
    <n v="-379329.17535400001"/>
    <n v="-141538.19338058407"/>
    <n v="-28307.6386761168"/>
    <n v="-48.864200664218963"/>
    <n v="-0.10732780931880403"/>
    <s v="Fase de Degradação"/>
  </r>
  <r>
    <n v="577"/>
    <x v="576"/>
    <s v="ROB058-ROBÔ"/>
    <n v="10006337"/>
    <s v="BR01-CIL-FCI-INJEC2-INJ067"/>
    <n v="4511"/>
    <n v="900000022657"/>
    <n v="2015"/>
    <n v="193697.7"/>
    <n v="0"/>
    <n v="68419.789999999979"/>
    <n v="1.5"/>
    <s v=""/>
    <n v="48043"/>
    <n v="37"/>
    <n v="4.625"/>
    <n v="9.25"/>
    <n v="13.875"/>
    <n v="18.5"/>
    <n v="23.125"/>
    <n v="27.75"/>
    <n v="32.375"/>
    <n v="301.49"/>
    <n v="815.44"/>
    <n v="0.1"/>
    <n v="0.4834"/>
    <n v="0.8"/>
    <n v="-193697.7"/>
    <n v="-12297.638375000002"/>
    <n v="-13527.402212500003"/>
    <n v="-14880.142433750007"/>
    <n v="-16368.156677125005"/>
    <n v="-18004.972344837508"/>
    <n v="-19805.469579321263"/>
    <n v="-21786.016537253392"/>
    <n v="-287331.16818000004"/>
    <n v="-2459.5276749999998"/>
    <n v="-2705.4804424999998"/>
    <n v="-2976.0284867500009"/>
    <n v="-3273.6313354250005"/>
    <n v="-3600.9944689675008"/>
    <n v="-3961.0939158642518"/>
    <n v="-4357.2033074506771"/>
    <n v="-224725.00918000005"/>
    <n v="-116669.79815978718"/>
    <n v="-23333.95963195743"/>
    <n v="-27.71361852173861"/>
    <n v="-9.6451835341362188E-2"/>
    <s v="Fase de Degradação"/>
  </r>
  <r>
    <n v="578"/>
    <x v="577"/>
    <s v="ROB059-ROBÔ"/>
    <n v="20001640"/>
    <s v="BR01-MOT-VIR-USIDUR-TOR024"/>
    <n v="3327"/>
    <n v="44140"/>
    <n v="2016"/>
    <n v="200653.87"/>
    <n v="19274"/>
    <n v="55801.569999999992"/>
    <n v="0.97"/>
    <n v="5433.1535999999996"/>
    <n v="52976"/>
    <n v="63"/>
    <n v="7"/>
    <n v="14"/>
    <n v="21"/>
    <n v="28"/>
    <n v="35"/>
    <n v="42"/>
    <n v="49"/>
    <n v="270.33999999999997"/>
    <n v="469.73"/>
    <n v="0.1"/>
    <n v="0.37669999999999998"/>
    <n v="0.8"/>
    <n v="-200653.87"/>
    <n v="-8282.0540000000019"/>
    <n v="-9110.2594000000026"/>
    <n v="-10021.285340000004"/>
    <n v="-11023.413874000003"/>
    <n v="-12125.755261400005"/>
    <n v="-13338.330787540006"/>
    <n v="-14672.163866294009"/>
    <n v="-276240.182829"/>
    <n v="-1656.4108000000001"/>
    <n v="-1822.0518800000002"/>
    <n v="-2004.2570680000003"/>
    <n v="-2204.6827748000001"/>
    <n v="-2425.1510522800004"/>
    <n v="-2667.6661575080007"/>
    <n v="-2934.4327732588013"/>
    <n v="-253350.99882899996"/>
    <n v="-78573.262529234038"/>
    <n v="-15714.652505846801"/>
    <n v="-33.236510400801819"/>
    <n v="-0.11247010239110658"/>
    <s v="Confiabilidade em Crescimento"/>
  </r>
  <r>
    <n v="579"/>
    <x v="578"/>
    <s v="ROB060-ROBÔ"/>
    <n v="20001912"/>
    <s v="BR01-MOT-FMG-INJEC1-INJ001"/>
    <n v="2111"/>
    <n v="49195"/>
    <n v="2012"/>
    <n v="254773.54"/>
    <n v="0"/>
    <n v="58395.799999999996"/>
    <n v="1.88"/>
    <n v="4648.0871999999999"/>
    <n v="55379"/>
    <n v="5"/>
    <n v="0.45454545454545453"/>
    <n v="0.90909090909090906"/>
    <n v="1.3636363636363635"/>
    <n v="1.8181818181818181"/>
    <n v="2.2727272727272725"/>
    <n v="2.7272727272727271"/>
    <n v="3.1818181818181817"/>
    <n v="205.85"/>
    <n v="334.97"/>
    <n v="0.1"/>
    <n v="0.66500000000000004"/>
    <n v="0.8"/>
    <n v="-254773.54"/>
    <n v="-4524.5290000000014"/>
    <n v="-4976.9819000000016"/>
    <n v="-5474.6800900000026"/>
    <n v="-6022.1480990000027"/>
    <n v="-6624.3629089000033"/>
    <n v="-7286.7991997900044"/>
    <n v="-8015.4791197690056"/>
    <n v="-424197.94410000002"/>
    <n v="-904.90580000000011"/>
    <n v="-995.39638000000014"/>
    <n v="-1094.9360180000003"/>
    <n v="-1204.4296198000002"/>
    <n v="-1324.8725817800005"/>
    <n v="-1457.3598399580005"/>
    <n v="-1603.0958239538008"/>
    <n v="-401163.97828181821"/>
    <n v="-42924.98031745902"/>
    <n v="-8584.9960634918025"/>
    <n v="-55.69399426371897"/>
    <n v="-0.13129246626096264"/>
    <s v="Fase de Degradação"/>
  </r>
  <r>
    <n v="580"/>
    <x v="579"/>
    <s v="ROB061-ROBÔ"/>
    <n v="20001955"/>
    <s v="BR01-MOT-PLA-INJEC1-INJ040"/>
    <n v="3117"/>
    <n v="46553"/>
    <n v="2016"/>
    <n v="15338.79"/>
    <n v="3595"/>
    <n v="15384.150000000003"/>
    <n v="0.85"/>
    <n v="6441"/>
    <n v="61189"/>
    <n v="21"/>
    <n v="2"/>
    <n v="4"/>
    <n v="6"/>
    <n v="8"/>
    <n v="10"/>
    <n v="12"/>
    <n v="14"/>
    <n v="646.41999999999996"/>
    <n v="393.13"/>
    <n v="0.1"/>
    <n v="0.37669999999999998"/>
    <n v="0.8"/>
    <n v="-15338.79"/>
    <n v="-6611.4400000000005"/>
    <n v="-7272.5840000000007"/>
    <n v="-7999.8424000000023"/>
    <n v="-8799.8266400000011"/>
    <n v="-9679.8093040000022"/>
    <n v="-10647.790234400005"/>
    <n v="-11712.569257840007"/>
    <n v="-21116.912193"/>
    <n v="-1322.2879999999998"/>
    <n v="-1454.5167999999999"/>
    <n v="-1599.96848"/>
    <n v="-1759.9653279999998"/>
    <n v="-1935.9618608000001"/>
    <n v="-2129.5580468800003"/>
    <n v="-2342.513851568001"/>
    <n v="8946.3278070000015"/>
    <n v="-62723.861836240016"/>
    <n v="-12544.772367248001"/>
    <n v="3.6381681822845726"/>
    <n v="0.14722325629317895"/>
    <s v="Confiabilidade em Crescimento"/>
  </r>
  <r>
    <n v="581"/>
    <x v="580"/>
    <s v="ROB062-ROBÔ"/>
    <n v="10006400"/>
    <s v="BR01-CIL-UCI-BRUNI2-MACC04"/>
    <n v="4566"/>
    <n v="46289"/>
    <n v="2016"/>
    <n v="96897.04"/>
    <n v="18406"/>
    <n v="62959.479999999967"/>
    <n v="1.66"/>
    <n v="4408"/>
    <n v="57903"/>
    <n v="197"/>
    <n v="26"/>
    <n v="52"/>
    <n v="78"/>
    <n v="104"/>
    <n v="130"/>
    <n v="156"/>
    <n v="182"/>
    <n v="304.45"/>
    <n v="251.71"/>
    <n v="0.1"/>
    <n v="0.37669999999999998"/>
    <n v="0.8"/>
    <n v="-96897.04"/>
    <n v="-12029.842000000001"/>
    <n v="-13232.826200000001"/>
    <n v="-14556.108820000003"/>
    <n v="-16011.719702000004"/>
    <n v="-17612.891672200007"/>
    <n v="-19374.180839420009"/>
    <n v="-21311.598923362013"/>
    <n v="-133398.15496799999"/>
    <n v="-2405.9683999999997"/>
    <n v="-2646.5652399999999"/>
    <n v="-2911.2217639999999"/>
    <n v="-3202.3439404000001"/>
    <n v="-3522.5783344400006"/>
    <n v="-3874.836167884001"/>
    <n v="-4262.3197846724015"/>
    <n v="-90561.322967999979"/>
    <n v="-114129.16815698202"/>
    <n v="-22825.833631396403"/>
    <n v="-8.6429743489163418"/>
    <n v="-5.6935031526233672E-2"/>
    <s v="Fase de Degradação"/>
  </r>
  <r>
    <n v="582"/>
    <x v="581"/>
    <s v="ROB063-ROBÔ"/>
    <n v="10006429"/>
    <s v="BR01-CIL-UCI-USINA1-PRE053"/>
    <n v="4568"/>
    <s v="-"/>
    <n v="2016"/>
    <n v="125609.15"/>
    <n v="15701.143750000003"/>
    <n v="96725.410000000018"/>
    <n v="0.6"/>
    <n v="5434"/>
    <n v="58542"/>
    <n v="201"/>
    <n v="11"/>
    <n v="22"/>
    <n v="33"/>
    <n v="44"/>
    <n v="55"/>
    <n v="66"/>
    <n v="77"/>
    <n v="314.64"/>
    <n v="925.73534889999996"/>
    <n v="0.1"/>
    <n v="0.37669999999999998"/>
    <n v="0.8"/>
    <n v="-125609.15"/>
    <n v="-16026.850605480004"/>
    <n v="-17629.535666028005"/>
    <n v="-19392.489232630807"/>
    <n v="-21331.738155893887"/>
    <n v="-23464.911971483278"/>
    <n v="-25811.403168631608"/>
    <n v="-28392.543485494774"/>
    <n v="-172926.116805"/>
    <n v="-3205.3701210959998"/>
    <n v="-3525.9071332056001"/>
    <n v="-3878.4978465261606"/>
    <n v="-4266.3476311787763"/>
    <n v="-4692.9823942966541"/>
    <n v="-5162.280633726321"/>
    <n v="-5678.5086970989532"/>
    <n v="-107036.02110891996"/>
    <n v="-152049.47228564238"/>
    <n v="-30409.894457128466"/>
    <n v="-9.5696689609265846"/>
    <n v="-5.0733223462874059E-2"/>
    <s v="Confiabilidade em Crescimento"/>
  </r>
  <r>
    <n v="583"/>
    <x v="582"/>
    <s v="ROB064-ROBÔ"/>
    <n v="10006444"/>
    <s v="BR01-CIL-FCI-INJEC2-INJ066"/>
    <n v="4511"/>
    <n v="46745"/>
    <n v="2016"/>
    <n v="315800.82"/>
    <n v="81869"/>
    <n v="101527.08999999995"/>
    <n v="0.92"/>
    <s v=""/>
    <n v="52311"/>
    <n v="83"/>
    <n v="7"/>
    <n v="14"/>
    <n v="21"/>
    <n v="28"/>
    <n v="35"/>
    <n v="42"/>
    <n v="49"/>
    <n v="385.54"/>
    <n v="1139.01"/>
    <n v="0.1"/>
    <n v="0.37669999999999998"/>
    <n v="0.8"/>
    <n v="-315800.82"/>
    <n v="-18003.59"/>
    <n v="-19803.949000000004"/>
    <n v="-21784.343900000007"/>
    <n v="-23962.778290000006"/>
    <n v="-26359.056119000008"/>
    <n v="-28994.961730900013"/>
    <n v="-31894.45790399002"/>
    <n v="-434762.98889400001"/>
    <n v="-3600.7179999999994"/>
    <n v="-3960.7898"/>
    <n v="-4356.8687800000007"/>
    <n v="-4792.5556580000002"/>
    <n v="-5271.8112238000003"/>
    <n v="-5798.9923461800017"/>
    <n v="-6378.8915807980029"/>
    <n v="-424977.348894"/>
    <n v="-170803.13694389007"/>
    <n v="-34160.627388778004"/>
    <n v="-54.284211334126852"/>
    <n v="-0.10507326782133233"/>
    <s v="Confiabilidade em Crescimento"/>
  </r>
  <r>
    <n v="584"/>
    <x v="583"/>
    <s v="ROB065-ROBÔ"/>
    <n v="10006445"/>
    <s v="BR01-CIL-FCI-INJEC2-INJ066"/>
    <n v="4511"/>
    <n v="46746"/>
    <n v="2016"/>
    <n v="262417.05"/>
    <n v="68030"/>
    <n v="51960.609999999986"/>
    <n v="1.33"/>
    <s v=""/>
    <n v="53912"/>
    <n v="59"/>
    <n v="8"/>
    <n v="16"/>
    <n v="24"/>
    <n v="32"/>
    <n v="40"/>
    <n v="48"/>
    <n v="56"/>
    <n v="257.57"/>
    <n v="611.20000000000005"/>
    <n v="0.1"/>
    <n v="0.37669999999999998"/>
    <n v="0.8"/>
    <n v="-262417.05"/>
    <n v="-10334.456000000002"/>
    <n v="-11367.901600000003"/>
    <n v="-12504.691760000005"/>
    <n v="-13755.160936000006"/>
    <n v="-15130.677029600007"/>
    <n v="-16643.744732560008"/>
    <n v="-18308.119205816012"/>
    <n v="-361269.55273499998"/>
    <n v="-2066.8912"/>
    <n v="-2273.58032"/>
    <n v="-2500.9383520000006"/>
    <n v="-2751.0321872000004"/>
    <n v="-3026.1354059200007"/>
    <n v="-3328.7489465120007"/>
    <n v="-3661.6238411632016"/>
    <n v="-376687.77673499996"/>
    <n v="-98044.751263976039"/>
    <n v="-19608.950252795203"/>
    <n v="-50.123393103402734"/>
    <n v="-0.11675622018256127"/>
    <s v="Fase de Degradação"/>
  </r>
  <r>
    <n v="585"/>
    <x v="584"/>
    <s v="ROB066-ROBÔ"/>
    <n v="10006446"/>
    <s v="BR01-CIL-FCI-INJEC2-INJ066"/>
    <n v="4511"/>
    <n v="46747"/>
    <n v="2016"/>
    <n v="262417.05"/>
    <n v="68030"/>
    <n v="92985.579999999958"/>
    <n v="2.16"/>
    <s v=""/>
    <n v="41909"/>
    <n v="37"/>
    <n v="5.2857142857142856"/>
    <n v="10.571428571428571"/>
    <n v="15.857142857142858"/>
    <n v="21.142857142857142"/>
    <n v="26.428571428571427"/>
    <n v="31.714285714285712"/>
    <n v="37"/>
    <n v="468.95"/>
    <n v="987.52"/>
    <n v="0.1"/>
    <n v="0.37669999999999998"/>
    <n v="0.8"/>
    <n v="-262417.05"/>
    <n v="-15761.873285714288"/>
    <n v="-17338.060614285718"/>
    <n v="-19071.866675714293"/>
    <n v="-20979.053343285719"/>
    <n v="-23076.95867761429"/>
    <n v="-25384.654545375724"/>
    <n v="-27923.119999913306"/>
    <n v="-361269.55273499998"/>
    <n v="-3152.3746571428569"/>
    <n v="-3467.6121228571428"/>
    <n v="-3814.3733351428577"/>
    <n v="-4195.8106686571427"/>
    <n v="-4615.3917355228568"/>
    <n v="-5076.930909075144"/>
    <n v="-5584.6239999826603"/>
    <n v="-349057.28873499995"/>
    <n v="-149535.58714190332"/>
    <n v="-29907.117428380661"/>
    <n v="-44.238726145925327"/>
    <n v="-0.10304861923122759"/>
    <s v="Fase de Degradação"/>
  </r>
  <r>
    <n v="586"/>
    <x v="585"/>
    <s v="ROB067-ROBÔ"/>
    <n v="20002372"/>
    <s v="BR01-MOT-SAB-LASERS-LAS005"/>
    <n v="2517"/>
    <n v="47156"/>
    <n v="2016"/>
    <n v="123878.73"/>
    <n v="40822"/>
    <n v="11351.15"/>
    <n v="0.64"/>
    <n v="5081"/>
    <n v="8902"/>
    <n v="4"/>
    <n v="0.5714285714285714"/>
    <n v="1.1428571428571428"/>
    <n v="1.7142857142857142"/>
    <n v="2.2857142857142856"/>
    <n v="2.8571428571428568"/>
    <n v="3.4285714285714279"/>
    <n v="3.9999999999999991"/>
    <n v="471.75"/>
    <n v="447.95"/>
    <n v="0.1"/>
    <n v="0.37669999999999998"/>
    <n v="0.8"/>
    <n v="-123878.73"/>
    <n v="-6209.4685714285715"/>
    <n v="-6830.4154285714294"/>
    <n v="-7513.4569714285726"/>
    <n v="-8264.8026685714303"/>
    <n v="-9091.2829354285732"/>
    <n v="-10000.411228971432"/>
    <n v="-11000.452351868576"/>
    <n v="-170543.847591"/>
    <n v="-1241.8937142857139"/>
    <n v="-1366.0830857142855"/>
    <n v="-1502.6913942857143"/>
    <n v="-1652.9605337142857"/>
    <n v="-1818.2565870857143"/>
    <n v="-2000.0822457942859"/>
    <n v="-2200.0904703737147"/>
    <n v="-179754.007591"/>
    <n v="-58910.29015626858"/>
    <n v="-11782.058031253713"/>
    <n v="-23.462516495140733"/>
    <n v="-0.11100429308968347"/>
    <s v="Confiabilidade em Crescimento"/>
  </r>
  <r>
    <n v="587"/>
    <x v="586"/>
    <s v="ROB068-ROBÔ"/>
    <n v="20002691"/>
    <s v="BR01-CIL-UCI-USINA2-CEN081"/>
    <n v="4531"/>
    <s v="-"/>
    <n v="2016"/>
    <n v="125609.15"/>
    <n v="15701.143750000003"/>
    <n v="8375.989999999998"/>
    <n v="0.55000000000000004"/>
    <n v="5487"/>
    <n v="29598"/>
    <n v="21"/>
    <n v="3"/>
    <n v="6"/>
    <n v="9"/>
    <n v="12"/>
    <n v="15"/>
    <n v="18"/>
    <n v="21"/>
    <n v="195.7"/>
    <n v="170.04"/>
    <n v="0.1"/>
    <n v="0.37669999999999998"/>
    <n v="0.8"/>
    <n v="-125609.15"/>
    <n v="-2890.3380000000002"/>
    <n v="-3179.3718000000003"/>
    <n v="-3497.3089800000012"/>
    <n v="-3847.039878000001"/>
    <n v="-4231.743865800001"/>
    <n v="-4654.9182523800018"/>
    <n v="-5120.410077618003"/>
    <n v="-172926.116805"/>
    <n v="-578.06759999999986"/>
    <n v="-635.87435999999991"/>
    <n v="-699.46179600000005"/>
    <n v="-769.40797559999999"/>
    <n v="-846.34877316000006"/>
    <n v="-930.98365047600021"/>
    <n v="-1024.0820155236004"/>
    <n v="-173912.81255499998"/>
    <n v="-27421.130853798008"/>
    <n v="-5484.2261707596008"/>
    <n v="-23.812907981708801"/>
    <n v="-0.12624319470920495"/>
    <s v="Confiabilidade em Crescimento"/>
  </r>
  <r>
    <n v="588"/>
    <x v="587"/>
    <s v="ROB069-ROBÔ"/>
    <n v="20002693"/>
    <s v="BR01-CIL-UCI-USINA2-CEN082"/>
    <n v="4531"/>
    <s v="-"/>
    <n v="2016"/>
    <n v="125609.15"/>
    <n v="15701.143750000003"/>
    <n v="15096.51"/>
    <n v="0.63"/>
    <n v="5983"/>
    <n v="43246"/>
    <n v="6"/>
    <n v="0.8571428571428571"/>
    <n v="1.7142857142857142"/>
    <n v="2.5714285714285712"/>
    <n v="3.4285714285714284"/>
    <n v="4.2857142857142856"/>
    <n v="5.1428571428571423"/>
    <n v="5.9999999999999991"/>
    <n v="248.04"/>
    <n v="253.06"/>
    <n v="0.1"/>
    <n v="0.37669999999999998"/>
    <n v="0.8"/>
    <n v="-125609.15"/>
    <n v="-3574.2582857142866"/>
    <n v="-3931.6841142857152"/>
    <n v="-4324.8525257142874"/>
    <n v="-4757.337778285716"/>
    <n v="-5233.0715561142879"/>
    <n v="-5756.3787117257179"/>
    <n v="-6332.0165828982899"/>
    <n v="-172926.116805"/>
    <n v="-714.85165714285711"/>
    <n v="-786.33682285714281"/>
    <n v="-864.97050514285729"/>
    <n v="-951.46755565714295"/>
    <n v="-1046.6143112228574"/>
    <n v="-1151.2757423451433"/>
    <n v="-1266.4033165796577"/>
    <n v="-170431.036555"/>
    <n v="-33909.599554738306"/>
    <n v="-6781.9199109476576"/>
    <n v="-23.071368701601337"/>
    <n v="-0.12231195339272916"/>
    <s v="Confiabilidade em Crescimento"/>
  </r>
  <r>
    <n v="589"/>
    <x v="588"/>
    <s v="ROB070-ROBÔ"/>
    <n v="20002866"/>
    <s v="BR01-CIL-UCI-BRUNI2-MACC01"/>
    <n v="4566"/>
    <n v="48342"/>
    <n v="2016"/>
    <n v="160645.82"/>
    <n v="83115"/>
    <n v="43460.94"/>
    <n v="0.84"/>
    <n v="3867"/>
    <n v="43819"/>
    <n v="111"/>
    <n v="9"/>
    <n v="18"/>
    <n v="27"/>
    <n v="36"/>
    <n v="45"/>
    <n v="54"/>
    <n v="63"/>
    <n v="239"/>
    <n v="251.71"/>
    <n v="0.1"/>
    <n v="0.37669999999999998"/>
    <n v="0.8"/>
    <n v="-160645.82"/>
    <n v="-5688.6720000000014"/>
    <n v="-6257.5392000000011"/>
    <n v="-6883.293120000003"/>
    <n v="-7571.6224320000028"/>
    <n v="-8328.7846752000041"/>
    <n v="-9161.6631427200045"/>
    <n v="-10077.829456992007"/>
    <n v="-221161.10039400001"/>
    <n v="-1137.7344000000001"/>
    <n v="-1251.50784"/>
    <n v="-1376.6586240000004"/>
    <n v="-1514.3244864000003"/>
    <n v="-1665.7569350400004"/>
    <n v="-1832.3326285440005"/>
    <n v="-2015.5658913984009"/>
    <n v="-275315.58839399996"/>
    <n v="-53969.404026912031"/>
    <n v="-10793.880805382401"/>
    <n v="-37.300082453210052"/>
    <n v="-0.12258630370545384"/>
    <s v="Confiabilidade em Crescimento"/>
  </r>
  <r>
    <n v="590"/>
    <x v="589"/>
    <s v="ROB071-ROBÔ"/>
    <n v="20002882"/>
    <s v="BR01-MOT-PLA-INJEC1-INJ039"/>
    <n v="3115"/>
    <n v="45990"/>
    <n v="2015"/>
    <n v="155964.57"/>
    <n v="16395"/>
    <n v="17869.139999999996"/>
    <n v="1.86"/>
    <n v="5972"/>
    <n v="19783"/>
    <n v="35"/>
    <n v="4.375"/>
    <n v="8.75"/>
    <n v="13.125"/>
    <n v="17.5"/>
    <n v="21.875"/>
    <n v="26.25"/>
    <n v="30.625"/>
    <n v="501.83"/>
    <n v="717.77"/>
    <n v="0.1"/>
    <n v="0.4834"/>
    <n v="0.8"/>
    <n v="-155964.57"/>
    <n v="-11889.620875000001"/>
    <n v="-13078.582962500002"/>
    <n v="-14386.441258750005"/>
    <n v="-15825.085384625005"/>
    <n v="-17407.593923087505"/>
    <n v="-19148.35331539626"/>
    <n v="-21063.188646935887"/>
    <n v="-231357.84313800003"/>
    <n v="-2377.9241749999997"/>
    <n v="-2615.7165924999999"/>
    <n v="-2877.2882517500002"/>
    <n v="-3165.0170769250003"/>
    <n v="-3481.5187846175004"/>
    <n v="-3829.670663079251"/>
    <n v="-4212.6377293871765"/>
    <n v="-187223.864138"/>
    <n v="-112798.86636629466"/>
    <n v="-22559.773273258928"/>
    <n v="-22.501964292137753"/>
    <n v="-9.0824242447155312E-2"/>
    <s v="Fase de Degradação"/>
  </r>
  <r>
    <n v="591"/>
    <x v="590"/>
    <s v="ROB072-ROBO"/>
    <n v="20003043"/>
    <s v="BR01-MOT-VIR-USIDUR-RET038"/>
    <n v="3319"/>
    <n v="49131"/>
    <n v="2018"/>
    <n v="181644.72"/>
    <n v="84871"/>
    <n v="41767.429999999957"/>
    <n v="0.97"/>
    <n v="4805.9459999999999"/>
    <n v="34400"/>
    <n v="102"/>
    <n v="14"/>
    <n v="28"/>
    <n v="42"/>
    <n v="56"/>
    <n v="70"/>
    <n v="84"/>
    <n v="98"/>
    <n v="351.04"/>
    <n v="443.46"/>
    <n v="0.1"/>
    <n v="0.2843"/>
    <n v="0.8"/>
    <n v="-181644.72"/>
    <n v="-11259.688"/>
    <n v="-12385.656800000002"/>
    <n v="-13624.222480000004"/>
    <n v="-14986.644728000005"/>
    <n v="-16485.309200800006"/>
    <n v="-18133.84012088001"/>
    <n v="-19947.224132968011"/>
    <n v="-233286.31389600001"/>
    <n v="-2251.9375999999997"/>
    <n v="-2477.1313599999999"/>
    <n v="-2724.8444960000002"/>
    <n v="-2997.3289456000002"/>
    <n v="-3297.0618401600004"/>
    <n v="-3626.7680241760013"/>
    <n v="-3989.4448265936012"/>
    <n v="-260835.26589600003"/>
    <n v="-106822.58546264803"/>
    <n v="-21364.517092529604"/>
    <n v="-33.242749360840222"/>
    <n v="-0.10448525904925979"/>
    <s v="Confiabilidade em Crescimento"/>
  </r>
  <r>
    <n v="592"/>
    <x v="591"/>
    <s v="ROB073-ROBO"/>
    <n v="20003459"/>
    <s v="BR01-MOT-MON-LINHA1"/>
    <n v="4023"/>
    <n v="49939"/>
    <n v="2018"/>
    <n v="155530.70000000001"/>
    <n v="93578"/>
    <n v="115555.28999999998"/>
    <n v="1.21"/>
    <n v="4547"/>
    <n v="38019"/>
    <n v="224"/>
    <n v="33"/>
    <n v="66"/>
    <n v="99"/>
    <n v="132"/>
    <n v="165"/>
    <n v="198"/>
    <n v="231"/>
    <n v="397.9"/>
    <n v="2284.34"/>
    <n v="0.1"/>
    <n v="0.2843"/>
    <n v="0.8"/>
    <n v="-155530.70000000001"/>
    <n v="-44597.058000000005"/>
    <n v="-49056.763800000008"/>
    <n v="-53962.440180000012"/>
    <n v="-59358.684198000017"/>
    <n v="-65294.552617800022"/>
    <n v="-71824.007879580036"/>
    <n v="-79006.408667538053"/>
    <n v="-199748.07801000003"/>
    <n v="-8919.4115999999995"/>
    <n v="-9811.3527599999998"/>
    <n v="-10792.488036000001"/>
    <n v="-11871.7368396"/>
    <n v="-13058.910523560002"/>
    <n v="-14364.801575916004"/>
    <n v="-15801.281733507607"/>
    <n v="-66286.510010000027"/>
    <n v="-423099.91534291813"/>
    <n v="-84619.98306858362"/>
    <n v="6.4505506091906391"/>
    <n v="2.1991057368485074E-2"/>
    <s v="Fase de Degradação"/>
  </r>
  <r>
    <n v="593"/>
    <x v="592"/>
    <s v="ROB074-ROBO"/>
    <n v="10006580"/>
    <s v="BR01-CIL-FCI-INJEC2-INJ061"/>
    <n v="4511"/>
    <n v="51068"/>
    <n v="2019"/>
    <n v="278189.14"/>
    <n v="169712"/>
    <n v="93025.319999999934"/>
    <n v="1.42"/>
    <s v=""/>
    <n v="36616"/>
    <n v="75"/>
    <n v="14"/>
    <n v="28"/>
    <n v="42"/>
    <n v="56"/>
    <n v="70"/>
    <n v="84"/>
    <n v="98"/>
    <n v="439.4"/>
    <n v="1202.93"/>
    <n v="0.1"/>
    <n v="0.24679999999999999"/>
    <n v="0.8"/>
    <n v="-278189.14"/>
    <n v="-22645.436000000002"/>
    <n v="-24909.979600000002"/>
    <n v="-27400.977560000007"/>
    <n v="-30141.075316000006"/>
    <n v="-33155.182847600008"/>
    <n v="-36470.701132360016"/>
    <n v="-40117.771245596021"/>
    <n v="-346846.219752"/>
    <n v="-4529.087199999999"/>
    <n v="-4981.9959199999994"/>
    <n v="-5480.1955120000002"/>
    <n v="-6028.2150632000003"/>
    <n v="-6631.0365695199998"/>
    <n v="-7294.1402264720018"/>
    <n v="-8023.5542491192027"/>
    <n v="-401272.36375200003"/>
    <n v="-214841.12370155609"/>
    <n v="-42968.224740311205"/>
    <n v="-49.24076011296502"/>
    <n v="-9.5324705386753014E-2"/>
    <s v="Fase de Degradação"/>
  </r>
  <r>
    <n v="594"/>
    <x v="593"/>
    <s v="ROB075-ROBO"/>
    <n v="10006585"/>
    <s v="BR01-CIL-FCI-INJEC2-INJ068"/>
    <n v="4511"/>
    <s v="Não encontrado"/>
    <n v="2019"/>
    <n v="189778.64"/>
    <n v="144310"/>
    <n v="34724.720000000016"/>
    <n v="1.42"/>
    <s v=""/>
    <n v="36616"/>
    <n v="75"/>
    <n v="13"/>
    <n v="26"/>
    <n v="39"/>
    <n v="52"/>
    <n v="65"/>
    <n v="78"/>
    <n v="91"/>
    <n v="608.65"/>
    <n v="1010.02"/>
    <n v="0.1"/>
    <n v="0.24679999999999999"/>
    <n v="0.8"/>
    <n v="-189778.64"/>
    <n v="-22035.958999999999"/>
    <n v="-24239.554900000003"/>
    <n v="-26663.510390000007"/>
    <n v="-29329.861429000008"/>
    <n v="-32262.847571900009"/>
    <n v="-35489.132329090011"/>
    <n v="-39038.045561999024"/>
    <n v="-236616.008352"/>
    <n v="-4407.1917999999987"/>
    <n v="-4847.9109799999997"/>
    <n v="-5332.7020780000003"/>
    <n v="-5865.9722858000005"/>
    <n v="-6452.5695143800003"/>
    <n v="-7097.8264658180005"/>
    <n v="-7807.6091123998031"/>
    <n v="-268742.94435200002"/>
    <n v="-209058.91118198907"/>
    <n v="-41811.782236397805"/>
    <n v="-30.52555420091554"/>
    <n v="-8.0135127378091697E-2"/>
    <s v="Fase de Degradação"/>
  </r>
  <r>
    <n v="595"/>
    <x v="594"/>
    <s v="ROB076-ROBO"/>
    <n v="10006586"/>
    <s v="BR01-CIL-FCI-INJEC2-INJ068"/>
    <n v="4511"/>
    <s v="Não encontrado"/>
    <n v="2019"/>
    <n v="189778.64"/>
    <n v="144310"/>
    <n v="39024.079999999973"/>
    <n v="1.1000000000000001"/>
    <s v=""/>
    <n v="28518"/>
    <n v="27"/>
    <n v="5"/>
    <n v="10"/>
    <n v="15"/>
    <n v="20"/>
    <n v="25"/>
    <n v="30"/>
    <n v="35"/>
    <n v="467.63"/>
    <n v="789"/>
    <n v="0.1"/>
    <n v="0.24679999999999999"/>
    <n v="0.8"/>
    <n v="-189778.64"/>
    <n v="-12986.765000000001"/>
    <n v="-14285.441500000003"/>
    <n v="-15713.985650000004"/>
    <n v="-17285.384215000005"/>
    <n v="-19013.922636500007"/>
    <n v="-20915.31490015001"/>
    <n v="-23006.846390165014"/>
    <n v="-236616.008352"/>
    <n v="-2597.3529999999996"/>
    <n v="-2857.0882999999999"/>
    <n v="-3142.7971299999999"/>
    <n v="-3457.0768430000003"/>
    <n v="-3802.7845273000007"/>
    <n v="-4183.0629800300012"/>
    <n v="-4601.369278033002"/>
    <n v="-314811.56835200003"/>
    <n v="-123207.66029181505"/>
    <n v="-24641.532058363002"/>
    <n v="-40.337125731221136"/>
    <n v="-0.10589228576366214"/>
    <s v="Fase de Vida Útil"/>
  </r>
  <r>
    <n v="596"/>
    <x v="595"/>
    <s v="ROB077-ROBO"/>
    <n v="10006587"/>
    <s v="BR01-CIL-FCI-INJEC2-INJ068"/>
    <n v="4511"/>
    <s v="Não encontrado"/>
    <n v="2019"/>
    <n v="189778.64"/>
    <n v="144310"/>
    <n v="17548.760000000002"/>
    <n v="0.75"/>
    <s v=""/>
    <n v="17336"/>
    <n v="8"/>
    <n v="2"/>
    <n v="4"/>
    <n v="6"/>
    <n v="8"/>
    <n v="10"/>
    <n v="12"/>
    <n v="14"/>
    <n v="235.47"/>
    <n v="376.65500000000014"/>
    <n v="0.1"/>
    <n v="0.24679999999999999"/>
    <n v="0.8"/>
    <n v="-189778.64"/>
    <n v="-5489.8800000000019"/>
    <n v="-6038.8680000000022"/>
    <n v="-6642.7548000000033"/>
    <n v="-7307.0302800000036"/>
    <n v="-8037.7333080000044"/>
    <n v="-8841.5066388000068"/>
    <n v="-9725.6573026800088"/>
    <n v="-236616.008352"/>
    <n v="-1097.9760000000001"/>
    <n v="-1207.7736000000002"/>
    <n v="-1328.5509600000005"/>
    <n v="-1461.4060560000005"/>
    <n v="-1607.5466616000006"/>
    <n v="-1768.301327760001"/>
    <n v="-1945.1314605360014"/>
    <n v="-352977.52835199999"/>
    <n v="-52083.430329480027"/>
    <n v="-10416.686065896005"/>
    <n v="-48.465609155487996"/>
    <n v="-0.12723103199270835"/>
    <s v="Confiabilidade em Crescimento"/>
  </r>
  <r>
    <n v="597"/>
    <x v="596"/>
    <s v="ROB078-ROBÔ"/>
    <n v="20003557"/>
    <s v="BR01-CIL-UCI-USINA2-CEN043"/>
    <n v="4531"/>
    <s v="-"/>
    <n v="2018"/>
    <n v="125609.15"/>
    <n v="47103.431249999994"/>
    <n v="16250.59"/>
    <n v="0.63"/>
    <n v="4591"/>
    <n v="5299"/>
    <n v="3"/>
    <n v="0.6"/>
    <n v="1.2"/>
    <n v="1.7999999999999998"/>
    <n v="2.4"/>
    <n v="3"/>
    <n v="3.6"/>
    <n v="4.2"/>
    <n v="236.98"/>
    <n v="2831.11"/>
    <n v="0.1"/>
    <n v="0.2843"/>
    <n v="0.8"/>
    <n v="-125609.15"/>
    <n v="-37527.058800000006"/>
    <n v="-41279.764680000008"/>
    <n v="-45407.741148000016"/>
    <n v="-49948.515262800014"/>
    <n v="-54943.366789080021"/>
    <n v="-60437.703467988031"/>
    <n v="-66481.473814786848"/>
    <n v="-161319.83134499998"/>
    <n v="-7505.41176"/>
    <n v="-8255.9529359999997"/>
    <n v="-9081.5482296000009"/>
    <n v="-9989.7030525600003"/>
    <n v="-10988.673357816002"/>
    <n v="-12087.540693597604"/>
    <n v="-13296.294762957366"/>
    <n v="-17376.417794999928"/>
    <n v="-356025.62396265496"/>
    <n v="-71205.124792530973"/>
    <n v="10.913890939303428"/>
    <n v="5.2364073009023369E-2"/>
    <s v="Confiabilidade em Crescimento"/>
  </r>
  <r>
    <n v="598"/>
    <x v="597"/>
    <s v="ROB079-ROBÔ"/>
    <n v="20003558"/>
    <s v="BR01-CIL-UCI-USINA2-CEN044"/>
    <n v="4531"/>
    <s v="-"/>
    <n v="2018"/>
    <n v="125609.15"/>
    <n v="47103.431249999994"/>
    <n v="50759"/>
    <n v="0.89"/>
    <n v="5592"/>
    <n v="5110"/>
    <n v="2"/>
    <n v="0.4"/>
    <n v="0.8"/>
    <n v="1.2000000000000002"/>
    <n v="1.6"/>
    <n v="2"/>
    <n v="2.4"/>
    <n v="2.8"/>
    <n v="268.42500000000001"/>
    <n v="5800.94"/>
    <n v="0.1"/>
    <n v="0.2843"/>
    <n v="0.8"/>
    <n v="-125609.15"/>
    <n v="-76690.514999999999"/>
    <n v="-84359.566500000001"/>
    <n v="-92795.523150000023"/>
    <n v="-102075.07546500002"/>
    <n v="-112282.58301150003"/>
    <n v="-123510.84131265005"/>
    <n v="-135861.92544391507"/>
    <n v="-161319.83134499998"/>
    <n v="-15338.102999999997"/>
    <n v="-16871.913299999997"/>
    <n v="-18559.104630000002"/>
    <n v="-20415.015092999998"/>
    <n v="-22456.516602300002"/>
    <n v="-24702.168262530005"/>
    <n v="-27172.385088783009"/>
    <n v="182001.17740499997"/>
    <n v="-727576.02988306514"/>
    <n v="-145515.20597661301"/>
    <n v="53.376794473064592"/>
    <n v="0.25609806606273272"/>
    <s v="Confiabilidade em Crescimento"/>
  </r>
  <r>
    <n v="599"/>
    <x v="598"/>
    <s v="ROB080-ROBÔ"/>
    <n v="20003559"/>
    <s v="BR01-CIL-UCI-USINA2-CEN085"/>
    <n v="4531"/>
    <s v="-"/>
    <n v="2018"/>
    <n v="125609.15"/>
    <n v="47103.431249999994"/>
    <n v="19945.87"/>
    <n v="0.88"/>
    <n v="5224"/>
    <n v="4342"/>
    <n v="2"/>
    <n v="0.4"/>
    <n v="0.8"/>
    <n v="1.2000000000000002"/>
    <n v="1.6"/>
    <n v="2"/>
    <n v="2.4"/>
    <n v="2.8"/>
    <n v="981.74"/>
    <n v="311.57"/>
    <n v="0.1"/>
    <n v="0.2843"/>
    <n v="0.8"/>
    <n v="-125609.15"/>
    <n v="-4544.6896000000006"/>
    <n v="-4999.1585600000008"/>
    <n v="-5499.0744160000022"/>
    <n v="-6048.9818576000016"/>
    <n v="-6653.8800433600027"/>
    <n v="-7319.2680476960031"/>
    <n v="-8051.1948524656054"/>
    <n v="-161319.83134499998"/>
    <n v="-908.93791999999996"/>
    <n v="-999.83171199999992"/>
    <n v="-1099.8148832000002"/>
    <n v="-1209.7963715200001"/>
    <n v="-1330.7760086720002"/>
    <n v="-1463.8536095392003"/>
    <n v="-1610.2389704931206"/>
    <n v="-185286.66099499995"/>
    <n v="-43116.247377121617"/>
    <n v="-8623.2494754243216"/>
    <n v="-24.847180670471811"/>
    <n v="-0.1192150068140613"/>
    <s v="Confiabilidade em Crescimento"/>
  </r>
  <r>
    <n v="600"/>
    <x v="599"/>
    <s v="ROB081-ROBÔ"/>
    <n v="20003560"/>
    <s v="BR01-CIL-UCI-USINA2-CEN086"/>
    <n v="4531"/>
    <s v="-"/>
    <n v="2018"/>
    <n v="125609.15"/>
    <n v="62804.574999999997"/>
    <n v="131.63999999999999"/>
    <n v="0.89"/>
    <n v="4703"/>
    <n v="4917"/>
    <n v="3"/>
    <n v="0.6"/>
    <n v="1.2"/>
    <n v="1.7999999999999998"/>
    <n v="2.4"/>
    <n v="3"/>
    <n v="3.6"/>
    <n v="4.2"/>
    <n v="415.48"/>
    <n v="658.63"/>
    <n v="0.1"/>
    <n v="0.2843"/>
    <n v="0.8"/>
    <n v="-125609.15"/>
    <n v="-8968.1328000000012"/>
    <n v="-9864.9460800000015"/>
    <n v="-10851.440688000002"/>
    <n v="-11936.584756800003"/>
    <n v="-13130.243232480005"/>
    <n v="-14443.267555728007"/>
    <n v="-15887.594311300809"/>
    <n v="-161319.83134499998"/>
    <n v="-1793.6265599999999"/>
    <n v="-1972.9892159999999"/>
    <n v="-2170.2881376"/>
    <n v="-2387.3169513600001"/>
    <n v="-2626.0486464960004"/>
    <n v="-2888.653511145601"/>
    <n v="-3177.5188622601609"/>
    <n v="-178468.45754499995"/>
    <n v="-85082.209424308821"/>
    <n v="-17016.441884861764"/>
    <n v="-22.294091257936131"/>
    <n v="-9.9471947841406935E-2"/>
    <s v="Confiabilidade em Crescimento"/>
  </r>
  <r>
    <n v="601"/>
    <x v="600"/>
    <s v="ROB082-ROBÔ"/>
    <n v="20003561"/>
    <s v="BR01-CIL-UCI-USINA2-CEN089"/>
    <n v="4531"/>
    <s v="-"/>
    <n v="2018"/>
    <n v="125609.15"/>
    <n v="62804.574999999997"/>
    <n v="5904.61"/>
    <n v="0.91"/>
    <n v="4935"/>
    <n v="4917"/>
    <n v="4"/>
    <n v="0.8"/>
    <n v="1.6"/>
    <n v="2.4000000000000004"/>
    <n v="3.2"/>
    <n v="4"/>
    <n v="4.8"/>
    <n v="5.6"/>
    <n v="374.9"/>
    <n v="2198.15"/>
    <n v="0.1"/>
    <n v="0.2843"/>
    <n v="0.8"/>
    <n v="-125609.15"/>
    <n v="-29345.492000000002"/>
    <n v="-32280.041200000007"/>
    <n v="-35508.045320000012"/>
    <n v="-39058.849852000014"/>
    <n v="-42964.73483720002"/>
    <n v="-47261.208320920021"/>
    <n v="-51987.329153012033"/>
    <n v="-161319.83134499998"/>
    <n v="-5869.0983999999989"/>
    <n v="-6456.0082400000001"/>
    <n v="-7101.6090640000011"/>
    <n v="-7811.7699704000006"/>
    <n v="-8592.9469674400025"/>
    <n v="-9452.2416641840027"/>
    <n v="-10397.465830602405"/>
    <n v="-74729.174344999949"/>
    <n v="-278405.70068313211"/>
    <n v="-55681.140136626411"/>
    <n v="-0.1999779712134675"/>
    <n v="-8.9226325001676382E-4"/>
    <s v="Confiabilidade em Crescimento"/>
  </r>
  <r>
    <n v="602"/>
    <x v="601"/>
    <s v="ROB083-ROBÔ"/>
    <n v="20003562"/>
    <s v="BR01-CIL-UCI-USINA2-CEN090"/>
    <n v="4531"/>
    <s v="-"/>
    <n v="2018"/>
    <n v="125609.15"/>
    <n v="62804.574999999997"/>
    <n v="65.599999999999994"/>
    <n v="0.9"/>
    <n v="5281"/>
    <n v="4917"/>
    <n v="2"/>
    <n v="0.4"/>
    <n v="0.8"/>
    <n v="1.2000000000000002"/>
    <n v="1.6"/>
    <n v="2"/>
    <n v="2.4"/>
    <n v="2.8"/>
    <n v="395.19"/>
    <n v="1460.52"/>
    <n v="0.1"/>
    <n v="0.2843"/>
    <n v="0.8"/>
    <n v="-125609.15"/>
    <n v="-19452.747599999999"/>
    <n v="-21398.022360000003"/>
    <n v="-23537.824596000006"/>
    <n v="-25891.607055600005"/>
    <n v="-28480.767761160008"/>
    <n v="-31328.844537276014"/>
    <n v="-34461.72899100362"/>
    <n v="-161319.83134499998"/>
    <n v="-3890.5495199999991"/>
    <n v="-4279.604472"/>
    <n v="-4707.5649192000001"/>
    <n v="-5178.3214111199995"/>
    <n v="-5696.153552232"/>
    <n v="-6265.7689074552018"/>
    <n v="-6892.3457982007221"/>
    <n v="-125092.23674499997"/>
    <n v="-184551.54290103965"/>
    <n v="-36910.308580207922"/>
    <n v="-10.926167432024037"/>
    <n v="-4.8750457882775738E-2"/>
    <s v="Confiabilidade em Crescimento"/>
  </r>
  <r>
    <n v="603"/>
    <x v="602"/>
    <s v="ROB084-ROBÔ"/>
    <n v="20003728"/>
    <s v="BR01-MOT-PLA-INJEC1-INJ042"/>
    <n v="3112"/>
    <n v="48112"/>
    <n v="2017"/>
    <n v="99908.38"/>
    <n v="36224"/>
    <n v="13472.420000000002"/>
    <n v="0.91"/>
    <n v="4634"/>
    <n v="14605"/>
    <n v="30"/>
    <n v="5"/>
    <n v="10"/>
    <n v="15"/>
    <n v="20"/>
    <n v="25"/>
    <n v="30"/>
    <n v="35"/>
    <n v="424.36"/>
    <n v="632.96"/>
    <n v="0.1"/>
    <n v="0.31379999999999997"/>
    <n v="0.8"/>
    <n v="-99908.38"/>
    <n v="-10689.052"/>
    <n v="-11757.957200000001"/>
    <n v="-12933.752920000004"/>
    <n v="-14227.128212000003"/>
    <n v="-15649.841033200006"/>
    <n v="-17214.825136520009"/>
    <n v="-18936.30765017201"/>
    <n v="-131259.629644"/>
    <n v="-2137.8103999999994"/>
    <n v="-2351.5914399999997"/>
    <n v="-2586.7505840000003"/>
    <n v="-2845.4256424"/>
    <n v="-3129.9682066400005"/>
    <n v="-3442.9650273040011"/>
    <n v="-3787.2615300344009"/>
    <n v="-113066.63764400002"/>
    <n v="-101408.86415189203"/>
    <n v="-20281.772830378402"/>
    <n v="-12.336648331783767"/>
    <n v="-7.3658830764572705E-2"/>
    <s v="Confiabilidade em Crescimento"/>
  </r>
  <r>
    <n v="604"/>
    <x v="603"/>
    <s v="ROB085-ROBÔ"/>
    <n v="10006631"/>
    <s v="BR01-CIL-UCI-BRUNI2-MACC02"/>
    <n v="4566"/>
    <n v="55768"/>
    <n v="2016"/>
    <n v="184199.76"/>
    <n v="163894"/>
    <n v="35560.589999999997"/>
    <n v="1.0900000000000001"/>
    <n v="4099"/>
    <n v="27428"/>
    <n v="77"/>
    <n v="11"/>
    <n v="22"/>
    <n v="33"/>
    <n v="44"/>
    <n v="55"/>
    <n v="66"/>
    <n v="77"/>
    <n v="394.78"/>
    <n v="408.93"/>
    <n v="0.1"/>
    <n v="0.37669999999999998"/>
    <n v="0.8"/>
    <n v="-184199.76"/>
    <n v="-10174.714"/>
    <n v="-11192.185400000002"/>
    <n v="-12311.403940000004"/>
    <n v="-13542.544334000004"/>
    <n v="-14896.798767400005"/>
    <n v="-16386.478644140007"/>
    <n v="-18025.126508554011"/>
    <n v="-253587.80959200001"/>
    <n v="-2034.9427999999996"/>
    <n v="-2238.4370800000002"/>
    <n v="-2462.280788"/>
    <n v="-2708.5088668000003"/>
    <n v="-2979.3597534800006"/>
    <n v="-3277.2957288280004"/>
    <n v="-3605.0253017108012"/>
    <n v="-365683.26559199998"/>
    <n v="-96529.251594094036"/>
    <n v="-19305.850318818801"/>
    <n v="-48.608344045246398"/>
    <n v="-0.11643224430005886"/>
    <s v="Fase de Vida Útil"/>
  </r>
  <r>
    <n v="605"/>
    <x v="604"/>
    <s v="ROB086-ROBÔ"/>
    <n v="20004006"/>
    <s v="BR01-CIL-UCI-BRUNI2-BRUC24"/>
    <n v="4529"/>
    <n v="47872"/>
    <n v="2018"/>
    <n v="101752.5"/>
    <n v="45267"/>
    <n v="0"/>
    <m/>
    <m/>
    <m/>
    <m/>
    <s v=""/>
    <e v="#VALUE!"/>
    <e v="#VALUE!"/>
    <e v="#VALUE!"/>
    <e v="#VALUE!"/>
    <e v="#VALUE!"/>
    <e v="#VALUE!"/>
    <m/>
    <m/>
    <n v="0.1"/>
    <n v="0.2843"/>
    <n v="0.8"/>
    <n v="-101752.5"/>
    <e v="#VALUE!"/>
    <e v="#VALUE!"/>
    <e v="#VALUE!"/>
    <e v="#VALUE!"/>
    <e v="#VALUE!"/>
    <e v="#VALUE!"/>
    <e v="#VALUE!"/>
    <n v="-130680.73574999999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606"/>
    <x v="605"/>
    <s v="ROB087-ROBÔ"/>
    <n v="20004094"/>
    <s v="BR01-CIL-UCI-USINA2-MOD017"/>
    <n v="4531"/>
    <n v="52417"/>
    <n v="2018"/>
    <n v="125609.15"/>
    <n v="93570"/>
    <n v="3696.380000000001"/>
    <n v="3.03"/>
    <n v="4638"/>
    <n v="12038"/>
    <n v="3"/>
    <n v="0.6"/>
    <n v="1.2"/>
    <n v="1.7999999999999998"/>
    <n v="2.4"/>
    <n v="3"/>
    <n v="3.6"/>
    <n v="4.2"/>
    <n v="582.91999999999996"/>
    <n v="310"/>
    <n v="0.1"/>
    <n v="0.2843"/>
    <n v="0.8"/>
    <n v="-125609.15"/>
    <n v="-4476.7272000000003"/>
    <n v="-4924.3999200000007"/>
    <n v="-5416.8399120000013"/>
    <n v="-5958.5239032000018"/>
    <n v="-6554.376293520002"/>
    <n v="-7209.8139228720029"/>
    <n v="-7930.7953151592046"/>
    <n v="-161319.83134499998"/>
    <n v="-895.34543999999983"/>
    <n v="-984.87998399999992"/>
    <n v="-1083.3679824000001"/>
    <n v="-1191.7047806400001"/>
    <n v="-1310.8752587040001"/>
    <n v="-1441.9627845744003"/>
    <n v="-1586.1590630318406"/>
    <n v="-232099.220145"/>
    <n v="-42471.476466751221"/>
    <n v="-8494.2952933502402"/>
    <n v="-31.558950024514139"/>
    <n v="-0.12381408021647708"/>
    <s v="Fase de Degradação"/>
  </r>
  <r>
    <n v="607"/>
    <x v="606"/>
    <s v="ROB088-ROBÔ"/>
    <n v="20004095"/>
    <s v="BR01-CIL-UCI-USINA2-MOD021"/>
    <n v="4531"/>
    <n v="52418"/>
    <n v="2019"/>
    <n v="125609.14"/>
    <n v="93570"/>
    <n v="3961.76"/>
    <n v="5"/>
    <n v="5230"/>
    <n v="17439"/>
    <n v="12"/>
    <n v="3"/>
    <n v="6"/>
    <n v="9"/>
    <n v="12"/>
    <n v="15"/>
    <n v="18"/>
    <n v="21"/>
    <n v="303.95999999999998"/>
    <n v="593.5"/>
    <n v="0.1"/>
    <n v="0.24679999999999999"/>
    <n v="0.8"/>
    <n v="-125609.14"/>
    <n v="-8837.268"/>
    <n v="-9720.9948000000022"/>
    <n v="-10693.094280000003"/>
    <n v="-11762.403708000003"/>
    <n v="-12938.644078800005"/>
    <n v="-14232.508486680006"/>
    <n v="-15655.75933534801"/>
    <n v="-156609.475752"/>
    <n v="-1767.4535999999996"/>
    <n v="-1944.1989599999999"/>
    <n v="-2138.6188560000001"/>
    <n v="-2352.4807416000003"/>
    <n v="-2587.7288157600005"/>
    <n v="-2846.5016973360007"/>
    <n v="-3131.1518670696014"/>
    <n v="-205189.747752"/>
    <n v="-83840.672688828025"/>
    <n v="-16768.134537765603"/>
    <n v="-26.158133942991086"/>
    <n v="-0.10455747364712419"/>
    <s v="Fase de Degradação"/>
  </r>
  <r>
    <n v="608"/>
    <x v="607"/>
    <s v="ROB090-ROBO SACA PEÇA"/>
    <n v="10006724"/>
    <s v="BR01-CIL-FCI-INJEC2-INJ072"/>
    <n v="4511"/>
    <n v="56048"/>
    <n v="2021"/>
    <n v="397266.69"/>
    <n v="354314"/>
    <n v="11131.319999999998"/>
    <n v="0.9"/>
    <s v=""/>
    <n v="9909"/>
    <n v="10"/>
    <n v="4"/>
    <n v="8"/>
    <n v="12"/>
    <n v="16"/>
    <n v="20"/>
    <n v="24"/>
    <n v="28"/>
    <n v="347.23"/>
    <n v="832.78"/>
    <n v="0.1"/>
    <n v="0.1585"/>
    <n v="0.8"/>
    <n v="-397266.69"/>
    <n v="-12520.508000000002"/>
    <n v="-13772.558800000003"/>
    <n v="-15149.814680000005"/>
    <n v="-16664.796148000005"/>
    <n v="-18331.275762800007"/>
    <n v="-20164.40333908001"/>
    <n v="-22180.843672988016"/>
    <n v="-460233.46036500006"/>
    <n v="-2504.1016"/>
    <n v="-2754.5117599999999"/>
    <n v="-3029.9629360000004"/>
    <n v="-3332.9592296000001"/>
    <n v="-3666.2551525600006"/>
    <n v="-4032.8806678160013"/>
    <n v="-4436.1687345976025"/>
    <n v="-750806.69236500014"/>
    <n v="-118784.20040286805"/>
    <n v="-23756.840080573606"/>
    <n v="-102.78858572038652"/>
    <n v="-0.12619103333073656"/>
    <s v="Confiabilidade em Crescimento"/>
  </r>
  <r>
    <n v="609"/>
    <x v="608"/>
    <s v="ROB091-ROBO PULVERIZADOR"/>
    <n v="10006725"/>
    <s v="BR01-CIL-FCI-INJEC2-INJ072"/>
    <n v="4511"/>
    <n v="56051"/>
    <n v="2021"/>
    <n v="448649.64"/>
    <n v="400141"/>
    <n v="9850.6400000000031"/>
    <n v="0.67"/>
    <s v=""/>
    <n v="6726"/>
    <n v="6"/>
    <n v="3"/>
    <n v="6"/>
    <n v="9"/>
    <n v="12"/>
    <n v="15"/>
    <n v="18"/>
    <n v="21"/>
    <n v="234.99"/>
    <n v="675.27"/>
    <n v="0.1"/>
    <n v="0.1585"/>
    <n v="0.8"/>
    <n v="-448649.64"/>
    <n v="-9689.030999999999"/>
    <n v="-10657.9341"/>
    <n v="-11723.727510000002"/>
    <n v="-12896.100261000001"/>
    <n v="-14185.710287100004"/>
    <n v="-15604.281315810005"/>
    <n v="-17164.709447391007"/>
    <n v="-519760.60794000007"/>
    <n v="-1937.8061999999993"/>
    <n v="-2131.5868199999995"/>
    <n v="-2344.7455019999998"/>
    <n v="-2579.2200521999998"/>
    <n v="-2837.1420574200001"/>
    <n v="-3120.8562631620002"/>
    <n v="-3432.9418894782007"/>
    <n v="-870575.63193999999"/>
    <n v="-91921.493921301022"/>
    <n v="-18384.298784260198"/>
    <n v="-120.90920182899418"/>
    <n v="-0.13143710238723749"/>
    <s v="Confiabilidade em Crescimento"/>
  </r>
  <r>
    <n v="610"/>
    <x v="609"/>
    <s v="ROB092-ROBO REBARBADOR"/>
    <n v="10006726"/>
    <s v="BR01-CIL-FCI-INJEC2-INJ072"/>
    <n v="4511"/>
    <n v="56052"/>
    <n v="2021"/>
    <n v="412678.1"/>
    <n v="368059"/>
    <n v="7119.4400000000014"/>
    <n v="0.49"/>
    <s v=""/>
    <n v="11715"/>
    <n v="7"/>
    <n v="2"/>
    <n v="4"/>
    <n v="6"/>
    <n v="8"/>
    <n v="10"/>
    <n v="12"/>
    <n v="14"/>
    <n v="268.67"/>
    <n v="467.45"/>
    <n v="0.1"/>
    <n v="0.1585"/>
    <n v="0.8"/>
    <n v="-412678.1"/>
    <n v="-6761.4140000000007"/>
    <n v="-7437.5554000000011"/>
    <n v="-8181.3109400000021"/>
    <n v="-8999.4420340000015"/>
    <n v="-9899.3862374000037"/>
    <n v="-10889.324861140005"/>
    <n v="-11978.257347254006"/>
    <n v="-478087.57884999999"/>
    <n v="-1352.2827999999997"/>
    <n v="-1487.51108"/>
    <n v="-1636.2621880000002"/>
    <n v="-1799.8884068"/>
    <n v="-1979.8772474800003"/>
    <n v="-2177.8649722280006"/>
    <n v="-2395.6514694508005"/>
    <n v="-811724.83484999998"/>
    <n v="-64146.690819794021"/>
    <n v="-12829.338163958801"/>
    <n v="-113.54703231345212"/>
    <n v="-0.13419309981466118"/>
    <s v="Confiabilidade em Crescimento"/>
  </r>
  <r>
    <n v="611"/>
    <x v="610"/>
    <s v="ROB093-ROBO SACA PEÇA"/>
    <n v="10006787"/>
    <s v="BR01-CIL-FCI-INJEC2-INJ070"/>
    <n v="4511"/>
    <n v="56638"/>
    <n v="2021"/>
    <n v="479797.45"/>
    <n v="443106"/>
    <n v="6442.1200000000008"/>
    <n v="1.24"/>
    <s v=""/>
    <n v="7855"/>
    <n v="9"/>
    <n v="4.5"/>
    <n v="9"/>
    <n v="13.5"/>
    <n v="18"/>
    <n v="22.5"/>
    <n v="27"/>
    <n v="31.5"/>
    <n v="291.39"/>
    <n v="632.96"/>
    <n v="0.1"/>
    <n v="0.1585"/>
    <n v="0.8"/>
    <n v="-479797.45"/>
    <n v="-9797.4525000000012"/>
    <n v="-10777.197750000001"/>
    <n v="-11854.917525000003"/>
    <n v="-13040.409277500003"/>
    <n v="-14344.450205250005"/>
    <n v="-15778.895225775006"/>
    <n v="-17356.784748352511"/>
    <n v="-555845.34582500008"/>
    <n v="-1959.4904999999999"/>
    <n v="-2155.4395499999996"/>
    <n v="-2370.9835050000002"/>
    <n v="-2608.0818555000001"/>
    <n v="-2868.8900410500005"/>
    <n v="-3155.7790451550004"/>
    <n v="-3471.3569496705013"/>
    <n v="-949073.40582500002"/>
    <n v="-92950.107231877526"/>
    <n v="-18590.021446375504"/>
    <n v="-132.08446571992829"/>
    <n v="-0.13222312204889639"/>
    <s v="Fase de Degradação"/>
  </r>
  <r>
    <n v="612"/>
    <x v="611"/>
    <s v="ROB094-ROBO PULVERIZADOR"/>
    <n v="10006788"/>
    <s v="BR01-CIL-FCI-INJEC2-INJ070"/>
    <n v="4511"/>
    <n v="56641"/>
    <n v="2021"/>
    <n v="535371.74"/>
    <n v="494431"/>
    <n v="23565.14000000001"/>
    <n v="3.71"/>
    <s v=""/>
    <n v="7511"/>
    <n v="9"/>
    <n v="4.5"/>
    <n v="9"/>
    <n v="13.5"/>
    <n v="18"/>
    <n v="22.5"/>
    <n v="27"/>
    <n v="31.5"/>
    <n v="287.08"/>
    <n v="733.12"/>
    <n v="0.1"/>
    <n v="0.1585"/>
    <n v="0.8"/>
    <n v="-535371.74"/>
    <n v="-11098.230000000001"/>
    <n v="-12208.053000000004"/>
    <n v="-13428.858300000005"/>
    <n v="-14771.744130000006"/>
    <n v="-16248.918543000007"/>
    <n v="-17873.810397300011"/>
    <n v="-19661.191437030015"/>
    <n v="-620228.16078999999"/>
    <n v="-2219.6459999999997"/>
    <n v="-2441.6106"/>
    <n v="-2685.7716600000003"/>
    <n v="-2954.3488260000008"/>
    <n v="-3249.7837086000009"/>
    <n v="-3574.7620794600011"/>
    <n v="-3932.2382874060022"/>
    <n v="-1058159.08079"/>
    <n v="-105290.80580733006"/>
    <n v="-21058.161161466003"/>
    <n v="-147.20378802059082"/>
    <n v="-0.13206170388108782"/>
    <s v="Fase de Degradação"/>
  </r>
  <r>
    <n v="613"/>
    <x v="612"/>
    <s v="ROB095-ROBO REBARBADOR"/>
    <n v="10006789"/>
    <s v="BR01-CIL-FCI-INJEC2-INJ070"/>
    <n v="4511"/>
    <n v="56642"/>
    <n v="2021"/>
    <n v="341561.71"/>
    <n v="315442"/>
    <n v="3906.8300000000004"/>
    <n v="1"/>
    <s v=""/>
    <n v="476"/>
    <n v="5"/>
    <n v="2.5"/>
    <n v="5"/>
    <n v="7.5"/>
    <n v="10"/>
    <n v="12.5"/>
    <n v="15"/>
    <n v="17.5"/>
    <n v="235.21"/>
    <n v="353.88"/>
    <n v="0.1"/>
    <n v="0.1585"/>
    <n v="0.8"/>
    <n v="-341561.71"/>
    <n v="-5318.0434999999998"/>
    <n v="-5849.8478500000001"/>
    <n v="-6434.8326350000007"/>
    <n v="-7078.3158985000009"/>
    <n v="-7786.1474883500014"/>
    <n v="-8564.762237185003"/>
    <n v="-9421.2384609035034"/>
    <n v="-395699.24103500007"/>
    <n v="-1063.6086999999998"/>
    <n v="-1169.9695699999997"/>
    <n v="-1286.9665269999998"/>
    <n v="-1415.6631796999998"/>
    <n v="-1557.22949767"/>
    <n v="-1712.9524474370003"/>
    <n v="-1884.2476921807004"/>
    <n v="-684067.56503500009"/>
    <n v="-50453.188069938507"/>
    <n v="-10090.637613987701"/>
    <n v="-95.825527225578469"/>
    <n v="-0.13474893832076634"/>
    <s v="Fase de Vida Útil"/>
  </r>
  <r>
    <n v="614"/>
    <x v="613"/>
    <s v="ROB100-ROBO MANIPULADOR"/>
    <n v="10006758"/>
    <s v="BR01-CIL-FCI-INJEC2-INJ062"/>
    <n v="4511"/>
    <s v="Não encontrado"/>
    <n v="2021"/>
    <m/>
    <m/>
    <n v="61322"/>
    <n v="1"/>
    <s v=""/>
    <n v="998"/>
    <n v="5"/>
    <n v="2.5"/>
    <n v="5"/>
    <n v="7.5"/>
    <n v="10"/>
    <n v="12.5"/>
    <n v="15"/>
    <n v="17.5"/>
    <n v="330.43"/>
    <n v="4341.2"/>
    <n v="0.1"/>
    <n v="0.1585"/>
    <n v="0.8"/>
    <n v="0"/>
    <n v="-58212.522499999992"/>
    <n v="-64033.774749999997"/>
    <n v="-70437.152225000013"/>
    <n v="-77480.867447500015"/>
    <n v="-85228.954192250021"/>
    <n v="-93751.849611475031"/>
    <n v="-103127.03457262255"/>
    <n v="0"/>
    <n v="-11642.504499999995"/>
    <n v="-12806.754949999997"/>
    <n v="-14087.430445"/>
    <n v="-15496.173489499999"/>
    <n v="-17045.790838450001"/>
    <n v="-18750.369922295002"/>
    <n v="-20625.406914524505"/>
    <n v="296354.65999999986"/>
    <n v="-552272.15529884759"/>
    <n v="-110454.4310597695"/>
    <n v="63.116817748439729"/>
    <e v="#DIV/0!"/>
    <s v="Fase de Vida Útil"/>
  </r>
  <r>
    <n v="615"/>
    <x v="614"/>
    <s v="ROB101-ROBO MANIPULADOR"/>
    <n v="10006872"/>
    <s v="BR01-CIL-FCI-INJEC2-INJ079"/>
    <n v="4511"/>
    <n v="58897"/>
    <n v="2022"/>
    <n v="360476.25"/>
    <n v="347601"/>
    <s v=""/>
    <n v="1"/>
    <s v=""/>
    <n v="1310"/>
    <n v="2"/>
    <n v="1"/>
    <n v="2"/>
    <n v="3"/>
    <n v="4"/>
    <n v="5"/>
    <n v="6"/>
    <n v="7"/>
    <n v="480.81"/>
    <n v="630.49"/>
    <n v="0.1"/>
    <n v="5.79E-2"/>
    <n v="0.8"/>
    <n v="-360476.25"/>
    <n v="-8851.3590000000004"/>
    <n v="-9736.4949000000015"/>
    <n v="-10710.144390000003"/>
    <n v="-11781.158829000004"/>
    <n v="-12959.274711900005"/>
    <n v="-14255.202183090008"/>
    <n v="-15680.722401399011"/>
    <n v="-381347.82487500005"/>
    <n v="-1770.2717999999998"/>
    <n v="-1947.2989799999998"/>
    <n v="-2142.0288780000001"/>
    <n v="-2356.2317658000002"/>
    <n v="-2591.8549423800005"/>
    <n v="-2851.040436618001"/>
    <n v="-3136.1444802798014"/>
    <n v="-683887.36087500013"/>
    <n v="-83974.356415389033"/>
    <n v="-16794.871283077802"/>
    <n v="-94.538477106098412"/>
    <n v="-0.12969151452066588"/>
    <s v="Fase de Vida Útil"/>
  </r>
  <r>
    <n v="616"/>
    <x v="615"/>
    <s v="ROB120-ROBÔ FANUC"/>
    <n v="10006824"/>
    <s v="BR01-MOT-PLA-INJEC1-INJ043"/>
    <n v="3112"/>
    <n v="56295"/>
    <n v="2022"/>
    <n v="182439.37"/>
    <n v="165368"/>
    <n v="2565.54"/>
    <n v="0.8"/>
    <n v="3268"/>
    <n v="5747"/>
    <n v="3"/>
    <n v="2"/>
    <n v="4"/>
    <n v="6"/>
    <n v="8"/>
    <n v="10"/>
    <n v="12"/>
    <n v="14"/>
    <n v="612.97"/>
    <n v="3076.93"/>
    <n v="0.1"/>
    <n v="5.79E-2"/>
    <n v="0.8"/>
    <n v="-182439.37"/>
    <n v="-41964.01"/>
    <n v="-46160.411000000007"/>
    <n v="-50776.452100000017"/>
    <n v="-55854.097310000012"/>
    <n v="-61439.507041000019"/>
    <n v="-67583.457745100022"/>
    <n v="-74341.803519610039"/>
    <n v="-193002.60952300002"/>
    <n v="-8392.8019999999979"/>
    <n v="-9232.0821999999989"/>
    <n v="-10155.290420000001"/>
    <n v="-11170.819461999999"/>
    <n v="-12287.901408200001"/>
    <n v="-13516.691549020001"/>
    <n v="-14868.360703922004"/>
    <n v="-144735.649523"/>
    <n v="-398119.73871571012"/>
    <n v="-79623.947743142009"/>
    <n v="-5.696402650061696"/>
    <n v="-1.5895284096103045E-2"/>
    <s v="Confiabilidade em Crescimento"/>
  </r>
  <r>
    <n v="617"/>
    <x v="616"/>
    <s v="ROB121-ROBÔ FANUC"/>
    <n v="10006825"/>
    <s v="BR01-MOT-PLA-INJEC1-INJ045"/>
    <n v="3115"/>
    <n v="56293"/>
    <n v="2022"/>
    <n v="182494.11"/>
    <n v="165418"/>
    <n v="2635.83"/>
    <n v="3.05"/>
    <n v="4537"/>
    <n v="5479"/>
    <n v="6"/>
    <n v="6"/>
    <n v="12"/>
    <n v="18"/>
    <n v="24"/>
    <n v="30"/>
    <n v="36"/>
    <n v="42"/>
    <n v="612.97"/>
    <n v="3076.93"/>
    <n v="0.1"/>
    <n v="5.79E-2"/>
    <n v="0.8"/>
    <n v="-182494.11"/>
    <n v="-44661.078000000001"/>
    <n v="-49127.185799999999"/>
    <n v="-54039.904380000014"/>
    <n v="-59443.894818000008"/>
    <n v="-65388.284299800012"/>
    <n v="-71927.112729780027"/>
    <n v="-79119.824002758047"/>
    <n v="-193060.518969"/>
    <n v="-8932.2155999999977"/>
    <n v="-9825.4371599999977"/>
    <n v="-10807.980876"/>
    <n v="-11888.7789636"/>
    <n v="-13077.65685996"/>
    <n v="-14385.422545956002"/>
    <n v="-15823.964800551606"/>
    <n v="-131113.03096900001"/>
    <n v="-423707.28403033805"/>
    <n v="-84741.45680606761"/>
    <n v="-2.7875273921042236"/>
    <n v="-7.7759956164773145E-3"/>
    <s v="Fase de Degradação"/>
  </r>
  <r>
    <n v="618"/>
    <x v="617"/>
    <s v="ROB122-ROBÔ FANUC"/>
    <n v="10006826"/>
    <s v="BR01-MOT-PLA-INJEC1-INJ044"/>
    <n v="3115"/>
    <n v="56294"/>
    <n v="2022"/>
    <n v="182439.36"/>
    <n v="165368"/>
    <n v="2467.0200000000004"/>
    <n v="1.07"/>
    <n v="2379"/>
    <n v="6745"/>
    <n v="5"/>
    <n v="2"/>
    <n v="4"/>
    <n v="6"/>
    <n v="8"/>
    <n v="10"/>
    <n v="12"/>
    <n v="14"/>
    <n v="612.97"/>
    <n v="3076.93"/>
    <n v="0.1"/>
    <n v="5.79E-2"/>
    <n v="0.8"/>
    <n v="-182439.36"/>
    <n v="-41964.01"/>
    <n v="-46160.411000000007"/>
    <n v="-50776.452100000017"/>
    <n v="-55854.097310000012"/>
    <n v="-61439.507041000019"/>
    <n v="-67583.457745100022"/>
    <n v="-74341.803519610039"/>
    <n v="-193002.598944"/>
    <n v="-8392.8019999999979"/>
    <n v="-9232.0821999999989"/>
    <n v="-10155.290420000001"/>
    <n v="-11170.819461999999"/>
    <n v="-12287.901408200001"/>
    <n v="-13516.691549020001"/>
    <n v="-14868.360703922004"/>
    <n v="-144735.63894399995"/>
    <n v="-398119.73871571012"/>
    <n v="-79623.947743142009"/>
    <n v="-5.696401138775979"/>
    <n v="-1.5895280348224423E-2"/>
    <s v="Fase de Vida Útil"/>
  </r>
  <r>
    <n v="619"/>
    <x v="618"/>
    <s v="ROB123-ROBÔ FANUC"/>
    <n v="10006833"/>
    <s v="BR01-MOT-VIR-USIDUR-RET042"/>
    <n v="3319"/>
    <n v="57511"/>
    <n v="2021"/>
    <n v="200624.79"/>
    <n v="186294"/>
    <m/>
    <n v="1.1200000000000001"/>
    <n v="3938.13"/>
    <n v="28272"/>
    <n v="96"/>
    <n v="9"/>
    <n v="18"/>
    <n v="27"/>
    <n v="36"/>
    <n v="45"/>
    <n v="54"/>
    <n v="63"/>
    <n v="300.58999999999997"/>
    <n v="265.32027777777779"/>
    <n v="0.1"/>
    <n v="0.1585"/>
    <n v="0.8"/>
    <n v="-200624.79"/>
    <n v="-6478.0686666666679"/>
    <n v="-7125.8755333333347"/>
    <n v="-7838.4630866666694"/>
    <n v="-8622.3093953333355"/>
    <n v="-9484.5403348666696"/>
    <n v="-10432.994368353338"/>
    <n v="-11476.293805188674"/>
    <n v="-232423.81921500002"/>
    <n v="-1295.6137333333334"/>
    <n v="-1425.1751066666666"/>
    <n v="-1567.6926173333336"/>
    <n v="-1724.4618790666668"/>
    <n v="-1896.9080669733335"/>
    <n v="-2086.5988736706672"/>
    <n v="-2295.2587610377341"/>
    <n v="-385738.56054833333"/>
    <n v="-61458.54519040868"/>
    <n v="-12291.709038081735"/>
    <n v="-52.792997580381879"/>
    <n v="-0.12608251943840521"/>
    <s v="Fase de Degradação"/>
  </r>
  <r>
    <n v="620"/>
    <x v="619"/>
    <s v="ROB125-ROBÔ"/>
    <n v="20004341"/>
    <s v="BR01-CIL-UCI-USINA2-CEN077"/>
    <n v="4531"/>
    <m/>
    <n v="2018"/>
    <n v="125609.14"/>
    <n v="62804.570000000007"/>
    <n v="2272.17"/>
    <n v="1.03"/>
    <n v="6102"/>
    <n v="2923"/>
    <n v="4"/>
    <n v="0.8"/>
    <n v="1.6"/>
    <n v="2.4000000000000004"/>
    <n v="3.2"/>
    <n v="4"/>
    <n v="4.8"/>
    <n v="5.6"/>
    <n v="443.44"/>
    <n v="1926.91"/>
    <n v="0.1"/>
    <n v="0.2843"/>
    <n v="0.8"/>
    <n v="-125609.14"/>
    <n v="-25825.439200000004"/>
    <n v="-28407.983120000008"/>
    <n v="-31248.781432000014"/>
    <n v="-34373.659575200014"/>
    <n v="-37811.025532720014"/>
    <n v="-41592.128085992023"/>
    <n v="-45751.340894591231"/>
    <n v="-161319.81850200001"/>
    <n v="-5165.0878400000001"/>
    <n v="-5681.5966240000007"/>
    <n v="-6249.756286400001"/>
    <n v="-6874.7319150400017"/>
    <n v="-7562.205106544001"/>
    <n v="-8318.4256171984034"/>
    <n v="-9150.2681789182443"/>
    <n v="-92649.425302000018"/>
    <n v="-245010.35784050333"/>
    <n v="-49002.071568100655"/>
    <n v="-4.0165860327996139"/>
    <n v="-1.7921235879975513E-2"/>
    <s v="Fase de Vida Útil"/>
  </r>
  <r>
    <n v="621"/>
    <x v="620"/>
    <s v="ROB126-ROBÔ"/>
    <n v="20004342"/>
    <s v="BR01-CIL-UCI-USINA2-CEN078"/>
    <n v="4531"/>
    <m/>
    <n v="2017"/>
    <n v="125609.14"/>
    <n v="50243.656000000003"/>
    <n v="10724.32"/>
    <n v="1.64"/>
    <n v="5573"/>
    <n v="2610"/>
    <n v="4"/>
    <n v="0.66666666666666663"/>
    <n v="1.3333333333333333"/>
    <n v="2"/>
    <n v="2.6666666666666665"/>
    <n v="3.333333333333333"/>
    <n v="3.9999999999999996"/>
    <n v="4.6666666666666661"/>
    <n v="973.49"/>
    <n v="1765.89"/>
    <n v="0.1"/>
    <n v="0.31379999999999997"/>
    <n v="0.8"/>
    <n v="-125609.14"/>
    <n v="-24023.640666666666"/>
    <n v="-26426.004733333335"/>
    <n v="-29068.605206666674"/>
    <n v="-31975.46572733334"/>
    <n v="-35173.012300066679"/>
    <n v="-38690.313530073348"/>
    <n v="-42559.344883080688"/>
    <n v="-165025.28813200002"/>
    <n v="-4804.7281333333322"/>
    <n v="-5285.2009466666659"/>
    <n v="-5813.7210413333332"/>
    <n v="-6395.0931454666661"/>
    <n v="-7034.6024600133342"/>
    <n v="-7738.062706014668"/>
    <n v="-8511.8689766161351"/>
    <n v="-92966.773465333332"/>
    <n v="-227916.38704722075"/>
    <n v="-45583.277409444134"/>
    <n v="-4.7051192134604838"/>
    <n v="-2.1856934507819059E-2"/>
    <s v="Fase de Degradação"/>
  </r>
  <r>
    <n v="622"/>
    <x v="621"/>
    <s v="ROB127-ROBÔ"/>
    <n v="20004343"/>
    <s v="BR01-CIL-UCI-USINA2-CEN079"/>
    <n v="4531"/>
    <m/>
    <n v="2017"/>
    <n v="125609.14"/>
    <n v="50243.656000000003"/>
    <n v="25414.42"/>
    <n v="1"/>
    <n v="5517"/>
    <n v="3365"/>
    <n v="20"/>
    <n v="3.3333333333333335"/>
    <n v="6.666666666666667"/>
    <n v="10"/>
    <n v="13.333333333333334"/>
    <n v="16.666666666666668"/>
    <n v="20"/>
    <n v="23.333333333333332"/>
    <n v="461.25"/>
    <n v="1995.95"/>
    <n v="0.1"/>
    <n v="0.31379999999999997"/>
    <n v="0.8"/>
    <n v="-125609.14"/>
    <n v="-28037.790000000005"/>
    <n v="-30841.569000000007"/>
    <n v="-33925.725900000012"/>
    <n v="-37318.298490000016"/>
    <n v="-41050.128339000017"/>
    <n v="-45155.141172900025"/>
    <n v="-49670.655290190036"/>
    <n v="-165025.28813200002"/>
    <n v="-5607.558"/>
    <n v="-6168.3137999999999"/>
    <n v="-6785.1451800000013"/>
    <n v="-7463.6596980000013"/>
    <n v="-8210.0256678000023"/>
    <n v="-9031.0282345800024"/>
    <n v="-9934.131058038005"/>
    <n v="-72531.104132000008"/>
    <n v="-265999.30819209007"/>
    <n v="-53199.861638418006"/>
    <n v="-0.35278536833256791"/>
    <n v="-1.6388121833135611E-3"/>
    <s v="Fase de Vida Útil"/>
  </r>
  <r>
    <n v="623"/>
    <x v="622"/>
    <s v="ROB128-ROBÔ"/>
    <n v="20004344"/>
    <s v="BR01-CIL-UCI-USINA2-CEN080"/>
    <n v="4531"/>
    <m/>
    <n v="2017"/>
    <n v="125609.14"/>
    <n v="50243.656000000003"/>
    <n v="676.48"/>
    <n v="1.02"/>
    <n v="6283"/>
    <n v="3365"/>
    <n v="8"/>
    <n v="1.3333333333333333"/>
    <n v="2.6666666666666665"/>
    <n v="4"/>
    <n v="5.333333333333333"/>
    <n v="6.6666666666666661"/>
    <n v="7.9999999999999991"/>
    <n v="9.3333333333333321"/>
    <n v="717.37"/>
    <n v="1663.82"/>
    <n v="0.1"/>
    <n v="0.31379999999999997"/>
    <n v="0.8"/>
    <n v="-125609.14"/>
    <n v="-23014.566666666666"/>
    <n v="-25316.023333333334"/>
    <n v="-27847.625666666674"/>
    <n v="-30632.388233333339"/>
    <n v="-33695.627056666679"/>
    <n v="-37065.18976233335"/>
    <n v="-40771.708738566689"/>
    <n v="-165025.28813200002"/>
    <n v="-4602.913333333332"/>
    <n v="-5063.2046666666656"/>
    <n v="-5569.5251333333335"/>
    <n v="-6126.4776466666663"/>
    <n v="-6739.1254113333343"/>
    <n v="-7413.0379524666687"/>
    <n v="-8154.3417477133362"/>
    <n v="-98103.877465333353"/>
    <n v="-218343.12945756674"/>
    <n v="-43668.625891513337"/>
    <n v="-5.799205795135232"/>
    <n v="-2.693935169570599E-2"/>
    <s v="Fase de Vida Útil"/>
  </r>
  <r>
    <n v="624"/>
    <x v="623"/>
    <s v="ROB129-ROBÔ"/>
    <n v="20004345"/>
    <s v="BR01-CIL-UCI-USINA2-CEN073"/>
    <n v="4531"/>
    <m/>
    <n v="2018"/>
    <n v="165025.29"/>
    <n v="82512.645000000004"/>
    <n v="795.68000000000006"/>
    <n v="0.98"/>
    <n v="6104"/>
    <n v="3574"/>
    <n v="4"/>
    <n v="0.8"/>
    <n v="1.6"/>
    <n v="2.4000000000000004"/>
    <n v="3.2"/>
    <n v="4"/>
    <n v="4.8"/>
    <n v="5.6"/>
    <n v="278.02999999999997"/>
    <n v="1229.6300000000001"/>
    <n v="0.1"/>
    <n v="0.2843"/>
    <n v="0.8"/>
    <n v="-165025.29"/>
    <n v="-16475.7824"/>
    <n v="-18123.360640000003"/>
    <n v="-19935.696704000009"/>
    <n v="-21929.266374400006"/>
    <n v="-24122.193011840009"/>
    <n v="-26534.412313024011"/>
    <n v="-29187.853544326419"/>
    <n v="-211941.97994700001"/>
    <n v="-3295.1564799999992"/>
    <n v="-3624.6721279999997"/>
    <n v="-3987.1393408000008"/>
    <n v="-4385.8532748799998"/>
    <n v="-4824.4386023680008"/>
    <n v="-5306.8824626048008"/>
    <n v="-5837.5707088652825"/>
    <n v="-210577.91454700002"/>
    <n v="-156308.56498759045"/>
    <n v="-31261.712997518083"/>
    <n v="-24.201110422418239"/>
    <n v="-8.2189608761534264E-2"/>
    <s v="Confiabilidade em Crescimento"/>
  </r>
  <r>
    <n v="625"/>
    <x v="624"/>
    <s v="ROB130-ROBÔ"/>
    <n v="20004346"/>
    <s v="BR01-CIL-UCI-USINA2-CEN075"/>
    <n v="4531"/>
    <m/>
    <n v="2018"/>
    <n v="165025.29"/>
    <n v="82512.645000000004"/>
    <n v="10901.51"/>
    <n v="3.91"/>
    <n v="6144"/>
    <n v="3574"/>
    <n v="4"/>
    <n v="0.8"/>
    <n v="1.6"/>
    <n v="2.4000000000000004"/>
    <n v="3.2"/>
    <n v="4"/>
    <n v="4.8"/>
    <n v="5.6"/>
    <n v="197.95"/>
    <n v="197.48"/>
    <n v="0.1"/>
    <n v="0.2843"/>
    <n v="0.8"/>
    <n v="-165025.29"/>
    <n v="-2780.9320000000002"/>
    <n v="-3059.0252000000005"/>
    <n v="-3364.927720000001"/>
    <n v="-3701.4204920000006"/>
    <n v="-4071.5625412000013"/>
    <n v="-4478.7187953200018"/>
    <n v="-4926.5906748520028"/>
    <n v="-211941.97994700001"/>
    <n v="-556.18639999999994"/>
    <n v="-611.80503999999996"/>
    <n v="-672.985544"/>
    <n v="-740.28409839999995"/>
    <n v="-814.31250824000006"/>
    <n v="-895.74375906400019"/>
    <n v="-985.31813497040037"/>
    <n v="-280297.152947"/>
    <n v="-26383.17742337201"/>
    <n v="-5276.6354846744007"/>
    <n v="-39.049726144043206"/>
    <n v="-0.13261712615677854"/>
    <s v="Fase de Degradação"/>
  </r>
  <r>
    <n v="626"/>
    <x v="625"/>
    <s v="ROB131-ROBÔ"/>
    <n v="20004347"/>
    <s v="BR01-CIL-UCI-USINA2-CEN076"/>
    <n v="4531"/>
    <m/>
    <n v="2018"/>
    <n v="165025.29"/>
    <n v="82512.645000000004"/>
    <n v="1133.44"/>
    <n v="0.99"/>
    <n v="7404"/>
    <n v="3166"/>
    <n v="5"/>
    <n v="1"/>
    <n v="2"/>
    <n v="3"/>
    <n v="4"/>
    <n v="5"/>
    <n v="6"/>
    <n v="7"/>
    <n v="439.83"/>
    <n v="713.56"/>
    <n v="0.1"/>
    <n v="0.2843"/>
    <n v="0.8"/>
    <n v="-165025.29"/>
    <n v="-9902.8050000000003"/>
    <n v="-10893.085500000001"/>
    <n v="-11982.394050000003"/>
    <n v="-13180.633455000003"/>
    <n v="-14498.696800500004"/>
    <n v="-15948.566480550006"/>
    <n v="-17543.423128605009"/>
    <n v="-211941.97994700001"/>
    <n v="-1980.5609999999997"/>
    <n v="-2178.6170999999999"/>
    <n v="-2396.4788100000001"/>
    <n v="-2636.1266909999999"/>
    <n v="-2899.7393600999999"/>
    <n v="-3189.7132961100006"/>
    <n v="-3508.6846257210009"/>
    <n v="-244040.34494700003"/>
    <n v="-93949.604414655012"/>
    <n v="-18789.920882931001"/>
    <n v="-31.327848773610864"/>
    <n v="-0.10639278897130476"/>
    <s v="Confiabilidade em Crescimento"/>
  </r>
  <r>
    <n v="627"/>
    <x v="626"/>
    <s v="ROB132-ROBÔ"/>
    <n v="20004348"/>
    <s v="BR01-CIL-UCI-USINA2-CEN074"/>
    <n v="4531"/>
    <m/>
    <n v="2019"/>
    <n v="269521.27"/>
    <n v="161712.76200000002"/>
    <n v="0"/>
    <n v="1.03"/>
    <n v="5761"/>
    <n v="3166"/>
    <n v="9"/>
    <n v="2.25"/>
    <n v="4.5"/>
    <n v="6.75"/>
    <n v="9"/>
    <n v="11.25"/>
    <n v="13.5"/>
    <n v="15.75"/>
    <n v="318.89"/>
    <n v="951.12"/>
    <n v="0.1"/>
    <n v="0.24679999999999999"/>
    <n v="0.8"/>
    <n v="-269521.27"/>
    <n v="-13344.036750000003"/>
    <n v="-14678.440425000004"/>
    <n v="-16146.284467500007"/>
    <n v="-17760.912914250006"/>
    <n v="-19537.00420567501"/>
    <n v="-21490.70462624251"/>
    <n v="-23639.775088866765"/>
    <n v="-336039.11943600001"/>
    <n v="-2668.80735"/>
    <n v="-2935.6880850000002"/>
    <n v="-3229.2568935000008"/>
    <n v="-3552.1825828500005"/>
    <n v="-3907.400841135001"/>
    <n v="-4298.1409252485009"/>
    <n v="-4727.9550177733518"/>
    <n v="-429818.60343599995"/>
    <n v="-126597.15847753431"/>
    <n v="-25319.431695506853"/>
    <n v="-56.639164950567505"/>
    <n v="-0.11378995652847182"/>
    <s v="Fase de Vida Útil"/>
  </r>
  <r>
    <n v="628"/>
    <x v="627"/>
    <s v="ROB133-ROBÔ"/>
    <n v="20004349"/>
    <s v="BR01-CIL-UCI-USINA2-CEN045"/>
    <n v="4531"/>
    <n v="58070"/>
    <n v="2019"/>
    <n v="269521.27"/>
    <n v="255081"/>
    <n v="3354.8300000000004"/>
    <n v="2.0099999999999998"/>
    <n v="4704"/>
    <n v="3166"/>
    <n v="5"/>
    <n v="1.25"/>
    <n v="2.5"/>
    <n v="3.75"/>
    <n v="5"/>
    <n v="6.25"/>
    <n v="7.5"/>
    <n v="8.75"/>
    <n v="419.19"/>
    <n v="707.21"/>
    <n v="0.1"/>
    <n v="0.24679999999999999"/>
    <n v="0.8"/>
    <n v="-269521.27"/>
    <n v="-9911.55825"/>
    <n v="-10902.714075000002"/>
    <n v="-11992.985482500004"/>
    <n v="-13192.284030750003"/>
    <n v="-14511.512433825004"/>
    <n v="-15962.663677207507"/>
    <n v="-17558.93004492826"/>
    <n v="-336039.11943600001"/>
    <n v="-1982.3116499999996"/>
    <n v="-2180.5428149999998"/>
    <n v="-2398.5970965000001"/>
    <n v="-2638.4568061499999"/>
    <n v="-2902.3024867650001"/>
    <n v="-3192.5327354415008"/>
    <n v="-3511.7860089856513"/>
    <n v="-540661.27743600006"/>
    <n v="-94032.647994210784"/>
    <n v="-18806.529598842149"/>
    <n v="-73.699143005804473"/>
    <n v="-0.12467710129055048"/>
    <s v="Fase de Degradação"/>
  </r>
  <r>
    <n v="629"/>
    <x v="628"/>
    <s v="ROB134-ROBÔ"/>
    <n v="20004350"/>
    <s v="BR01-CIL-UCI-USINA2-CEN046"/>
    <n v="4531"/>
    <m/>
    <n v="2019"/>
    <n v="269521.27"/>
    <n v="161712.76200000002"/>
    <n v="7604.28"/>
    <n v="1.01"/>
    <n v="3328"/>
    <n v="3166"/>
    <n v="4"/>
    <n v="1"/>
    <n v="2"/>
    <n v="3"/>
    <n v="4"/>
    <n v="5"/>
    <n v="6"/>
    <n v="7"/>
    <n v="577.47"/>
    <n v="642.34"/>
    <n v="0.1"/>
    <n v="0.24679999999999999"/>
    <n v="0.8"/>
    <n v="-269521.27"/>
    <n v="-9114.1049999999996"/>
    <n v="-10025.515500000001"/>
    <n v="-11028.067050000003"/>
    <n v="-12130.873755000002"/>
    <n v="-13343.961130500003"/>
    <n v="-14678.357243550006"/>
    <n v="-16146.192967905008"/>
    <n v="-336039.11943600001"/>
    <n v="-1822.8209999999995"/>
    <n v="-2005.1030999999998"/>
    <n v="-2205.6134100000004"/>
    <n v="-2426.174751"/>
    <n v="-2668.7922260999999"/>
    <n v="-2935.6714487100007"/>
    <n v="-3229.2385935810007"/>
    <n v="-451352.80143600004"/>
    <n v="-86467.072646955028"/>
    <n v="-17293.414529391004"/>
    <n v="-61.225460474062288"/>
    <n v="-0.12300397599187082"/>
    <s v="Fase de Vida Útil"/>
  </r>
  <r>
    <n v="630"/>
    <x v="629"/>
    <s v="ROB135-ROBÔ"/>
    <n v="20004351"/>
    <s v="BR01-CIL-FCI-INJEC2-INJ065"/>
    <n v="4531"/>
    <s v="Não encontrado"/>
    <n v="2023"/>
    <m/>
    <m/>
    <n v="559.63"/>
    <n v="1.32"/>
    <s v=""/>
    <n v="2745"/>
    <n v="4"/>
    <n v="4"/>
    <n v="8"/>
    <n v="12"/>
    <n v="16"/>
    <n v="20"/>
    <n v="24"/>
    <n v="28"/>
    <n v="180.04"/>
    <n v="172.92"/>
    <n v="0.1"/>
    <n v="0"/>
    <n v="0.8"/>
    <n v="0"/>
    <n v="-3074.7200000000003"/>
    <n v="-3382.1920000000005"/>
    <n v="-3720.4112000000009"/>
    <n v="-4092.4523200000008"/>
    <n v="-4501.6975520000015"/>
    <n v="-4951.867307200002"/>
    <n v="-5447.0540379200029"/>
    <n v="0"/>
    <n v="-614.94399999999996"/>
    <n v="-676.43839999999989"/>
    <n v="-744.08224000000007"/>
    <n v="-818.49046399999997"/>
    <n v="-900.33951040000011"/>
    <n v="-990.37346144000014"/>
    <n v="-1089.4108075840004"/>
    <n v="15653.119999999999"/>
    <n v="-29170.394417120006"/>
    <n v="-5834.0788834240011"/>
    <n v="3.3337593619565715"/>
    <e v="#DIV/0!"/>
    <s v="Fase de Degradação"/>
  </r>
  <r>
    <n v="631"/>
    <x v="630"/>
    <s v="ROB136-ROBÔ"/>
    <n v="20004374"/>
    <s v="BR01-CIL-UCI-USINA2-MOD025"/>
    <n v="4531"/>
    <m/>
    <n v="2022"/>
    <n v="269521.27"/>
    <n v="242569.14300000001"/>
    <n v="1950.3500000000001"/>
    <n v="0.97"/>
    <n v="3124"/>
    <n v="2323"/>
    <n v="2"/>
    <n v="2"/>
    <n v="4"/>
    <n v="6"/>
    <n v="8"/>
    <n v="10"/>
    <n v="12"/>
    <n v="14"/>
    <n v="366.08"/>
    <n v="802.25"/>
    <n v="0.1"/>
    <n v="5.79E-2"/>
    <n v="0.8"/>
    <n v="-269521.27"/>
    <n v="-11395.076000000001"/>
    <n v="-12534.583600000002"/>
    <n v="-13788.041960000004"/>
    <n v="-15166.846156000003"/>
    <n v="-16683.530771600006"/>
    <n v="-18351.883848760008"/>
    <n v="-20187.072233636012"/>
    <n v="-285126.55153300002"/>
    <n v="-2279.0151999999998"/>
    <n v="-2506.9167199999997"/>
    <n v="-2757.6083920000001"/>
    <n v="-3033.3692311999998"/>
    <n v="-3336.7061543200007"/>
    <n v="-3670.3767697520007"/>
    <n v="-4037.4144467272017"/>
    <n v="-469684.39853300003"/>
    <n v="-108107.03456999606"/>
    <n v="-21621.406913999203"/>
    <n v="-63.030009553857589"/>
    <n v="-0.11944385790306261"/>
    <s v="Confiabilidade em Crescimento"/>
  </r>
  <r>
    <n v="632"/>
    <x v="631"/>
    <s v="ROB137-ROBÔ SCARA"/>
    <n v="20004420"/>
    <s v="BR01-CIL-FCI-INJEC2-INJ062"/>
    <n v="4511"/>
    <n v="56748"/>
    <n v="2021"/>
    <n v="47710.17"/>
    <n v="43148"/>
    <m/>
    <m/>
    <m/>
    <m/>
    <m/>
    <s v=""/>
    <m/>
    <m/>
    <m/>
    <m/>
    <m/>
    <m/>
    <m/>
    <m/>
    <m/>
    <n v="0.1585"/>
    <m/>
    <m/>
    <m/>
    <m/>
    <m/>
    <m/>
    <m/>
    <m/>
    <m/>
    <m/>
    <m/>
    <m/>
    <m/>
    <m/>
    <m/>
    <m/>
    <m/>
    <m/>
    <m/>
    <m/>
    <m/>
    <m/>
    <m/>
  </r>
  <r>
    <n v="633"/>
    <x v="632"/>
    <s v="ROB138-ROBÔ INSPEÇÃO FINAL"/>
    <n v="20004437"/>
    <s v="BR01-MOT-MON-LINHA1-LMB01"/>
    <n v="4023"/>
    <n v="59271"/>
    <n v="2023"/>
    <n v="293093.55"/>
    <n v="286115"/>
    <m/>
    <m/>
    <n v="4547"/>
    <m/>
    <m/>
    <s v=""/>
    <m/>
    <m/>
    <m/>
    <m/>
    <m/>
    <m/>
    <n v="175.72"/>
    <n v="90.01"/>
    <m/>
    <n v="0"/>
    <m/>
    <m/>
    <m/>
    <m/>
    <m/>
    <m/>
    <m/>
    <m/>
    <m/>
    <m/>
    <m/>
    <m/>
    <m/>
    <m/>
    <m/>
    <m/>
    <m/>
    <m/>
    <m/>
    <m/>
    <m/>
    <m/>
    <m/>
  </r>
  <r>
    <n v="634"/>
    <x v="633"/>
    <s v="ROB139-ROBÔ FANUC"/>
    <n v="20004438"/>
    <s v="BR01-MOT-MON-LINHA1-LMB01"/>
    <n v="4023"/>
    <n v="59322"/>
    <n v="2023"/>
    <n v="136089.28"/>
    <n v="133658.09"/>
    <m/>
    <m/>
    <n v="4547"/>
    <m/>
    <m/>
    <s v=""/>
    <m/>
    <m/>
    <m/>
    <m/>
    <m/>
    <m/>
    <s v="-"/>
    <s v="-"/>
    <m/>
    <n v="0"/>
    <m/>
    <m/>
    <m/>
    <m/>
    <m/>
    <m/>
    <m/>
    <m/>
    <m/>
    <m/>
    <m/>
    <m/>
    <m/>
    <m/>
    <m/>
    <m/>
    <m/>
    <m/>
    <m/>
    <m/>
    <m/>
    <m/>
    <m/>
  </r>
  <r>
    <n v="635"/>
    <x v="634"/>
    <s v="ROB150-ROBÔ COLABORATIVO ABB"/>
    <n v="10006846"/>
    <s v="BR01-MOT-MON-LINHA7"/>
    <n v="4023"/>
    <n v="59271"/>
    <n v="2023"/>
    <n v="136089.28"/>
    <n v="133658.09"/>
    <n v="0"/>
    <m/>
    <n v="4547"/>
    <m/>
    <m/>
    <s v=""/>
    <m/>
    <m/>
    <m/>
    <m/>
    <m/>
    <m/>
    <n v="175.72"/>
    <n v="90.01"/>
    <m/>
    <n v="0"/>
    <m/>
    <m/>
    <m/>
    <m/>
    <m/>
    <m/>
    <m/>
    <m/>
    <m/>
    <m/>
    <m/>
    <m/>
    <m/>
    <m/>
    <m/>
    <m/>
    <m/>
    <m/>
    <m/>
    <m/>
    <m/>
    <m/>
    <m/>
  </r>
  <r>
    <n v="636"/>
    <x v="635"/>
    <s v="ROB201-ROBO MANIPULADOR"/>
    <n v="10006759"/>
    <s v="BR01-MOT-FMG-INJEC2-INJ007"/>
    <n v="4511"/>
    <n v="56323"/>
    <n v="2022"/>
    <n v="319785.56"/>
    <n v="290210"/>
    <n v="5813.1399999999994"/>
    <n v="0.8"/>
    <n v="4486.0464000000002"/>
    <m/>
    <m/>
    <s v=""/>
    <e v="#VALUE!"/>
    <e v="#VALUE!"/>
    <e v="#VALUE!"/>
    <e v="#VALUE!"/>
    <e v="#VALUE!"/>
    <e v="#VALUE!"/>
    <n v="1476.9"/>
    <n v="3655.48"/>
    <n v="0.1"/>
    <n v="5.79E-2"/>
    <n v="0.8"/>
    <n v="-319785.56"/>
    <e v="#VALUE!"/>
    <e v="#VALUE!"/>
    <e v="#VALUE!"/>
    <e v="#VALUE!"/>
    <e v="#VALUE!"/>
    <e v="#VALUE!"/>
    <e v="#VALUE!"/>
    <n v="-338301.14392400003"/>
    <e v="#VALUE!"/>
    <e v="#VALUE!"/>
    <e v="#VALUE!"/>
    <e v="#VALUE!"/>
    <e v="#VALUE!"/>
    <e v="#VALUE!"/>
    <e v="#VALUE!"/>
    <e v="#VALUE!"/>
    <e v="#VALUE!"/>
    <e v="#VALUE!"/>
    <e v="#VALUE!"/>
    <e v="#VALUE!"/>
    <s v="Confiabilidade em Crescimento"/>
  </r>
  <r>
    <n v="637"/>
    <x v="636"/>
    <s v="ROB202-ROBÔ SEMI-AUTOMÁTICO"/>
    <n v="20004165"/>
    <s v="BR01-FRO-LOG"/>
    <n v="620"/>
    <n v="56216"/>
    <n v="2020"/>
    <m/>
    <m/>
    <n v="16616.77"/>
    <m/>
    <m/>
    <m/>
    <m/>
    <s v=""/>
    <m/>
    <m/>
    <m/>
    <m/>
    <m/>
    <m/>
    <m/>
    <m/>
    <m/>
    <n v="0.20369999999999999"/>
    <m/>
    <m/>
    <m/>
    <m/>
    <m/>
    <m/>
    <m/>
    <m/>
    <m/>
    <m/>
    <m/>
    <m/>
    <m/>
    <m/>
    <m/>
    <m/>
    <m/>
    <m/>
    <m/>
    <m/>
    <m/>
    <m/>
    <m/>
  </r>
  <r>
    <n v="638"/>
    <x v="637"/>
    <s v="ROB203 - ROBÔ SEMI-AUTOMÁTICO"/>
    <n v="20004467"/>
    <s v="BR01-FRO-EXP"/>
    <n v="681"/>
    <n v="55857"/>
    <n v="2020"/>
    <m/>
    <m/>
    <m/>
    <m/>
    <m/>
    <m/>
    <m/>
    <s v=""/>
    <m/>
    <m/>
    <m/>
    <m/>
    <m/>
    <m/>
    <m/>
    <m/>
    <m/>
    <n v="0.20369999999999999"/>
    <m/>
    <m/>
    <m/>
    <m/>
    <m/>
    <m/>
    <m/>
    <m/>
    <m/>
    <m/>
    <m/>
    <m/>
    <m/>
    <m/>
    <m/>
    <m/>
    <m/>
    <m/>
    <m/>
    <m/>
    <m/>
    <m/>
    <m/>
  </r>
  <r>
    <n v="639"/>
    <x v="638"/>
    <s v="ROL001-ROLIERMASCHINE"/>
    <n v="10000597"/>
    <s v="BR01-MOT-SAB-TRTIND-ROL001"/>
    <n v="2522"/>
    <n v="20284"/>
    <n v="1997"/>
    <n v="310288.15999999997"/>
    <n v="40422"/>
    <n v="650037.09999999974"/>
    <n v="1.0900000000000001"/>
    <n v="4795.2647999999999"/>
    <n v="198345"/>
    <n v="656"/>
    <n v="18"/>
    <n v="36"/>
    <n v="54"/>
    <n v="72"/>
    <n v="90"/>
    <n v="108"/>
    <n v="126"/>
    <n v="579.09"/>
    <n v="3829.45"/>
    <n v="0.1"/>
    <n v="1.6129"/>
    <n v="0.8"/>
    <n v="-310288.15999999997"/>
    <n v="-62014.722000000002"/>
    <n v="-68216.194200000013"/>
    <n v="-75037.813620000015"/>
    <n v="-82541.594982000024"/>
    <n v="-90795.754480200019"/>
    <n v="-99875.329928220046"/>
    <n v="-109862.86292104206"/>
    <n v="-810751.93326399988"/>
    <n v="-12402.944399999997"/>
    <n v="-13643.23884"/>
    <n v="-15007.562723999999"/>
    <n v="-16508.318996400001"/>
    <n v="-18159.150896039999"/>
    <n v="-19975.065985644003"/>
    <n v="-21972.572584208407"/>
    <n v="-535462.62126399984"/>
    <n v="-588344.27213146212"/>
    <n v="-117668.85442629241"/>
    <n v="-54.35693079411859"/>
    <n v="-6.3861131867227028E-2"/>
    <s v="Fase de Vida Útil"/>
  </r>
  <r>
    <n v="640"/>
    <x v="639"/>
    <s v="SOL001-SOLDA PONTO"/>
    <n v="10004227"/>
    <s v="BR01-MOT-SAB-MONCAB-SOL001"/>
    <n v="2538"/>
    <n v="34294"/>
    <n v="2006"/>
    <n v="68324.23"/>
    <n v="0"/>
    <n v="25222.680000000011"/>
    <n v="0.63"/>
    <n v="4795.2647999999999"/>
    <n v="149699"/>
    <n v="39"/>
    <n v="1"/>
    <n v="2"/>
    <n v="3"/>
    <n v="4"/>
    <n v="5"/>
    <n v="6"/>
    <n v="7"/>
    <n v="314.63"/>
    <n v="450.14"/>
    <n v="0.1"/>
    <n v="0.96719999999999995"/>
    <n v="0.8"/>
    <n v="-68324.23"/>
    <n v="-6287.9410000000007"/>
    <n v="-6916.7351000000017"/>
    <n v="-7608.4086100000031"/>
    <n v="-8369.2494710000028"/>
    <n v="-9206.1744181000031"/>
    <n v="-10126.791859910005"/>
    <n v="-11139.471045901008"/>
    <n v="-134407.42525599999"/>
    <n v="-1257.5881999999999"/>
    <n v="-1383.3470199999999"/>
    <n v="-1521.6817220000003"/>
    <n v="-1673.8498942000001"/>
    <n v="-1841.2348836200001"/>
    <n v="-2025.3583719820006"/>
    <n v="-2227.894209180201"/>
    <n v="-102396.08925599999"/>
    <n v="-59654.771504911027"/>
    <n v="-11930.954300982201"/>
    <n v="-12.383372578867309"/>
    <n v="-9.2133098712970943E-2"/>
    <s v="Confiabilidade em Crescimento"/>
  </r>
  <r>
    <n v="641"/>
    <x v="640"/>
    <s v="SOL007-SOLDADORA FRICÇÃO"/>
    <n v="10005133"/>
    <s v="BR01-MOT-PLA-SOLDAG-SOL007"/>
    <n v="3121"/>
    <n v="34908"/>
    <n v="2007"/>
    <n v="487660.57"/>
    <n v="0"/>
    <n v="459307.39999999932"/>
    <n v="0.77"/>
    <n v="4415"/>
    <n v="133562"/>
    <n v="584"/>
    <n v="15"/>
    <n v="30"/>
    <n v="45"/>
    <n v="60"/>
    <n v="75"/>
    <n v="90"/>
    <n v="105"/>
    <n v="617.53"/>
    <n v="1829.89"/>
    <n v="0.1"/>
    <n v="0.93579999999999997"/>
    <n v="0.8"/>
    <n v="-487660.57"/>
    <n v="-34343.792999999998"/>
    <n v="-37778.172300000006"/>
    <n v="-41555.989530000006"/>
    <n v="-45711.588483000007"/>
    <n v="-50282.747331300016"/>
    <n v="-55311.022064430021"/>
    <n v="-60842.124270873035"/>
    <n v="-944013.33140599995"/>
    <n v="-6868.7585999999983"/>
    <n v="-7555.6344599999993"/>
    <n v="-8311.1979059999994"/>
    <n v="-9142.3176965999992"/>
    <n v="-10056.549466260001"/>
    <n v="-11062.204412886002"/>
    <n v="-12168.424854174604"/>
    <n v="-769172.20340599993"/>
    <n v="-325825.43697960308"/>
    <n v="-65165.0873959206"/>
    <n v="-97.621854546045356"/>
    <n v="-0.10341152110706824"/>
    <s v="Confiabilidade em Crescimento"/>
  </r>
  <r>
    <n v="642"/>
    <x v="641"/>
    <s v="SOL009-SOLDADORA FRICÇÃO"/>
    <n v="10005519"/>
    <s v="BR01-MOT-PLA-SOLDAG-SOL009"/>
    <n v="3121"/>
    <n v="35651"/>
    <n v="2008"/>
    <n v="453118.26"/>
    <n v="0"/>
    <n v="527723.91000000027"/>
    <n v="1.05"/>
    <n v="3852"/>
    <n v="121513"/>
    <n v="652"/>
    <n v="22"/>
    <n v="44"/>
    <n v="66"/>
    <n v="88"/>
    <n v="110"/>
    <n v="132"/>
    <n v="154"/>
    <n v="581.77"/>
    <n v="1981.08"/>
    <n v="0.1"/>
    <n v="0.89119999999999999"/>
    <n v="0.8"/>
    <n v="-453118.26"/>
    <n v="-40229.089999999997"/>
    <n v="-44251.998999999996"/>
    <n v="-48677.19890000001"/>
    <n v="-53544.918790000003"/>
    <n v="-58899.410669000012"/>
    <n v="-64789.351735900018"/>
    <n v="-71268.286909490038"/>
    <n v="-856937.25331199996"/>
    <n v="-8045.8179999999975"/>
    <n v="-8850.3997999999974"/>
    <n v="-9735.4397800000006"/>
    <n v="-10708.983757999998"/>
    <n v="-11779.8821338"/>
    <n v="-12957.87034718"/>
    <n v="-14253.657381898005"/>
    <n v="-652134.61331199994"/>
    <n v="-381660.25600439007"/>
    <n v="-76332.051200878006"/>
    <n v="-78.80129264406969"/>
    <n v="-9.1956899223961205E-2"/>
    <s v="Fase de Vida Útil"/>
  </r>
  <r>
    <n v="643"/>
    <x v="642"/>
    <s v="SOL011-SOLDADORA FRICÇÃO"/>
    <n v="10006603"/>
    <s v="BR01-MOT-PLA-SOLDAG-SOL011"/>
    <n v="3121"/>
    <n v="51244"/>
    <n v="2019"/>
    <n v="563502"/>
    <n v="369886"/>
    <n v="204035.57"/>
    <n v="1.35"/>
    <n v="4286"/>
    <n v="33678"/>
    <n v="124"/>
    <n v="22"/>
    <n v="44"/>
    <n v="66"/>
    <n v="88"/>
    <n v="110"/>
    <n v="132"/>
    <n v="154"/>
    <n v="795.54"/>
    <n v="2928.96"/>
    <n v="0.1"/>
    <n v="0.24679999999999999"/>
    <n v="0.8"/>
    <n v="-563502"/>
    <n v="-57914.340000000004"/>
    <n v="-63705.774000000012"/>
    <n v="-70076.351400000029"/>
    <n v="-77083.986540000027"/>
    <n v="-84792.385194000031"/>
    <n v="-93271.62371340004"/>
    <n v="-102598.78608474006"/>
    <n v="-702574.29359999998"/>
    <n v="-11582.867999999999"/>
    <n v="-12741.1548"/>
    <n v="-14015.270280000002"/>
    <n v="-15416.797308000003"/>
    <n v="-16958.477038800003"/>
    <n v="-18654.324742680004"/>
    <n v="-20519.757216948008"/>
    <n v="-777623.65359999985"/>
    <n v="-549443.2469321402"/>
    <n v="-109888.64938642802"/>
    <n v="-90.415099436326827"/>
    <n v="-8.4306244227303151E-2"/>
    <s v="Fase de Degradação"/>
  </r>
  <r>
    <n v="644"/>
    <x v="643"/>
    <s v="SOL013-SOLDADORA DE GÁS QUENTE"/>
    <n v="10006807"/>
    <s v="BR01-MOT-PLA-SOLDAG-SOL013"/>
    <n v="3129"/>
    <n v="58011"/>
    <n v="2022"/>
    <n v="1851219.2"/>
    <n v="1779226"/>
    <n v="3490.4100000000003"/>
    <n v="0.8"/>
    <n v="4184"/>
    <n v="10080"/>
    <n v="3"/>
    <n v="2"/>
    <n v="4"/>
    <n v="6"/>
    <n v="8"/>
    <n v="10"/>
    <n v="12"/>
    <n v="14"/>
    <n v="612.97"/>
    <n v="3076.93"/>
    <n v="0.1"/>
    <n v="5.79E-2"/>
    <n v="0.8"/>
    <n v="-1851219.2"/>
    <n v="-41964.01"/>
    <n v="-46160.411000000007"/>
    <n v="-50776.452100000017"/>
    <n v="-55854.097310000012"/>
    <n v="-61439.507041000019"/>
    <n v="-67583.457745100022"/>
    <n v="-74341.803519610039"/>
    <n v="-1958404.79168"/>
    <n v="-8392.8019999999979"/>
    <n v="-9232.0821999999989"/>
    <n v="-10155.290420000001"/>
    <n v="-11170.819461999999"/>
    <n v="-12287.901408200001"/>
    <n v="-13516.691549020001"/>
    <n v="-14868.360703922004"/>
    <n v="-3523995.8316799994"/>
    <n v="-398119.73871571012"/>
    <n v="-79623.947743142009"/>
    <n v="-488.44785724391886"/>
    <n v="-0.13068381669243742"/>
    <s v="Confiabilidade em Crescimento"/>
  </r>
  <r>
    <n v="645"/>
    <x v="644"/>
    <s v="SOP002-SOPRADOR DE MACHO DE AREIA"/>
    <n v="10004430"/>
    <s v="BR01-CIL-FGR-SOPRO1-SOP002"/>
    <n v="4712"/>
    <n v="34066"/>
    <n v="2005"/>
    <n v="481984.92"/>
    <n v="0"/>
    <n v="728741.29999999842"/>
    <n v="0.69"/>
    <n v="4846"/>
    <n v="150343"/>
    <n v="1271"/>
    <n v="29"/>
    <n v="58"/>
    <n v="87"/>
    <n v="116"/>
    <n v="145"/>
    <n v="174"/>
    <n v="203"/>
    <n v="483.49"/>
    <n v="6653.34"/>
    <n v="0.1"/>
    <n v="1.0241"/>
    <n v="0.8"/>
    <n v="-481984.92"/>
    <n v="-103247.41900000002"/>
    <n v="-113572.16090000003"/>
    <n v="-124929.37699000005"/>
    <n v="-137422.31468900005"/>
    <n v="-151164.54615790007"/>
    <n v="-166281.00077369009"/>
    <n v="-182909.10085105913"/>
    <n v="-975585.67657199991"/>
    <n v="-20649.483800000002"/>
    <n v="-22714.43218"/>
    <n v="-24985.875398000004"/>
    <n v="-27484.462937800003"/>
    <n v="-30232.909231580008"/>
    <n v="-33256.200154738013"/>
    <n v="-36581.820170211817"/>
    <n v="-449962.45257199998"/>
    <n v="-979525.91936164931"/>
    <n v="-195905.18387232983"/>
    <n v="-27.423563011811481"/>
    <n v="-2.8109845880652979E-2"/>
    <s v="Confiabilidade em Crescimento"/>
  </r>
  <r>
    <n v="646"/>
    <x v="645"/>
    <s v="SOP003-SOPRADOR DE MACHO DE AREIA"/>
    <n v="10004896"/>
    <s v="BR01-CIL-FGR-SOPRO1-SOP003"/>
    <n v="4712"/>
    <n v="34803"/>
    <n v="2007"/>
    <n v="457865.2"/>
    <n v="0"/>
    <n v="669555.46999999916"/>
    <n v="1.05"/>
    <n v="5349"/>
    <n v="139841"/>
    <n v="1151"/>
    <n v="47"/>
    <n v="94"/>
    <n v="141"/>
    <n v="188"/>
    <n v="235"/>
    <n v="282"/>
    <n v="329"/>
    <n v="449.65"/>
    <n v="4161.2700000000004"/>
    <n v="0.1"/>
    <n v="0.93579999999999997"/>
    <n v="0.8"/>
    <n v="-457865.2"/>
    <n v="-78175.669000000009"/>
    <n v="-85993.235900000029"/>
    <n v="-94592.559490000043"/>
    <n v="-104051.81543900004"/>
    <n v="-114456.99698290005"/>
    <n v="-125902.69668119008"/>
    <n v="-138492.96634930911"/>
    <n v="-886335.45415999996"/>
    <n v="-15635.133799999998"/>
    <n v="-17198.647180000004"/>
    <n v="-18918.511898000004"/>
    <n v="-20810.363087800004"/>
    <n v="-22891.399396580004"/>
    <n v="-25180.539336238009"/>
    <n v="-27698.593269861816"/>
    <n v="-488350.23015999992"/>
    <n v="-741665.93984239933"/>
    <n v="-148333.18796847985"/>
    <n v="-41.857528898011495"/>
    <n v="-4.7225380302180077E-2"/>
    <s v="Fase de Vida Útil"/>
  </r>
  <r>
    <n v="647"/>
    <x v="646"/>
    <s v="SOP004-SOPRADOR DE MACHO DE AREIA"/>
    <n v="10004897"/>
    <s v="BR01-CIL-FGR-SOPRO1-SOP004"/>
    <n v="4712"/>
    <n v="34802"/>
    <n v="2007"/>
    <n v="437820.81"/>
    <n v="0"/>
    <n v="678750.70999999973"/>
    <n v="1.07"/>
    <n v="5495"/>
    <n v="139730"/>
    <n v="1089"/>
    <n v="46"/>
    <n v="92"/>
    <n v="138"/>
    <n v="184"/>
    <n v="230"/>
    <n v="276"/>
    <n v="322"/>
    <n v="489.82"/>
    <n v="6822.44"/>
    <n v="0.1"/>
    <n v="0.93579999999999997"/>
    <n v="0.8"/>
    <n v="-437820.81"/>
    <n v="-114841.1"/>
    <n v="-126325.21000000002"/>
    <n v="-138957.73100000003"/>
    <n v="-152853.50410000005"/>
    <n v="-168138.85451000006"/>
    <n v="-184952.73996100007"/>
    <n v="-203448.01395710013"/>
    <n v="-847533.52399799996"/>
    <n v="-22968.219999999998"/>
    <n v="-25265.041999999998"/>
    <n v="-27791.546200000001"/>
    <n v="-30570.700820000002"/>
    <n v="-33627.770902000004"/>
    <n v="-36990.547992200009"/>
    <n v="-40689.602791420017"/>
    <n v="-262887.92399799998"/>
    <n v="-1089517.1535281003"/>
    <n v="-217903.43070562003"/>
    <n v="3.4400284034971946"/>
    <n v="4.0588700105570249E-3"/>
    <s v="Fase de Vida Útil"/>
  </r>
  <r>
    <n v="648"/>
    <x v="647"/>
    <s v="SOP005-SOPRADOR DE MACHO DE AREIA"/>
    <n v="10004908"/>
    <s v="BR01-CIL-FGR-SOPRO1-SOP005"/>
    <n v="4712"/>
    <n v="34836"/>
    <n v="2007"/>
    <n v="536795.88"/>
    <n v="0"/>
    <n v="696820.0900000009"/>
    <n v="1.19"/>
    <n v="5253"/>
    <n v="139408"/>
    <n v="1122"/>
    <n v="51"/>
    <n v="102"/>
    <n v="153"/>
    <n v="204"/>
    <n v="255"/>
    <n v="306"/>
    <n v="357"/>
    <n v="496.94565236500694"/>
    <n v="5603.14"/>
    <n v="0.1"/>
    <n v="0.93579999999999997"/>
    <n v="0.8"/>
    <n v="-536795.88"/>
    <n v="-101840.0990976769"/>
    <n v="-112024.1090074446"/>
    <n v="-123226.51990818908"/>
    <n v="-135549.17189900798"/>
    <n v="-149104.08908890878"/>
    <n v="-164014.49799779968"/>
    <n v="-180415.94779757969"/>
    <n v="-1039129.464504"/>
    <n v="-20368.019819535373"/>
    <n v="-22404.821801488913"/>
    <n v="-24645.303981637808"/>
    <n v="-27109.834379801592"/>
    <n v="-29820.81781778175"/>
    <n v="-32802.899599559933"/>
    <n v="-36083.189559515929"/>
    <n v="-520670.7781885541"/>
    <n v="-966174.43479660666"/>
    <n v="-193234.88695932127"/>
    <n v="-38.027130952387807"/>
    <n v="-3.6595181112046529E-2"/>
    <s v="Fase de Degradação"/>
  </r>
  <r>
    <n v="649"/>
    <x v="648"/>
    <s v="SOP007-SOPRADOR DE MACHO DE AREIA"/>
    <n v="10005202"/>
    <s v="BR01-CIL-FGR-SOPRO1-SOP007"/>
    <n v="4712"/>
    <n v="35040"/>
    <n v="2007"/>
    <n v="257455.55"/>
    <n v="0"/>
    <n v="882937.35000000149"/>
    <n v="1.69"/>
    <n v="4829"/>
    <n v="132136"/>
    <n v="1535"/>
    <n v="96"/>
    <n v="192"/>
    <n v="288"/>
    <n v="384"/>
    <n v="480"/>
    <n v="576"/>
    <n v="672"/>
    <n v="435.6565192157359"/>
    <n v="8620.36"/>
    <n v="0.1"/>
    <n v="0.93579999999999997"/>
    <n v="0.8"/>
    <n v="-257455.55"/>
    <n v="-159794.08042918172"/>
    <n v="-175773.48847209991"/>
    <n v="-193350.83731930994"/>
    <n v="-212685.92105124093"/>
    <n v="-233954.51315636502"/>
    <n v="-257349.96447200156"/>
    <n v="-283084.96091920178"/>
    <n v="-498382.45368999999"/>
    <n v="-31958.816085836337"/>
    <n v="-35154.697694419978"/>
    <n v="-38670.167463861981"/>
    <n v="-42537.184210248175"/>
    <n v="-46790.902631272991"/>
    <n v="-51469.992894400304"/>
    <n v="-56616.992183840346"/>
    <n v="315114.68304037966"/>
    <n v="-1515993.765819401"/>
    <n v="-303198.75316388014"/>
    <n v="102.05893699507445"/>
    <n v="0.2047803574131371"/>
    <s v="Fase de Degradação"/>
  </r>
  <r>
    <n v="650"/>
    <x v="649"/>
    <s v="SOP008-SOPRADOR DE MACHO DE AREIA"/>
    <n v="10005254"/>
    <s v="BR01-CIL-FGR-SOPRO1-SOP008"/>
    <n v="4712"/>
    <n v="35456"/>
    <n v="2008"/>
    <n v="413909.71"/>
    <n v="88936"/>
    <n v="689153.85999999964"/>
    <n v="2.04"/>
    <n v="5056"/>
    <n v="129982"/>
    <n v="1093"/>
    <n v="72.86666666666666"/>
    <n v="145.73333333333332"/>
    <n v="218.59999999999997"/>
    <n v="291.46666666666664"/>
    <n v="364.33333333333331"/>
    <n v="437.2"/>
    <n v="510.06666666666666"/>
    <n v="520.58000000000004"/>
    <n v="10589.52"/>
    <n v="0.1"/>
    <n v="0.89119999999999999"/>
    <n v="0.8"/>
    <n v="-413909.71"/>
    <n v="-181507.88626666667"/>
    <n v="-199658.67489333334"/>
    <n v="-219624.54238266672"/>
    <n v="-241586.99662093344"/>
    <n v="-265745.69628302677"/>
    <n v="-292320.26591132948"/>
    <n v="-321552.29250246251"/>
    <n v="-782786.04355200008"/>
    <n v="-36301.577253333322"/>
    <n v="-39931.73497866666"/>
    <n v="-43924.908476533332"/>
    <n v="-48317.399324186677"/>
    <n v="-53149.13925660534"/>
    <n v="-58464.053182265881"/>
    <n v="-64310.458500492488"/>
    <n v="52318.104714666726"/>
    <n v="-1721996.3548604189"/>
    <n v="-344399.27097208373"/>
    <n v="72.267862905190739"/>
    <n v="8.2902415328080223E-2"/>
    <s v="Fase de Degradação"/>
  </r>
  <r>
    <n v="651"/>
    <x v="650"/>
    <s v="SOP009-SOPRADOR DE MACHO DE AREIA"/>
    <n v="10006804"/>
    <s v="BR01-CIL-FGR-SOPRO1-SOP009"/>
    <n v="4712"/>
    <n v="58016"/>
    <n v="2022"/>
    <n v="1089147.3500000001"/>
    <n v="1028637"/>
    <n v="44044.399999999987"/>
    <n v="0.84"/>
    <n v="4995"/>
    <n v="6948"/>
    <n v="72"/>
    <n v="42"/>
    <n v="84"/>
    <n v="126"/>
    <n v="168"/>
    <n v="210"/>
    <n v="252"/>
    <n v="294"/>
    <n v="523.70000000000005"/>
    <n v="3547.95"/>
    <n v="0.1"/>
    <n v="5.79E-2"/>
    <n v="0.8"/>
    <n v="-1089147.3500000001"/>
    <n v="-71027.88"/>
    <n v="-78130.668000000005"/>
    <n v="-85943.73480000002"/>
    <n v="-94538.108280000015"/>
    <n v="-103991.91910800003"/>
    <n v="-114391.11101880005"/>
    <n v="-125830.22212068008"/>
    <n v="-1152208.9815650003"/>
    <n v="-14205.575999999997"/>
    <n v="-15626.133599999997"/>
    <n v="-17188.74696"/>
    <n v="-18907.621655999999"/>
    <n v="-20798.3838216"/>
    <n v="-22878.222203760004"/>
    <n v="-25166.044424136009"/>
    <n v="-1819249.5015650005"/>
    <n v="-673853.64332748018"/>
    <n v="-134770.72866549599"/>
    <n v="-234.53758098614512"/>
    <n v="-0.10754431214708626"/>
    <s v="Confiabilidade em Crescimento"/>
  </r>
  <r>
    <n v="652"/>
    <x v="651"/>
    <s v="SRG004-SERIGRAFIA"/>
    <n v="10006279"/>
    <s v="BR01-MOT-SAB-FINALL-SRG004"/>
    <n v="2526"/>
    <n v="20502"/>
    <n v="2013"/>
    <n v="5800"/>
    <n v="0"/>
    <n v="365495.0599999993"/>
    <n v="0.81"/>
    <n v="5853.5532000000003"/>
    <n v="76211"/>
    <n v="353"/>
    <n v="22"/>
    <n v="44"/>
    <n v="66"/>
    <n v="88"/>
    <n v="110"/>
    <n v="132"/>
    <n v="154"/>
    <n v="670.01"/>
    <n v="3420.01"/>
    <n v="0.1"/>
    <n v="0.60660000000000003"/>
    <n v="0.8"/>
    <n v="-5800"/>
    <n v="-61358.374000000011"/>
    <n v="-67494.211400000015"/>
    <n v="-74243.632540000021"/>
    <n v="-81667.995794000031"/>
    <n v="-89834.795373400033"/>
    <n v="-98818.27491074006"/>
    <n v="-108700.10240181407"/>
    <n v="-9318.2800000000007"/>
    <n v="-12271.674799999999"/>
    <n v="-13498.842280000001"/>
    <n v="-14848.726508000002"/>
    <n v="-16333.599158800003"/>
    <n v="-17966.959074680002"/>
    <n v="-19763.654982148008"/>
    <n v="-21740.020480362811"/>
    <n v="303051.62400000007"/>
    <n v="-582117.38641995424"/>
    <n v="-116423.47728399083"/>
    <n v="65.196518447994777"/>
    <n v="6.9966258202151863"/>
    <s v="Confiabilidade em Crescimento"/>
  </r>
  <r>
    <n v="653"/>
    <x v="652"/>
    <s v="TAN042-TANQUE"/>
    <n v="10003941"/>
    <s v="BR01-CIL-FGR-TRTTRM-TAN042"/>
    <n v="4715"/>
    <n v="20715"/>
    <n v="2003"/>
    <n v="38132.239999999998"/>
    <n v="0"/>
    <n v="372408.84000000008"/>
    <n v="2.69"/>
    <n v="5000"/>
    <n v="161100"/>
    <n v="210"/>
    <n v="10.5"/>
    <n v="21"/>
    <n v="31.5"/>
    <n v="42"/>
    <n v="52.5"/>
    <n v="63"/>
    <n v="73.5"/>
    <n v="586.15"/>
    <n v="1819.3"/>
    <n v="0.1"/>
    <n v="1.1931"/>
    <n v="0.8"/>
    <n v="-38132.239999999998"/>
    <n v="-30784.792500000003"/>
    <n v="-33863.271750000007"/>
    <n v="-37249.598925000013"/>
    <n v="-40974.558817500008"/>
    <n v="-45072.014699250016"/>
    <n v="-49579.216169175023"/>
    <n v="-54537.137786092535"/>
    <n v="-83627.815544000012"/>
    <n v="-6156.9584999999988"/>
    <n v="-6772.6543499999998"/>
    <n v="-7449.919785000001"/>
    <n v="-8194.9117635000002"/>
    <n v="-9014.4029398500006"/>
    <n v="-9915.843233835003"/>
    <n v="-10907.427557218505"/>
    <n v="73094.764456000034"/>
    <n v="-292060.59064701764"/>
    <n v="-58412.118129403512"/>
    <n v="21.431522424802012"/>
    <n v="0.25627265623751716"/>
    <s v="Fase de Degradação"/>
  </r>
  <r>
    <n v="654"/>
    <x v="653"/>
    <s v="TAN636-TANQUE DE SOLUBILIZAÇÃO"/>
    <n v="10006749"/>
    <s v="BR01-CIL-FGR-TRTTRM-TAN636"/>
    <n v="4715"/>
    <n v="55773"/>
    <n v="2021"/>
    <n v="477784.89"/>
    <n v="428590"/>
    <n v="39224.930000000008"/>
    <n v="1.46"/>
    <n v="5000"/>
    <n v="9688"/>
    <n v="37"/>
    <n v="18.5"/>
    <n v="37"/>
    <n v="55.5"/>
    <n v="74"/>
    <n v="92.5"/>
    <n v="111"/>
    <n v="129.5"/>
    <n v="871.24"/>
    <n v="2902.77"/>
    <n v="0.1"/>
    <n v="0.1585"/>
    <n v="0.8"/>
    <n v="-477784.89"/>
    <n v="-56046.298000000003"/>
    <n v="-61650.927800000012"/>
    <n v="-67816.020580000026"/>
    <n v="-74597.622638000015"/>
    <n v="-82057.384901800033"/>
    <n v="-90263.123391980043"/>
    <n v="-99289.435731178062"/>
    <n v="-553513.79506500007"/>
    <n v="-11209.259599999998"/>
    <n v="-12330.18556"/>
    <n v="-13563.204116000003"/>
    <n v="-14919.524527600001"/>
    <n v="-16411.476980360003"/>
    <n v="-18052.624678396005"/>
    <n v="-19857.887146235607"/>
    <n v="-696777.18706499995"/>
    <n v="-531720.81304295815"/>
    <n v="-106344.16260859161"/>
    <n v="-79.532449232947641"/>
    <n v="-8.0981714593296963E-2"/>
    <s v="Fase de Degradação"/>
  </r>
  <r>
    <n v="655"/>
    <x v="654"/>
    <s v="TAN637-TANQUE DE LAVAGEM"/>
    <n v="10006783"/>
    <s v="BR01-MOT-SAB-TRTTRM-TAN637"/>
    <n v="2514"/>
    <n v="56277"/>
    <n v="2022"/>
    <n v="231710.59"/>
    <n v="212795"/>
    <n v="22083.56"/>
    <n v="1.28"/>
    <n v="6831"/>
    <n v="6419"/>
    <n v="16"/>
    <n v="16"/>
    <n v="32"/>
    <n v="48"/>
    <n v="64"/>
    <n v="80"/>
    <n v="96"/>
    <n v="112"/>
    <n v="815.12"/>
    <n v="3134.49"/>
    <n v="0.1"/>
    <n v="5.79E-2"/>
    <n v="0.8"/>
    <n v="-231710.59"/>
    <n v="-55721.38"/>
    <n v="-61293.518000000004"/>
    <n v="-67422.869800000015"/>
    <n v="-74165.156780000019"/>
    <n v="-81581.672458000015"/>
    <n v="-89739.83970380004"/>
    <n v="-98713.82367418005"/>
    <n v="-245126.63316100001"/>
    <n v="-11144.275999999996"/>
    <n v="-12258.703599999999"/>
    <n v="-13484.57396"/>
    <n v="-14833.031356000001"/>
    <n v="-16316.334491599999"/>
    <n v="-17947.967940760005"/>
    <n v="-19742.764734836004"/>
    <n v="-174249.15316099999"/>
    <n v="-528638.26041598013"/>
    <n v="-105727.65208319599"/>
    <n v="-5.0015749754594161"/>
    <n v="-1.0922338263282967E-2"/>
    <s v="Fase de Degradação"/>
  </r>
  <r>
    <n v="656"/>
    <x v="655"/>
    <s v="TEM002-TÊMPERA POR INDUÇÃO"/>
    <n v="10000602"/>
    <s v="BR01-MOT-SAB-TRTIND-TEM002"/>
    <n v="2522"/>
    <n v="20215"/>
    <n v="1996"/>
    <n v="232228.07"/>
    <n v="3621"/>
    <n v="2542725.5399999903"/>
    <n v="1.03"/>
    <n v="4795.2647999999999"/>
    <n v="198852"/>
    <n v="1174"/>
    <n v="30"/>
    <n v="60"/>
    <n v="90"/>
    <n v="120"/>
    <n v="150"/>
    <n v="180"/>
    <n v="210"/>
    <n v="1165.96"/>
    <n v="11254"/>
    <n v="0.1"/>
    <n v="1.7084999999999999"/>
    <n v="0.8"/>
    <n v="-232228.07"/>
    <n v="-187029.48"/>
    <n v="-205732.42800000001"/>
    <n v="-226305.67080000005"/>
    <n v="-248936.23788000006"/>
    <n v="-273829.86166800006"/>
    <n v="-301212.84783480014"/>
    <n v="-331334.13261828019"/>
    <n v="-628989.72759499995"/>
    <n v="-37405.895999999993"/>
    <n v="-41146.485599999993"/>
    <n v="-45261.134160000001"/>
    <n v="-49787.247576000002"/>
    <n v="-54765.972333600002"/>
    <n v="-60242.569566960017"/>
    <n v="-66266.826523656026"/>
    <n v="319539.35240500001"/>
    <n v="-1774380.6588010804"/>
    <n v="-354876.13176021609"/>
    <n v="112.41339992083776"/>
    <n v="0.17769758718477707"/>
    <s v="Fase de Vida Útil"/>
  </r>
  <r>
    <n v="657"/>
    <x v="656"/>
    <s v="TOR019-TORNO ROMI TORMAX 30"/>
    <n v="10001262"/>
    <s v="BR01-CIL-FER-FABMOL"/>
    <n v="1074"/>
    <n v="20388"/>
    <n v="1999"/>
    <n v="45063.79"/>
    <n v="3572"/>
    <n v="41149.329999999994"/>
    <n v="0.81"/>
    <n v="4116"/>
    <n v="147062"/>
    <n v="68"/>
    <n v="2"/>
    <n v="4"/>
    <n v="6"/>
    <n v="8"/>
    <n v="10"/>
    <n v="12"/>
    <n v="14"/>
    <n v="267.93"/>
    <n v="324.0738888888888"/>
    <n v="0.1"/>
    <n v="1.5442"/>
    <n v="0.8"/>
    <n v="-45063.79"/>
    <n v="-4867.221333333332"/>
    <n v="-5353.9434666666657"/>
    <n v="-5889.3378133333326"/>
    <n v="-6478.2715946666658"/>
    <n v="-7126.0987541333334"/>
    <n v="-7838.7086295466679"/>
    <n v="-8622.5794925013361"/>
    <n v="-114651.29451800001"/>
    <n v="-973.44426666666618"/>
    <n v="-1070.788693333333"/>
    <n v="-1177.8675626666663"/>
    <n v="-1295.6543189333329"/>
    <n v="-1425.2197508266663"/>
    <n v="-1567.7417259093331"/>
    <n v="-1724.5158985002668"/>
    <n v="-93444.713184666689"/>
    <n v="-46176.161084181338"/>
    <n v="-9235.2322168362662"/>
    <n v="-11.611766521522135"/>
    <n v="-9.8218938736766404E-2"/>
    <s v="Confiabilidade em Crescimento"/>
  </r>
  <r>
    <n v="658"/>
    <x v="657"/>
    <s v="TOR020-TORNO"/>
    <n v="10003178"/>
    <s v="BR01-MOT-VIR-USIDUR-TOR020"/>
    <n v="3350"/>
    <n v="20566"/>
    <n v="2003"/>
    <n v="840125.41"/>
    <n v="17732"/>
    <n v="735110.06000000087"/>
    <n v="2.11"/>
    <n v="5334.3047999999999"/>
    <n v="179409"/>
    <n v="722"/>
    <n v="36.1"/>
    <n v="72.2"/>
    <n v="108.30000000000001"/>
    <n v="144.4"/>
    <n v="180.5"/>
    <n v="216.6"/>
    <n v="252.7"/>
    <n v="739.4"/>
    <n v="4548.63"/>
    <n v="0.1"/>
    <n v="1.1931"/>
    <n v="0.8"/>
    <n v="-840125.41"/>
    <n v="-89403.49"/>
    <n v="-98343.839000000007"/>
    <n v="-108178.22290000002"/>
    <n v="-118996.04519000002"/>
    <n v="-130895.64970900003"/>
    <n v="-143985.21467990006"/>
    <n v="-158383.7361478901"/>
    <n v="-1842479.0366710003"/>
    <n v="-17880.697999999997"/>
    <n v="-19668.767799999998"/>
    <n v="-21635.64458"/>
    <n v="-23799.209037999997"/>
    <n v="-26179.129941800002"/>
    <n v="-28797.042935980007"/>
    <n v="-31676.747229578014"/>
    <n v="-1405065.9966710005"/>
    <n v="-848186.19762679038"/>
    <n v="-169637.23952535799"/>
    <n v="-168.80886836708115"/>
    <n v="-9.0747159886320428E-2"/>
    <s v="Fase de Degradação"/>
  </r>
  <r>
    <n v="659"/>
    <x v="658"/>
    <s v="TOR021-TORNO"/>
    <n v="10004151"/>
    <s v="BR01-CIL-UCI-VOLANT-TOR021"/>
    <n v="2378"/>
    <n v="33918"/>
    <n v="2005"/>
    <n v="453503.53"/>
    <n v="117648"/>
    <n v="638465.9799999994"/>
    <n v="2.15"/>
    <n v="4899.6480000000001"/>
    <n v="149682"/>
    <n v="778"/>
    <n v="43.222222222222221"/>
    <n v="86.444444444444443"/>
    <n v="129.66666666666666"/>
    <n v="172.88888888888889"/>
    <n v="216.11111111111111"/>
    <n v="259.33333333333331"/>
    <n v="302.55555555555554"/>
    <n v="481.54"/>
    <n v="3024.43"/>
    <n v="0.1"/>
    <n v="1.0241"/>
    <n v="0.8"/>
    <n v="-453503.53"/>
    <n v="-62817.027777777781"/>
    <n v="-69098.730555555565"/>
    <n v="-76008.603611111132"/>
    <n v="-83609.463972222249"/>
    <n v="-91970.410369444478"/>
    <n v="-101167.45140638891"/>
    <n v="-111284.19654702785"/>
    <n v="-917936.49507299997"/>
    <n v="-12563.405555555553"/>
    <n v="-13819.74611111111"/>
    <n v="-15201.720722222222"/>
    <n v="-16721.892794444448"/>
    <n v="-18394.082073888891"/>
    <n v="-20233.490281277776"/>
    <n v="-22256.839309405565"/>
    <n v="-715788.71729522233"/>
    <n v="-595955.88423952786"/>
    <n v="-119191.17684790556"/>
    <n v="-79.831398240196805"/>
    <n v="-7.7088251726450743E-2"/>
    <s v="Fase de Degradação"/>
  </r>
  <r>
    <n v="660"/>
    <x v="659"/>
    <s v="TOR022-TORNO"/>
    <n v="10004216"/>
    <s v="BR01-CIL-UCI-USINA1-TOR022"/>
    <n v="4545"/>
    <n v="34086"/>
    <n v="2006"/>
    <n v="518363.28"/>
    <n v="0"/>
    <n v="1043336.249999999"/>
    <n v="1.38"/>
    <n v="5276"/>
    <n v="147439"/>
    <n v="1146"/>
    <n v="57"/>
    <n v="114"/>
    <n v="171"/>
    <n v="228"/>
    <n v="285"/>
    <n v="342"/>
    <n v="399"/>
    <n v="811.35"/>
    <n v="3559.09"/>
    <n v="0.1"/>
    <n v="0.96719999999999995"/>
    <n v="0.8"/>
    <n v="-518363.28"/>
    <n v="-97851.633000000002"/>
    <n v="-107636.79630000002"/>
    <n v="-118400.47593000003"/>
    <n v="-130240.52352300004"/>
    <n v="-143264.57587530004"/>
    <n v="-157591.03346283006"/>
    <n v="-173350.13680911312"/>
    <n v="-1019724.2444160001"/>
    <n v="-19570.326599999997"/>
    <n v="-21527.359259999997"/>
    <n v="-23680.095186000002"/>
    <n v="-26048.104704600002"/>
    <n v="-28652.915175060003"/>
    <n v="-31518.206692566004"/>
    <n v="-34670.027361822613"/>
    <n v="-521570.47641600017"/>
    <n v="-928335.17490024341"/>
    <n v="-185667.0349800486"/>
    <n v="-39.579443499400725"/>
    <n v="-3.8813869255475066E-2"/>
    <s v="Fase de Degradação"/>
  </r>
  <r>
    <n v="661"/>
    <x v="660"/>
    <s v="TOR024-TORNO"/>
    <n v="10004629"/>
    <s v="BR01-MOT-VIR-USIDUR-TOR024"/>
    <n v="3327"/>
    <n v="34462"/>
    <n v="2006"/>
    <n v="348331"/>
    <n v="0"/>
    <n v="536033.42999999912"/>
    <n v="1.43"/>
    <n v="5433.1535999999996"/>
    <n v="144293"/>
    <n v="472"/>
    <n v="26"/>
    <n v="52"/>
    <n v="78"/>
    <n v="104"/>
    <n v="130"/>
    <n v="156"/>
    <n v="182"/>
    <n v="794.35"/>
    <n v="4438.03"/>
    <n v="0.1"/>
    <n v="0.96719999999999995"/>
    <n v="0.8"/>
    <n v="-348331"/>
    <n v="-81300.406000000017"/>
    <n v="-89430.446600000025"/>
    <n v="-98373.491260000039"/>
    <n v="-108210.84038600004"/>
    <n v="-119031.92442460005"/>
    <n v="-130935.11686706007"/>
    <n v="-144028.62855376609"/>
    <n v="-685236.74320000003"/>
    <n v="-16260.081200000001"/>
    <n v="-17886.089320000003"/>
    <n v="-19674.698252000002"/>
    <n v="-21642.168077200004"/>
    <n v="-23806.384884920004"/>
    <n v="-26187.023373412008"/>
    <n v="-28805.72571075321"/>
    <n v="-271343.76719999994"/>
    <n v="-771310.85409142636"/>
    <n v="-154262.17081828523"/>
    <n v="-9.7411514181226835"/>
    <n v="-1.4215745893356939E-2"/>
    <s v="Fase de Degradação"/>
  </r>
  <r>
    <n v="662"/>
    <x v="661"/>
    <s v="TOR025-TORNO"/>
    <n v="10005080"/>
    <s v="BR01-MOT-UMG-MISCEL-TOR025"/>
    <n v="2376"/>
    <n v="34681"/>
    <n v="2007"/>
    <n v="260435.91"/>
    <n v="0"/>
    <n v="436417.84999999887"/>
    <n v="1.94"/>
    <n v="3854"/>
    <n v="135308"/>
    <n v="301"/>
    <n v="17"/>
    <n v="34"/>
    <n v="51"/>
    <n v="68"/>
    <n v="85"/>
    <n v="102"/>
    <n v="119"/>
    <n v="645.55999999999995"/>
    <n v="3013.55"/>
    <n v="0.1"/>
    <n v="0.93579999999999997"/>
    <n v="0.8"/>
    <n v="-260435.91"/>
    <n v="-51850.832000000009"/>
    <n v="-57035.91520000001"/>
    <n v="-62739.506720000019"/>
    <n v="-69013.457392000026"/>
    <n v="-75914.803131200024"/>
    <n v="-83506.283444320041"/>
    <n v="-91856.911788752055"/>
    <n v="-504151.83457800001"/>
    <n v="-10370.1664"/>
    <n v="-11407.18304"/>
    <n v="-12547.901344000002"/>
    <n v="-13802.691478400002"/>
    <n v="-15182.960626240001"/>
    <n v="-16701.256688864003"/>
    <n v="-18371.382357750408"/>
    <n v="-240183.96257800004"/>
    <n v="-491917.70967627218"/>
    <n v="-98383.541935254412"/>
    <n v="-15.802523833854615"/>
    <n v="-3.1344771059064191E-2"/>
    <s v="Fase de Degradação"/>
  </r>
  <r>
    <n v="663"/>
    <x v="662"/>
    <s v="TOR026-TORNO"/>
    <n v="10005258"/>
    <s v="BR01-CIL-UCI-USINA1-TOR026"/>
    <n v="4545"/>
    <n v="35603"/>
    <n v="2008"/>
    <n v="472223.21"/>
    <n v="0"/>
    <n v="658724.86999999953"/>
    <n v="1.35"/>
    <n v="5970"/>
    <n v="129535"/>
    <n v="918"/>
    <n v="58"/>
    <n v="116"/>
    <n v="174"/>
    <n v="232"/>
    <n v="290"/>
    <n v="348"/>
    <n v="406"/>
    <n v="540.92322000000001"/>
    <n v="3172.4"/>
    <n v="0.1"/>
    <n v="0.89119999999999999"/>
    <n v="0.8"/>
    <n v="-472223.21"/>
    <n v="-76386.581436000008"/>
    <n v="-84025.23957960002"/>
    <n v="-92427.763537560022"/>
    <n v="-101670.53989131603"/>
    <n v="-111837.59388044763"/>
    <n v="-123021.35326849241"/>
    <n v="-135323.48859534168"/>
    <n v="-893068.53475200001"/>
    <n v="-15277.316287199998"/>
    <n v="-16805.04791592"/>
    <n v="-18485.552707512001"/>
    <n v="-20334.1079782632"/>
    <n v="-22367.518776089521"/>
    <n v="-24604.270653698477"/>
    <n v="-27064.697719068332"/>
    <n v="-504191.392896"/>
    <n v="-724692.56018875784"/>
    <n v="-144938.51203775153"/>
    <n v="-44.759212371570527"/>
    <n v="-5.0118451865510977E-2"/>
    <s v="Fase de Degradação"/>
  </r>
  <r>
    <n v="664"/>
    <x v="663"/>
    <s v="TOR027-TORNO"/>
    <n v="10005284"/>
    <s v="BR01-MOT-VIR-USIDUR-TOR027"/>
    <n v="3327"/>
    <n v="35240"/>
    <n v="2008"/>
    <n v="254213.94"/>
    <n v="0"/>
    <n v="388277.7699999992"/>
    <n v="2.4500000000000002"/>
    <n v="5260.3559999999998"/>
    <n v="128025"/>
    <n v="350"/>
    <n v="23.333333333333332"/>
    <n v="46.666666666666664"/>
    <n v="70"/>
    <n v="93.333333333333329"/>
    <n v="116.66666666666666"/>
    <n v="140"/>
    <n v="163.33333333333334"/>
    <n v="564.22"/>
    <n v="3657.77"/>
    <n v="0.1"/>
    <n v="0.89119999999999999"/>
    <n v="0.8"/>
    <n v="-254213.94"/>
    <n v="-62764.210666666666"/>
    <n v="-69040.631733333343"/>
    <n v="-75944.6949066667"/>
    <n v="-83539.164397333356"/>
    <n v="-91893.080837066693"/>
    <n v="-101082.38892077339"/>
    <n v="-111190.62781285074"/>
    <n v="-480769.40332799999"/>
    <n v="-12552.84213333333"/>
    <n v="-13808.126346666666"/>
    <n v="-15188.938981333336"/>
    <n v="-16707.832879466667"/>
    <n v="-18378.616167413333"/>
    <n v="-20216.477784154675"/>
    <n v="-22238.125562570141"/>
    <n v="-161242.51266133325"/>
    <n v="-595454.79927469091"/>
    <n v="-119090.95985493815"/>
    <n v="-0.62936627260675948"/>
    <n v="-1.3090813771636394E-3"/>
    <s v="Fase de Degradação"/>
  </r>
  <r>
    <n v="665"/>
    <x v="664"/>
    <s v="TOR028-TORNO"/>
    <n v="10005296"/>
    <s v="BR01-CIL-UCI-VOLANT-TOR028"/>
    <n v="2376"/>
    <n v="35608"/>
    <n v="2008"/>
    <n v="272975.06"/>
    <n v="0"/>
    <n v="461826.61999999947"/>
    <n v="2.2200000000000002"/>
    <n v="4896.8819999999996"/>
    <n v="127790"/>
    <n v="329"/>
    <n v="21.933333333333334"/>
    <n v="43.866666666666667"/>
    <n v="65.8"/>
    <n v="87.733333333333334"/>
    <n v="109.66666666666667"/>
    <n v="131.6"/>
    <n v="153.53333333333333"/>
    <n v="616.44000000000005"/>
    <n v="1870.12"/>
    <n v="0.1"/>
    <n v="0.89119999999999999"/>
    <n v="0.8"/>
    <n v="-272975.06"/>
    <n v="-39558.2264"/>
    <n v="-43514.049040000005"/>
    <n v="-47865.453944000008"/>
    <n v="-52651.999338400019"/>
    <n v="-57917.199272240025"/>
    <n v="-63708.919199464013"/>
    <n v="-70079.811119410457"/>
    <n v="-516250.433472"/>
    <n v="-7911.6452799999979"/>
    <n v="-8702.809808"/>
    <n v="-9573.0907888000002"/>
    <n v="-10530.399867680002"/>
    <n v="-11583.439854448003"/>
    <n v="-12741.7838398928"/>
    <n v="-14015.962223882088"/>
    <n v="-314863.09907200001"/>
    <n v="-375295.65831351449"/>
    <n v="-75059.131662702886"/>
    <n v="-30.859129545884073"/>
    <n v="-5.9775503408962823E-2"/>
    <s v="Fase de Degradação"/>
  </r>
  <r>
    <n v="666"/>
    <x v="665"/>
    <s v="TOR030-TORNO"/>
    <n v="10006223"/>
    <s v="BR01-CIL-UCI-USINA2-TOR030"/>
    <n v="4545"/>
    <n v="43168"/>
    <n v="2013"/>
    <n v="561285.89"/>
    <n v="73114"/>
    <n v="660481.54999999958"/>
    <n v="1.58"/>
    <n v="5012"/>
    <n v="87829"/>
    <n v="993"/>
    <n v="92"/>
    <n v="184"/>
    <n v="276"/>
    <n v="368"/>
    <n v="460"/>
    <n v="552"/>
    <n v="644"/>
    <n v="518.34"/>
    <n v="5397.84"/>
    <n v="0.1"/>
    <n v="0.60660000000000003"/>
    <n v="0.8"/>
    <n v="-561285.89"/>
    <n v="-123707.49600000003"/>
    <n v="-136078.24560000005"/>
    <n v="-149686.07016000006"/>
    <n v="-164654.67717600006"/>
    <n v="-181120.14489360008"/>
    <n v="-199232.15938296012"/>
    <n v="-219155.37532125617"/>
    <n v="-901761.91087400005"/>
    <n v="-24741.499199999998"/>
    <n v="-27215.649120000005"/>
    <n v="-29937.214032000007"/>
    <n v="-32930.935435200001"/>
    <n v="-36224.028978720009"/>
    <n v="-39846.431876592018"/>
    <n v="-43831.075064251221"/>
    <n v="-345092.29487399978"/>
    <n v="-1173634.1685338165"/>
    <n v="-234726.83370676328"/>
    <n v="-5.1383680067067257"/>
    <n v="-5.2707918509341907E-3"/>
    <s v="Fase de Degradação"/>
  </r>
  <r>
    <n v="667"/>
    <x v="666"/>
    <s v="TOR033-TORNO"/>
    <n v="10006265"/>
    <s v="BR01-CIL-UCI-USINA2-TOR033"/>
    <n v="4545"/>
    <n v="43871"/>
    <n v="2013"/>
    <n v="642874.85"/>
    <n v="115195"/>
    <n v="620665.9299999997"/>
    <n v="1.83"/>
    <n v="4845"/>
    <n v="82873"/>
    <n v="1155"/>
    <n v="127"/>
    <n v="254"/>
    <n v="381"/>
    <n v="508"/>
    <n v="635"/>
    <n v="762"/>
    <n v="889"/>
    <n v="478.33"/>
    <n v="6331.8"/>
    <n v="0.1"/>
    <n v="0.60660000000000003"/>
    <n v="0.8"/>
    <n v="-642874.85"/>
    <n v="-150402.46100000001"/>
    <n v="-165442.70710000003"/>
    <n v="-181986.97781000007"/>
    <n v="-200185.67559100006"/>
    <n v="-220204.24315010008"/>
    <n v="-242224.66746511013"/>
    <n v="-266447.13421162119"/>
    <n v="-1032842.73401"/>
    <n v="-30080.492199999997"/>
    <n v="-33088.541420000001"/>
    <n v="-36397.395562000005"/>
    <n v="-40037.135118200007"/>
    <n v="-44040.848630020009"/>
    <n v="-48444.933493022014"/>
    <n v="-53289.426842324225"/>
    <n v="-382352.4780100002"/>
    <n v="-1426893.8663278315"/>
    <n v="-285378.77326556627"/>
    <n v="-0.93180584967640456"/>
    <n v="-8.1165089097000721E-4"/>
    <s v="Fase de Degradação"/>
  </r>
  <r>
    <n v="668"/>
    <x v="667"/>
    <s v="TOR038-TORNO MAZAK"/>
    <n v="20004148"/>
    <s v="BR01-MOT-VIR-USIDUR-TOR038"/>
    <n v="3314"/>
    <n v="54050"/>
    <n v="2021"/>
    <n v="1236392.94"/>
    <n v="1048740"/>
    <n v="56721.13"/>
    <n v="0.66"/>
    <n v="4805.9459999999999"/>
    <n v="17215"/>
    <n v="110"/>
    <n v="20"/>
    <n v="40"/>
    <n v="60"/>
    <n v="80"/>
    <n v="100"/>
    <n v="120"/>
    <n v="140"/>
    <n v="464.6"/>
    <n v="2317.7199999999998"/>
    <n v="0.1"/>
    <n v="0.1585"/>
    <n v="0.8"/>
    <n v="-1236392.94"/>
    <n v="-40815.103999999999"/>
    <n v="-44896.614400000006"/>
    <n v="-49386.275840000017"/>
    <n v="-54324.903424000011"/>
    <n v="-59757.393766400019"/>
    <n v="-65733.133143040031"/>
    <n v="-72306.446457344049"/>
    <n v="-1432361.2209900001"/>
    <n v="-8163.0207999999984"/>
    <n v="-8979.3228799999997"/>
    <n v="-9877.2551680000015"/>
    <n v="-10864.980684799999"/>
    <n v="-11951.478753280002"/>
    <n v="-13146.626628608003"/>
    <n v="-14461.289291468807"/>
    <n v="-2273315.2369900001"/>
    <n v="-387219.87103078415"/>
    <n v="-77443.974206156825"/>
    <n v="-310.18933202362467"/>
    <n v="-0.12502082921867011"/>
    <s v="Confiabilidade em Crescimento"/>
  </r>
  <r>
    <n v="669"/>
    <x v="668"/>
    <s v="TOR039-TORNO MAZAK"/>
    <n v="10006681"/>
    <s v="BR01-MOT-VIR-USIMOL-TOR039"/>
    <n v="3314"/>
    <n v="54741"/>
    <n v="2021"/>
    <n v="1358565.81"/>
    <n v="1185092"/>
    <n v="33914.35"/>
    <n v="0.97"/>
    <n v="5038.6391999999996"/>
    <n v="13247"/>
    <n v="36"/>
    <n v="13"/>
    <n v="26"/>
    <n v="39"/>
    <n v="52"/>
    <n v="65"/>
    <n v="78"/>
    <n v="91"/>
    <n v="768.95"/>
    <n v="1515.77"/>
    <n v="0.1"/>
    <n v="0.1585"/>
    <n v="0.8"/>
    <n v="-1358565.81"/>
    <n v="-31004.148999999998"/>
    <n v="-34104.563900000001"/>
    <n v="-37515.020290000008"/>
    <n v="-41266.522319000003"/>
    <n v="-45393.17455090001"/>
    <n v="-49932.492005990018"/>
    <n v="-54925.741206589024"/>
    <n v="-1573898.4908850002"/>
    <n v="-6200.8297999999977"/>
    <n v="-6820.9127799999987"/>
    <n v="-7503.0040579999995"/>
    <n v="-8253.3044637999992"/>
    <n v="-9078.6349101800006"/>
    <n v="-9986.4984011980014"/>
    <n v="-10985.148241317802"/>
    <n v="-2601151.1868850002"/>
    <n v="-294141.66327247908"/>
    <n v="-58828.332654495796"/>
    <n v="-360.52530860957381"/>
    <n v="-0.13067290728281133"/>
    <s v="Confiabilidade em Crescimento"/>
  </r>
  <r>
    <n v="670"/>
    <x v="669"/>
    <s v="TOR040-TORNO UNIVERSAL VEKER"/>
    <n v="10006686"/>
    <s v="BR01-CIL-FER-MANMOL"/>
    <n v="1074"/>
    <n v="54252"/>
    <n v="2021"/>
    <n v="68858.320000000007"/>
    <n v="60519"/>
    <n v="20012.7"/>
    <n v="1.34"/>
    <n v="4116"/>
    <n v="7596"/>
    <n v="9"/>
    <n v="4.5"/>
    <n v="9"/>
    <n v="13.5"/>
    <n v="18"/>
    <n v="22.5"/>
    <n v="27"/>
    <n v="31.5"/>
    <n v="613.89"/>
    <n v="738.32"/>
    <n v="0.1"/>
    <n v="0.1585"/>
    <n v="0.8"/>
    <n v="-68858.320000000007"/>
    <n v="-12784.579500000002"/>
    <n v="-14063.037450000003"/>
    <n v="-15469.341195000006"/>
    <n v="-17016.275314500006"/>
    <n v="-18717.902845950008"/>
    <n v="-20589.693130545013"/>
    <n v="-22648.662443599515"/>
    <n v="-79772.363720000008"/>
    <n v="-2556.9159"/>
    <n v="-2812.6074899999999"/>
    <n v="-3093.8682390000004"/>
    <n v="-3403.2550629000007"/>
    <n v="-3743.5805691900009"/>
    <n v="-4117.9386261090012"/>
    <n v="-4529.732488719902"/>
    <n v="-75206.231720000025"/>
    <n v="-121289.49187959456"/>
    <n v="-24257.898375918907"/>
    <n v="-6.1799671737606232"/>
    <n v="-4.4050945189291105E-2"/>
    <s v="Fase de Degradação"/>
  </r>
  <r>
    <n v="671"/>
    <x v="670"/>
    <s v="TOR041-TORNO HORIZONTAL MAZAK"/>
    <n v="10006740"/>
    <s v="BR01-MOT-VIR-USIDUR-TOR041"/>
    <n v="3350"/>
    <n v="55785"/>
    <n v="2021"/>
    <n v="561032.65"/>
    <n v="507570"/>
    <n v="4924.3"/>
    <n v="1.07"/>
    <n v="4922"/>
    <n v="8541"/>
    <n v="13"/>
    <n v="6.5"/>
    <n v="13"/>
    <n v="19.5"/>
    <n v="26"/>
    <n v="32.5"/>
    <n v="39"/>
    <n v="45.5"/>
    <n v="424.21"/>
    <n v="1612.2"/>
    <n v="0.1"/>
    <n v="0.1585"/>
    <n v="0.8"/>
    <n v="-561032.65"/>
    <n v="-24314.141500000002"/>
    <n v="-26745.555650000002"/>
    <n v="-29420.111215000008"/>
    <n v="-32362.122336500008"/>
    <n v="-35598.334570150015"/>
    <n v="-39158.168027165018"/>
    <n v="-43073.984829881527"/>
    <n v="-649956.32502500003"/>
    <n v="-4862.8282999999992"/>
    <n v="-5349.1111299999993"/>
    <n v="-5884.0222430000003"/>
    <n v="-6472.4244673000003"/>
    <n v="-7119.666914030001"/>
    <n v="-7831.6336054330022"/>
    <n v="-8614.7969659763039"/>
    <n v="-1033745.2410250001"/>
    <n v="-230672.41812869659"/>
    <n v="-46134.483625739304"/>
    <n v="-138.99834150314896"/>
    <n v="-0.12008222923150098"/>
    <s v="Fase de Vida Útil"/>
  </r>
  <r>
    <n v="672"/>
    <x v="671"/>
    <s v="TOR042-TORNO MAZAK VOLANTES"/>
    <n v="10006761"/>
    <s v="BR01-CIL-UCI-VOLAN4-TOR042"/>
    <n v="4547"/>
    <n v="55765"/>
    <n v="2021"/>
    <n v="792058.28"/>
    <n v="709982"/>
    <n v="27331.979999999992"/>
    <n v="0.75"/>
    <n v="4619.2896000000001"/>
    <n v="9879"/>
    <n v="59"/>
    <n v="20"/>
    <n v="40"/>
    <n v="60"/>
    <n v="80"/>
    <n v="100"/>
    <n v="120"/>
    <n v="140"/>
    <n v="426.74"/>
    <n v="1379.86"/>
    <n v="0.1"/>
    <n v="0.1585"/>
    <n v="0.8"/>
    <n v="-792058.28"/>
    <n v="-27602.432000000001"/>
    <n v="-30362.675200000005"/>
    <n v="-33398.942720000006"/>
    <n v="-36738.836992000011"/>
    <n v="-40412.720691200011"/>
    <n v="-44453.992760320019"/>
    <n v="-48899.39203635203"/>
    <n v="-917599.51738000009"/>
    <n v="-5520.4863999999989"/>
    <n v="-6072.5350399999998"/>
    <n v="-6679.788544"/>
    <n v="-7347.7673984000003"/>
    <n v="-8082.5441382400004"/>
    <n v="-8890.7985520640013"/>
    <n v="-9779.8784072704038"/>
    <n v="-1487060.04538"/>
    <n v="-261868.99239987211"/>
    <n v="-52373.798479974401"/>
    <n v="-202.58376049430035"/>
    <n v="-0.12446919452637287"/>
    <s v="Confiabilidade em Crescimento"/>
  </r>
  <r>
    <n v="673"/>
    <x v="672"/>
    <s v="TOR043-TORNO MAZAK VOLANTES"/>
    <n v="10006762"/>
    <s v="BR01-CIL-UCI-VOLAN4-TOR043"/>
    <n v="4547"/>
    <n v="56280"/>
    <n v="2022"/>
    <n v="773476.76"/>
    <n v="705850"/>
    <n v="40197.229999999989"/>
    <n v="0.92"/>
    <n v="4508.9639999999999"/>
    <n v="9679"/>
    <n v="75"/>
    <n v="32"/>
    <n v="64"/>
    <n v="96"/>
    <n v="128"/>
    <n v="160"/>
    <n v="192"/>
    <n v="224"/>
    <n v="622.16"/>
    <n v="2355.06"/>
    <n v="0.1"/>
    <n v="5.79E-2"/>
    <n v="0.8"/>
    <n v="-773476.76"/>
    <n v="-52986.824000000001"/>
    <n v="-58285.506400000006"/>
    <n v="-64114.057040000014"/>
    <n v="-70525.462744000019"/>
    <n v="-77578.009018400015"/>
    <n v="-85335.809920240034"/>
    <n v="-93869.390912264047"/>
    <n v="-818261.06440400006"/>
    <n v="-10597.364799999998"/>
    <n v="-11657.101279999999"/>
    <n v="-12822.811408"/>
    <n v="-14105.092548800001"/>
    <n v="-15515.60180368"/>
    <n v="-17067.161984048002"/>
    <n v="-18773.878182452805"/>
    <n v="-1254359.9604040002"/>
    <n v="-502695.06003490416"/>
    <n v="-100539.0120069808"/>
    <n v="-160.27928805372525"/>
    <n v="-0.10516247260261317"/>
    <s v="Confiabilidade em Crescimento"/>
  </r>
  <r>
    <n v="674"/>
    <x v="673"/>
    <s v="TOR044 - TORNO HORIZONTAL MAZAK"/>
    <n v="10006830"/>
    <s v="BR01-MOT-VIR-USIDUR-TOR044"/>
    <n v="3327"/>
    <n v="58788"/>
    <n v="2022"/>
    <n v="666052.27"/>
    <n v="643849"/>
    <n v="5052.2299999999996"/>
    <n v="0.41"/>
    <n v="4922"/>
    <n v="848"/>
    <n v="3"/>
    <n v="2"/>
    <n v="4"/>
    <n v="6"/>
    <n v="8"/>
    <n v="10"/>
    <n v="12"/>
    <n v="14"/>
    <n v="424.21"/>
    <n v="1612.2"/>
    <n v="0.1"/>
    <n v="5.79E-2"/>
    <n v="0.8"/>
    <n v="-666052.27"/>
    <n v="-22214.302"/>
    <n v="-24435.732200000002"/>
    <n v="-26879.305420000008"/>
    <n v="-29567.235962000006"/>
    <n v="-32523.959558200011"/>
    <n v="-35776.355514020019"/>
    <n v="-39353.991065422022"/>
    <n v="-704616.69643300003"/>
    <n v="-4442.8603999999987"/>
    <n v="-4887.1464399999995"/>
    <n v="-5375.8610840000001"/>
    <n v="-5913.4471923999999"/>
    <n v="-6504.7919116400008"/>
    <n v="-7155.2711028040021"/>
    <n v="-7870.798213084403"/>
    <n v="-1235374.7044329999"/>
    <n v="-210750.88171964206"/>
    <n v="-42150.176343928404"/>
    <n v="-168.55214157961234"/>
    <n v="-0.12499549823586263"/>
    <s v="Confiabilidade em Crescimento"/>
  </r>
  <r>
    <n v="675"/>
    <x v="674"/>
    <s v="TOR045 - TORNO MAZAK"/>
    <n v="10006940"/>
    <s v="BR01-CIL-UCI-USINA1-TOR045"/>
    <n v="4545"/>
    <n v="900000023372"/>
    <n v="2023"/>
    <m/>
    <m/>
    <m/>
    <m/>
    <m/>
    <m/>
    <m/>
    <s v=""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</r>
  <r>
    <n v="676"/>
    <x v="675"/>
    <s v="TOR046 - TORNO MAZAK"/>
    <n v="10006941"/>
    <s v="BR01-CIL-UCI-USINA1-TOR046"/>
    <n v="4545"/>
    <n v="900000023663"/>
    <n v="2023"/>
    <m/>
    <m/>
    <m/>
    <m/>
    <m/>
    <m/>
    <m/>
    <s v=""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</r>
  <r>
    <n v="677"/>
    <x v="676"/>
    <s v="TOR047-TORNO MAZAK VOLANTES"/>
    <n v="10006939"/>
    <s v="BR01-CIL-UCI-VOLAN4-TOR047"/>
    <n v="4547"/>
    <n v="900000021749"/>
    <n v="2022"/>
    <m/>
    <m/>
    <m/>
    <m/>
    <m/>
    <m/>
    <m/>
    <s v=""/>
    <m/>
    <m/>
    <m/>
    <m/>
    <m/>
    <m/>
    <m/>
    <m/>
    <m/>
    <n v="5.79E-2"/>
    <m/>
    <m/>
    <m/>
    <m/>
    <m/>
    <m/>
    <m/>
    <m/>
    <m/>
    <m/>
    <m/>
    <m/>
    <m/>
    <m/>
    <m/>
    <m/>
    <m/>
    <m/>
    <m/>
    <m/>
    <m/>
    <m/>
    <m/>
  </r>
  <r>
    <n v="678"/>
    <x v="677"/>
    <s v="TRO001-TROVALIZADOR"/>
    <n v="10000843"/>
    <s v="BR01-MOT-UMG-TROVAL-TRO001"/>
    <n v="2314"/>
    <n v="20703"/>
    <n v="2003"/>
    <n v="24869.78"/>
    <n v="0"/>
    <n v="196045.69999999984"/>
    <n v="0.91"/>
    <n v="3854"/>
    <n v="184103"/>
    <n v="228"/>
    <n v="5"/>
    <n v="10"/>
    <n v="15"/>
    <n v="20"/>
    <n v="25"/>
    <n v="30"/>
    <n v="35"/>
    <n v="685.99"/>
    <n v="501.24"/>
    <n v="0.1"/>
    <n v="1.1931"/>
    <n v="0.8"/>
    <n v="-24869.78"/>
    <n v="-10389.313"/>
    <n v="-11428.244300000002"/>
    <n v="-12571.068730000005"/>
    <n v="-13828.175603000003"/>
    <n v="-15210.993163300005"/>
    <n v="-16732.092479630006"/>
    <n v="-18405.301727593011"/>
    <n v="-54541.914518000005"/>
    <n v="-2077.8625999999995"/>
    <n v="-2285.6488599999998"/>
    <n v="-2514.2137460000004"/>
    <n v="-2765.6351205999999"/>
    <n v="-3042.1986326600004"/>
    <n v="-3346.4184959260006"/>
    <n v="-3681.0603455186015"/>
    <n v="-1650.8665180000244"/>
    <n v="-98565.189003523032"/>
    <n v="-19713.037800704602"/>
    <n v="3.4728909549740612"/>
    <n v="6.367379996952495E-2"/>
    <s v="Confiabilidade em Crescimento"/>
  </r>
  <r>
    <n v="679"/>
    <x v="678"/>
    <s v="TRO002-TROVALIZADOR"/>
    <n v="10000845"/>
    <s v="BR01-MOT-UMG-TROVAL-TRO002"/>
    <n v="2314"/>
    <n v="6800100300"/>
    <n v="1986"/>
    <n v="40076.620000000003"/>
    <n v="4860"/>
    <n v="143379.6999999999"/>
    <n v="1.37"/>
    <n v="3854"/>
    <n v="188743"/>
    <n v="138"/>
    <n v="4"/>
    <n v="8"/>
    <n v="12"/>
    <n v="16"/>
    <n v="20"/>
    <n v="24"/>
    <n v="28"/>
    <n v="1020.59"/>
    <n v="1052.2638888888894"/>
    <n v="0.1"/>
    <n v="2.3433461538461549"/>
    <n v="0.8"/>
    <n v="-40076.620000000003"/>
    <n v="-18380.47933333334"/>
    <n v="-20218.527266666675"/>
    <n v="-22240.379993333347"/>
    <n v="-24464.41799266668"/>
    <n v="-26910.859791933352"/>
    <n v="-29601.945771126691"/>
    <n v="-32562.140348239365"/>
    <n v="-133990.0133361539"/>
    <n v="-3676.095866666667"/>
    <n v="-4043.7054533333339"/>
    <n v="-4448.0759986666681"/>
    <n v="-4892.8835985333353"/>
    <n v="-5382.1719583866688"/>
    <n v="-5920.3891542253368"/>
    <n v="-6512.4280696478718"/>
    <n v="-45276.664002820544"/>
    <n v="-174378.75049729945"/>
    <n v="-34875.750099459881"/>
    <n v="9.3283865955088197E-2"/>
    <n v="6.71831883294453E-4"/>
    <s v="Fase de Degradação"/>
  </r>
  <r>
    <n v="680"/>
    <x v="679"/>
    <s v="TRO003-TROVALIZADOR"/>
    <n v="10000847"/>
    <s v="BR01-MOT-UMG-TROVAL-TRO003"/>
    <n v="2314"/>
    <n v="6800100200"/>
    <n v="1980"/>
    <n v="33792.29"/>
    <n v="0"/>
    <n v="123450.30999999995"/>
    <n v="1.32"/>
    <n v="3854"/>
    <n v="198086"/>
    <n v="113"/>
    <n v="2.6279069767441858"/>
    <n v="5.2558139534883717"/>
    <n v="7.8837209302325579"/>
    <n v="10.511627906976743"/>
    <n v="13.139534883720929"/>
    <n v="15.767441860465114"/>
    <n v="18.395348837209301"/>
    <n v="562.35"/>
    <n v="343"/>
    <n v="0.1"/>
    <n v="2.7242538461538484"/>
    <n v="0.8"/>
    <n v="-33792.29"/>
    <n v="-6153.1838372093025"/>
    <n v="-6768.5022209302333"/>
    <n v="-7445.3524430232583"/>
    <n v="-8189.8876873255831"/>
    <n v="-9008.8764560581421"/>
    <n v="-9909.7641016639573"/>
    <n v="-10900.740511830358"/>
    <n v="-125851.06600284623"/>
    <n v="-1230.6367674418602"/>
    <n v="-1353.7004441860463"/>
    <n v="-1489.0704886046512"/>
    <n v="-1637.9775374651163"/>
    <n v="-1801.775291211628"/>
    <n v="-1981.9528203327909"/>
    <n v="-2180.1481023660713"/>
    <n v="-94525.766467962501"/>
    <n v="-58376.307258040833"/>
    <n v="-11675.261451608163"/>
    <n v="-11.307145742344794"/>
    <n v="-8.9845450670152233E-2"/>
    <s v="Fase de Degradação"/>
  </r>
  <r>
    <n v="681"/>
    <x v="680"/>
    <s v="TRO004-TROVALIZADOR"/>
    <n v="10000849"/>
    <s v="BR01-MOT-UMG-TROVAL-TRO004"/>
    <n v="2314"/>
    <n v="6800100100"/>
    <n v="1977"/>
    <n v="60868.93"/>
    <n v="4860"/>
    <n v="131271.49999999991"/>
    <n v="0.93"/>
    <n v="3854"/>
    <n v="174028"/>
    <n v="147"/>
    <n v="3"/>
    <n v="6"/>
    <n v="9"/>
    <n v="12"/>
    <n v="15"/>
    <n v="18"/>
    <n v="21"/>
    <n v="655.48"/>
    <n v="785.42"/>
    <n v="0.1"/>
    <n v="2.9147076923076951"/>
    <n v="0.8"/>
    <n v="-60868.93"/>
    <n v="-12530.628000000001"/>
    <n v="-13783.690800000002"/>
    <n v="-15162.059880000004"/>
    <n v="-16678.265868000002"/>
    <n v="-18346.092454800004"/>
    <n v="-20180.701700280009"/>
    <n v="-22198.771870308014"/>
    <n v="-238284.06849353862"/>
    <n v="-2506.1255999999994"/>
    <n v="-2756.7381599999999"/>
    <n v="-3032.4119760000003"/>
    <n v="-3335.6531735999997"/>
    <n v="-3669.2184909600001"/>
    <n v="-4036.1403400560012"/>
    <n v="-4439.754374061602"/>
    <n v="-179351.78049353862"/>
    <n v="-118880.21057338805"/>
    <n v="-23776.042114677603"/>
    <n v="-21.148557147832602"/>
    <n v="-8.6979531431154805E-2"/>
    <s v="Confiabilidade em Crescimento"/>
  </r>
  <r>
    <n v="682"/>
    <x v="681"/>
    <s v="TRO011-TROVALIZADOR"/>
    <n v="10003004"/>
    <s v="BR01-MOT-VIR-LBIELA-TRO011"/>
    <n v="3348"/>
    <n v="20527"/>
    <n v="2002"/>
    <n v="31266.82"/>
    <n v="0"/>
    <n v="894391.49999999953"/>
    <n v="1.73"/>
    <n v="4392"/>
    <n v="181843"/>
    <n v="616"/>
    <n v="26"/>
    <n v="52"/>
    <n v="78"/>
    <n v="104"/>
    <n v="130"/>
    <n v="156"/>
    <n v="182"/>
    <n v="852.6"/>
    <n v="3338.29"/>
    <n v="0.1"/>
    <n v="1.3184"/>
    <n v="0.8"/>
    <n v="-31266.82"/>
    <n v="-68449.788"/>
    <n v="-75294.766800000012"/>
    <n v="-82824.243480000034"/>
    <n v="-91106.667828000034"/>
    <n v="-100217.33461080004"/>
    <n v="-110239.06807188006"/>
    <n v="-121262.97487906808"/>
    <n v="-72488.995488"/>
    <n v="-13689.957599999998"/>
    <n v="-15058.95336"/>
    <n v="-16564.848696000005"/>
    <n v="-18221.333565600002"/>
    <n v="-20043.466922160005"/>
    <n v="-22047.813614376006"/>
    <n v="-24252.594975813608"/>
    <n v="275982.65251199994"/>
    <n v="-649394.84366974828"/>
    <n v="-129878.96873394963"/>
    <n v="63.860982778256947"/>
    <n v="0.88097486174751372"/>
    <s v="Fase de Degradação"/>
  </r>
  <r>
    <n v="683"/>
    <x v="682"/>
    <s v="TRP027-TRANSPORTADOR DE SABRES"/>
    <n v="20001034"/>
    <s v="BR01-MOT-SAB-FINALL-TRP027"/>
    <n v="2537"/>
    <n v="42616"/>
    <n v="2012"/>
    <n v="181684.85"/>
    <n v="75742"/>
    <n v="217158.55000000008"/>
    <n v="0.87"/>
    <n v="5512"/>
    <n v="86557"/>
    <n v="170"/>
    <n v="10"/>
    <n v="20"/>
    <n v="30"/>
    <n v="40"/>
    <n v="50"/>
    <n v="60"/>
    <n v="70"/>
    <n v="503.22"/>
    <n v="1130.71"/>
    <n v="0.1"/>
    <n v="0.66500000000000004"/>
    <n v="0.8"/>
    <n v="-181684.85"/>
    <n v="-20460.792000000001"/>
    <n v="-22506.871200000005"/>
    <n v="-24757.558320000007"/>
    <n v="-27233.31415200001"/>
    <n v="-29956.645567200012"/>
    <n v="-32952.310123920019"/>
    <n v="-36247.541136312022"/>
    <n v="-302505.27525000001"/>
    <n v="-4092.1583999999993"/>
    <n v="-4501.3742400000001"/>
    <n v="-4951.5116640000006"/>
    <n v="-5446.6628304000005"/>
    <n v="-5991.3291134400015"/>
    <n v="-6590.4620247840021"/>
    <n v="-7249.5082272624031"/>
    <n v="-274083.24325"/>
    <n v="-194115.0324994321"/>
    <n v="-38823.006499886411"/>
    <n v="-31.850749892922046"/>
    <n v="-8.4206158185463481E-2"/>
    <s v="Confiabilidade em Crescimento"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4"/>
    <n v="6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5"/>
    <n v="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6"/>
    <n v="1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7"/>
    <n v="0.277985074626865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dinâmica2" cacheId="5" applyNumberFormats="0" applyBorderFormats="0" applyFontFormats="0" applyPatternFormats="0" applyAlignmentFormats="0" applyWidthHeightFormats="1" dataCaption="Valores" updatedVersion="8" minRefreshableVersion="3" preserveFormatting="0" itemPrintTitles="1" createdVersion="6" indent="0" outline="1" outlineData="1" multipleFieldFilters="0">
  <location ref="Z5:AA7" firstHeaderRow="1" firstDataRow="1" firstDataCol="1"/>
  <pivotFields count="49">
    <pivotField dataField="1" showAll="0" defaultSubtotal="0"/>
    <pivotField axis="axisRow" showAll="0">
      <items count="689"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74"/>
        <item h="1" x="75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303"/>
        <item h="1" x="305"/>
        <item h="1" x="309"/>
        <item h="1" x="311"/>
        <item h="1" x="312"/>
        <item h="1" x="313"/>
        <item h="1" x="314"/>
        <item h="1" x="315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7"/>
        <item h="1" x="328"/>
        <item h="1" x="329"/>
        <item h="1" x="330"/>
        <item h="1" x="331"/>
        <item h="1" x="332"/>
        <item h="1" x="334"/>
        <item h="1" x="357"/>
        <item h="1" x="358"/>
        <item h="1" x="359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90"/>
        <item h="1" x="391"/>
        <item h="1" x="392"/>
        <item h="1" x="393"/>
        <item h="1" x="394"/>
        <item h="1" x="395"/>
        <item h="1" x="396"/>
        <item h="1" x="403"/>
        <item h="1" x="404"/>
        <item h="1" x="405"/>
        <item h="1" x="407"/>
        <item h="1" x="409"/>
        <item h="1" x="410"/>
        <item h="1" x="411"/>
        <item h="1" x="412"/>
        <item h="1" x="413"/>
        <item x="416"/>
        <item h="1" x="417"/>
        <item h="1" x="418"/>
        <item h="1" x="419"/>
        <item h="1" x="420"/>
        <item h="1" x="421"/>
        <item h="1" x="452"/>
        <item h="1" x="454"/>
        <item h="1" x="455"/>
        <item h="1" x="472"/>
        <item h="1" x="476"/>
        <item h="1" x="478"/>
        <item h="1" x="482"/>
        <item h="1" x="490"/>
        <item h="1" x="491"/>
        <item h="1" x="492"/>
        <item h="1" x="493"/>
        <item h="1" x="495"/>
        <item h="1" x="496"/>
        <item h="1" x="497"/>
        <item h="1" x="498"/>
        <item h="1" x="499"/>
        <item h="1" x="500"/>
        <item h="1" x="501"/>
        <item h="1" x="505"/>
        <item h="1" x="506"/>
        <item h="1" x="507"/>
        <item h="1" x="514"/>
        <item h="1" x="516"/>
        <item h="1" x="517"/>
        <item h="1" x="518"/>
        <item h="1" x="519"/>
        <item h="1" x="520"/>
        <item h="1" x="521"/>
        <item h="1" x="522"/>
        <item h="1" x="523"/>
        <item h="1" x="525"/>
        <item h="1" x="526"/>
        <item h="1" x="527"/>
        <item h="1" x="528"/>
        <item h="1" x="529"/>
        <item h="1" x="531"/>
        <item h="1" x="532"/>
        <item h="1" x="533"/>
        <item h="1" x="534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9"/>
        <item h="1" x="581"/>
        <item h="1" x="582"/>
        <item h="1" x="583"/>
        <item h="1" x="584"/>
        <item h="1" x="585"/>
        <item h="1" x="586"/>
        <item h="1" x="641"/>
        <item h="1" x="655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81"/>
        <item h="1" x="683"/>
        <item h="1" x="1"/>
        <item h="1" x="2"/>
        <item h="1" x="3"/>
        <item h="1" x="69"/>
        <item h="1" x="71"/>
        <item h="1" x="72"/>
        <item h="1" x="73"/>
        <item h="1" x="201"/>
        <item h="1" x="202"/>
        <item h="1" x="203"/>
        <item h="1" x="204"/>
        <item h="1" x="205"/>
        <item h="1" x="206"/>
        <item h="1" x="235"/>
        <item h="1" x="236"/>
        <item h="1" x="237"/>
        <item h="1" x="238"/>
        <item h="1" x="239"/>
        <item h="1" x="240"/>
        <item h="1" x="241"/>
        <item h="1" x="242"/>
        <item h="1" x="304"/>
        <item h="1" x="306"/>
        <item h="1" x="307"/>
        <item h="1" x="308"/>
        <item h="1" x="333"/>
        <item h="1" x="335"/>
        <item h="1" x="345"/>
        <item h="1" x="346"/>
        <item h="1" x="397"/>
        <item h="1" x="414"/>
        <item h="1" x="422"/>
        <item h="1" x="470"/>
        <item h="1" x="471"/>
        <item h="1" x="473"/>
        <item h="1" x="474"/>
        <item h="1" x="475"/>
        <item h="1" x="477"/>
        <item h="1" x="479"/>
        <item h="1" x="494"/>
        <item h="1" x="508"/>
        <item h="1" x="509"/>
        <item h="1" x="510"/>
        <item h="1" x="512"/>
        <item h="1" x="515"/>
        <item h="1" x="530"/>
        <item h="1" x="580"/>
        <item h="1" x="587"/>
        <item h="1" x="588"/>
        <item h="1" x="590"/>
        <item h="1" x="591"/>
        <item h="1" x="592"/>
        <item h="1" x="593"/>
        <item h="1" x="594"/>
        <item h="1" x="595"/>
        <item h="1" x="603"/>
        <item h="1" x="644"/>
        <item h="1" x="645"/>
        <item h="1" x="646"/>
        <item h="1" x="647"/>
        <item h="1" x="648"/>
        <item h="1" x="649"/>
        <item h="1" x="651"/>
        <item h="1" x="253"/>
        <item h="1" x="279"/>
        <item h="1" x="291"/>
        <item h="1" x="0"/>
        <item h="1" x="70"/>
        <item h="1" x="234"/>
        <item h="1" x="244"/>
        <item h="1" x="427"/>
        <item h="1" x="428"/>
        <item h="1" x="441"/>
        <item h="1" x="442"/>
        <item h="1" x="503"/>
        <item h="1" x="504"/>
        <item h="1" x="638"/>
        <item h="1" x="639"/>
        <item h="1" x="682"/>
        <item h="1" x="360"/>
        <item h="1" x="578"/>
        <item h="1" x="614"/>
        <item h="1" x="6"/>
        <item h="1" x="243"/>
        <item h="1" x="302"/>
        <item h="1" x="677"/>
        <item h="1" x="678"/>
        <item h="1" x="679"/>
        <item h="1" x="680"/>
        <item h="1" x="76"/>
        <item h="1" x="77"/>
        <item h="1" x="79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348"/>
        <item h="1" x="349"/>
        <item h="1" x="350"/>
        <item h="1" x="351"/>
        <item h="1" x="352"/>
        <item h="1" x="356"/>
        <item h="1" x="445"/>
        <item h="1" x="456"/>
        <item h="1" x="387"/>
        <item h="1" x="388"/>
        <item h="1" x="389"/>
        <item h="1" x="589"/>
        <item h="1" x="602"/>
        <item h="1" x="615"/>
        <item h="1" x="616"/>
        <item h="1" x="617"/>
        <item h="1" x="640"/>
        <item h="1" x="642"/>
        <item h="1" x="103"/>
        <item h="1" x="310"/>
        <item h="1" x="338"/>
        <item h="1" x="353"/>
        <item h="1" x="354"/>
        <item h="1" x="426"/>
        <item h="1" x="429"/>
        <item h="1" x="430"/>
        <item h="1" x="502"/>
        <item h="1" x="511"/>
        <item h="1" x="667"/>
        <item h="1" x="668"/>
        <item h="1" x="670"/>
        <item h="1" x="5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451"/>
        <item h="1" x="453"/>
        <item h="1" x="596"/>
        <item h="1" x="597"/>
        <item h="1" x="598"/>
        <item h="1" x="599"/>
        <item h="1" x="600"/>
        <item h="1" x="601"/>
        <item h="1" x="605"/>
        <item h="1" x="606"/>
        <item h="1" x="671"/>
        <item h="1" x="672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443"/>
        <item h="1" x="444"/>
        <item h="1" x="447"/>
        <item h="1" x="448"/>
        <item h="1" x="449"/>
        <item h="1" x="450"/>
        <item h="1" x="469"/>
        <item h="1" x="480"/>
        <item h="1" x="604"/>
        <item h="1" x="465"/>
        <item h="1" x="466"/>
        <item h="1" x="467"/>
        <item h="1" x="336"/>
        <item h="1" x="398"/>
        <item h="1" x="399"/>
        <item h="1" x="486"/>
        <item h="1" x="487"/>
        <item h="1" x="607"/>
        <item h="1" x="608"/>
        <item h="1" x="609"/>
        <item h="1" x="610"/>
        <item h="1" x="611"/>
        <item h="1" x="612"/>
        <item h="1" x="613"/>
        <item h="1" x="337"/>
        <item h="1" x="339"/>
        <item h="1" x="340"/>
        <item h="1" x="406"/>
        <item h="1" x="408"/>
        <item h="1" x="458"/>
        <item h="1" x="459"/>
        <item h="1" x="461"/>
        <item h="1" x="462"/>
        <item h="1" x="484"/>
        <item h="1" x="485"/>
        <item h="1" x="650"/>
        <item h="1" x="652"/>
        <item h="1" x="653"/>
        <item h="1" x="233"/>
        <item h="1" x="245"/>
        <item h="1" x="246"/>
        <item h="1" x="247"/>
        <item h="1" x="248"/>
        <item h="1" x="249"/>
        <item h="1" x="250"/>
        <item h="1" x="251"/>
        <item h="1" x="252"/>
        <item h="1" x="347"/>
        <item h="1" x="431"/>
        <item h="1" x="440"/>
        <item h="1" x="489"/>
        <item h="1" x="524"/>
        <item h="1" x="535"/>
        <item h="1" x="656"/>
        <item h="1" x="669"/>
        <item h="1" x="4"/>
        <item h="1" x="65"/>
        <item h="1" x="66"/>
        <item h="1" x="67"/>
        <item h="1" x="78"/>
        <item h="1" x="80"/>
        <item h="1" x="81"/>
        <item h="1" x="82"/>
        <item h="1" x="97"/>
        <item h="1" x="98"/>
        <item h="1" x="99"/>
        <item h="1" x="100"/>
        <item h="1" x="101"/>
        <item h="1" x="102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16"/>
        <item h="1" x="326"/>
        <item h="1" x="341"/>
        <item h="1" x="342"/>
        <item h="1" x="343"/>
        <item h="1" x="344"/>
        <item h="1" x="355"/>
        <item h="1" x="400"/>
        <item h="1" x="401"/>
        <item h="1" x="402"/>
        <item h="1" x="415"/>
        <item h="1" x="423"/>
        <item h="1" x="424"/>
        <item h="1" x="425"/>
        <item h="1" x="432"/>
        <item h="1" x="433"/>
        <item h="1" x="434"/>
        <item h="1" x="435"/>
        <item h="1" x="436"/>
        <item h="1" x="437"/>
        <item h="1" x="438"/>
        <item h="1" x="439"/>
        <item h="1" x="446"/>
        <item h="1" x="457"/>
        <item h="1" x="460"/>
        <item h="1" x="463"/>
        <item h="1" x="464"/>
        <item h="1" x="468"/>
        <item h="1" x="481"/>
        <item h="1" x="483"/>
        <item h="1" x="488"/>
        <item h="1" x="513"/>
        <item h="1" x="536"/>
        <item h="1" x="537"/>
        <item h="1" x="538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43"/>
        <item h="1" x="654"/>
        <item h="1" x="673"/>
        <item h="1" x="674"/>
        <item h="1" x="675"/>
        <item h="1" x="676"/>
        <item h="1" x="684"/>
        <item h="1" x="685"/>
        <item h="1" x="686"/>
        <item h="1" x="687"/>
        <item h="1" x="68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numFmtId="9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2">
    <i>
      <x v="188"/>
    </i>
    <i t="grand">
      <x/>
    </i>
  </rowItems>
  <colItems count="1">
    <i/>
  </colItems>
  <dataFields count="1">
    <dataField name="Soma de ID" fld="0" baseField="1" baseItem="36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G" xr10:uid="{00000000-0013-0000-FFFF-FFFF01000000}" sourceName="TAG">
  <pivotTables>
    <pivotTable tabId="68" name="Tabela dinâmica2"/>
  </pivotTables>
  <data>
    <tabular pivotCacheId="3">
      <items count="688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97"/>
        <i x="98"/>
        <i x="99"/>
        <i x="100"/>
        <i x="101"/>
        <i x="102"/>
        <i x="103"/>
        <i x="104"/>
        <i x="105"/>
        <i x="106"/>
        <i x="107"/>
        <i x="108"/>
        <i x="109"/>
        <i x="110"/>
        <i x="111"/>
        <i x="112"/>
        <i x="113"/>
        <i x="114"/>
        <i x="115"/>
        <i x="116"/>
        <i x="117"/>
        <i x="118"/>
        <i x="119"/>
        <i x="120"/>
        <i x="121"/>
        <i x="122"/>
        <i x="123"/>
        <i x="124"/>
        <i x="125"/>
        <i x="126"/>
        <i x="127"/>
        <i x="128"/>
        <i x="129"/>
        <i x="130"/>
        <i x="131"/>
        <i x="132"/>
        <i x="133"/>
        <i x="134"/>
        <i x="135"/>
        <i x="136"/>
        <i x="137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151"/>
        <i x="152"/>
        <i x="153"/>
        <i x="154"/>
        <i x="155"/>
        <i x="156"/>
        <i x="157"/>
        <i x="158"/>
        <i x="159"/>
        <i x="160"/>
        <i x="161"/>
        <i x="162"/>
        <i x="163"/>
        <i x="164"/>
        <i x="165"/>
        <i x="166"/>
        <i x="167"/>
        <i x="168"/>
        <i x="169"/>
        <i x="170"/>
        <i x="171"/>
        <i x="172"/>
        <i x="173"/>
        <i x="174"/>
        <i x="175"/>
        <i x="176"/>
        <i x="177"/>
        <i x="178"/>
        <i x="179"/>
        <i x="180"/>
        <i x="181"/>
        <i x="182"/>
        <i x="183"/>
        <i x="184"/>
        <i x="185"/>
        <i x="186"/>
        <i x="187"/>
        <i x="188"/>
        <i x="189"/>
        <i x="190"/>
        <i x="191"/>
        <i x="192"/>
        <i x="193"/>
        <i x="194"/>
        <i x="195"/>
        <i x="196"/>
        <i x="197"/>
        <i x="198"/>
        <i x="199"/>
        <i x="200"/>
        <i x="201"/>
        <i x="202"/>
        <i x="203"/>
        <i x="204"/>
        <i x="205"/>
        <i x="206"/>
        <i x="207"/>
        <i x="208"/>
        <i x="209"/>
        <i x="210"/>
        <i x="211"/>
        <i x="212"/>
        <i x="213"/>
        <i x="214"/>
        <i x="215"/>
        <i x="216"/>
        <i x="217"/>
        <i x="218"/>
        <i x="219"/>
        <i x="220"/>
        <i x="221"/>
        <i x="222"/>
        <i x="223"/>
        <i x="224"/>
        <i x="225"/>
        <i x="226"/>
        <i x="227"/>
        <i x="228"/>
        <i x="229"/>
        <i x="230"/>
        <i x="231"/>
        <i x="232"/>
        <i x="233"/>
        <i x="234"/>
        <i x="235"/>
        <i x="236"/>
        <i x="237"/>
        <i x="238"/>
        <i x="239"/>
        <i x="240"/>
        <i x="241"/>
        <i x="242"/>
        <i x="243"/>
        <i x="244"/>
        <i x="245"/>
        <i x="246"/>
        <i x="247"/>
        <i x="248"/>
        <i x="249"/>
        <i x="250"/>
        <i x="251"/>
        <i x="252"/>
        <i x="253"/>
        <i x="254"/>
        <i x="255"/>
        <i x="256"/>
        <i x="257"/>
        <i x="258"/>
        <i x="259"/>
        <i x="260"/>
        <i x="261"/>
        <i x="262"/>
        <i x="263"/>
        <i x="264"/>
        <i x="265"/>
        <i x="266"/>
        <i x="267"/>
        <i x="268"/>
        <i x="269"/>
        <i x="270"/>
        <i x="271"/>
        <i x="272"/>
        <i x="273"/>
        <i x="274"/>
        <i x="275"/>
        <i x="276"/>
        <i x="277"/>
        <i x="278"/>
        <i x="279"/>
        <i x="280"/>
        <i x="281"/>
        <i x="282"/>
        <i x="283"/>
        <i x="284"/>
        <i x="285"/>
        <i x="286"/>
        <i x="287"/>
        <i x="288"/>
        <i x="289"/>
        <i x="290"/>
        <i x="291"/>
        <i x="292"/>
        <i x="293"/>
        <i x="294"/>
        <i x="295"/>
        <i x="296"/>
        <i x="297"/>
        <i x="298"/>
        <i x="299"/>
        <i x="300"/>
        <i x="301"/>
        <i x="302"/>
        <i x="303"/>
        <i x="304"/>
        <i x="305"/>
        <i x="306"/>
        <i x="307"/>
        <i x="308"/>
        <i x="309"/>
        <i x="310"/>
        <i x="311"/>
        <i x="312"/>
        <i x="313"/>
        <i x="314"/>
        <i x="315"/>
        <i x="316"/>
        <i x="317"/>
        <i x="318"/>
        <i x="319"/>
        <i x="320"/>
        <i x="321"/>
        <i x="322"/>
        <i x="323"/>
        <i x="324"/>
        <i x="325"/>
        <i x="326"/>
        <i x="327"/>
        <i x="328"/>
        <i x="329"/>
        <i x="330"/>
        <i x="331"/>
        <i x="332"/>
        <i x="333"/>
        <i x="334"/>
        <i x="335"/>
        <i x="336"/>
        <i x="337"/>
        <i x="338"/>
        <i x="339"/>
        <i x="340"/>
        <i x="341"/>
        <i x="342"/>
        <i x="343"/>
        <i x="344"/>
        <i x="345"/>
        <i x="346"/>
        <i x="347"/>
        <i x="348"/>
        <i x="349"/>
        <i x="350"/>
        <i x="351"/>
        <i x="352"/>
        <i x="353"/>
        <i x="354"/>
        <i x="355"/>
        <i x="356"/>
        <i x="357"/>
        <i x="358"/>
        <i x="359"/>
        <i x="360"/>
        <i x="361"/>
        <i x="362"/>
        <i x="363"/>
        <i x="364"/>
        <i x="365"/>
        <i x="366"/>
        <i x="367"/>
        <i x="368"/>
        <i x="369"/>
        <i x="370"/>
        <i x="371"/>
        <i x="372"/>
        <i x="373"/>
        <i x="374"/>
        <i x="375"/>
        <i x="376"/>
        <i x="377"/>
        <i x="378"/>
        <i x="379"/>
        <i x="380"/>
        <i x="381"/>
        <i x="382"/>
        <i x="383"/>
        <i x="384"/>
        <i x="385"/>
        <i x="386"/>
        <i x="387"/>
        <i x="388"/>
        <i x="389"/>
        <i x="390"/>
        <i x="391"/>
        <i x="392"/>
        <i x="393"/>
        <i x="394"/>
        <i x="395"/>
        <i x="396"/>
        <i x="397"/>
        <i x="398"/>
        <i x="399"/>
        <i x="400"/>
        <i x="401"/>
        <i x="402"/>
        <i x="403"/>
        <i x="404"/>
        <i x="405"/>
        <i x="406"/>
        <i x="407"/>
        <i x="408"/>
        <i x="409"/>
        <i x="410"/>
        <i x="411"/>
        <i x="412"/>
        <i x="413"/>
        <i x="414"/>
        <i x="415"/>
        <i x="416" s="1"/>
        <i x="417"/>
        <i x="418"/>
        <i x="419"/>
        <i x="420"/>
        <i x="421"/>
        <i x="422"/>
        <i x="423"/>
        <i x="424"/>
        <i x="425"/>
        <i x="426"/>
        <i x="427"/>
        <i x="428"/>
        <i x="429"/>
        <i x="430"/>
        <i x="431"/>
        <i x="432"/>
        <i x="433"/>
        <i x="434"/>
        <i x="435"/>
        <i x="436"/>
        <i x="437"/>
        <i x="438"/>
        <i x="439"/>
        <i x="440"/>
        <i x="441"/>
        <i x="442"/>
        <i x="443"/>
        <i x="444"/>
        <i x="445"/>
        <i x="446"/>
        <i x="447"/>
        <i x="448"/>
        <i x="449"/>
        <i x="450"/>
        <i x="451"/>
        <i x="452"/>
        <i x="453"/>
        <i x="454"/>
        <i x="455"/>
        <i x="456"/>
        <i x="457"/>
        <i x="458"/>
        <i x="459"/>
        <i x="460"/>
        <i x="461"/>
        <i x="462"/>
        <i x="463"/>
        <i x="464"/>
        <i x="465"/>
        <i x="466"/>
        <i x="467"/>
        <i x="468"/>
        <i x="469"/>
        <i x="470"/>
        <i x="471"/>
        <i x="472"/>
        <i x="473"/>
        <i x="474"/>
        <i x="475"/>
        <i x="476"/>
        <i x="477"/>
        <i x="478"/>
        <i x="479"/>
        <i x="480"/>
        <i x="481"/>
        <i x="482"/>
        <i x="483"/>
        <i x="484"/>
        <i x="485"/>
        <i x="486"/>
        <i x="487"/>
        <i x="488"/>
        <i x="489"/>
        <i x="490"/>
        <i x="491"/>
        <i x="492"/>
        <i x="493"/>
        <i x="494"/>
        <i x="495"/>
        <i x="496"/>
        <i x="497"/>
        <i x="498"/>
        <i x="499"/>
        <i x="500"/>
        <i x="501"/>
        <i x="502"/>
        <i x="503"/>
        <i x="504"/>
        <i x="505"/>
        <i x="506"/>
        <i x="507"/>
        <i x="508"/>
        <i x="509"/>
        <i x="510"/>
        <i x="511"/>
        <i x="512"/>
        <i x="513"/>
        <i x="514"/>
        <i x="515"/>
        <i x="516"/>
        <i x="517"/>
        <i x="518"/>
        <i x="519"/>
        <i x="520"/>
        <i x="521"/>
        <i x="522"/>
        <i x="523"/>
        <i x="524"/>
        <i x="525"/>
        <i x="526"/>
        <i x="527"/>
        <i x="528"/>
        <i x="529"/>
        <i x="530"/>
        <i x="531"/>
        <i x="532"/>
        <i x="533"/>
        <i x="534"/>
        <i x="535"/>
        <i x="536"/>
        <i x="537"/>
        <i x="538"/>
        <i x="539"/>
        <i x="540"/>
        <i x="541"/>
        <i x="542"/>
        <i x="543"/>
        <i x="544"/>
        <i x="545"/>
        <i x="546"/>
        <i x="547"/>
        <i x="548"/>
        <i x="549"/>
        <i x="550"/>
        <i x="551"/>
        <i x="552"/>
        <i x="553"/>
        <i x="554"/>
        <i x="555"/>
        <i x="556"/>
        <i x="557"/>
        <i x="558"/>
        <i x="559"/>
        <i x="560"/>
        <i x="561"/>
        <i x="562"/>
        <i x="563"/>
        <i x="564"/>
        <i x="565"/>
        <i x="566"/>
        <i x="567"/>
        <i x="568"/>
        <i x="569"/>
        <i x="570"/>
        <i x="571"/>
        <i x="572"/>
        <i x="573"/>
        <i x="574"/>
        <i x="575"/>
        <i x="576"/>
        <i x="577"/>
        <i x="578"/>
        <i x="579"/>
        <i x="580"/>
        <i x="581"/>
        <i x="582"/>
        <i x="583"/>
        <i x="584"/>
        <i x="585"/>
        <i x="586"/>
        <i x="587"/>
        <i x="588"/>
        <i x="589"/>
        <i x="590"/>
        <i x="591"/>
        <i x="592"/>
        <i x="593"/>
        <i x="594"/>
        <i x="595"/>
        <i x="596"/>
        <i x="597"/>
        <i x="598"/>
        <i x="599"/>
        <i x="600"/>
        <i x="601"/>
        <i x="602"/>
        <i x="603"/>
        <i x="604"/>
        <i x="605"/>
        <i x="606"/>
        <i x="607"/>
        <i x="608"/>
        <i x="609"/>
        <i x="610"/>
        <i x="611"/>
        <i x="612"/>
        <i x="613"/>
        <i x="614"/>
        <i x="615"/>
        <i x="616"/>
        <i x="617"/>
        <i x="618"/>
        <i x="619"/>
        <i x="620"/>
        <i x="621"/>
        <i x="622"/>
        <i x="623"/>
        <i x="624"/>
        <i x="625"/>
        <i x="626"/>
        <i x="627"/>
        <i x="628"/>
        <i x="629"/>
        <i x="630"/>
        <i x="631"/>
        <i x="632"/>
        <i x="633"/>
        <i x="634"/>
        <i x="635"/>
        <i x="636"/>
        <i x="637"/>
        <i x="638"/>
        <i x="639"/>
        <i x="640"/>
        <i x="641"/>
        <i x="642"/>
        <i x="643"/>
        <i x="644"/>
        <i x="645"/>
        <i x="646"/>
        <i x="647"/>
        <i x="648"/>
        <i x="649"/>
        <i x="650"/>
        <i x="651"/>
        <i x="652"/>
        <i x="653"/>
        <i x="654"/>
        <i x="655"/>
        <i x="656"/>
        <i x="657"/>
        <i x="658"/>
        <i x="659"/>
        <i x="660"/>
        <i x="661"/>
        <i x="662"/>
        <i x="663"/>
        <i x="664"/>
        <i x="665"/>
        <i x="666"/>
        <i x="667"/>
        <i x="668"/>
        <i x="669"/>
        <i x="670"/>
        <i x="671"/>
        <i x="672"/>
        <i x="673"/>
        <i x="674"/>
        <i x="675"/>
        <i x="676"/>
        <i x="677"/>
        <i x="678"/>
        <i x="679"/>
        <i x="680"/>
        <i x="681"/>
        <i x="682"/>
        <i x="685" nd="1"/>
        <i x="687" nd="1"/>
        <i x="686" nd="1"/>
        <i x="684" nd="1"/>
        <i x="68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i_Fab" xr10:uid="{00000000-0013-0000-FFFF-FFFF02000000}" sourceName="Mini Fab">
  <extLst>
    <x:ext xmlns:x15="http://schemas.microsoft.com/office/spreadsheetml/2010/11/main" uri="{2F2917AC-EB37-4324-AD4E-5DD8C200BD13}">
      <x15:tableSlicerCache tableId="1" column="49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K" xr10:uid="{00000000-0013-0000-FFFF-FFFF03000000}" sourceName="OK">
  <extLst>
    <x:ext xmlns:x15="http://schemas.microsoft.com/office/spreadsheetml/2010/11/main" uri="{2F2917AC-EB37-4324-AD4E-5DD8C200BD13}">
      <x15:tableSlicerCache tableId="1" column="5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ni Fab" xr10:uid="{00000000-0014-0000-FFFF-FFFF01000000}" cache="SegmentaçãodeDados_Mini_Fab" caption="Mini Fab" style="SlicerStyleOther1" rowHeight="241300"/>
  <slicer name="OK" xr10:uid="{00000000-0014-0000-FFFF-FFFF02000000}" cache="SegmentaçãodeDados_OK" caption="OK" style="SlicerStyleLight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 1" xr10:uid="{00000000-0014-0000-FFFF-FFFF04000000}" cache="SegmentaçãodeDados_TAG" caption="TAG" startItem="13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" xr10:uid="{00000000-0014-0000-FFFF-FFFF03000000}" cache="SegmentaçãodeDados_TAG" caption="TAG" startItem="41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G 2" xr10:uid="{00000000-0014-0000-FFFF-FFFF05000000}" cache="SegmentaçãodeDados_TAG" caption="TAG" startItem="13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1:AZ684" totalsRowShown="0" headerRowDxfId="81" headerRowBorderDxfId="80" tableBorderDxfId="79">
  <autoFilter ref="A1:AZ684" xr:uid="{00000000-0009-0000-0100-000001000000}">
    <filterColumn colId="2">
      <filters>
        <filter val="LAS001-MÁQUINA LASER DE CORTE E SOLDA"/>
        <filter val="LAS003-MÁQUINA LASER DE CORTE"/>
        <filter val="LAS005-MÁQUINA LASER DE SOLDA"/>
        <filter val="LAS006-MÁQUINA LASER DE GRAVAÇÃO"/>
        <filter val="LAS007-MÁQUINA LASER DE CORTE DE STELLIT"/>
        <filter val="LAS009-MÁQUINA LASER DE GRAVAÇÃO"/>
        <filter val="LAS011-MÁQUINA DE CORTE À LASER"/>
      </filters>
    </filterColumn>
    <filterColumn colId="4">
      <filters>
        <filter val="BR01-MOT-SAB-LASERS-LAS001"/>
        <filter val="BR01-MOT-SAB-LASERS-LAS003"/>
        <filter val="BR01-MOT-SAB-LASERS-LAS005"/>
        <filter val="BR01-MOT-SAB-LASERS-LAS007"/>
        <filter val="BR01-MOT-SAB-LASERS-LAS011"/>
      </filters>
    </filterColumn>
    <filterColumn colId="49">
      <filters>
        <filter val="UMC"/>
      </filters>
    </filterColumn>
  </autoFilter>
  <tableColumns count="52">
    <tableColumn id="1" xr3:uid="{00000000-0010-0000-0100-000001000000}" name="ID" dataDxfId="78"/>
    <tableColumn id="2" xr3:uid="{00000000-0010-0000-0100-000002000000}" name="TAG" dataDxfId="77"/>
    <tableColumn id="3" xr3:uid="{00000000-0010-0000-0100-000003000000}" name="Denominação" dataDxfId="76"/>
    <tableColumn id="4" xr3:uid="{00000000-0010-0000-0100-000004000000}" name="Nº SAP" dataDxfId="75"/>
    <tableColumn id="53" xr3:uid="{00000000-0010-0000-0100-000035000000}" name="Local Instalação" dataDxfId="74"/>
    <tableColumn id="5" xr3:uid="{00000000-0010-0000-0100-000005000000}" name="Centro Custo" dataDxfId="73"/>
    <tableColumn id="6" xr3:uid="{00000000-0010-0000-0100-000006000000}" name="Imobilizado" dataDxfId="72"/>
    <tableColumn id="7" xr3:uid="{00000000-0010-0000-0100-000007000000}" name="Ano Aquisição" dataDxfId="71"/>
    <tableColumn id="8" xr3:uid="{00000000-0010-0000-0100-000008000000}" name="Valor de Aquisição Atual" dataDxfId="70"/>
    <tableColumn id="9" xr3:uid="{00000000-0010-0000-0100-000009000000}" name="Valor Residual Atual" dataDxfId="69"/>
    <tableColumn id="10" xr3:uid="{00000000-0010-0000-0100-00000A000000}" name="Custo de Manut. Total" dataDxfId="68"/>
    <tableColumn id="11" xr3:uid="{00000000-0010-0000-0100-00000B000000}" name="Beta" dataDxfId="67"/>
    <tableColumn id="12" xr3:uid="{00000000-0010-0000-0100-00000C000000}" name="Tempo de Missão (Horas Trab Ano)" dataDxfId="66"/>
    <tableColumn id="13" xr3:uid="{00000000-0010-0000-0100-00000D000000}" name="Tempo Total" dataDxfId="65"/>
    <tableColumn id="14" xr3:uid="{00000000-0010-0000-0100-00000E000000}" name="Qtd Falhas Totais" dataDxfId="64"/>
    <tableColumn id="15" xr3:uid="{00000000-0010-0000-0100-00000F000000}" name="Falha Ano 1" dataDxfId="63">
      <calculatedColumnFormula>IFERROR(VLOOKUP(Tabela1[[#This Row],[TAG]],#REF!,14,FALSE),"")</calculatedColumnFormula>
    </tableColumn>
    <tableColumn id="16" xr3:uid="{00000000-0010-0000-0100-000010000000}" name="Falha Ano 2" dataDxfId="62">
      <calculatedColumnFormula>P2+P2</calculatedColumnFormula>
    </tableColumn>
    <tableColumn id="17" xr3:uid="{00000000-0010-0000-0100-000011000000}" name="Falha Ano 3" dataDxfId="61">
      <calculatedColumnFormula>Q2+P2</calculatedColumnFormula>
    </tableColumn>
    <tableColumn id="18" xr3:uid="{00000000-0010-0000-0100-000012000000}" name="Falha Ano 4" dataDxfId="60">
      <calculatedColumnFormula>R2+P2</calculatedColumnFormula>
    </tableColumn>
    <tableColumn id="19" xr3:uid="{00000000-0010-0000-0100-000013000000}" name="Falha Ano 5" dataDxfId="59">
      <calculatedColumnFormula>S2+P2</calculatedColumnFormula>
    </tableColumn>
    <tableColumn id="20" xr3:uid="{00000000-0010-0000-0100-000014000000}" name="Falha Ano 6" dataDxfId="58">
      <calculatedColumnFormula>T2+P2</calculatedColumnFormula>
    </tableColumn>
    <tableColumn id="21" xr3:uid="{00000000-0010-0000-0100-000015000000}" name="Falha Ano 7" dataDxfId="57">
      <calculatedColumnFormula>U2+P2</calculatedColumnFormula>
    </tableColumn>
    <tableColumn id="22" xr3:uid="{00000000-0010-0000-0100-000016000000}" name="Custo Esperado por Corretiva" dataDxfId="56"/>
    <tableColumn id="23" xr3:uid="{00000000-0010-0000-0100-000017000000}" name="Custo Esperado Preventiva Mensal" dataDxfId="55"/>
    <tableColumn id="24" xr3:uid="{00000000-0010-0000-0100-000018000000}" name="Taxa" dataDxfId="54"/>
    <tableColumn id="25" xr3:uid="{00000000-0010-0000-0100-000019000000}" name="Acréscimo Aquisição" dataDxfId="53">
      <calculatedColumnFormula>IF(Tabela1[[#This Row],[Ano Aquisição]]=2023,0,IFERROR(VLOOKUP(H2,inflação!$F:$H,3,FALSE),""))</calculatedColumnFormula>
    </tableColumn>
    <tableColumn id="26" xr3:uid="{00000000-0010-0000-0100-00001A000000}" name="Red. Custo Manut." dataDxfId="52"/>
    <tableColumn id="27" xr3:uid="{00000000-0010-0000-0100-00001B000000}" name="0 - Atual" dataDxfId="51">
      <calculatedColumnFormula>I2*-1</calculatedColumnFormula>
    </tableColumn>
    <tableColumn id="28" xr3:uid="{00000000-0010-0000-0100-00001C000000}" name="1" dataDxfId="50">
      <calculatedColumnFormula>-(((P2*$W2)+($X2*12))*((1+$Y2)^AC$1))</calculatedColumnFormula>
    </tableColumn>
    <tableColumn id="29" xr3:uid="{00000000-0010-0000-0100-00001D000000}" name="2" dataDxfId="49">
      <calculatedColumnFormula>-((((Q2-P2)*$W2)+($X2*12))*((1+$Y2)^AD$1))</calculatedColumnFormula>
    </tableColumn>
    <tableColumn id="30" xr3:uid="{00000000-0010-0000-0100-00001E000000}" name="3" dataDxfId="48">
      <calculatedColumnFormula>-((((R2-Q2)*$W2)+($X2*12))*((1+$Y2)^AE$1))</calculatedColumnFormula>
    </tableColumn>
    <tableColumn id="31" xr3:uid="{00000000-0010-0000-0100-00001F000000}" name="4" dataDxfId="47">
      <calculatedColumnFormula>-((((S2-R2)*$W2)+($X2*12))*((1+$Y2)^AF$1))</calculatedColumnFormula>
    </tableColumn>
    <tableColumn id="32" xr3:uid="{00000000-0010-0000-0100-000020000000}" name="5" dataDxfId="46">
      <calculatedColumnFormula>-((((T2-S2)*$W2)+($X2*12))*((1+$Y2)^AG$1))</calculatedColumnFormula>
    </tableColumn>
    <tableColumn id="33" xr3:uid="{00000000-0010-0000-0100-000021000000}" name="6" dataDxfId="45">
      <calculatedColumnFormula>-((((U2-T2)*$W2)+($X2*12))*((1+$Y2)^AH$1))</calculatedColumnFormula>
    </tableColumn>
    <tableColumn id="34" xr3:uid="{00000000-0010-0000-0100-000022000000}" name="7" dataDxfId="44">
      <calculatedColumnFormula>-((((V2-U2)*$W2)+($X2*12))*((1+$Y2)^AI$1))</calculatedColumnFormula>
    </tableColumn>
    <tableColumn id="35" xr3:uid="{00000000-0010-0000-0100-000023000000}" name="0 - Novo" dataDxfId="43">
      <calculatedColumnFormula>-(I2*(1+Z2))</calculatedColumnFormula>
    </tableColumn>
    <tableColumn id="36" xr3:uid="{00000000-0010-0000-0100-000024000000}" name="12" dataDxfId="42">
      <calculatedColumnFormula>AC2*(1-$AA2)</calculatedColumnFormula>
    </tableColumn>
    <tableColumn id="37" xr3:uid="{00000000-0010-0000-0100-000025000000}" name="23" dataDxfId="41">
      <calculatedColumnFormula>AD2*(1-$AA2)</calculatedColumnFormula>
    </tableColumn>
    <tableColumn id="38" xr3:uid="{00000000-0010-0000-0100-000026000000}" name="34" dataDxfId="40">
      <calculatedColumnFormula>AE2*(1-$AA2)</calculatedColumnFormula>
    </tableColumn>
    <tableColumn id="39" xr3:uid="{00000000-0010-0000-0100-000027000000}" name="45" dataDxfId="39">
      <calculatedColumnFormula>AF2*(1-$AA2)</calculatedColumnFormula>
    </tableColumn>
    <tableColumn id="40" xr3:uid="{00000000-0010-0000-0100-000028000000}" name="56" dataDxfId="38">
      <calculatedColumnFormula>AG2*(1-$AA2)</calculatedColumnFormula>
    </tableColumn>
    <tableColumn id="41" xr3:uid="{00000000-0010-0000-0100-000029000000}" name="67" dataDxfId="37">
      <calculatedColumnFormula>AH2*(1-$AA2)</calculatedColumnFormula>
    </tableColumn>
    <tableColumn id="42" xr3:uid="{00000000-0010-0000-0100-00002A000000}" name="78" dataDxfId="36">
      <calculatedColumnFormula>AI2*(1-$AA2)</calculatedColumnFormula>
    </tableColumn>
    <tableColumn id="43" xr3:uid="{00000000-0010-0000-0100-00002B000000}" name="POTENCIAL GANHO" dataDxfId="35">
      <calculatedColumnFormula>(NPV(Y2,AK2,AL2,AM2,AN2,AO2,AP2,AQ2)+(SUM(AJ2,(J2*-1))))-(NPV(Y2,AC2,AD2,AE2,AF2,AG2,AH2,AI2))</calculatedColumnFormula>
    </tableColumn>
    <tableColumn id="44" xr3:uid="{00000000-0010-0000-0100-00002C000000}" name="Custo Esperado Atual" dataDxfId="34">
      <calculatedColumnFormula>SUM(AC2:AI2)</calculatedColumnFormula>
    </tableColumn>
    <tableColumn id="45" xr3:uid="{00000000-0010-0000-0100-00002D000000}" name="Custo Esperado Novo" dataDxfId="33">
      <calculatedColumnFormula>SUM(AK2:AQ2)</calculatedColumnFormula>
    </tableColumn>
    <tableColumn id="46" xr3:uid="{00000000-0010-0000-0100-00002E000000}" name="Profit" dataDxfId="32">
      <calculatedColumnFormula>(((AVERAGE(AC2:AI2)/1000)-(AVERAGE(AK2:AQ2)/1000))+(((AJ2/1000)*-1)/7)+((J2/1000)/7))*-1</calculatedColumnFormula>
    </tableColumn>
    <tableColumn id="47" xr3:uid="{00000000-0010-0000-0100-00002F000000}" name="ROI" dataDxfId="31">
      <calculatedColumnFormula>AU2/(((J2/1000)+((AJ2*-1)/1000)))</calculatedColumnFormula>
    </tableColumn>
    <tableColumn id="48" xr3:uid="{00000000-0010-0000-0100-000030000000}" name="Fase" dataDxfId="30">
      <calculatedColumnFormula>IF(L2&gt;1.1,"Fase de Degradação",IF(L2&lt;1,"Confiabilidade em Crescimento","Fase de Vida Útil"))</calculatedColumnFormula>
    </tableColumn>
    <tableColumn id="49" xr3:uid="{00000000-0010-0000-0100-000031000000}" name="Mini Fab" dataDxfId="29">
      <calculatedColumnFormula>VLOOKUP(D2,#REF!,5,FALSE)</calculatedColumnFormula>
    </tableColumn>
    <tableColumn id="51" xr3:uid="{00000000-0010-0000-0100-000033000000}" name="OBS" dataDxfId="28"/>
    <tableColumn id="50" xr3:uid="{00000000-0010-0000-0100-000032000000}" name="OK" dataDxfId="2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20" dT="2026-05-13T12:52:10.18" personId="{A636C000-82F4-4A48-8D0A-AB4A4FAF3DC6}" id="{C547287E-3A5F-41F4-97CD-70C431A48587}">
    <text>1,16 - última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0" tint="-0.14999847407452621"/>
  </sheetPr>
  <dimension ref="A1:AI688"/>
  <sheetViews>
    <sheetView showGridLines="0" zoomScale="70" zoomScaleNormal="70" workbookViewId="0">
      <selection activeCell="N6" sqref="N6"/>
    </sheetView>
  </sheetViews>
  <sheetFormatPr defaultRowHeight="14" x14ac:dyDescent="0.3"/>
  <cols>
    <col min="1" max="1" width="5.5" style="1" customWidth="1"/>
    <col min="2" max="2" width="7.58203125" customWidth="1"/>
    <col min="3" max="4" width="12.58203125" style="1" customWidth="1"/>
    <col min="5" max="5" width="17.5" style="1" customWidth="1"/>
    <col min="6" max="6" width="35.75" style="14" hidden="1" customWidth="1"/>
    <col min="7" max="7" width="10" style="1" customWidth="1"/>
    <col min="8" max="8" width="10.08203125" style="1" customWidth="1"/>
    <col min="9" max="9" width="29.33203125" style="1" customWidth="1"/>
    <col min="10" max="10" width="15.75" style="1" customWidth="1"/>
    <col min="11" max="11" width="21.08203125" style="14" hidden="1" customWidth="1"/>
    <col min="12" max="12" width="18.5" style="14" hidden="1" customWidth="1"/>
    <col min="13" max="13" width="17.33203125" style="14" hidden="1" customWidth="1"/>
    <col min="14" max="14" width="12.83203125" style="14" customWidth="1"/>
    <col min="15" max="15" width="13.75" customWidth="1"/>
    <col min="16" max="16" width="13.75" style="1" customWidth="1"/>
    <col min="17" max="17" width="12.83203125" customWidth="1"/>
    <col min="18" max="18" width="4.25" customWidth="1"/>
    <col min="20" max="20" width="13.5" customWidth="1"/>
    <col min="21" max="21" width="13.08203125" bestFit="1" customWidth="1"/>
  </cols>
  <sheetData>
    <row r="1" spans="1:35" ht="14.5" thickBot="1" x14ac:dyDescent="0.35"/>
    <row r="2" spans="1:35" ht="17.5" thickBot="1" x14ac:dyDescent="0.35">
      <c r="B2" s="487" t="s">
        <v>425</v>
      </c>
      <c r="C2" s="488"/>
      <c r="D2" s="489"/>
      <c r="E2" s="488"/>
      <c r="F2" s="489"/>
      <c r="G2" s="488"/>
      <c r="H2" s="488"/>
      <c r="I2" s="488"/>
      <c r="J2" s="488"/>
      <c r="K2" s="488"/>
      <c r="L2" s="488"/>
      <c r="M2" s="488"/>
      <c r="N2" s="488"/>
      <c r="O2" s="490"/>
      <c r="Q2" s="15"/>
      <c r="R2" s="15"/>
    </row>
    <row r="3" spans="1:35" x14ac:dyDescent="0.3">
      <c r="B3" s="17"/>
      <c r="C3" s="17"/>
      <c r="D3" s="17"/>
      <c r="E3" s="17"/>
      <c r="F3" s="245"/>
      <c r="G3" s="246" t="str">
        <f>IFERROR(VLOOKUP(C3,#REF!,4,FALSE),"")</f>
        <v/>
      </c>
      <c r="H3" s="247" t="e">
        <f>VLOOKUP(C3,Dados!B:AW,10,0)</f>
        <v>#N/A</v>
      </c>
      <c r="I3" s="17" t="e">
        <f>(VLOOKUP(C3,Dados!B:AW,47,0))</f>
        <v>#N/A</v>
      </c>
      <c r="J3" s="17"/>
      <c r="K3" s="17">
        <f>IFERROR((VLOOKUP(C3,Dados!B:AW,43,0)),0)</f>
        <v>0</v>
      </c>
      <c r="L3" s="17">
        <f>IFERROR((VLOOKUP(C3,Dados!B:AW,44,0)),0)</f>
        <v>0</v>
      </c>
      <c r="M3" s="17">
        <f>IFERROR((VLOOKUP(C3,Dados!B:AW,42,0)),0)</f>
        <v>0</v>
      </c>
      <c r="N3" s="17">
        <f>IFERROR((VLOOKUP(C3,Dados!B:AW,46,0)),0)</f>
        <v>0</v>
      </c>
      <c r="O3" s="17" t="e">
        <f>IF(AND(J3="Parcial",N3&gt;0,H3&gt;1),-1,IF(AND(J3="Parcial",N3&gt;0,H3&lt;1.1),1,IF(AND(J3="Parcial",N3&lt;0,H3&gt;1.09),-1,IF(J3="Total",-1,IF(H3&gt;1.09,1,2)))))</f>
        <v>#N/A</v>
      </c>
      <c r="Q3" s="15"/>
      <c r="R3" s="15"/>
    </row>
    <row r="4" spans="1:35" ht="26.25" customHeight="1" x14ac:dyDescent="0.3">
      <c r="B4" s="491" t="s">
        <v>18</v>
      </c>
      <c r="C4" s="492" t="s">
        <v>46</v>
      </c>
      <c r="D4" s="493" t="s">
        <v>730</v>
      </c>
      <c r="E4" s="492" t="s">
        <v>2126</v>
      </c>
      <c r="F4" s="491" t="s">
        <v>49</v>
      </c>
      <c r="G4" s="394"/>
      <c r="H4" s="386"/>
      <c r="I4" s="386" t="s">
        <v>731</v>
      </c>
      <c r="J4" s="386"/>
      <c r="K4" s="395" t="s">
        <v>1668</v>
      </c>
      <c r="L4" s="394" t="s">
        <v>1669</v>
      </c>
      <c r="M4" s="396"/>
      <c r="N4" s="397" t="s">
        <v>429</v>
      </c>
      <c r="O4" s="396"/>
      <c r="R4" s="15"/>
      <c r="AB4">
        <v>-1</v>
      </c>
      <c r="AC4">
        <f>COUNTIF($AC$7:$AC$540,$AB4)</f>
        <v>132</v>
      </c>
      <c r="AD4">
        <f>COUNTIF($AD$7:$AD$540,$AB4)</f>
        <v>127</v>
      </c>
      <c r="AE4">
        <f>COUNTIF($AE$7:$AE$540,$AB4)</f>
        <v>127</v>
      </c>
    </row>
    <row r="5" spans="1:35" ht="30" customHeight="1" x14ac:dyDescent="0.3">
      <c r="B5" s="491"/>
      <c r="C5" s="492"/>
      <c r="D5" s="494"/>
      <c r="E5" s="492"/>
      <c r="F5" s="491"/>
      <c r="G5" s="386" t="s">
        <v>2152</v>
      </c>
      <c r="H5" s="386" t="s">
        <v>2153</v>
      </c>
      <c r="I5" s="386" t="s">
        <v>729</v>
      </c>
      <c r="J5" s="386" t="s">
        <v>1670</v>
      </c>
      <c r="K5" s="386" t="s">
        <v>720</v>
      </c>
      <c r="L5" s="386" t="s">
        <v>721</v>
      </c>
      <c r="M5" s="386" t="s">
        <v>724</v>
      </c>
      <c r="N5" s="386" t="s">
        <v>110</v>
      </c>
      <c r="O5" s="386" t="s">
        <v>424</v>
      </c>
      <c r="S5" s="223"/>
      <c r="T5" s="199" t="s">
        <v>1608</v>
      </c>
      <c r="V5" s="222" t="s">
        <v>1607</v>
      </c>
      <c r="AB5">
        <v>1</v>
      </c>
      <c r="AC5">
        <f>COUNTIF($AC$7:$AC$540,$AB5)</f>
        <v>2</v>
      </c>
      <c r="AD5">
        <f>COUNTIF($AD$7:$AD$540,$AB5)</f>
        <v>2</v>
      </c>
      <c r="AE5">
        <f>COUNTIF($AE$7:$AE$540,$AB5)</f>
        <v>162</v>
      </c>
      <c r="AH5" t="s">
        <v>807</v>
      </c>
      <c r="AI5" t="str">
        <f>CONCATENATE(AH5,"*")</f>
        <v>MOD012*</v>
      </c>
    </row>
    <row r="6" spans="1:35" ht="25" x14ac:dyDescent="0.3">
      <c r="B6" s="16">
        <v>293</v>
      </c>
      <c r="C6" s="16" t="s">
        <v>1993</v>
      </c>
      <c r="D6" s="16" t="s">
        <v>1589</v>
      </c>
      <c r="E6" s="16" t="s">
        <v>1666</v>
      </c>
      <c r="F6" s="200" t="s">
        <v>1966</v>
      </c>
      <c r="G6" s="189" t="str">
        <f>IFERROR(VLOOKUP(C6,#REF!,4,FALSE),"")</f>
        <v/>
      </c>
      <c r="H6" s="249">
        <f>VLOOKUP(C6,Dados!B:AW,11,0)</f>
        <v>0</v>
      </c>
      <c r="I6" s="16" t="str">
        <f>(VLOOKUP(C6,Dados!B:AW,48,0))</f>
        <v>Confiabilidade em Crescimento</v>
      </c>
      <c r="J6" s="189" t="s">
        <v>732</v>
      </c>
      <c r="K6" s="177">
        <f>IFERROR((VLOOKUP(C6,Dados!B:AW,44,0)),0)</f>
        <v>0</v>
      </c>
      <c r="L6" s="177">
        <f>IFERROR((VLOOKUP(C6,Dados!B:AW,45,0)),0)</f>
        <v>0</v>
      </c>
      <c r="M6" s="177">
        <f>IFERROR((VLOOKUP(C6,Dados!B:AW,43,0)),0)</f>
        <v>0</v>
      </c>
      <c r="N6" s="179">
        <f>IFERROR((VLOOKUP(C6,Dados!B:AW,47,0)),0)</f>
        <v>0</v>
      </c>
      <c r="O6" s="197">
        <f t="shared" ref="O6:O69" si="0">IF(AND(J6="Parcial",N6&gt;0,H6&gt;1),-1,IF(AND(J6="Parcial",N6&gt;0,H6&lt;1.1),1,IF(AND(J6="Parcial",N6&lt;0,H6&gt;1.09),-1,IF(J6="Total",-1,IF(H6&gt;1.09,1,2)))))</f>
        <v>2</v>
      </c>
      <c r="P6" s="1">
        <f t="shared" ref="P6:P69" si="1">IF(G6="",0,IF(H6&gt;G6,-1,1))</f>
        <v>0</v>
      </c>
      <c r="Q6" s="221"/>
      <c r="S6" s="197">
        <v>-1</v>
      </c>
      <c r="T6" s="198" t="s">
        <v>427</v>
      </c>
      <c r="AB6">
        <v>2</v>
      </c>
      <c r="AC6">
        <f>COUNTIF($AC$7:$AC$540,$AB6)</f>
        <v>399</v>
      </c>
      <c r="AD6">
        <f>COUNTIF($AD$7:$AD$540,$AB6)</f>
        <v>404</v>
      </c>
      <c r="AE6">
        <f>COUNTIF($AE$7:$AE$540,$AB6)</f>
        <v>244</v>
      </c>
      <c r="AH6" t="s">
        <v>470</v>
      </c>
      <c r="AI6" t="str">
        <f t="shared" ref="AI6:AI67" si="2">CONCATENATE(AH6,"*")</f>
        <v>ROB040*</v>
      </c>
    </row>
    <row r="7" spans="1:35" ht="26.25" customHeight="1" x14ac:dyDescent="0.3">
      <c r="A7"/>
      <c r="B7" s="16">
        <v>328</v>
      </c>
      <c r="C7" s="16" t="s">
        <v>709</v>
      </c>
      <c r="D7" s="16" t="s">
        <v>1586</v>
      </c>
      <c r="E7" s="16" t="s">
        <v>1666</v>
      </c>
      <c r="F7" s="200" t="s">
        <v>710</v>
      </c>
      <c r="G7" s="189" t="str">
        <f>IFERROR(VLOOKUP(C7,#REF!,4,FALSE),"")</f>
        <v/>
      </c>
      <c r="H7" s="249">
        <f>VLOOKUP(C7,Dados!B:AW,11,0)</f>
        <v>0.77</v>
      </c>
      <c r="I7" s="16" t="str">
        <f>(VLOOKUP(C7,Dados!B:AW,48,0))</f>
        <v>Confiabilidade em Crescimento</v>
      </c>
      <c r="J7" s="189" t="s">
        <v>732</v>
      </c>
      <c r="K7" s="177">
        <f>IFERROR((VLOOKUP(C7,Dados!B:AW,44,0)),0)</f>
        <v>0</v>
      </c>
      <c r="L7" s="177">
        <f>IFERROR((VLOOKUP(C7,Dados!B:AW,45,0)),0)</f>
        <v>0</v>
      </c>
      <c r="M7" s="177">
        <f>IFERROR((VLOOKUP(C7,Dados!B:AW,43,0)),0)</f>
        <v>0</v>
      </c>
      <c r="N7" s="179">
        <f>IFERROR((VLOOKUP(C7,Dados!B:AW,47,0)),0)</f>
        <v>0</v>
      </c>
      <c r="O7" s="197">
        <f t="shared" si="0"/>
        <v>2</v>
      </c>
      <c r="P7" s="1">
        <f t="shared" si="1"/>
        <v>0</v>
      </c>
      <c r="Q7" s="221"/>
      <c r="S7" s="197">
        <v>1</v>
      </c>
      <c r="T7" s="199" t="s">
        <v>428</v>
      </c>
      <c r="AC7">
        <v>-1</v>
      </c>
      <c r="AD7">
        <v>-1</v>
      </c>
      <c r="AE7">
        <v>-1</v>
      </c>
      <c r="AH7" t="s">
        <v>468</v>
      </c>
      <c r="AI7" t="str">
        <f t="shared" si="2"/>
        <v>ROB038*</v>
      </c>
    </row>
    <row r="8" spans="1:35" ht="26.25" customHeight="1" x14ac:dyDescent="0.3">
      <c r="A8"/>
      <c r="B8" s="16">
        <v>17</v>
      </c>
      <c r="C8" s="16" t="s">
        <v>531</v>
      </c>
      <c r="D8" s="16" t="s">
        <v>1586</v>
      </c>
      <c r="E8" s="16" t="s">
        <v>2072</v>
      </c>
      <c r="F8" s="200" t="s">
        <v>560</v>
      </c>
      <c r="G8" s="189" t="str">
        <f>IFERROR(VLOOKUP(C8,#REF!,4,FALSE),"")</f>
        <v/>
      </c>
      <c r="H8" s="250">
        <f>VLOOKUP(C8,Dados!B:AW,11,0)</f>
        <v>1.64</v>
      </c>
      <c r="I8" s="16" t="str">
        <f>(VLOOKUP(C8,Dados!B:AW,48,0))</f>
        <v>Fase de Degradação</v>
      </c>
      <c r="J8" s="189" t="s">
        <v>733</v>
      </c>
      <c r="K8" s="177">
        <f>IFERROR((VLOOKUP(C8,Dados!B:AW,44,0)),0)</f>
        <v>0</v>
      </c>
      <c r="L8" s="177">
        <f>IFERROR((VLOOKUP(C8,Dados!B:AW,45,0)),0)</f>
        <v>0</v>
      </c>
      <c r="M8" s="177">
        <f>IFERROR((VLOOKUP(C8,Dados!B:AW,43,0)),0)</f>
        <v>0</v>
      </c>
      <c r="N8" s="179">
        <f>IFERROR((VLOOKUP(C8,Dados!B:AW,47,0)),0)</f>
        <v>0</v>
      </c>
      <c r="O8" s="197">
        <f t="shared" si="0"/>
        <v>-1</v>
      </c>
      <c r="P8" s="1">
        <f t="shared" si="1"/>
        <v>0</v>
      </c>
      <c r="Q8" s="221"/>
      <c r="S8" s="197">
        <v>2</v>
      </c>
      <c r="T8" s="199" t="s">
        <v>426</v>
      </c>
      <c r="AC8">
        <v>2</v>
      </c>
      <c r="AD8">
        <v>2</v>
      </c>
      <c r="AE8">
        <v>2</v>
      </c>
      <c r="AH8" t="s">
        <v>1126</v>
      </c>
      <c r="AI8" t="str">
        <f t="shared" si="2"/>
        <v>PON008*</v>
      </c>
    </row>
    <row r="9" spans="1:35" ht="26.25" customHeight="1" x14ac:dyDescent="0.3">
      <c r="A9"/>
      <c r="B9" s="16">
        <v>19</v>
      </c>
      <c r="C9" s="16" t="s">
        <v>533</v>
      </c>
      <c r="D9" s="16" t="s">
        <v>1586</v>
      </c>
      <c r="E9" s="16" t="s">
        <v>2072</v>
      </c>
      <c r="F9" s="200" t="s">
        <v>562</v>
      </c>
      <c r="G9" s="189" t="str">
        <f>IFERROR(VLOOKUP(C9,#REF!,4,FALSE),"")</f>
        <v/>
      </c>
      <c r="H9" s="250">
        <f>VLOOKUP(C9,Dados!B:AW,11,0)</f>
        <v>1.19</v>
      </c>
      <c r="I9" s="16" t="str">
        <f>(VLOOKUP(C9,Dados!B:AW,48,0))</f>
        <v>Fase de Degradação</v>
      </c>
      <c r="J9" s="189" t="s">
        <v>733</v>
      </c>
      <c r="K9" s="177">
        <f>IFERROR((VLOOKUP(C9,Dados!B:AW,44,0)),0)</f>
        <v>0</v>
      </c>
      <c r="L9" s="177">
        <f>IFERROR((VLOOKUP(C9,Dados!B:AW,45,0)),0)</f>
        <v>0</v>
      </c>
      <c r="M9" s="177">
        <f>IFERROR((VLOOKUP(C9,Dados!B:AW,43,0)),0)</f>
        <v>0</v>
      </c>
      <c r="N9" s="179">
        <f>IFERROR((VLOOKUP(C9,Dados!B:AW,47,0)),0)</f>
        <v>0</v>
      </c>
      <c r="O9" s="197">
        <f t="shared" si="0"/>
        <v>-1</v>
      </c>
      <c r="P9" s="1">
        <f t="shared" si="1"/>
        <v>0</v>
      </c>
      <c r="Q9" s="221"/>
      <c r="AC9">
        <v>2</v>
      </c>
      <c r="AD9">
        <v>2</v>
      </c>
      <c r="AE9">
        <v>1</v>
      </c>
      <c r="AH9" t="s">
        <v>1042</v>
      </c>
      <c r="AI9" t="str">
        <f t="shared" si="2"/>
        <v>GRV012*</v>
      </c>
    </row>
    <row r="10" spans="1:35" ht="26.25" customHeight="1" x14ac:dyDescent="0.3">
      <c r="A10"/>
      <c r="B10" s="16">
        <v>11</v>
      </c>
      <c r="C10" s="16" t="s">
        <v>523</v>
      </c>
      <c r="D10" s="16" t="s">
        <v>1586</v>
      </c>
      <c r="E10" s="16" t="s">
        <v>2062</v>
      </c>
      <c r="F10" s="251" t="str">
        <f>VLOOKUP(C10,[9]Dados!B:C,2,0)</f>
        <v>BRU008-BRUNIDORA</v>
      </c>
      <c r="G10" s="189" t="str">
        <f>IFERROR(VLOOKUP(C10,#REF!,4,FALSE),"")</f>
        <v/>
      </c>
      <c r="H10" s="248">
        <f>VLOOKUP(C10,Dados!B:AW,11,0)</f>
        <v>0.95</v>
      </c>
      <c r="I10" s="16" t="str">
        <f>(VLOOKUP(C10,Dados!B:AW,48,0))</f>
        <v>Confiabilidade em Crescimento</v>
      </c>
      <c r="J10" s="189" t="s">
        <v>735</v>
      </c>
      <c r="K10" s="177">
        <f>IFERROR((VLOOKUP(C10,Dados!B:AW,44,0)),0)</f>
        <v>0</v>
      </c>
      <c r="L10" s="177">
        <f>IFERROR((VLOOKUP(C10,Dados!B:AW,45,0)),0)</f>
        <v>0</v>
      </c>
      <c r="M10" s="177">
        <f>IFERROR((VLOOKUP(C10,Dados!B:AW,43,0)),0)</f>
        <v>0</v>
      </c>
      <c r="N10" s="179">
        <f>IFERROR((VLOOKUP(C10,Dados!B:AW,47,0)),0)</f>
        <v>0</v>
      </c>
      <c r="O10" s="197">
        <f t="shared" si="0"/>
        <v>2</v>
      </c>
      <c r="P10" s="1">
        <f t="shared" si="1"/>
        <v>0</v>
      </c>
      <c r="Q10" s="221"/>
      <c r="AC10">
        <v>2</v>
      </c>
      <c r="AD10">
        <v>2</v>
      </c>
      <c r="AE10">
        <v>1</v>
      </c>
      <c r="AH10" t="s">
        <v>452</v>
      </c>
      <c r="AI10" t="str">
        <f t="shared" si="2"/>
        <v>ROB007*</v>
      </c>
    </row>
    <row r="11" spans="1:35" ht="26.25" customHeight="1" x14ac:dyDescent="0.3">
      <c r="A11"/>
      <c r="B11" s="16">
        <v>65</v>
      </c>
      <c r="C11" s="16" t="s">
        <v>918</v>
      </c>
      <c r="D11" s="16" t="s">
        <v>1586</v>
      </c>
      <c r="E11" s="16" t="s">
        <v>2062</v>
      </c>
      <c r="F11" s="200" t="s">
        <v>919</v>
      </c>
      <c r="G11" s="189" t="str">
        <f>IFERROR(VLOOKUP(C11,#REF!,4,FALSE),"")</f>
        <v/>
      </c>
      <c r="H11" s="249">
        <f>VLOOKUP(C11,Dados!B:AW,11,0)</f>
        <v>0.99</v>
      </c>
      <c r="I11" s="16" t="str">
        <f>(VLOOKUP(C11,Dados!B:AW,48,0))</f>
        <v>Confiabilidade em Crescimento</v>
      </c>
      <c r="J11" s="189" t="s">
        <v>1223</v>
      </c>
      <c r="K11" s="177">
        <f>IFERROR((VLOOKUP(C11,Dados!B:AW,44,0)),0)</f>
        <v>0</v>
      </c>
      <c r="L11" s="177">
        <f>IFERROR((VLOOKUP(C11,Dados!B:AW,45,0)),0)</f>
        <v>0</v>
      </c>
      <c r="M11" s="177">
        <f>IFERROR((VLOOKUP(C11,Dados!B:AW,43,0)),0)</f>
        <v>0</v>
      </c>
      <c r="N11" s="179">
        <f>IFERROR((VLOOKUP(C11,Dados!B:AW,47,0)),0)</f>
        <v>0</v>
      </c>
      <c r="O11" s="197">
        <f t="shared" si="0"/>
        <v>2</v>
      </c>
      <c r="P11" s="1">
        <f t="shared" si="1"/>
        <v>0</v>
      </c>
      <c r="Q11" s="221"/>
      <c r="AC11">
        <v>2</v>
      </c>
      <c r="AD11">
        <v>2</v>
      </c>
      <c r="AE11">
        <v>2</v>
      </c>
      <c r="AH11" t="s">
        <v>1022</v>
      </c>
      <c r="AI11" t="str">
        <f t="shared" si="2"/>
        <v>EST127*</v>
      </c>
    </row>
    <row r="12" spans="1:35" ht="25" x14ac:dyDescent="0.3">
      <c r="A12" s="219"/>
      <c r="B12" s="16">
        <v>16</v>
      </c>
      <c r="C12" s="16" t="s">
        <v>528</v>
      </c>
      <c r="D12" s="16" t="s">
        <v>1586</v>
      </c>
      <c r="E12" s="16" t="s">
        <v>2070</v>
      </c>
      <c r="F12" s="251" t="str">
        <f>VLOOKUP(C12,[9]Dados!B:C,2,0)</f>
        <v>BRU014-BRUNIDORA</v>
      </c>
      <c r="G12" s="189" t="str">
        <f>IFERROR(VLOOKUP(C12,#REF!,4,FALSE),"")</f>
        <v/>
      </c>
      <c r="H12" s="248">
        <f>VLOOKUP(C12,Dados!B:AW,11,0)</f>
        <v>1.39</v>
      </c>
      <c r="I12" s="16" t="str">
        <f>(VLOOKUP(C12,Dados!B:AW,48,0))</f>
        <v>Fase de Degradação</v>
      </c>
      <c r="J12" s="189" t="s">
        <v>735</v>
      </c>
      <c r="K12" s="177">
        <f>IFERROR((VLOOKUP(C12,Dados!B:AW,44,0)),0)</f>
        <v>0</v>
      </c>
      <c r="L12" s="177">
        <f>IFERROR((VLOOKUP(C12,Dados!B:AW,45,0)),0)</f>
        <v>0</v>
      </c>
      <c r="M12" s="177">
        <f>IFERROR((VLOOKUP(C12,Dados!B:AW,43,0)),0)</f>
        <v>0</v>
      </c>
      <c r="N12" s="179">
        <f>IFERROR((VLOOKUP(C12,Dados!B:AW,47,0)),0)</f>
        <v>0</v>
      </c>
      <c r="O12" s="197">
        <f t="shared" si="0"/>
        <v>1</v>
      </c>
      <c r="P12" s="1">
        <f t="shared" si="1"/>
        <v>0</v>
      </c>
      <c r="Q12" s="221"/>
      <c r="AC12">
        <v>2</v>
      </c>
      <c r="AD12">
        <v>2</v>
      </c>
      <c r="AE12">
        <v>2</v>
      </c>
      <c r="AH12" t="s">
        <v>1201</v>
      </c>
      <c r="AI12" t="str">
        <f t="shared" si="2"/>
        <v>TAN042*</v>
      </c>
    </row>
    <row r="13" spans="1:35" ht="25" x14ac:dyDescent="0.3">
      <c r="A13" s="219"/>
      <c r="B13" s="16">
        <v>55</v>
      </c>
      <c r="C13" s="16" t="s">
        <v>898</v>
      </c>
      <c r="D13" s="16" t="s">
        <v>1586</v>
      </c>
      <c r="E13" s="16" t="s">
        <v>2070</v>
      </c>
      <c r="F13" s="200" t="s">
        <v>899</v>
      </c>
      <c r="G13" s="189" t="str">
        <f>IFERROR(VLOOKUP(C13,#REF!,4,FALSE),"")</f>
        <v/>
      </c>
      <c r="H13" s="249">
        <f>VLOOKUP(C13,Dados!B:AW,11,0)</f>
        <v>1.2</v>
      </c>
      <c r="I13" s="16" t="str">
        <f>(VLOOKUP(C13,Dados!B:AW,48,0))</f>
        <v>Fase de Degradação</v>
      </c>
      <c r="J13" s="189" t="s">
        <v>1223</v>
      </c>
      <c r="K13" s="177">
        <f>IFERROR((VLOOKUP(C13,Dados!B:AW,44,0)),0)</f>
        <v>0</v>
      </c>
      <c r="L13" s="177">
        <f>IFERROR((VLOOKUP(C13,Dados!B:AW,45,0)),0)</f>
        <v>0</v>
      </c>
      <c r="M13" s="177">
        <f>IFERROR((VLOOKUP(C13,Dados!B:AW,43,0)),0)</f>
        <v>0</v>
      </c>
      <c r="N13" s="179">
        <f>IFERROR((VLOOKUP(C13,Dados!B:AW,47,0)),0)</f>
        <v>0</v>
      </c>
      <c r="O13" s="197">
        <f t="shared" si="0"/>
        <v>1</v>
      </c>
      <c r="P13" s="1">
        <f t="shared" si="1"/>
        <v>0</v>
      </c>
      <c r="Q13" s="221"/>
      <c r="AC13">
        <v>-1</v>
      </c>
      <c r="AD13">
        <v>-1</v>
      </c>
      <c r="AE13">
        <v>-1</v>
      </c>
      <c r="AH13" t="s">
        <v>541</v>
      </c>
      <c r="AI13" t="str">
        <f t="shared" si="2"/>
        <v>BRU037*</v>
      </c>
    </row>
    <row r="14" spans="1:35" ht="25" x14ac:dyDescent="0.3">
      <c r="A14" s="219"/>
      <c r="B14" s="16">
        <v>15</v>
      </c>
      <c r="C14" s="16" t="s">
        <v>527</v>
      </c>
      <c r="D14" s="16" t="s">
        <v>1586</v>
      </c>
      <c r="E14" s="16" t="s">
        <v>2069</v>
      </c>
      <c r="F14" s="251" t="str">
        <f>VLOOKUP(C14,[9]Dados!B:C,2,0)</f>
        <v>BRU012-BRUNIDORA</v>
      </c>
      <c r="G14" s="189" t="str">
        <f>IFERROR(VLOOKUP(C14,#REF!,4,FALSE),"")</f>
        <v/>
      </c>
      <c r="H14" s="248">
        <f>VLOOKUP(C14,Dados!B:AW,11,0)</f>
        <v>1.36</v>
      </c>
      <c r="I14" s="16" t="str">
        <f>(VLOOKUP(C14,Dados!B:AW,48,0))</f>
        <v>Fase de Degradação</v>
      </c>
      <c r="J14" s="189" t="s">
        <v>735</v>
      </c>
      <c r="K14" s="177">
        <f>IFERROR((VLOOKUP(C14,Dados!B:AW,44,0)),0)</f>
        <v>0</v>
      </c>
      <c r="L14" s="177">
        <f>IFERROR((VLOOKUP(C14,Dados!B:AW,45,0)),0)</f>
        <v>0</v>
      </c>
      <c r="M14" s="177">
        <f>IFERROR((VLOOKUP(C14,Dados!B:AW,43,0)),0)</f>
        <v>0</v>
      </c>
      <c r="N14" s="179">
        <f>IFERROR((VLOOKUP(C14,Dados!B:AW,47,0)),0)</f>
        <v>0</v>
      </c>
      <c r="O14" s="197">
        <f t="shared" si="0"/>
        <v>1</v>
      </c>
      <c r="P14" s="1">
        <f t="shared" si="1"/>
        <v>0</v>
      </c>
      <c r="Q14" s="221"/>
      <c r="AC14">
        <v>-1</v>
      </c>
      <c r="AD14">
        <v>-1</v>
      </c>
      <c r="AE14">
        <v>-1</v>
      </c>
      <c r="AH14" t="s">
        <v>270</v>
      </c>
      <c r="AI14" t="str">
        <f t="shared" si="2"/>
        <v>BRU039*</v>
      </c>
    </row>
    <row r="15" spans="1:35" ht="25" x14ac:dyDescent="0.3">
      <c r="A15"/>
      <c r="B15" s="16">
        <v>18</v>
      </c>
      <c r="C15" s="16" t="s">
        <v>532</v>
      </c>
      <c r="D15" s="16" t="s">
        <v>1586</v>
      </c>
      <c r="E15" s="16" t="s">
        <v>2069</v>
      </c>
      <c r="F15" s="251" t="str">
        <f>VLOOKUP(C15,[9]Dados!B:C,2,0)</f>
        <v>BRU025-BRUNIDORA</v>
      </c>
      <c r="G15" s="189" t="str">
        <f>IFERROR(VLOOKUP(C15,#REF!,4,FALSE),"")</f>
        <v/>
      </c>
      <c r="H15" s="250">
        <f>VLOOKUP(C15,Dados!B:AW,11,0)</f>
        <v>0.93</v>
      </c>
      <c r="I15" s="16" t="str">
        <f>(VLOOKUP(C15,Dados!B:AW,48,0))</f>
        <v>Confiabilidade em Crescimento</v>
      </c>
      <c r="J15" s="189" t="s">
        <v>735</v>
      </c>
      <c r="K15" s="177">
        <f>IFERROR((VLOOKUP(C15,Dados!B:AW,44,0)),0)</f>
        <v>0</v>
      </c>
      <c r="L15" s="177">
        <f>IFERROR((VLOOKUP(C15,Dados!B:AW,45,0)),0)</f>
        <v>0</v>
      </c>
      <c r="M15" s="177">
        <f>IFERROR((VLOOKUP(C15,Dados!B:AW,43,0)),0)</f>
        <v>0</v>
      </c>
      <c r="N15" s="179">
        <f>IFERROR((VLOOKUP(C15,Dados!B:AW,47,0)),0)</f>
        <v>0</v>
      </c>
      <c r="O15" s="197">
        <f t="shared" si="0"/>
        <v>2</v>
      </c>
      <c r="P15" s="1">
        <f t="shared" si="1"/>
        <v>0</v>
      </c>
      <c r="Q15" s="221"/>
      <c r="AC15">
        <v>-1</v>
      </c>
      <c r="AD15">
        <v>-1</v>
      </c>
      <c r="AE15">
        <v>-1</v>
      </c>
      <c r="AH15" t="s">
        <v>478</v>
      </c>
      <c r="AI15" t="str">
        <f t="shared" si="2"/>
        <v>ROB066*</v>
      </c>
    </row>
    <row r="16" spans="1:35" ht="26.25" customHeight="1" x14ac:dyDescent="0.3">
      <c r="A16"/>
      <c r="B16" s="16">
        <v>52</v>
      </c>
      <c r="C16" s="16" t="s">
        <v>892</v>
      </c>
      <c r="D16" s="16" t="s">
        <v>1586</v>
      </c>
      <c r="E16" s="16" t="s">
        <v>2069</v>
      </c>
      <c r="F16" s="200" t="s">
        <v>893</v>
      </c>
      <c r="G16" s="189" t="str">
        <f>IFERROR(VLOOKUP(C16,#REF!,4,FALSE),"")</f>
        <v/>
      </c>
      <c r="H16" s="249">
        <f>VLOOKUP(C16,Dados!B:AW,11,0)</f>
        <v>0.48</v>
      </c>
      <c r="I16" s="16" t="str">
        <f>(VLOOKUP(C16,Dados!B:AW,48,0))</f>
        <v>Confiabilidade em Crescimento</v>
      </c>
      <c r="J16" s="189" t="s">
        <v>1223</v>
      </c>
      <c r="K16" s="177">
        <f>IFERROR((VLOOKUP(C16,Dados!B:AW,44,0)),0)</f>
        <v>0</v>
      </c>
      <c r="L16" s="177">
        <f>IFERROR((VLOOKUP(C16,Dados!B:AW,45,0)),0)</f>
        <v>0</v>
      </c>
      <c r="M16" s="177">
        <f>IFERROR((VLOOKUP(C16,Dados!B:AW,43,0)),0)</f>
        <v>0</v>
      </c>
      <c r="N16" s="179">
        <f>IFERROR((VLOOKUP(C16,Dados!B:AW,47,0)),0)</f>
        <v>0</v>
      </c>
      <c r="O16" s="197">
        <f t="shared" si="0"/>
        <v>2</v>
      </c>
      <c r="P16" s="1">
        <f t="shared" si="1"/>
        <v>0</v>
      </c>
      <c r="Q16" s="221"/>
      <c r="AC16">
        <v>2</v>
      </c>
      <c r="AD16">
        <v>2</v>
      </c>
      <c r="AE16">
        <v>2</v>
      </c>
      <c r="AH16" t="s">
        <v>472</v>
      </c>
      <c r="AI16" t="str">
        <f t="shared" si="2"/>
        <v>ROB042*</v>
      </c>
    </row>
    <row r="17" spans="1:35" ht="26.25" customHeight="1" x14ac:dyDescent="0.3">
      <c r="A17"/>
      <c r="B17" s="16">
        <v>26</v>
      </c>
      <c r="C17" s="16" t="s">
        <v>539</v>
      </c>
      <c r="D17" s="16" t="s">
        <v>1586</v>
      </c>
      <c r="E17" s="16" t="s">
        <v>2079</v>
      </c>
      <c r="F17" s="200" t="str">
        <f>VLOOKUP(C17,[9]Dados!B:C,2,0)</f>
        <v>BRU033-BRUNIDORA</v>
      </c>
      <c r="G17" s="189" t="str">
        <f>IFERROR(VLOOKUP(C17,#REF!,4,FALSE),"")</f>
        <v/>
      </c>
      <c r="H17" s="248">
        <f>VLOOKUP(C17,Dados!B:AW,11,0)</f>
        <v>1.26</v>
      </c>
      <c r="I17" s="16" t="str">
        <f>(VLOOKUP(C17,Dados!B:AW,48,0))</f>
        <v>Fase de Degradação</v>
      </c>
      <c r="J17" s="189" t="s">
        <v>735</v>
      </c>
      <c r="K17" s="177">
        <f>IFERROR((VLOOKUP(C17,Dados!B:AW,44,0)),0)</f>
        <v>0</v>
      </c>
      <c r="L17" s="177">
        <f>IFERROR((VLOOKUP(C17,Dados!B:AW,45,0)),0)</f>
        <v>0</v>
      </c>
      <c r="M17" s="177">
        <f>IFERROR((VLOOKUP(C17,Dados!B:AW,43,0)),0)</f>
        <v>0</v>
      </c>
      <c r="N17" s="179">
        <f>IFERROR((VLOOKUP(C17,Dados!B:AW,47,0)),0)</f>
        <v>0</v>
      </c>
      <c r="O17" s="197">
        <f t="shared" si="0"/>
        <v>1</v>
      </c>
      <c r="P17" s="1">
        <f t="shared" si="1"/>
        <v>0</v>
      </c>
      <c r="Q17" s="221"/>
      <c r="AC17">
        <v>2</v>
      </c>
      <c r="AD17">
        <v>2</v>
      </c>
      <c r="AE17">
        <v>2</v>
      </c>
      <c r="AH17" t="s">
        <v>1000</v>
      </c>
      <c r="AI17" t="str">
        <f t="shared" si="2"/>
        <v>ELE008*</v>
      </c>
    </row>
    <row r="18" spans="1:35" ht="26.25" customHeight="1" x14ac:dyDescent="0.3">
      <c r="A18"/>
      <c r="B18" s="16">
        <v>27</v>
      </c>
      <c r="C18" s="16" t="s">
        <v>282</v>
      </c>
      <c r="D18" s="16" t="s">
        <v>1586</v>
      </c>
      <c r="E18" s="16" t="s">
        <v>2079</v>
      </c>
      <c r="F18" s="200" t="str">
        <f>VLOOKUP(C18,[9]Dados!B:C,2,0)</f>
        <v>BRU034-BRUNIDORA</v>
      </c>
      <c r="G18" s="189" t="str">
        <f>IFERROR(VLOOKUP(C18,#REF!,4,FALSE),"")</f>
        <v/>
      </c>
      <c r="H18" s="248">
        <f>VLOOKUP(C18,Dados!B:AW,11,0)</f>
        <v>1.56</v>
      </c>
      <c r="I18" s="16" t="str">
        <f>(VLOOKUP(C18,Dados!B:AW,48,0))</f>
        <v>Fase de Degradação</v>
      </c>
      <c r="J18" s="189" t="s">
        <v>733</v>
      </c>
      <c r="K18" s="177">
        <f>IFERROR((VLOOKUP(C18,Dados!B:AW,44,0)),0)</f>
        <v>0</v>
      </c>
      <c r="L18" s="177">
        <f>IFERROR((VLOOKUP(C18,Dados!B:AW,45,0)),0)</f>
        <v>0</v>
      </c>
      <c r="M18" s="177">
        <f>IFERROR((VLOOKUP(C18,Dados!B:AW,43,0)),0)</f>
        <v>0</v>
      </c>
      <c r="N18" s="179">
        <f>IFERROR((VLOOKUP(C18,Dados!B:AW,47,0)),0)</f>
        <v>0</v>
      </c>
      <c r="O18" s="197">
        <f t="shared" si="0"/>
        <v>-1</v>
      </c>
      <c r="P18" s="1">
        <f t="shared" si="1"/>
        <v>0</v>
      </c>
      <c r="Q18" s="221"/>
      <c r="AC18">
        <v>-1</v>
      </c>
      <c r="AD18">
        <v>-1</v>
      </c>
      <c r="AE18">
        <v>-1</v>
      </c>
      <c r="AH18" t="s">
        <v>1012</v>
      </c>
      <c r="AI18" t="str">
        <f t="shared" si="2"/>
        <v>ELE018*</v>
      </c>
    </row>
    <row r="19" spans="1:35" ht="26.25" customHeight="1" x14ac:dyDescent="0.3">
      <c r="A19"/>
      <c r="B19" s="16">
        <v>20</v>
      </c>
      <c r="C19" s="16" t="s">
        <v>534</v>
      </c>
      <c r="D19" s="16" t="s">
        <v>1586</v>
      </c>
      <c r="E19" s="16" t="s">
        <v>2074</v>
      </c>
      <c r="F19" s="200" t="s">
        <v>563</v>
      </c>
      <c r="G19" s="189" t="str">
        <f>IFERROR(VLOOKUP(C19,#REF!,4,FALSE),"")</f>
        <v/>
      </c>
      <c r="H19" s="248">
        <f>VLOOKUP(C19,Dados!B:AW,11,0)</f>
        <v>1.62</v>
      </c>
      <c r="I19" s="16" t="str">
        <f>(VLOOKUP(C19,Dados!B:AW,48,0))</f>
        <v>Fase de Degradação</v>
      </c>
      <c r="J19" s="189" t="s">
        <v>735</v>
      </c>
      <c r="K19" s="177">
        <f>IFERROR((VLOOKUP(C19,Dados!B:AW,44,0)),0)</f>
        <v>0</v>
      </c>
      <c r="L19" s="177">
        <f>IFERROR((VLOOKUP(C19,Dados!B:AW,45,0)),0)</f>
        <v>0</v>
      </c>
      <c r="M19" s="177">
        <f>IFERROR((VLOOKUP(C19,Dados!B:AW,43,0)),0)</f>
        <v>0</v>
      </c>
      <c r="N19" s="179">
        <f>IFERROR((VLOOKUP(C19,Dados!B:AW,47,0)),0)</f>
        <v>0</v>
      </c>
      <c r="O19" s="197">
        <f t="shared" si="0"/>
        <v>1</v>
      </c>
      <c r="P19" s="1">
        <f t="shared" si="1"/>
        <v>0</v>
      </c>
      <c r="Q19" s="221"/>
      <c r="AC19">
        <v>-1</v>
      </c>
      <c r="AD19">
        <v>-1</v>
      </c>
      <c r="AE19">
        <v>-1</v>
      </c>
      <c r="AH19" t="s">
        <v>398</v>
      </c>
      <c r="AI19" t="str">
        <f t="shared" si="2"/>
        <v>CEN043*</v>
      </c>
    </row>
    <row r="20" spans="1:35" ht="26.25" customHeight="1" x14ac:dyDescent="0.3">
      <c r="A20"/>
      <c r="B20" s="16">
        <v>21</v>
      </c>
      <c r="C20" s="16" t="s">
        <v>278</v>
      </c>
      <c r="D20" s="16" t="s">
        <v>1586</v>
      </c>
      <c r="E20" s="16" t="s">
        <v>2074</v>
      </c>
      <c r="F20" s="252" t="str">
        <f>VLOOKUP(C20,[9]Dados!B:C,2,0)</f>
        <v>BRU028-BRUNIDORA</v>
      </c>
      <c r="G20" s="189" t="str">
        <f>IFERROR(VLOOKUP(C20,#REF!,4,FALSE),"")</f>
        <v/>
      </c>
      <c r="H20" s="248">
        <f>VLOOKUP(C20,Dados!B:AW,11,0)</f>
        <v>1.43</v>
      </c>
      <c r="I20" s="16" t="str">
        <f>(VLOOKUP(C20,Dados!B:AW,48,0))</f>
        <v>Fase de Degradação</v>
      </c>
      <c r="J20" s="189" t="s">
        <v>733</v>
      </c>
      <c r="K20" s="177">
        <f>IFERROR((VLOOKUP(C20,Dados!B:AW,44,0)),0)</f>
        <v>0</v>
      </c>
      <c r="L20" s="177">
        <f>IFERROR((VLOOKUP(C20,Dados!B:AW,45,0)),0)</f>
        <v>0</v>
      </c>
      <c r="M20" s="177">
        <f>IFERROR((VLOOKUP(C20,Dados!B:AW,43,0)),0)</f>
        <v>0</v>
      </c>
      <c r="N20" s="179">
        <f>IFERROR((VLOOKUP(C20,Dados!B:AW,47,0)),0)</f>
        <v>0</v>
      </c>
      <c r="O20" s="197">
        <f t="shared" si="0"/>
        <v>-1</v>
      </c>
      <c r="P20" s="1">
        <f t="shared" si="1"/>
        <v>0</v>
      </c>
      <c r="Q20" s="221"/>
      <c r="AC20">
        <v>2</v>
      </c>
      <c r="AD20">
        <v>2</v>
      </c>
      <c r="AE20">
        <v>1</v>
      </c>
      <c r="AH20" t="s">
        <v>588</v>
      </c>
      <c r="AI20" t="str">
        <f t="shared" si="2"/>
        <v>JAT003*</v>
      </c>
    </row>
    <row r="21" spans="1:35" ht="26.25" customHeight="1" x14ac:dyDescent="0.3">
      <c r="A21"/>
      <c r="B21" s="16">
        <v>22</v>
      </c>
      <c r="C21" s="16" t="s">
        <v>535</v>
      </c>
      <c r="D21" s="16" t="s">
        <v>1586</v>
      </c>
      <c r="E21" s="16" t="s">
        <v>2075</v>
      </c>
      <c r="F21" s="200" t="str">
        <f>VLOOKUP(C21,[9]Dados!B:C,2,0)</f>
        <v>BRU029-BRUNIDORA</v>
      </c>
      <c r="G21" s="189" t="str">
        <f>IFERROR(VLOOKUP(C21,#REF!,4,FALSE),"")</f>
        <v/>
      </c>
      <c r="H21" s="248">
        <f>VLOOKUP(C21,Dados!B:AW,11,0)</f>
        <v>1.23</v>
      </c>
      <c r="I21" s="16" t="str">
        <f>(VLOOKUP(C21,Dados!B:AW,48,0))</f>
        <v>Fase de Degradação</v>
      </c>
      <c r="J21" s="189" t="s">
        <v>735</v>
      </c>
      <c r="K21" s="177">
        <f>IFERROR((VLOOKUP(C21,Dados!B:AW,44,0)),0)</f>
        <v>0</v>
      </c>
      <c r="L21" s="177">
        <f>IFERROR((VLOOKUP(C21,Dados!B:AW,45,0)),0)</f>
        <v>0</v>
      </c>
      <c r="M21" s="177">
        <f>IFERROR((VLOOKUP(C21,Dados!B:AW,43,0)),0)</f>
        <v>0</v>
      </c>
      <c r="N21" s="179">
        <f>IFERROR((VLOOKUP(C21,Dados!B:AW,47,0)),0)</f>
        <v>0</v>
      </c>
      <c r="O21" s="197">
        <f t="shared" si="0"/>
        <v>1</v>
      </c>
      <c r="P21" s="1">
        <f t="shared" si="1"/>
        <v>0</v>
      </c>
      <c r="Q21" s="221"/>
      <c r="AC21">
        <v>-1</v>
      </c>
      <c r="AD21">
        <v>-1</v>
      </c>
      <c r="AE21">
        <v>-1</v>
      </c>
      <c r="AH21" t="s">
        <v>294</v>
      </c>
      <c r="AI21" t="str">
        <f t="shared" si="2"/>
        <v>BRU035*</v>
      </c>
    </row>
    <row r="22" spans="1:35" ht="26.25" customHeight="1" x14ac:dyDescent="0.3">
      <c r="A22"/>
      <c r="B22" s="16">
        <v>23</v>
      </c>
      <c r="C22" s="16" t="s">
        <v>536</v>
      </c>
      <c r="D22" s="16" t="s">
        <v>1586</v>
      </c>
      <c r="E22" s="16" t="s">
        <v>2075</v>
      </c>
      <c r="F22" s="252" t="str">
        <f>VLOOKUP(C22,[9]Dados!B:C,2,0)</f>
        <v>BRU030-BRUNIDORA</v>
      </c>
      <c r="G22" s="189" t="str">
        <f>IFERROR(VLOOKUP(C22,#REF!,4,FALSE),"")</f>
        <v/>
      </c>
      <c r="H22" s="248">
        <f>VLOOKUP(C22,Dados!B:AW,11,0)</f>
        <v>1.71</v>
      </c>
      <c r="I22" s="16" t="str">
        <f>(VLOOKUP(C22,Dados!B:AW,48,0))</f>
        <v>Fase de Degradação</v>
      </c>
      <c r="J22" s="189" t="s">
        <v>733</v>
      </c>
      <c r="K22" s="177">
        <f>IFERROR((VLOOKUP(C22,Dados!B:AW,44,0)),0)</f>
        <v>0</v>
      </c>
      <c r="L22" s="177">
        <f>IFERROR((VLOOKUP(C22,Dados!B:AW,45,0)),0)</f>
        <v>0</v>
      </c>
      <c r="M22" s="177">
        <f>IFERROR((VLOOKUP(C22,Dados!B:AW,43,0)),0)</f>
        <v>0</v>
      </c>
      <c r="N22" s="179">
        <f>IFERROR((VLOOKUP(C22,Dados!B:AW,47,0)),0)</f>
        <v>0</v>
      </c>
      <c r="O22" s="197">
        <f t="shared" si="0"/>
        <v>-1</v>
      </c>
      <c r="P22" s="1">
        <f t="shared" si="1"/>
        <v>0</v>
      </c>
      <c r="Q22" s="221"/>
      <c r="AC22">
        <v>-1</v>
      </c>
      <c r="AD22">
        <v>-1</v>
      </c>
      <c r="AE22">
        <v>-1</v>
      </c>
      <c r="AH22" t="s">
        <v>125</v>
      </c>
      <c r="AI22" t="str">
        <f t="shared" si="2"/>
        <v>ROB006*</v>
      </c>
    </row>
    <row r="23" spans="1:35" ht="26.25" customHeight="1" x14ac:dyDescent="0.3">
      <c r="A23"/>
      <c r="B23" s="16">
        <v>13</v>
      </c>
      <c r="C23" s="16" t="s">
        <v>525</v>
      </c>
      <c r="D23" s="16" t="s">
        <v>1586</v>
      </c>
      <c r="E23" s="16" t="s">
        <v>2066</v>
      </c>
      <c r="F23" s="251" t="str">
        <f>VLOOKUP(C23,[9]Dados!B:C,2,0)</f>
        <v>BRU010-BRUNIDORA</v>
      </c>
      <c r="G23" s="189" t="str">
        <f>IFERROR(VLOOKUP(C23,#REF!,4,FALSE),"")</f>
        <v/>
      </c>
      <c r="H23" s="248">
        <f>VLOOKUP(C23,Dados!B:AW,11,0)</f>
        <v>1.26</v>
      </c>
      <c r="I23" s="16" t="str">
        <f>(VLOOKUP(C23,Dados!B:AW,48,0))</f>
        <v>Fase de Degradação</v>
      </c>
      <c r="J23" s="189" t="s">
        <v>735</v>
      </c>
      <c r="K23" s="177">
        <f>IFERROR((VLOOKUP(C23,Dados!B:AW,44,0)),0)</f>
        <v>0</v>
      </c>
      <c r="L23" s="177">
        <f>IFERROR((VLOOKUP(C23,Dados!B:AW,45,0)),0)</f>
        <v>0</v>
      </c>
      <c r="M23" s="177">
        <f>IFERROR((VLOOKUP(C23,Dados!B:AW,43,0)),0)</f>
        <v>0</v>
      </c>
      <c r="N23" s="179">
        <f>IFERROR((VLOOKUP(C23,Dados!B:AW,47,0)),0)</f>
        <v>0</v>
      </c>
      <c r="O23" s="197">
        <f t="shared" si="0"/>
        <v>1</v>
      </c>
      <c r="P23" s="1">
        <f t="shared" si="1"/>
        <v>0</v>
      </c>
      <c r="Q23" s="221"/>
      <c r="AC23">
        <v>2</v>
      </c>
      <c r="AD23">
        <v>2</v>
      </c>
      <c r="AE23">
        <v>1</v>
      </c>
      <c r="AH23" t="s">
        <v>540</v>
      </c>
      <c r="AI23" t="str">
        <f t="shared" si="2"/>
        <v>BRU036*</v>
      </c>
    </row>
    <row r="24" spans="1:35" ht="26.25" customHeight="1" x14ac:dyDescent="0.3">
      <c r="A24"/>
      <c r="B24" s="16">
        <v>66</v>
      </c>
      <c r="C24" s="16" t="s">
        <v>1806</v>
      </c>
      <c r="D24" s="16" t="s">
        <v>1586</v>
      </c>
      <c r="E24" s="16" t="s">
        <v>2066</v>
      </c>
      <c r="F24" s="200" t="s">
        <v>1646</v>
      </c>
      <c r="G24" s="189" t="str">
        <f>IFERROR(VLOOKUP(C24,#REF!,4,FALSE),"")</f>
        <v/>
      </c>
      <c r="H24" s="248">
        <f>VLOOKUP(C24,Dados!B:AW,11,0)</f>
        <v>1.07</v>
      </c>
      <c r="I24" s="16" t="str">
        <f>(VLOOKUP(C24,Dados!B:AW,48,0))</f>
        <v>Fase de Vida Útil</v>
      </c>
      <c r="J24" s="189" t="s">
        <v>735</v>
      </c>
      <c r="K24" s="177">
        <f>IFERROR((VLOOKUP(C24,Dados!B:AW,44,0)),0)</f>
        <v>0</v>
      </c>
      <c r="L24" s="177">
        <f>IFERROR((VLOOKUP(C24,Dados!B:AW,45,0)),0)</f>
        <v>0</v>
      </c>
      <c r="M24" s="177">
        <f>IFERROR((VLOOKUP(C24,Dados!B:AW,43,0)),0)</f>
        <v>0</v>
      </c>
      <c r="N24" s="179">
        <f>IFERROR((VLOOKUP(C24,Dados!B:AW,47,0)),0)</f>
        <v>0</v>
      </c>
      <c r="O24" s="197">
        <f t="shared" si="0"/>
        <v>2</v>
      </c>
      <c r="P24" s="1">
        <f t="shared" si="1"/>
        <v>0</v>
      </c>
      <c r="Q24" s="221"/>
      <c r="AC24">
        <v>-1</v>
      </c>
      <c r="AD24">
        <v>-1</v>
      </c>
      <c r="AE24">
        <v>-1</v>
      </c>
      <c r="AH24" t="s">
        <v>877</v>
      </c>
      <c r="AI24" t="str">
        <f t="shared" si="2"/>
        <v>INJ004*</v>
      </c>
    </row>
    <row r="25" spans="1:35" ht="26.25" customHeight="1" x14ac:dyDescent="0.3">
      <c r="A25"/>
      <c r="B25" s="16">
        <v>24</v>
      </c>
      <c r="C25" s="16" t="s">
        <v>537</v>
      </c>
      <c r="D25" s="16" t="s">
        <v>1586</v>
      </c>
      <c r="E25" s="16" t="s">
        <v>2078</v>
      </c>
      <c r="F25" s="200" t="str">
        <f>VLOOKUP(C25,[9]Dados!B:C,2,0)</f>
        <v>BRU031-BRUNIDORA</v>
      </c>
      <c r="G25" s="189" t="str">
        <f>IFERROR(VLOOKUP(C25,#REF!,4,FALSE),"")</f>
        <v/>
      </c>
      <c r="H25" s="248">
        <f>VLOOKUP(C25,Dados!B:AW,11,0)</f>
        <v>1.4</v>
      </c>
      <c r="I25" s="16" t="str">
        <f>(VLOOKUP(C25,Dados!B:AW,48,0))</f>
        <v>Fase de Degradação</v>
      </c>
      <c r="J25" s="189" t="s">
        <v>735</v>
      </c>
      <c r="K25" s="177">
        <f>IFERROR((VLOOKUP(C25,Dados!B:AW,44,0)),0)</f>
        <v>0</v>
      </c>
      <c r="L25" s="177">
        <f>IFERROR((VLOOKUP(C25,Dados!B:AW,45,0)),0)</f>
        <v>0</v>
      </c>
      <c r="M25" s="177">
        <f>IFERROR((VLOOKUP(C25,Dados!B:AW,43,0)),0)</f>
        <v>0</v>
      </c>
      <c r="N25" s="179">
        <f>IFERROR((VLOOKUP(C25,Dados!B:AW,47,0)),0)</f>
        <v>0</v>
      </c>
      <c r="O25" s="197">
        <f t="shared" si="0"/>
        <v>1</v>
      </c>
      <c r="P25" s="1">
        <f t="shared" si="1"/>
        <v>0</v>
      </c>
      <c r="Q25" s="221"/>
      <c r="AC25">
        <v>2</v>
      </c>
      <c r="AD25">
        <v>2</v>
      </c>
      <c r="AE25">
        <v>1</v>
      </c>
      <c r="AH25" t="s">
        <v>926</v>
      </c>
      <c r="AI25" t="str">
        <f t="shared" si="2"/>
        <v>CAB110*</v>
      </c>
    </row>
    <row r="26" spans="1:35" ht="26.25" customHeight="1" x14ac:dyDescent="0.3">
      <c r="A26"/>
      <c r="B26" s="16">
        <v>25</v>
      </c>
      <c r="C26" s="16" t="s">
        <v>538</v>
      </c>
      <c r="D26" s="16" t="s">
        <v>1586</v>
      </c>
      <c r="E26" s="16" t="s">
        <v>2078</v>
      </c>
      <c r="F26" s="252" t="str">
        <f>VLOOKUP(C26,[9]Dados!B:C,2,0)</f>
        <v>BRU032-BRUNIDORA</v>
      </c>
      <c r="G26" s="189" t="str">
        <f>IFERROR(VLOOKUP(C26,#REF!,4,FALSE),"")</f>
        <v/>
      </c>
      <c r="H26" s="248">
        <f>VLOOKUP(C26,Dados!B:AW,11,0)</f>
        <v>1.97</v>
      </c>
      <c r="I26" s="16" t="str">
        <f>(VLOOKUP(C26,Dados!B:AW,48,0))</f>
        <v>Fase de Degradação</v>
      </c>
      <c r="J26" s="189" t="s">
        <v>733</v>
      </c>
      <c r="K26" s="177">
        <f>IFERROR((VLOOKUP(C26,Dados!B:AW,44,0)),0)</f>
        <v>0</v>
      </c>
      <c r="L26" s="177">
        <f>IFERROR((VLOOKUP(C26,Dados!B:AW,45,0)),0)</f>
        <v>0</v>
      </c>
      <c r="M26" s="177">
        <f>IFERROR((VLOOKUP(C26,Dados!B:AW,43,0)),0)</f>
        <v>0</v>
      </c>
      <c r="N26" s="179">
        <f>IFERROR((VLOOKUP(C26,Dados!B:AW,47,0)),0)</f>
        <v>0</v>
      </c>
      <c r="O26" s="197">
        <f t="shared" si="0"/>
        <v>-1</v>
      </c>
      <c r="P26" s="1">
        <f t="shared" si="1"/>
        <v>0</v>
      </c>
      <c r="Q26" s="221"/>
      <c r="AC26">
        <v>-1</v>
      </c>
      <c r="AD26">
        <v>-1</v>
      </c>
      <c r="AE26">
        <v>-1</v>
      </c>
      <c r="AH26" t="s">
        <v>469</v>
      </c>
      <c r="AI26" t="str">
        <f t="shared" si="2"/>
        <v>ROB039*</v>
      </c>
    </row>
    <row r="27" spans="1:35" ht="26.25" customHeight="1" x14ac:dyDescent="0.3">
      <c r="A27"/>
      <c r="B27" s="16">
        <v>12</v>
      </c>
      <c r="C27" s="16" t="s">
        <v>524</v>
      </c>
      <c r="D27" s="16" t="s">
        <v>1586</v>
      </c>
      <c r="E27" s="16" t="s">
        <v>2065</v>
      </c>
      <c r="F27" s="200" t="s">
        <v>555</v>
      </c>
      <c r="G27" s="189" t="str">
        <f>IFERROR(VLOOKUP(C27,#REF!,4,FALSE),"")</f>
        <v/>
      </c>
      <c r="H27" s="248">
        <f>VLOOKUP(C27,Dados!B:AW,11,0)</f>
        <v>1.35</v>
      </c>
      <c r="I27" s="16" t="str">
        <f>(VLOOKUP(C27,Dados!B:AW,48,0))</f>
        <v>Fase de Degradação</v>
      </c>
      <c r="J27" s="189" t="s">
        <v>735</v>
      </c>
      <c r="K27" s="177">
        <f>IFERROR((VLOOKUP(C27,Dados!B:AW,44,0)),0)</f>
        <v>0</v>
      </c>
      <c r="L27" s="177">
        <f>IFERROR((VLOOKUP(C27,Dados!B:AW,45,0)),0)</f>
        <v>0</v>
      </c>
      <c r="M27" s="177">
        <f>IFERROR((VLOOKUP(C27,Dados!B:AW,43,0)),0)</f>
        <v>0</v>
      </c>
      <c r="N27" s="179">
        <f>IFERROR((VLOOKUP(C27,Dados!B:AW,47,0)),0)</f>
        <v>0</v>
      </c>
      <c r="O27" s="197">
        <f t="shared" si="0"/>
        <v>1</v>
      </c>
      <c r="P27" s="1">
        <f t="shared" si="1"/>
        <v>0</v>
      </c>
      <c r="Q27" s="221"/>
      <c r="AC27">
        <v>2</v>
      </c>
      <c r="AD27">
        <v>2</v>
      </c>
      <c r="AE27">
        <v>1</v>
      </c>
      <c r="AH27" t="s">
        <v>299</v>
      </c>
      <c r="AI27" t="str">
        <f t="shared" si="2"/>
        <v>ROB017*</v>
      </c>
    </row>
    <row r="28" spans="1:35" ht="26.25" customHeight="1" x14ac:dyDescent="0.3">
      <c r="A28"/>
      <c r="B28" s="16">
        <v>50</v>
      </c>
      <c r="C28" s="16" t="s">
        <v>888</v>
      </c>
      <c r="D28" s="16" t="s">
        <v>1586</v>
      </c>
      <c r="E28" s="16" t="s">
        <v>2065</v>
      </c>
      <c r="F28" s="200" t="s">
        <v>889</v>
      </c>
      <c r="G28" s="189" t="str">
        <f>IFERROR(VLOOKUP(C28,#REF!,4,FALSE),"")</f>
        <v/>
      </c>
      <c r="H28" s="249">
        <f>VLOOKUP(C28,Dados!B:AW,11,0)</f>
        <v>1.1299999999999999</v>
      </c>
      <c r="I28" s="16" t="str">
        <f>(VLOOKUP(C28,Dados!B:AW,48,0))</f>
        <v>Fase de Degradação</v>
      </c>
      <c r="J28" s="189" t="s">
        <v>1223</v>
      </c>
      <c r="K28" s="177">
        <f>IFERROR((VLOOKUP(C28,Dados!B:AW,44,0)),0)</f>
        <v>0</v>
      </c>
      <c r="L28" s="177">
        <f>IFERROR((VLOOKUP(C28,Dados!B:AW,45,0)),0)</f>
        <v>0</v>
      </c>
      <c r="M28" s="177">
        <f>IFERROR((VLOOKUP(C28,Dados!B:AW,43,0)),0)</f>
        <v>0</v>
      </c>
      <c r="N28" s="179">
        <f>IFERROR((VLOOKUP(C28,Dados!B:AW,47,0)),0)</f>
        <v>0</v>
      </c>
      <c r="O28" s="197">
        <f t="shared" si="0"/>
        <v>1</v>
      </c>
      <c r="P28" s="1">
        <f t="shared" si="1"/>
        <v>0</v>
      </c>
      <c r="Q28" s="221"/>
      <c r="AC28">
        <v>-1</v>
      </c>
      <c r="AD28">
        <v>-1</v>
      </c>
      <c r="AE28">
        <v>-1</v>
      </c>
      <c r="AH28" t="s">
        <v>1132</v>
      </c>
      <c r="AI28" t="str">
        <f t="shared" si="2"/>
        <v>PRE010*</v>
      </c>
    </row>
    <row r="29" spans="1:35" ht="26.25" customHeight="1" x14ac:dyDescent="0.3">
      <c r="A29"/>
      <c r="B29" s="16">
        <v>28</v>
      </c>
      <c r="C29" s="16" t="s">
        <v>294</v>
      </c>
      <c r="D29" s="16" t="s">
        <v>1586</v>
      </c>
      <c r="E29" s="16" t="s">
        <v>2080</v>
      </c>
      <c r="F29" s="200" t="str">
        <f>VLOOKUP(C29,[9]Dados!B:C,2,0)</f>
        <v>BRU035-BRUNIDORA</v>
      </c>
      <c r="G29" s="189" t="str">
        <f>IFERROR(VLOOKUP(C29,#REF!,4,FALSE),"")</f>
        <v/>
      </c>
      <c r="H29" s="248">
        <f>VLOOKUP(C29,Dados!B:AW,11,0)</f>
        <v>2.4</v>
      </c>
      <c r="I29" s="16" t="str">
        <f>(VLOOKUP(C29,Dados!B:AW,48,0))</f>
        <v>Fase de Degradação</v>
      </c>
      <c r="J29" s="189" t="s">
        <v>733</v>
      </c>
      <c r="K29" s="177">
        <f>IFERROR((VLOOKUP(C29,Dados!B:AW,44,0)),0)</f>
        <v>0</v>
      </c>
      <c r="L29" s="177">
        <f>IFERROR((VLOOKUP(C29,Dados!B:AW,45,0)),0)</f>
        <v>0</v>
      </c>
      <c r="M29" s="177">
        <f>IFERROR((VLOOKUP(C29,Dados!B:AW,43,0)),0)</f>
        <v>0</v>
      </c>
      <c r="N29" s="179">
        <f>IFERROR((VLOOKUP(C29,Dados!B:AW,47,0)),0)</f>
        <v>0</v>
      </c>
      <c r="O29" s="197">
        <f t="shared" si="0"/>
        <v>-1</v>
      </c>
      <c r="P29" s="1">
        <f t="shared" si="1"/>
        <v>0</v>
      </c>
      <c r="Q29" s="221"/>
      <c r="AC29">
        <v>2</v>
      </c>
      <c r="AD29">
        <v>2</v>
      </c>
      <c r="AE29">
        <v>1</v>
      </c>
      <c r="AH29" t="s">
        <v>451</v>
      </c>
      <c r="AI29" t="str">
        <f t="shared" si="2"/>
        <v>ROB005*</v>
      </c>
    </row>
    <row r="30" spans="1:35" ht="26.25" customHeight="1" x14ac:dyDescent="0.3">
      <c r="A30"/>
      <c r="B30" s="16">
        <v>29</v>
      </c>
      <c r="C30" s="16" t="s">
        <v>540</v>
      </c>
      <c r="D30" s="16" t="s">
        <v>1586</v>
      </c>
      <c r="E30" s="16" t="s">
        <v>2080</v>
      </c>
      <c r="F30" s="200" t="str">
        <f>VLOOKUP(C30,[9]Dados!B:C,2,0)</f>
        <v>BRU036-BRUNIDORA</v>
      </c>
      <c r="G30" s="189" t="str">
        <f>IFERROR(VLOOKUP(C30,#REF!,4,FALSE),"")</f>
        <v/>
      </c>
      <c r="H30" s="248">
        <f>VLOOKUP(C30,Dados!B:AW,11,0)</f>
        <v>2.08</v>
      </c>
      <c r="I30" s="16" t="str">
        <f>(VLOOKUP(C30,Dados!B:AW,48,0))</f>
        <v>Fase de Degradação</v>
      </c>
      <c r="J30" s="189" t="s">
        <v>735</v>
      </c>
      <c r="K30" s="177">
        <f>IFERROR((VLOOKUP(C30,Dados!B:AW,44,0)),0)</f>
        <v>0</v>
      </c>
      <c r="L30" s="177">
        <f>IFERROR((VLOOKUP(C30,Dados!B:AW,45,0)),0)</f>
        <v>0</v>
      </c>
      <c r="M30" s="177">
        <f>IFERROR((VLOOKUP(C30,Dados!B:AW,43,0)),0)</f>
        <v>0</v>
      </c>
      <c r="N30" s="179">
        <f>IFERROR((VLOOKUP(C30,Dados!B:AW,47,0)),0)</f>
        <v>0</v>
      </c>
      <c r="O30" s="197">
        <f t="shared" si="0"/>
        <v>1</v>
      </c>
      <c r="P30" s="1">
        <f t="shared" si="1"/>
        <v>0</v>
      </c>
      <c r="Q30" s="221"/>
      <c r="AC30">
        <v>-1</v>
      </c>
      <c r="AD30">
        <v>-1</v>
      </c>
      <c r="AE30">
        <v>-1</v>
      </c>
      <c r="AH30" t="s">
        <v>402</v>
      </c>
      <c r="AI30" t="str">
        <f t="shared" si="2"/>
        <v>TOR020*</v>
      </c>
    </row>
    <row r="31" spans="1:35" ht="26.25" customHeight="1" x14ac:dyDescent="0.3">
      <c r="A31"/>
      <c r="B31" s="16">
        <v>30</v>
      </c>
      <c r="C31" s="16" t="s">
        <v>541</v>
      </c>
      <c r="D31" s="16" t="s">
        <v>1586</v>
      </c>
      <c r="E31" s="16" t="s">
        <v>2081</v>
      </c>
      <c r="F31" s="251" t="str">
        <f>VLOOKUP(C31,[9]Dados!B:C,2,0)</f>
        <v>BRU037-BRUNIDORA</v>
      </c>
      <c r="G31" s="189" t="str">
        <f>IFERROR(VLOOKUP(C31,#REF!,4,FALSE),"")</f>
        <v/>
      </c>
      <c r="H31" s="248">
        <f>VLOOKUP(C31,Dados!B:AW,11,0)</f>
        <v>2.59</v>
      </c>
      <c r="I31" s="16" t="str">
        <f>(VLOOKUP(C31,Dados!B:AW,48,0))</f>
        <v>Fase de Degradação</v>
      </c>
      <c r="J31" s="189" t="s">
        <v>735</v>
      </c>
      <c r="K31" s="177">
        <f>IFERROR((VLOOKUP(C31,Dados!B:AW,44,0)),0)</f>
        <v>0</v>
      </c>
      <c r="L31" s="177">
        <f>IFERROR((VLOOKUP(C31,Dados!B:AW,45,0)),0)</f>
        <v>0</v>
      </c>
      <c r="M31" s="177">
        <f>IFERROR((VLOOKUP(C31,Dados!B:AW,43,0)),0)</f>
        <v>0</v>
      </c>
      <c r="N31" s="179">
        <f>IFERROR((VLOOKUP(C31,Dados!B:AW,47,0)),0)</f>
        <v>0</v>
      </c>
      <c r="O31" s="197">
        <f t="shared" si="0"/>
        <v>1</v>
      </c>
      <c r="P31" s="1">
        <f t="shared" si="1"/>
        <v>0</v>
      </c>
      <c r="Q31" s="221"/>
      <c r="AC31">
        <v>2</v>
      </c>
      <c r="AD31">
        <v>2</v>
      </c>
      <c r="AE31">
        <v>1</v>
      </c>
      <c r="AH31" t="s">
        <v>420</v>
      </c>
      <c r="AI31" t="str">
        <f t="shared" si="2"/>
        <v>TOR021*</v>
      </c>
    </row>
    <row r="32" spans="1:35" ht="26.25" customHeight="1" x14ac:dyDescent="0.3">
      <c r="A32"/>
      <c r="B32" s="16">
        <v>31</v>
      </c>
      <c r="C32" s="16" t="s">
        <v>542</v>
      </c>
      <c r="D32" s="16" t="s">
        <v>1586</v>
      </c>
      <c r="E32" s="16" t="s">
        <v>2081</v>
      </c>
      <c r="F32" s="200" t="s">
        <v>571</v>
      </c>
      <c r="G32" s="189" t="str">
        <f>IFERROR(VLOOKUP(C32,#REF!,4,FALSE),"")</f>
        <v/>
      </c>
      <c r="H32" s="248">
        <f>VLOOKUP(C32,Dados!B:AW,11,0)</f>
        <v>1.82</v>
      </c>
      <c r="I32" s="16" t="str">
        <f>(VLOOKUP(C32,Dados!B:AW,48,0))</f>
        <v>Fase de Degradação</v>
      </c>
      <c r="J32" s="189" t="s">
        <v>735</v>
      </c>
      <c r="K32" s="177">
        <f>IFERROR((VLOOKUP(C32,Dados!B:AW,44,0)),0)</f>
        <v>0</v>
      </c>
      <c r="L32" s="177">
        <f>IFERROR((VLOOKUP(C32,Dados!B:AW,45,0)),0)</f>
        <v>0</v>
      </c>
      <c r="M32" s="177">
        <f>IFERROR((VLOOKUP(C32,Dados!B:AW,43,0)),0)</f>
        <v>0</v>
      </c>
      <c r="N32" s="179">
        <f>IFERROR((VLOOKUP(C32,Dados!B:AW,47,0)),0)</f>
        <v>0</v>
      </c>
      <c r="O32" s="197">
        <f t="shared" si="0"/>
        <v>1</v>
      </c>
      <c r="P32" s="1">
        <f t="shared" si="1"/>
        <v>0</v>
      </c>
      <c r="Q32" s="221"/>
      <c r="AC32">
        <v>-1</v>
      </c>
      <c r="AD32">
        <v>-1</v>
      </c>
      <c r="AE32">
        <v>-1</v>
      </c>
      <c r="AH32" t="s">
        <v>394</v>
      </c>
      <c r="AI32" t="str">
        <f t="shared" si="2"/>
        <v>TOR028*</v>
      </c>
    </row>
    <row r="33" spans="1:35" ht="26.25" customHeight="1" x14ac:dyDescent="0.3">
      <c r="A33"/>
      <c r="B33" s="16">
        <v>32</v>
      </c>
      <c r="C33" s="16" t="s">
        <v>270</v>
      </c>
      <c r="D33" s="16" t="s">
        <v>1586</v>
      </c>
      <c r="E33" s="16" t="s">
        <v>2083</v>
      </c>
      <c r="F33" s="200" t="s">
        <v>271</v>
      </c>
      <c r="G33" s="189" t="str">
        <f>IFERROR(VLOOKUP(C33,#REF!,4,FALSE),"")</f>
        <v/>
      </c>
      <c r="H33" s="250">
        <f>VLOOKUP(C33,Dados!B:AW,11,0)</f>
        <v>2.34</v>
      </c>
      <c r="I33" s="16" t="str">
        <f>(VLOOKUP(C33,Dados!B:AW,48,0))</f>
        <v>Fase de Degradação</v>
      </c>
      <c r="J33" s="189" t="s">
        <v>733</v>
      </c>
      <c r="K33" s="177">
        <f>IFERROR((VLOOKUP(C33,Dados!B:AW,44,0)),0)</f>
        <v>0</v>
      </c>
      <c r="L33" s="177">
        <f>IFERROR((VLOOKUP(C33,Dados!B:AW,45,0)),0)</f>
        <v>0</v>
      </c>
      <c r="M33" s="177">
        <f>IFERROR((VLOOKUP(C33,Dados!B:AW,43,0)),0)</f>
        <v>0</v>
      </c>
      <c r="N33" s="179">
        <f>IFERROR((VLOOKUP(C33,Dados!B:AW,47,0)),0)</f>
        <v>0</v>
      </c>
      <c r="O33" s="197">
        <f t="shared" si="0"/>
        <v>-1</v>
      </c>
      <c r="P33" s="1">
        <f t="shared" si="1"/>
        <v>0</v>
      </c>
      <c r="Q33" s="221"/>
      <c r="AC33">
        <v>-1</v>
      </c>
      <c r="AD33">
        <v>-1</v>
      </c>
      <c r="AE33">
        <v>-1</v>
      </c>
      <c r="AH33" t="s">
        <v>363</v>
      </c>
      <c r="AI33" t="str">
        <f t="shared" si="2"/>
        <v>CEN058*</v>
      </c>
    </row>
    <row r="34" spans="1:35" ht="26.25" customHeight="1" x14ac:dyDescent="0.3">
      <c r="A34"/>
      <c r="B34" s="16">
        <v>33</v>
      </c>
      <c r="C34" s="16" t="s">
        <v>543</v>
      </c>
      <c r="D34" s="16" t="s">
        <v>1586</v>
      </c>
      <c r="E34" s="16" t="s">
        <v>2083</v>
      </c>
      <c r="F34" s="200" t="s">
        <v>572</v>
      </c>
      <c r="G34" s="189" t="str">
        <f>IFERROR(VLOOKUP(C34,#REF!,4,FALSE),"")</f>
        <v/>
      </c>
      <c r="H34" s="250">
        <f>VLOOKUP(C34,Dados!B:AW,11,0)</f>
        <v>1.39</v>
      </c>
      <c r="I34" s="16" t="str">
        <f>(VLOOKUP(C34,Dados!B:AW,48,0))</f>
        <v>Fase de Degradação</v>
      </c>
      <c r="J34" s="189" t="s">
        <v>735</v>
      </c>
      <c r="K34" s="177">
        <f>IFERROR((VLOOKUP(C34,Dados!B:AW,44,0)),0)</f>
        <v>0</v>
      </c>
      <c r="L34" s="177">
        <f>IFERROR((VLOOKUP(C34,Dados!B:AW,45,0)),0)</f>
        <v>0</v>
      </c>
      <c r="M34" s="177">
        <f>IFERROR((VLOOKUP(C34,Dados!B:AW,43,0)),0)</f>
        <v>0</v>
      </c>
      <c r="N34" s="179">
        <f>IFERROR((VLOOKUP(C34,Dados!B:AW,47,0)),0)</f>
        <v>0</v>
      </c>
      <c r="O34" s="197">
        <f t="shared" si="0"/>
        <v>1</v>
      </c>
      <c r="P34" s="1">
        <f t="shared" si="1"/>
        <v>0</v>
      </c>
      <c r="Q34" s="221"/>
      <c r="AC34">
        <v>2</v>
      </c>
      <c r="AD34">
        <v>2</v>
      </c>
      <c r="AE34">
        <v>1</v>
      </c>
      <c r="AH34" t="s">
        <v>296</v>
      </c>
      <c r="AI34" t="str">
        <f t="shared" si="2"/>
        <v>ROB010*</v>
      </c>
    </row>
    <row r="35" spans="1:35" ht="26.25" customHeight="1" x14ac:dyDescent="0.3">
      <c r="A35"/>
      <c r="B35" s="16">
        <v>35</v>
      </c>
      <c r="C35" s="16" t="s">
        <v>366</v>
      </c>
      <c r="D35" s="16" t="s">
        <v>1586</v>
      </c>
      <c r="E35" s="16" t="s">
        <v>2084</v>
      </c>
      <c r="F35" s="200" t="s">
        <v>187</v>
      </c>
      <c r="G35" s="189" t="str">
        <f>IFERROR(VLOOKUP(C35,#REF!,4,FALSE),"")</f>
        <v/>
      </c>
      <c r="H35" s="248">
        <f>VLOOKUP(C35,Dados!B:AW,11,0)</f>
        <v>1.22</v>
      </c>
      <c r="I35" s="16" t="str">
        <f>(VLOOKUP(C35,Dados!B:AW,48,0))</f>
        <v>Fase de Degradação</v>
      </c>
      <c r="J35" s="189" t="s">
        <v>733</v>
      </c>
      <c r="K35" s="177">
        <f>IFERROR((VLOOKUP(C35,Dados!B:AW,44,0)),0)</f>
        <v>0</v>
      </c>
      <c r="L35" s="177">
        <f>IFERROR((VLOOKUP(C35,Dados!B:AW,45,0)),0)</f>
        <v>0</v>
      </c>
      <c r="M35" s="177">
        <f>IFERROR((VLOOKUP(C35,Dados!B:AW,43,0)),0)</f>
        <v>0</v>
      </c>
      <c r="N35" s="179">
        <f>IFERROR((VLOOKUP(C35,Dados!B:AW,47,0)),0)</f>
        <v>0</v>
      </c>
      <c r="O35" s="197">
        <f t="shared" si="0"/>
        <v>-1</v>
      </c>
      <c r="P35" s="1">
        <f t="shared" si="1"/>
        <v>0</v>
      </c>
      <c r="Q35" s="221"/>
      <c r="AC35">
        <v>-1</v>
      </c>
      <c r="AD35">
        <v>-1</v>
      </c>
      <c r="AE35">
        <v>-1</v>
      </c>
      <c r="AH35" t="s">
        <v>467</v>
      </c>
      <c r="AI35" t="str">
        <f t="shared" si="2"/>
        <v>ROB037*</v>
      </c>
    </row>
    <row r="36" spans="1:35" ht="26.25" customHeight="1" x14ac:dyDescent="0.3">
      <c r="A36"/>
      <c r="B36" s="16">
        <v>36</v>
      </c>
      <c r="C36" s="16" t="s">
        <v>545</v>
      </c>
      <c r="D36" s="16" t="s">
        <v>1586</v>
      </c>
      <c r="E36" s="16" t="s">
        <v>2084</v>
      </c>
      <c r="F36" s="200" t="s">
        <v>573</v>
      </c>
      <c r="G36" s="189" t="str">
        <f>IFERROR(VLOOKUP(C36,#REF!,4,FALSE),"")</f>
        <v/>
      </c>
      <c r="H36" s="248">
        <f>VLOOKUP(C36,Dados!B:AW,11,0)</f>
        <v>1.35</v>
      </c>
      <c r="I36" s="16" t="str">
        <f>(VLOOKUP(C36,Dados!B:AW,48,0))</f>
        <v>Fase de Degradação</v>
      </c>
      <c r="J36" s="189" t="s">
        <v>735</v>
      </c>
      <c r="K36" s="177">
        <f>IFERROR((VLOOKUP(C36,Dados!B:AW,44,0)),0)</f>
        <v>0</v>
      </c>
      <c r="L36" s="177">
        <f>IFERROR((VLOOKUP(C36,Dados!B:AW,45,0)),0)</f>
        <v>0</v>
      </c>
      <c r="M36" s="177">
        <f>IFERROR((VLOOKUP(C36,Dados!B:AW,43,0)),0)</f>
        <v>0</v>
      </c>
      <c r="N36" s="179">
        <f>IFERROR((VLOOKUP(C36,Dados!B:AW,47,0)),0)</f>
        <v>0</v>
      </c>
      <c r="O36" s="197">
        <f t="shared" si="0"/>
        <v>1</v>
      </c>
      <c r="P36" s="1">
        <f t="shared" si="1"/>
        <v>0</v>
      </c>
      <c r="Q36" s="221"/>
      <c r="AC36">
        <v>2</v>
      </c>
      <c r="AD36">
        <v>2</v>
      </c>
      <c r="AE36">
        <v>1</v>
      </c>
      <c r="AH36" t="s">
        <v>406</v>
      </c>
      <c r="AI36" t="str">
        <f t="shared" si="2"/>
        <v>CEN064*</v>
      </c>
    </row>
    <row r="37" spans="1:35" ht="26.25" customHeight="1" x14ac:dyDescent="0.3">
      <c r="A37"/>
      <c r="B37" s="16">
        <v>37</v>
      </c>
      <c r="C37" s="16" t="s">
        <v>384</v>
      </c>
      <c r="D37" s="16" t="s">
        <v>1586</v>
      </c>
      <c r="E37" s="16" t="s">
        <v>2087</v>
      </c>
      <c r="F37" s="251" t="str">
        <f>VLOOKUP(C37,[9]Dados!B:C,2,0)</f>
        <v>BRU044-BRUNIDORA</v>
      </c>
      <c r="G37" s="189" t="str">
        <f>IFERROR(VLOOKUP(C37,#REF!,4,FALSE),"")</f>
        <v/>
      </c>
      <c r="H37" s="250">
        <f>VLOOKUP(C37,Dados!B:AW,11,0)</f>
        <v>1.39</v>
      </c>
      <c r="I37" s="16" t="str">
        <f>(VLOOKUP(C37,Dados!B:AW,48,0))</f>
        <v>Fase de Degradação</v>
      </c>
      <c r="J37" s="189" t="s">
        <v>735</v>
      </c>
      <c r="K37" s="177">
        <f>IFERROR((VLOOKUP(C37,Dados!B:AW,44,0)),0)</f>
        <v>0</v>
      </c>
      <c r="L37" s="177">
        <f>IFERROR((VLOOKUP(C37,Dados!B:AW,45,0)),0)</f>
        <v>0</v>
      </c>
      <c r="M37" s="177">
        <f>IFERROR((VLOOKUP(C37,Dados!B:AW,43,0)),0)</f>
        <v>0</v>
      </c>
      <c r="N37" s="179">
        <f>IFERROR((VLOOKUP(C37,Dados!B:AW,47,0)),0)</f>
        <v>0</v>
      </c>
      <c r="O37" s="197">
        <f t="shared" si="0"/>
        <v>1</v>
      </c>
      <c r="P37" s="1">
        <f t="shared" si="1"/>
        <v>0</v>
      </c>
      <c r="Q37" s="221"/>
      <c r="AC37">
        <v>-1</v>
      </c>
      <c r="AD37">
        <v>-1</v>
      </c>
      <c r="AE37">
        <v>-1</v>
      </c>
      <c r="AH37" t="s">
        <v>613</v>
      </c>
      <c r="AI37" t="str">
        <f t="shared" si="2"/>
        <v>TOR027*</v>
      </c>
    </row>
    <row r="38" spans="1:35" ht="26.25" customHeight="1" x14ac:dyDescent="0.3">
      <c r="A38" s="219"/>
      <c r="B38" s="16">
        <v>38</v>
      </c>
      <c r="C38" s="16" t="s">
        <v>546</v>
      </c>
      <c r="D38" s="16" t="s">
        <v>1586</v>
      </c>
      <c r="E38" s="16" t="s">
        <v>2087</v>
      </c>
      <c r="F38" s="200" t="str">
        <f>VLOOKUP(C38,[9]Dados!B:C,2,0)</f>
        <v>BRU045-BRUNIDORA</v>
      </c>
      <c r="G38" s="189" t="str">
        <f>IFERROR(VLOOKUP(C38,#REF!,4,FALSE),"")</f>
        <v/>
      </c>
      <c r="H38" s="248">
        <f>VLOOKUP(C38,Dados!B:AW,11,0)</f>
        <v>1.79</v>
      </c>
      <c r="I38" s="16" t="str">
        <f>(VLOOKUP(C38,Dados!B:AW,48,0))</f>
        <v>Fase de Degradação</v>
      </c>
      <c r="J38" s="189" t="s">
        <v>735</v>
      </c>
      <c r="K38" s="177">
        <f>IFERROR((VLOOKUP(C38,Dados!B:AW,44,0)),0)</f>
        <v>0</v>
      </c>
      <c r="L38" s="177">
        <f>IFERROR((VLOOKUP(C38,Dados!B:AW,45,0)),0)</f>
        <v>0</v>
      </c>
      <c r="M38" s="177">
        <f>IFERROR((VLOOKUP(C38,Dados!B:AW,43,0)),0)</f>
        <v>0</v>
      </c>
      <c r="N38" s="179">
        <f>IFERROR((VLOOKUP(C38,Dados!B:AW,47,0)),0)</f>
        <v>0</v>
      </c>
      <c r="O38" s="197">
        <f t="shared" si="0"/>
        <v>1</v>
      </c>
      <c r="P38" s="1">
        <f t="shared" si="1"/>
        <v>0</v>
      </c>
      <c r="Q38" s="221"/>
      <c r="AC38">
        <v>2</v>
      </c>
      <c r="AD38">
        <v>2</v>
      </c>
      <c r="AE38">
        <v>1</v>
      </c>
      <c r="AH38" t="s">
        <v>755</v>
      </c>
      <c r="AI38" t="str">
        <f t="shared" si="2"/>
        <v>CEN094*</v>
      </c>
    </row>
    <row r="39" spans="1:35" ht="25" x14ac:dyDescent="0.3">
      <c r="A39"/>
      <c r="B39" s="16">
        <v>39</v>
      </c>
      <c r="C39" s="16" t="s">
        <v>357</v>
      </c>
      <c r="D39" s="16" t="s">
        <v>1586</v>
      </c>
      <c r="E39" s="16" t="s">
        <v>2088</v>
      </c>
      <c r="F39" s="252" t="str">
        <f>VLOOKUP(C39,[9]Dados!B:C,2,0)</f>
        <v>BRU046-BRUNIDORA</v>
      </c>
      <c r="G39" s="189" t="str">
        <f>IFERROR(VLOOKUP(C39,#REF!,4,FALSE),"")</f>
        <v/>
      </c>
      <c r="H39" s="248">
        <f>VLOOKUP(C39,Dados!B:AW,11,0)</f>
        <v>1.69</v>
      </c>
      <c r="I39" s="16" t="str">
        <f>(VLOOKUP(C39,Dados!B:AW,48,0))</f>
        <v>Fase de Degradação</v>
      </c>
      <c r="J39" s="189" t="s">
        <v>733</v>
      </c>
      <c r="K39" s="177">
        <f>IFERROR((VLOOKUP(C39,Dados!B:AW,44,0)),0)</f>
        <v>0</v>
      </c>
      <c r="L39" s="177">
        <f>IFERROR((VLOOKUP(C39,Dados!B:AW,45,0)),0)</f>
        <v>0</v>
      </c>
      <c r="M39" s="177">
        <f>IFERROR((VLOOKUP(C39,Dados!B:AW,43,0)),0)</f>
        <v>0</v>
      </c>
      <c r="N39" s="179">
        <f>IFERROR((VLOOKUP(C39,Dados!B:AW,47,0)),0)</f>
        <v>0</v>
      </c>
      <c r="O39" s="197">
        <f t="shared" si="0"/>
        <v>-1</v>
      </c>
      <c r="P39" s="1">
        <f t="shared" si="1"/>
        <v>0</v>
      </c>
      <c r="Q39" s="221"/>
      <c r="AC39">
        <v>-1</v>
      </c>
      <c r="AD39">
        <v>-1</v>
      </c>
      <c r="AE39">
        <v>-1</v>
      </c>
      <c r="AH39" t="s">
        <v>546</v>
      </c>
      <c r="AI39" t="str">
        <f t="shared" si="2"/>
        <v>BRU045*</v>
      </c>
    </row>
    <row r="40" spans="1:35" ht="26.25" customHeight="1" x14ac:dyDescent="0.3">
      <c r="A40"/>
      <c r="B40" s="16">
        <v>40</v>
      </c>
      <c r="C40" s="16" t="s">
        <v>547</v>
      </c>
      <c r="D40" s="16" t="s">
        <v>1586</v>
      </c>
      <c r="E40" s="16" t="s">
        <v>2088</v>
      </c>
      <c r="F40" s="200" t="s">
        <v>575</v>
      </c>
      <c r="G40" s="189" t="str">
        <f>IFERROR(VLOOKUP(C40,#REF!,4,FALSE),"")</f>
        <v/>
      </c>
      <c r="H40" s="248">
        <f>VLOOKUP(C40,Dados!B:AW,11,0)</f>
        <v>1.05</v>
      </c>
      <c r="I40" s="16" t="str">
        <f>(VLOOKUP(C40,Dados!B:AW,48,0))</f>
        <v>Fase de Vida Útil</v>
      </c>
      <c r="J40" s="189" t="s">
        <v>735</v>
      </c>
      <c r="K40" s="177">
        <f>IFERROR((VLOOKUP(C40,Dados!B:AW,44,0)),0)</f>
        <v>0</v>
      </c>
      <c r="L40" s="177">
        <f>IFERROR((VLOOKUP(C40,Dados!B:AW,45,0)),0)</f>
        <v>0</v>
      </c>
      <c r="M40" s="177">
        <f>IFERROR((VLOOKUP(C40,Dados!B:AW,43,0)),0)</f>
        <v>0</v>
      </c>
      <c r="N40" s="179">
        <f>IFERROR((VLOOKUP(C40,Dados!B:AW,47,0)),0)</f>
        <v>0</v>
      </c>
      <c r="O40" s="197">
        <f t="shared" si="0"/>
        <v>2</v>
      </c>
      <c r="P40" s="1">
        <f t="shared" si="1"/>
        <v>0</v>
      </c>
      <c r="Q40" s="221"/>
      <c r="AC40">
        <v>-1</v>
      </c>
      <c r="AD40">
        <v>-1</v>
      </c>
      <c r="AE40">
        <v>-1</v>
      </c>
      <c r="AH40" t="s">
        <v>601</v>
      </c>
      <c r="AI40" t="str">
        <f t="shared" si="2"/>
        <v>CEN065*</v>
      </c>
    </row>
    <row r="41" spans="1:35" ht="26.25" customHeight="1" x14ac:dyDescent="0.3">
      <c r="A41"/>
      <c r="B41" s="16">
        <v>41</v>
      </c>
      <c r="C41" s="16" t="s">
        <v>127</v>
      </c>
      <c r="D41" s="16" t="s">
        <v>1586</v>
      </c>
      <c r="E41" s="16" t="s">
        <v>2089</v>
      </c>
      <c r="F41" s="200" t="s">
        <v>128</v>
      </c>
      <c r="G41" s="189" t="str">
        <f>IFERROR(VLOOKUP(C41,#REF!,4,FALSE),"")</f>
        <v/>
      </c>
      <c r="H41" s="248">
        <f>VLOOKUP(C41,Dados!B:AW,11,0)</f>
        <v>1.06</v>
      </c>
      <c r="I41" s="16" t="str">
        <f>(VLOOKUP(C41,Dados!B:AW,48,0))</f>
        <v>Fase de Vida Útil</v>
      </c>
      <c r="J41" s="189" t="s">
        <v>735</v>
      </c>
      <c r="K41" s="177">
        <f>IFERROR((VLOOKUP(C41,Dados!B:AW,44,0)),0)</f>
        <v>0</v>
      </c>
      <c r="L41" s="177">
        <f>IFERROR((VLOOKUP(C41,Dados!B:AW,45,0)),0)</f>
        <v>0</v>
      </c>
      <c r="M41" s="177">
        <f>IFERROR((VLOOKUP(C41,Dados!B:AW,43,0)),0)</f>
        <v>0</v>
      </c>
      <c r="N41" s="179">
        <f>IFERROR((VLOOKUP(C41,Dados!B:AW,47,0)),0)</f>
        <v>0</v>
      </c>
      <c r="O41" s="197">
        <f t="shared" si="0"/>
        <v>2</v>
      </c>
      <c r="P41" s="1">
        <f t="shared" si="1"/>
        <v>0</v>
      </c>
      <c r="Q41" s="221"/>
      <c r="AC41">
        <v>2</v>
      </c>
      <c r="AD41">
        <v>2</v>
      </c>
      <c r="AE41">
        <v>1</v>
      </c>
      <c r="AH41" t="s">
        <v>625</v>
      </c>
      <c r="AI41" t="str">
        <f t="shared" si="2"/>
        <v>TOR025*</v>
      </c>
    </row>
    <row r="42" spans="1:35" ht="26.25" customHeight="1" x14ac:dyDescent="0.3">
      <c r="A42"/>
      <c r="B42" s="16">
        <v>42</v>
      </c>
      <c r="C42" s="16" t="s">
        <v>291</v>
      </c>
      <c r="D42" s="16" t="s">
        <v>1586</v>
      </c>
      <c r="E42" s="16" t="s">
        <v>2090</v>
      </c>
      <c r="F42" s="200" t="s">
        <v>292</v>
      </c>
      <c r="G42" s="189" t="str">
        <f>IFERROR(VLOOKUP(C42,#REF!,4,FALSE),"")</f>
        <v/>
      </c>
      <c r="H42" s="248">
        <f>VLOOKUP(C42,Dados!B:AW,11,0)</f>
        <v>1.18</v>
      </c>
      <c r="I42" s="16" t="str">
        <f>(VLOOKUP(C42,Dados!B:AW,48,0))</f>
        <v>Fase de Degradação</v>
      </c>
      <c r="J42" s="189" t="s">
        <v>735</v>
      </c>
      <c r="K42" s="177">
        <f>IFERROR((VLOOKUP(C42,Dados!B:AW,44,0)),0)</f>
        <v>0</v>
      </c>
      <c r="L42" s="177">
        <f>IFERROR((VLOOKUP(C42,Dados!B:AW,45,0)),0)</f>
        <v>0</v>
      </c>
      <c r="M42" s="177">
        <f>IFERROR((VLOOKUP(C42,Dados!B:AW,43,0)),0)</f>
        <v>0</v>
      </c>
      <c r="N42" s="179">
        <f>IFERROR((VLOOKUP(C42,Dados!B:AW,47,0)),0)</f>
        <v>0</v>
      </c>
      <c r="O42" s="197">
        <f t="shared" si="0"/>
        <v>1</v>
      </c>
      <c r="P42" s="1">
        <f t="shared" si="1"/>
        <v>0</v>
      </c>
      <c r="Q42" s="221"/>
      <c r="AC42">
        <v>-1</v>
      </c>
      <c r="AD42">
        <v>-1</v>
      </c>
      <c r="AE42">
        <v>-1</v>
      </c>
      <c r="AH42" t="s">
        <v>863</v>
      </c>
      <c r="AI42" t="str">
        <f t="shared" si="2"/>
        <v>SOP008*</v>
      </c>
    </row>
    <row r="43" spans="1:35" ht="26.25" customHeight="1" x14ac:dyDescent="0.3">
      <c r="A43"/>
      <c r="B43" s="16">
        <v>43</v>
      </c>
      <c r="C43" s="16" t="s">
        <v>548</v>
      </c>
      <c r="D43" s="16" t="s">
        <v>1586</v>
      </c>
      <c r="E43" s="16" t="s">
        <v>2091</v>
      </c>
      <c r="F43" s="200" t="s">
        <v>576</v>
      </c>
      <c r="G43" s="189" t="str">
        <f>IFERROR(VLOOKUP(C43,#REF!,4,FALSE),"")</f>
        <v/>
      </c>
      <c r="H43" s="248">
        <f>VLOOKUP(C43,Dados!B:AW,11,0)</f>
        <v>1.78</v>
      </c>
      <c r="I43" s="16" t="str">
        <f>(VLOOKUP(C43,Dados!B:AW,48,0))</f>
        <v>Fase de Degradação</v>
      </c>
      <c r="J43" s="189" t="s">
        <v>735</v>
      </c>
      <c r="K43" s="177">
        <f>IFERROR((VLOOKUP(C43,Dados!B:AW,44,0)),0)</f>
        <v>0</v>
      </c>
      <c r="L43" s="177">
        <f>IFERROR((VLOOKUP(C43,Dados!B:AW,45,0)),0)</f>
        <v>0</v>
      </c>
      <c r="M43" s="177">
        <f>IFERROR((VLOOKUP(C43,Dados!B:AW,43,0)),0)</f>
        <v>0</v>
      </c>
      <c r="N43" s="179">
        <f>IFERROR((VLOOKUP(C43,Dados!B:AW,47,0)),0)</f>
        <v>0</v>
      </c>
      <c r="O43" s="197">
        <f t="shared" si="0"/>
        <v>1</v>
      </c>
      <c r="P43" s="1">
        <f t="shared" si="1"/>
        <v>0</v>
      </c>
      <c r="Q43" s="221"/>
      <c r="AC43">
        <v>2</v>
      </c>
      <c r="AD43">
        <v>2</v>
      </c>
      <c r="AE43">
        <v>1</v>
      </c>
      <c r="AH43" t="s">
        <v>538</v>
      </c>
      <c r="AI43" t="str">
        <f t="shared" si="2"/>
        <v>BRU032*</v>
      </c>
    </row>
    <row r="44" spans="1:35" ht="26.25" customHeight="1" x14ac:dyDescent="0.3">
      <c r="A44"/>
      <c r="B44" s="16">
        <v>44</v>
      </c>
      <c r="C44" s="16" t="s">
        <v>549</v>
      </c>
      <c r="D44" s="16" t="s">
        <v>1586</v>
      </c>
      <c r="E44" s="16" t="s">
        <v>2091</v>
      </c>
      <c r="F44" s="200" t="s">
        <v>577</v>
      </c>
      <c r="G44" s="189" t="str">
        <f>IFERROR(VLOOKUP(C44,#REF!,4,FALSE),"")</f>
        <v/>
      </c>
      <c r="H44" s="250">
        <f>VLOOKUP(C44,Dados!B:AW,11,0)</f>
        <v>1.21</v>
      </c>
      <c r="I44" s="16" t="str">
        <f>(VLOOKUP(C44,Dados!B:AW,48,0))</f>
        <v>Fase de Degradação</v>
      </c>
      <c r="J44" s="189" t="s">
        <v>735</v>
      </c>
      <c r="K44" s="177">
        <f>IFERROR((VLOOKUP(C44,Dados!B:AW,44,0)),0)</f>
        <v>0</v>
      </c>
      <c r="L44" s="177">
        <f>IFERROR((VLOOKUP(C44,Dados!B:AW,45,0)),0)</f>
        <v>0</v>
      </c>
      <c r="M44" s="177">
        <f>IFERROR((VLOOKUP(C44,Dados!B:AW,43,0)),0)</f>
        <v>0</v>
      </c>
      <c r="N44" s="179">
        <f>IFERROR((VLOOKUP(C44,Dados!B:AW,47,0)),0)</f>
        <v>0</v>
      </c>
      <c r="O44" s="197">
        <f t="shared" si="0"/>
        <v>1</v>
      </c>
      <c r="P44" s="1">
        <f t="shared" si="1"/>
        <v>0</v>
      </c>
      <c r="Q44" s="221"/>
      <c r="AC44">
        <v>-1</v>
      </c>
      <c r="AD44">
        <v>-1</v>
      </c>
      <c r="AE44">
        <v>-1</v>
      </c>
      <c r="AH44" t="s">
        <v>550</v>
      </c>
      <c r="AI44" t="str">
        <f t="shared" si="2"/>
        <v>BRU052*</v>
      </c>
    </row>
    <row r="45" spans="1:35" ht="26.25" customHeight="1" x14ac:dyDescent="0.3">
      <c r="A45"/>
      <c r="B45" s="16">
        <v>45</v>
      </c>
      <c r="C45" s="16" t="s">
        <v>550</v>
      </c>
      <c r="D45" s="16" t="s">
        <v>1586</v>
      </c>
      <c r="E45" s="16" t="s">
        <v>2092</v>
      </c>
      <c r="F45" s="200" t="s">
        <v>578</v>
      </c>
      <c r="G45" s="189" t="str">
        <f>IFERROR(VLOOKUP(C45,#REF!,4,FALSE),"")</f>
        <v/>
      </c>
      <c r="H45" s="248">
        <f>VLOOKUP(C45,Dados!B:AW,11,0)</f>
        <v>1.96</v>
      </c>
      <c r="I45" s="16" t="str">
        <f>(VLOOKUP(C45,Dados!B:AW,48,0))</f>
        <v>Fase de Degradação</v>
      </c>
      <c r="J45" s="189" t="s">
        <v>735</v>
      </c>
      <c r="K45" s="177">
        <f>IFERROR((VLOOKUP(C45,Dados!B:AW,44,0)),0)</f>
        <v>0</v>
      </c>
      <c r="L45" s="177">
        <f>IFERROR((VLOOKUP(C45,Dados!B:AW,45,0)),0)</f>
        <v>0</v>
      </c>
      <c r="M45" s="177">
        <f>IFERROR((VLOOKUP(C45,Dados!B:AW,43,0)),0)</f>
        <v>0</v>
      </c>
      <c r="N45" s="179">
        <f>IFERROR((VLOOKUP(C45,Dados!B:AW,47,0)),0)</f>
        <v>0</v>
      </c>
      <c r="O45" s="197">
        <f t="shared" si="0"/>
        <v>1</v>
      </c>
      <c r="P45" s="1">
        <f t="shared" si="1"/>
        <v>0</v>
      </c>
      <c r="Q45" s="221"/>
      <c r="AC45">
        <v>2</v>
      </c>
      <c r="AD45">
        <v>2</v>
      </c>
      <c r="AE45">
        <v>2</v>
      </c>
      <c r="AH45" t="s">
        <v>542</v>
      </c>
      <c r="AI45" t="str">
        <f t="shared" si="2"/>
        <v>BRU038*</v>
      </c>
    </row>
    <row r="46" spans="1:35" ht="26.25" customHeight="1" x14ac:dyDescent="0.3">
      <c r="A46"/>
      <c r="B46" s="16">
        <v>46</v>
      </c>
      <c r="C46" s="16" t="s">
        <v>551</v>
      </c>
      <c r="D46" s="16" t="s">
        <v>1586</v>
      </c>
      <c r="E46" s="16" t="s">
        <v>2092</v>
      </c>
      <c r="F46" s="200" t="s">
        <v>579</v>
      </c>
      <c r="G46" s="189" t="str">
        <f>IFERROR(VLOOKUP(C46,#REF!,4,FALSE),"")</f>
        <v/>
      </c>
      <c r="H46" s="250">
        <f>VLOOKUP(C46,Dados!B:AW,11,0)</f>
        <v>1.02</v>
      </c>
      <c r="I46" s="16" t="str">
        <f>(VLOOKUP(C46,Dados!B:AW,48,0))</f>
        <v>Fase de Vida Útil</v>
      </c>
      <c r="J46" s="189" t="s">
        <v>735</v>
      </c>
      <c r="K46" s="177">
        <f>IFERROR((VLOOKUP(C46,Dados!B:AW,44,0)),0)</f>
        <v>0</v>
      </c>
      <c r="L46" s="177">
        <f>IFERROR((VLOOKUP(C46,Dados!B:AW,45,0)),0)</f>
        <v>0</v>
      </c>
      <c r="M46" s="177">
        <f>IFERROR((VLOOKUP(C46,Dados!B:AW,43,0)),0)</f>
        <v>0</v>
      </c>
      <c r="N46" s="179">
        <f>IFERROR((VLOOKUP(C46,Dados!B:AW,47,0)),0)</f>
        <v>0</v>
      </c>
      <c r="O46" s="197">
        <f t="shared" si="0"/>
        <v>2</v>
      </c>
      <c r="P46" s="1">
        <f t="shared" si="1"/>
        <v>0</v>
      </c>
      <c r="Q46" s="221"/>
      <c r="AC46">
        <v>2</v>
      </c>
      <c r="AD46">
        <v>2</v>
      </c>
      <c r="AE46">
        <v>2</v>
      </c>
      <c r="AH46" t="s">
        <v>1104</v>
      </c>
      <c r="AI46" t="str">
        <f t="shared" si="2"/>
        <v>MAQ159*</v>
      </c>
    </row>
    <row r="47" spans="1:35" ht="26.25" customHeight="1" x14ac:dyDescent="0.3">
      <c r="A47"/>
      <c r="B47" s="16">
        <v>605</v>
      </c>
      <c r="C47" s="16" t="s">
        <v>1162</v>
      </c>
      <c r="D47" s="16" t="s">
        <v>1586</v>
      </c>
      <c r="E47" s="16" t="s">
        <v>2092</v>
      </c>
      <c r="F47" s="200" t="s">
        <v>1163</v>
      </c>
      <c r="G47" s="189" t="str">
        <f>IFERROR(VLOOKUP(C47,#REF!,4,FALSE),"")</f>
        <v/>
      </c>
      <c r="H47" s="249">
        <f>VLOOKUP(C47,Dados!B:AW,11,0)</f>
        <v>0</v>
      </c>
      <c r="I47" s="16" t="str">
        <f>(VLOOKUP(C47,Dados!B:AW,48,0))</f>
        <v>Confiabilidade em Crescimento</v>
      </c>
      <c r="J47" s="189" t="s">
        <v>735</v>
      </c>
      <c r="K47" s="177">
        <f>IFERROR((VLOOKUP(C47,Dados!B:AW,44,0)),0)</f>
        <v>0</v>
      </c>
      <c r="L47" s="177">
        <f>IFERROR((VLOOKUP(C47,Dados!B:AW,45,0)),0)</f>
        <v>0</v>
      </c>
      <c r="M47" s="177">
        <f>IFERROR((VLOOKUP(C47,Dados!B:AW,43,0)),0)</f>
        <v>0</v>
      </c>
      <c r="N47" s="179">
        <f>IFERROR((VLOOKUP(C47,Dados!B:AW,47,0)),0)</f>
        <v>0</v>
      </c>
      <c r="O47" s="197">
        <f t="shared" si="0"/>
        <v>2</v>
      </c>
      <c r="P47" s="1">
        <f t="shared" si="1"/>
        <v>0</v>
      </c>
      <c r="Q47" s="221"/>
      <c r="AC47">
        <v>2</v>
      </c>
      <c r="AD47">
        <v>2</v>
      </c>
      <c r="AE47">
        <v>2</v>
      </c>
      <c r="AH47" t="s">
        <v>357</v>
      </c>
      <c r="AI47" t="str">
        <f t="shared" si="2"/>
        <v>BRU046*</v>
      </c>
    </row>
    <row r="48" spans="1:35" ht="26.25" customHeight="1" x14ac:dyDescent="0.3">
      <c r="A48"/>
      <c r="B48" s="16">
        <v>47</v>
      </c>
      <c r="C48" s="16" t="s">
        <v>552</v>
      </c>
      <c r="D48" s="16" t="s">
        <v>1586</v>
      </c>
      <c r="E48" s="16" t="s">
        <v>2093</v>
      </c>
      <c r="F48" s="200" t="s">
        <v>580</v>
      </c>
      <c r="G48" s="189" t="str">
        <f>IFERROR(VLOOKUP(C48,#REF!,4,FALSE),"")</f>
        <v/>
      </c>
      <c r="H48" s="248">
        <f>VLOOKUP(C48,Dados!B:AW,11,0)</f>
        <v>1.29</v>
      </c>
      <c r="I48" s="16" t="str">
        <f>(VLOOKUP(C48,Dados!B:AW,48,0))</f>
        <v>Fase de Degradação</v>
      </c>
      <c r="J48" s="189" t="s">
        <v>735</v>
      </c>
      <c r="K48" s="177">
        <f>IFERROR((VLOOKUP(C48,Dados!B:AW,44,0)),0)</f>
        <v>0</v>
      </c>
      <c r="L48" s="177">
        <f>IFERROR((VLOOKUP(C48,Dados!B:AW,45,0)),0)</f>
        <v>0</v>
      </c>
      <c r="M48" s="177">
        <f>IFERROR((VLOOKUP(C48,Dados!B:AW,43,0)),0)</f>
        <v>0</v>
      </c>
      <c r="N48" s="179">
        <f>IFERROR((VLOOKUP(C48,Dados!B:AW,47,0)),0)</f>
        <v>0</v>
      </c>
      <c r="O48" s="197">
        <f t="shared" si="0"/>
        <v>1</v>
      </c>
      <c r="P48" s="1">
        <f t="shared" si="1"/>
        <v>0</v>
      </c>
      <c r="Q48" s="221"/>
      <c r="AC48">
        <v>2</v>
      </c>
      <c r="AD48">
        <v>2</v>
      </c>
      <c r="AE48">
        <v>2</v>
      </c>
      <c r="AH48" t="s">
        <v>1002</v>
      </c>
      <c r="AI48" t="str">
        <f t="shared" si="2"/>
        <v>ELE013*</v>
      </c>
    </row>
    <row r="49" spans="1:35" ht="26.25" customHeight="1" x14ac:dyDescent="0.3">
      <c r="A49"/>
      <c r="B49" s="16">
        <v>48</v>
      </c>
      <c r="C49" s="16" t="s">
        <v>553</v>
      </c>
      <c r="D49" s="16" t="s">
        <v>1586</v>
      </c>
      <c r="E49" s="16" t="s">
        <v>2093</v>
      </c>
      <c r="F49" s="200" t="s">
        <v>581</v>
      </c>
      <c r="G49" s="189" t="str">
        <f>IFERROR(VLOOKUP(C49,#REF!,4,FALSE),"")</f>
        <v/>
      </c>
      <c r="H49" s="248">
        <f>VLOOKUP(C49,Dados!B:AW,11,0)</f>
        <v>0.94</v>
      </c>
      <c r="I49" s="16" t="str">
        <f>(VLOOKUP(C49,Dados!B:AW,48,0))</f>
        <v>Confiabilidade em Crescimento</v>
      </c>
      <c r="J49" s="189" t="s">
        <v>735</v>
      </c>
      <c r="K49" s="177">
        <f>IFERROR((VLOOKUP(C49,Dados!B:AW,44,0)),0)</f>
        <v>0</v>
      </c>
      <c r="L49" s="177">
        <f>IFERROR((VLOOKUP(C49,Dados!B:AW,45,0)),0)</f>
        <v>0</v>
      </c>
      <c r="M49" s="177">
        <f>IFERROR((VLOOKUP(C49,Dados!B:AW,43,0)),0)</f>
        <v>0</v>
      </c>
      <c r="N49" s="179">
        <f>IFERROR((VLOOKUP(C49,Dados!B:AW,47,0)),0)</f>
        <v>0</v>
      </c>
      <c r="O49" s="197">
        <f t="shared" si="0"/>
        <v>2</v>
      </c>
      <c r="P49" s="1">
        <f t="shared" si="1"/>
        <v>0</v>
      </c>
      <c r="Q49" s="221"/>
      <c r="AC49">
        <v>2</v>
      </c>
      <c r="AD49">
        <v>2</v>
      </c>
      <c r="AE49">
        <v>1</v>
      </c>
      <c r="AH49" t="s">
        <v>332</v>
      </c>
      <c r="AI49" t="str">
        <f t="shared" si="2"/>
        <v>CEN051*</v>
      </c>
    </row>
    <row r="50" spans="1:35" ht="26.25" customHeight="1" x14ac:dyDescent="0.3">
      <c r="A50"/>
      <c r="B50" s="16">
        <v>49</v>
      </c>
      <c r="C50" s="16" t="s">
        <v>886</v>
      </c>
      <c r="D50" s="16" t="s">
        <v>1586</v>
      </c>
      <c r="E50" s="16" t="s">
        <v>2094</v>
      </c>
      <c r="F50" s="200" t="s">
        <v>887</v>
      </c>
      <c r="G50" s="189" t="str">
        <f>IFERROR(VLOOKUP(C50,#REF!,4,FALSE),"")</f>
        <v/>
      </c>
      <c r="H50" s="249">
        <f>VLOOKUP(C50,Dados!B:AW,11,0)</f>
        <v>0.96</v>
      </c>
      <c r="I50" s="16" t="str">
        <f>(VLOOKUP(C50,Dados!B:AW,48,0))</f>
        <v>Confiabilidade em Crescimento</v>
      </c>
      <c r="J50" s="189" t="s">
        <v>1223</v>
      </c>
      <c r="K50" s="177">
        <f>IFERROR((VLOOKUP(C50,Dados!B:AW,44,0)),0)</f>
        <v>0</v>
      </c>
      <c r="L50" s="177">
        <f>IFERROR((VLOOKUP(C50,Dados!B:AW,45,0)),0)</f>
        <v>0</v>
      </c>
      <c r="M50" s="177">
        <f>IFERROR((VLOOKUP(C50,Dados!B:AW,43,0)),0)</f>
        <v>0</v>
      </c>
      <c r="N50" s="179">
        <f>IFERROR((VLOOKUP(C50,Dados!B:AW,47,0)),0)</f>
        <v>0</v>
      </c>
      <c r="O50" s="197">
        <f t="shared" si="0"/>
        <v>2</v>
      </c>
      <c r="P50" s="1">
        <f t="shared" si="1"/>
        <v>0</v>
      </c>
      <c r="Q50" s="221"/>
      <c r="AC50">
        <v>2</v>
      </c>
      <c r="AD50">
        <v>2</v>
      </c>
      <c r="AE50">
        <v>1</v>
      </c>
      <c r="AH50" t="s">
        <v>354</v>
      </c>
      <c r="AI50" t="str">
        <f t="shared" si="2"/>
        <v>CEN089*</v>
      </c>
    </row>
    <row r="51" spans="1:35" ht="26.25" customHeight="1" x14ac:dyDescent="0.3">
      <c r="A51"/>
      <c r="B51" s="16">
        <v>60</v>
      </c>
      <c r="C51" s="16" t="s">
        <v>908</v>
      </c>
      <c r="D51" s="16" t="s">
        <v>1586</v>
      </c>
      <c r="E51" s="16" t="s">
        <v>2094</v>
      </c>
      <c r="F51" s="200" t="s">
        <v>909</v>
      </c>
      <c r="G51" s="189" t="str">
        <f>IFERROR(VLOOKUP(C51,#REF!,4,FALSE),"")</f>
        <v/>
      </c>
      <c r="H51" s="249">
        <f>VLOOKUP(C51,Dados!B:AW,11,0)</f>
        <v>0.85</v>
      </c>
      <c r="I51" s="16" t="str">
        <f>(VLOOKUP(C51,Dados!B:AW,48,0))</f>
        <v>Confiabilidade em Crescimento</v>
      </c>
      <c r="J51" s="189" t="s">
        <v>1223</v>
      </c>
      <c r="K51" s="177">
        <f>IFERROR((VLOOKUP(C51,Dados!B:AW,44,0)),0)</f>
        <v>0</v>
      </c>
      <c r="L51" s="177">
        <f>IFERROR((VLOOKUP(C51,Dados!B:AW,45,0)),0)</f>
        <v>0</v>
      </c>
      <c r="M51" s="177">
        <f>IFERROR((VLOOKUP(C51,Dados!B:AW,43,0)),0)</f>
        <v>0</v>
      </c>
      <c r="N51" s="179">
        <f>IFERROR((VLOOKUP(C51,Dados!B:AW,47,0)),0)</f>
        <v>0</v>
      </c>
      <c r="O51" s="197">
        <f t="shared" si="0"/>
        <v>2</v>
      </c>
      <c r="P51" s="1">
        <f t="shared" si="1"/>
        <v>0</v>
      </c>
      <c r="Q51" s="221"/>
      <c r="AC51">
        <v>2</v>
      </c>
      <c r="AD51">
        <v>2</v>
      </c>
      <c r="AE51">
        <v>1</v>
      </c>
      <c r="AH51" t="s">
        <v>374</v>
      </c>
      <c r="AI51" t="str">
        <f t="shared" si="2"/>
        <v>RET002*</v>
      </c>
    </row>
    <row r="52" spans="1:35" ht="26.25" customHeight="1" x14ac:dyDescent="0.3">
      <c r="A52"/>
      <c r="B52" s="16">
        <v>14</v>
      </c>
      <c r="C52" s="16" t="s">
        <v>526</v>
      </c>
      <c r="D52" s="16" t="s">
        <v>1586</v>
      </c>
      <c r="E52" s="16" t="s">
        <v>2130</v>
      </c>
      <c r="F52" s="251" t="str">
        <f>VLOOKUP(C52,[9]Dados!B:C,2,0)</f>
        <v>BRU011-BRUNIDORA</v>
      </c>
      <c r="G52" s="189" t="str">
        <f>IFERROR(VLOOKUP(C52,#REF!,4,FALSE),"")</f>
        <v/>
      </c>
      <c r="H52" s="248">
        <f>VLOOKUP(C52,Dados!B:AW,11,0)</f>
        <v>1.47</v>
      </c>
      <c r="I52" s="16" t="str">
        <f>(VLOOKUP(C52,Dados!B:AW,48,0))</f>
        <v>Fase de Degradação</v>
      </c>
      <c r="J52" s="189" t="s">
        <v>735</v>
      </c>
      <c r="K52" s="177">
        <f>IFERROR((VLOOKUP(C52,Dados!B:AW,44,0)),0)</f>
        <v>0</v>
      </c>
      <c r="L52" s="177">
        <f>IFERROR((VLOOKUP(C52,Dados!B:AW,45,0)),0)</f>
        <v>0</v>
      </c>
      <c r="M52" s="177">
        <f>IFERROR((VLOOKUP(C52,Dados!B:AW,43,0)),0)</f>
        <v>0</v>
      </c>
      <c r="N52" s="179">
        <f>IFERROR((VLOOKUP(C52,Dados!B:AW,47,0)),0)</f>
        <v>0</v>
      </c>
      <c r="O52" s="197">
        <f t="shared" si="0"/>
        <v>1</v>
      </c>
      <c r="P52" s="1">
        <f t="shared" si="1"/>
        <v>0</v>
      </c>
      <c r="Q52" s="221"/>
      <c r="AC52">
        <v>2</v>
      </c>
      <c r="AD52">
        <v>2</v>
      </c>
      <c r="AE52">
        <v>2</v>
      </c>
      <c r="AH52" t="s">
        <v>651</v>
      </c>
      <c r="AI52" t="str">
        <f t="shared" si="2"/>
        <v>PRE019*</v>
      </c>
    </row>
    <row r="53" spans="1:35" ht="26.25" customHeight="1" x14ac:dyDescent="0.3">
      <c r="A53"/>
      <c r="B53" s="16">
        <v>51</v>
      </c>
      <c r="C53" s="16" t="s">
        <v>890</v>
      </c>
      <c r="D53" s="16" t="s">
        <v>1586</v>
      </c>
      <c r="E53" s="16" t="s">
        <v>2130</v>
      </c>
      <c r="F53" s="200" t="s">
        <v>891</v>
      </c>
      <c r="G53" s="189" t="str">
        <f>IFERROR(VLOOKUP(C53,#REF!,4,FALSE),"")</f>
        <v/>
      </c>
      <c r="H53" s="249">
        <f>VLOOKUP(C53,Dados!B:AW,11,0)</f>
        <v>0.61</v>
      </c>
      <c r="I53" s="16" t="str">
        <f>(VLOOKUP(C53,Dados!B:AW,48,0))</f>
        <v>Confiabilidade em Crescimento</v>
      </c>
      <c r="J53" s="189" t="s">
        <v>1223</v>
      </c>
      <c r="K53" s="177">
        <f>IFERROR((VLOOKUP(C53,Dados!B:AW,44,0)),0)</f>
        <v>0</v>
      </c>
      <c r="L53" s="177">
        <f>IFERROR((VLOOKUP(C53,Dados!B:AW,45,0)),0)</f>
        <v>0</v>
      </c>
      <c r="M53" s="177">
        <f>IFERROR((VLOOKUP(C53,Dados!B:AW,43,0)),0)</f>
        <v>0</v>
      </c>
      <c r="N53" s="179">
        <f>IFERROR((VLOOKUP(C53,Dados!B:AW,47,0)),0)</f>
        <v>0</v>
      </c>
      <c r="O53" s="197">
        <f t="shared" si="0"/>
        <v>2</v>
      </c>
      <c r="P53" s="1">
        <f t="shared" si="1"/>
        <v>0</v>
      </c>
      <c r="Q53" s="221"/>
      <c r="AC53">
        <v>2</v>
      </c>
      <c r="AD53">
        <v>2</v>
      </c>
      <c r="AE53">
        <v>2</v>
      </c>
      <c r="AH53" t="s">
        <v>280</v>
      </c>
      <c r="AI53" t="str">
        <f t="shared" si="2"/>
        <v>PRE055*</v>
      </c>
    </row>
    <row r="54" spans="1:35" ht="26.25" customHeight="1" x14ac:dyDescent="0.3">
      <c r="A54"/>
      <c r="B54" s="16">
        <v>53</v>
      </c>
      <c r="C54" s="16" t="s">
        <v>894</v>
      </c>
      <c r="D54" s="16" t="s">
        <v>1586</v>
      </c>
      <c r="E54" s="16" t="s">
        <v>2095</v>
      </c>
      <c r="F54" s="200" t="s">
        <v>895</v>
      </c>
      <c r="G54" s="189" t="str">
        <f>IFERROR(VLOOKUP(C54,#REF!,4,FALSE),"")</f>
        <v/>
      </c>
      <c r="H54" s="249">
        <f>VLOOKUP(C54,Dados!B:AW,11,0)</f>
        <v>0.56999999999999995</v>
      </c>
      <c r="I54" s="16" t="str">
        <f>(VLOOKUP(C54,Dados!B:AW,48,0))</f>
        <v>Confiabilidade em Crescimento</v>
      </c>
      <c r="J54" s="189" t="s">
        <v>1223</v>
      </c>
      <c r="K54" s="177">
        <f>IFERROR((VLOOKUP(C54,Dados!B:AW,44,0)),0)</f>
        <v>0</v>
      </c>
      <c r="L54" s="177">
        <f>IFERROR((VLOOKUP(C54,Dados!B:AW,45,0)),0)</f>
        <v>0</v>
      </c>
      <c r="M54" s="177">
        <f>IFERROR((VLOOKUP(C54,Dados!B:AW,43,0)),0)</f>
        <v>0</v>
      </c>
      <c r="N54" s="179">
        <f>IFERROR((VLOOKUP(C54,Dados!B:AW,47,0)),0)</f>
        <v>0</v>
      </c>
      <c r="O54" s="197">
        <f t="shared" si="0"/>
        <v>2</v>
      </c>
      <c r="P54" s="1">
        <f t="shared" si="1"/>
        <v>0</v>
      </c>
      <c r="Q54" s="221"/>
      <c r="AC54">
        <v>2</v>
      </c>
      <c r="AD54">
        <v>2</v>
      </c>
      <c r="AE54">
        <v>2</v>
      </c>
      <c r="AH54" t="s">
        <v>548</v>
      </c>
      <c r="AI54" t="str">
        <f t="shared" si="2"/>
        <v>BRU050*</v>
      </c>
    </row>
    <row r="55" spans="1:35" ht="26.25" customHeight="1" x14ac:dyDescent="0.3">
      <c r="A55"/>
      <c r="B55" s="16">
        <v>54</v>
      </c>
      <c r="C55" s="16" t="s">
        <v>896</v>
      </c>
      <c r="D55" s="16" t="s">
        <v>1586</v>
      </c>
      <c r="E55" s="16" t="s">
        <v>2095</v>
      </c>
      <c r="F55" s="200" t="s">
        <v>897</v>
      </c>
      <c r="G55" s="189" t="str">
        <f>IFERROR(VLOOKUP(C55,#REF!,4,FALSE),"")</f>
        <v/>
      </c>
      <c r="H55" s="249">
        <f>VLOOKUP(C55,Dados!B:AW,11,0)</f>
        <v>1.41</v>
      </c>
      <c r="I55" s="16" t="str">
        <f>(VLOOKUP(C55,Dados!B:AW,48,0))</f>
        <v>Fase de Degradação</v>
      </c>
      <c r="J55" s="189" t="s">
        <v>1223</v>
      </c>
      <c r="K55" s="177">
        <f>IFERROR((VLOOKUP(C55,Dados!B:AW,44,0)),0)</f>
        <v>0</v>
      </c>
      <c r="L55" s="177">
        <f>IFERROR((VLOOKUP(C55,Dados!B:AW,45,0)),0)</f>
        <v>0</v>
      </c>
      <c r="M55" s="177">
        <f>IFERROR((VLOOKUP(C55,Dados!B:AW,43,0)),0)</f>
        <v>0</v>
      </c>
      <c r="N55" s="179">
        <f>IFERROR((VLOOKUP(C55,Dados!B:AW,47,0)),0)</f>
        <v>0</v>
      </c>
      <c r="O55" s="197">
        <f t="shared" si="0"/>
        <v>1</v>
      </c>
      <c r="P55" s="1">
        <f t="shared" si="1"/>
        <v>0</v>
      </c>
      <c r="Q55" s="221"/>
      <c r="AC55">
        <v>2</v>
      </c>
      <c r="AD55">
        <v>2</v>
      </c>
      <c r="AE55">
        <v>2</v>
      </c>
      <c r="AH55" t="s">
        <v>457</v>
      </c>
      <c r="AI55" t="str">
        <f t="shared" si="2"/>
        <v>ROB016*</v>
      </c>
    </row>
    <row r="56" spans="1:35" ht="26.25" customHeight="1" x14ac:dyDescent="0.3">
      <c r="A56"/>
      <c r="B56" s="16">
        <v>56</v>
      </c>
      <c r="C56" s="16" t="s">
        <v>900</v>
      </c>
      <c r="D56" s="16" t="s">
        <v>1586</v>
      </c>
      <c r="E56" s="16" t="s">
        <v>2096</v>
      </c>
      <c r="F56" s="200" t="s">
        <v>901</v>
      </c>
      <c r="G56" s="189" t="str">
        <f>IFERROR(VLOOKUP(C56,#REF!,4,FALSE),"")</f>
        <v/>
      </c>
      <c r="H56" s="249">
        <f>VLOOKUP(C56,Dados!B:AW,11,0)</f>
        <v>0.48</v>
      </c>
      <c r="I56" s="16" t="str">
        <f>(VLOOKUP(C56,Dados!B:AW,48,0))</f>
        <v>Confiabilidade em Crescimento</v>
      </c>
      <c r="J56" s="189" t="s">
        <v>1223</v>
      </c>
      <c r="K56" s="177">
        <f>IFERROR((VLOOKUP(C56,Dados!B:AW,44,0)),0)</f>
        <v>0</v>
      </c>
      <c r="L56" s="177">
        <f>IFERROR((VLOOKUP(C56,Dados!B:AW,45,0)),0)</f>
        <v>0</v>
      </c>
      <c r="M56" s="177">
        <f>IFERROR((VLOOKUP(C56,Dados!B:AW,43,0)),0)</f>
        <v>0</v>
      </c>
      <c r="N56" s="179">
        <f>IFERROR((VLOOKUP(C56,Dados!B:AW,47,0)),0)</f>
        <v>0</v>
      </c>
      <c r="O56" s="197">
        <f t="shared" si="0"/>
        <v>2</v>
      </c>
      <c r="P56" s="1">
        <f t="shared" si="1"/>
        <v>0</v>
      </c>
      <c r="Q56" s="221"/>
      <c r="AC56">
        <v>2</v>
      </c>
      <c r="AD56">
        <v>2</v>
      </c>
      <c r="AE56">
        <v>2</v>
      </c>
      <c r="AH56" t="s">
        <v>471</v>
      </c>
      <c r="AI56" t="str">
        <f t="shared" si="2"/>
        <v>ROB041*</v>
      </c>
    </row>
    <row r="57" spans="1:35" ht="26.25" customHeight="1" x14ac:dyDescent="0.3">
      <c r="A57"/>
      <c r="B57" s="16">
        <v>57</v>
      </c>
      <c r="C57" s="16" t="s">
        <v>902</v>
      </c>
      <c r="D57" s="16" t="s">
        <v>1586</v>
      </c>
      <c r="E57" s="16" t="s">
        <v>2096</v>
      </c>
      <c r="F57" s="200" t="s">
        <v>903</v>
      </c>
      <c r="G57" s="189" t="str">
        <f>IFERROR(VLOOKUP(C57,#REF!,4,FALSE),"")</f>
        <v/>
      </c>
      <c r="H57" s="249">
        <f>VLOOKUP(C57,Dados!B:AW,11,0)</f>
        <v>0.7</v>
      </c>
      <c r="I57" s="16" t="str">
        <f>(VLOOKUP(C57,Dados!B:AW,48,0))</f>
        <v>Confiabilidade em Crescimento</v>
      </c>
      <c r="J57" s="189" t="s">
        <v>1223</v>
      </c>
      <c r="K57" s="177">
        <f>IFERROR((VLOOKUP(C57,Dados!B:AW,44,0)),0)</f>
        <v>0</v>
      </c>
      <c r="L57" s="177">
        <f>IFERROR((VLOOKUP(C57,Dados!B:AW,45,0)),0)</f>
        <v>0</v>
      </c>
      <c r="M57" s="177">
        <f>IFERROR((VLOOKUP(C57,Dados!B:AW,43,0)),0)</f>
        <v>0</v>
      </c>
      <c r="N57" s="179">
        <f>IFERROR((VLOOKUP(C57,Dados!B:AW,47,0)),0)</f>
        <v>0</v>
      </c>
      <c r="O57" s="197">
        <f t="shared" si="0"/>
        <v>2</v>
      </c>
      <c r="P57" s="1">
        <f t="shared" si="1"/>
        <v>0</v>
      </c>
      <c r="Q57" s="221"/>
      <c r="AC57">
        <v>2</v>
      </c>
      <c r="AD57">
        <v>2</v>
      </c>
      <c r="AE57">
        <v>2</v>
      </c>
      <c r="AH57" t="s">
        <v>759</v>
      </c>
      <c r="AI57" t="str">
        <f t="shared" si="2"/>
        <v>CEN096*</v>
      </c>
    </row>
    <row r="58" spans="1:35" ht="26.25" customHeight="1" x14ac:dyDescent="0.3">
      <c r="A58"/>
      <c r="B58" s="16">
        <v>58</v>
      </c>
      <c r="C58" s="16" t="s">
        <v>904</v>
      </c>
      <c r="D58" s="16" t="s">
        <v>1586</v>
      </c>
      <c r="E58" s="16" t="s">
        <v>2097</v>
      </c>
      <c r="F58" s="200" t="s">
        <v>905</v>
      </c>
      <c r="G58" s="189" t="str">
        <f>IFERROR(VLOOKUP(C58,#REF!,4,FALSE),"")</f>
        <v/>
      </c>
      <c r="H58" s="249">
        <f>VLOOKUP(C58,Dados!B:AW,11,0)</f>
        <v>0.52</v>
      </c>
      <c r="I58" s="16" t="str">
        <f>(VLOOKUP(C58,Dados!B:AW,48,0))</f>
        <v>Confiabilidade em Crescimento</v>
      </c>
      <c r="J58" s="189" t="s">
        <v>1223</v>
      </c>
      <c r="K58" s="177">
        <f>IFERROR((VLOOKUP(C58,Dados!B:AW,44,0)),0)</f>
        <v>0</v>
      </c>
      <c r="L58" s="177">
        <f>IFERROR((VLOOKUP(C58,Dados!B:AW,45,0)),0)</f>
        <v>0</v>
      </c>
      <c r="M58" s="177">
        <f>IFERROR((VLOOKUP(C58,Dados!B:AW,43,0)),0)</f>
        <v>0</v>
      </c>
      <c r="N58" s="179">
        <f>IFERROR((VLOOKUP(C58,Dados!B:AW,47,0)),0)</f>
        <v>0</v>
      </c>
      <c r="O58" s="197">
        <f t="shared" si="0"/>
        <v>2</v>
      </c>
      <c r="P58" s="1">
        <f t="shared" si="1"/>
        <v>0</v>
      </c>
      <c r="Q58" s="221"/>
      <c r="AC58">
        <v>2</v>
      </c>
      <c r="AD58">
        <v>2</v>
      </c>
      <c r="AE58">
        <v>2</v>
      </c>
      <c r="AH58" t="s">
        <v>400</v>
      </c>
      <c r="AI58" t="str">
        <f t="shared" si="2"/>
        <v>CEN046*</v>
      </c>
    </row>
    <row r="59" spans="1:35" ht="26.25" customHeight="1" x14ac:dyDescent="0.3">
      <c r="A59"/>
      <c r="B59" s="16">
        <v>59</v>
      </c>
      <c r="C59" s="16" t="s">
        <v>906</v>
      </c>
      <c r="D59" s="16" t="s">
        <v>1586</v>
      </c>
      <c r="E59" s="16" t="s">
        <v>2097</v>
      </c>
      <c r="F59" s="200" t="s">
        <v>907</v>
      </c>
      <c r="G59" s="189" t="str">
        <f>IFERROR(VLOOKUP(C59,#REF!,4,FALSE),"")</f>
        <v/>
      </c>
      <c r="H59" s="249">
        <f>VLOOKUP(C59,Dados!B:AW,11,0)</f>
        <v>1.29</v>
      </c>
      <c r="I59" s="16" t="str">
        <f>(VLOOKUP(C59,Dados!B:AW,48,0))</f>
        <v>Fase de Degradação</v>
      </c>
      <c r="J59" s="189" t="s">
        <v>1223</v>
      </c>
      <c r="K59" s="177">
        <f>IFERROR((VLOOKUP(C59,Dados!B:AW,44,0)),0)</f>
        <v>0</v>
      </c>
      <c r="L59" s="177">
        <f>IFERROR((VLOOKUP(C59,Dados!B:AW,45,0)),0)</f>
        <v>0</v>
      </c>
      <c r="M59" s="177">
        <f>IFERROR((VLOOKUP(C59,Dados!B:AW,43,0)),0)</f>
        <v>0</v>
      </c>
      <c r="N59" s="179">
        <f>IFERROR((VLOOKUP(C59,Dados!B:AW,47,0)),0)</f>
        <v>0</v>
      </c>
      <c r="O59" s="197">
        <f t="shared" si="0"/>
        <v>1</v>
      </c>
      <c r="P59" s="1">
        <f t="shared" si="1"/>
        <v>0</v>
      </c>
      <c r="Q59" s="221"/>
      <c r="AC59">
        <v>2</v>
      </c>
      <c r="AD59">
        <v>2</v>
      </c>
      <c r="AE59">
        <v>2</v>
      </c>
      <c r="AH59" t="s">
        <v>761</v>
      </c>
      <c r="AI59" t="str">
        <f t="shared" si="2"/>
        <v>CEN097*</v>
      </c>
    </row>
    <row r="60" spans="1:35" ht="26.25" customHeight="1" x14ac:dyDescent="0.3">
      <c r="A60"/>
      <c r="B60" s="16">
        <v>61</v>
      </c>
      <c r="C60" s="16" t="s">
        <v>910</v>
      </c>
      <c r="D60" s="16" t="s">
        <v>1586</v>
      </c>
      <c r="E60" s="16" t="s">
        <v>2098</v>
      </c>
      <c r="F60" s="200" t="s">
        <v>911</v>
      </c>
      <c r="G60" s="189" t="str">
        <f>IFERROR(VLOOKUP(C60,#REF!,4,FALSE),"")</f>
        <v/>
      </c>
      <c r="H60" s="249">
        <f>VLOOKUP(C60,Dados!B:AW,11,0)</f>
        <v>1</v>
      </c>
      <c r="I60" s="16" t="str">
        <f>(VLOOKUP(C60,Dados!B:AW,48,0))</f>
        <v>Fase de Vida Útil</v>
      </c>
      <c r="J60" s="189" t="s">
        <v>1223</v>
      </c>
      <c r="K60" s="177">
        <f>IFERROR((VLOOKUP(C60,Dados!B:AW,44,0)),0)</f>
        <v>0</v>
      </c>
      <c r="L60" s="177">
        <f>IFERROR((VLOOKUP(C60,Dados!B:AW,45,0)),0)</f>
        <v>0</v>
      </c>
      <c r="M60" s="177">
        <f>IFERROR((VLOOKUP(C60,Dados!B:AW,43,0)),0)</f>
        <v>0</v>
      </c>
      <c r="N60" s="179">
        <f>IFERROR((VLOOKUP(C60,Dados!B:AW,47,0)),0)</f>
        <v>0</v>
      </c>
      <c r="O60" s="197">
        <f t="shared" si="0"/>
        <v>2</v>
      </c>
      <c r="P60" s="1">
        <f t="shared" si="1"/>
        <v>0</v>
      </c>
      <c r="Q60" s="221"/>
      <c r="AC60">
        <v>2</v>
      </c>
      <c r="AD60">
        <v>2</v>
      </c>
      <c r="AE60">
        <v>2</v>
      </c>
      <c r="AH60" t="s">
        <v>456</v>
      </c>
      <c r="AI60" t="str">
        <f t="shared" si="2"/>
        <v>ROB015*</v>
      </c>
    </row>
    <row r="61" spans="1:35" ht="26.25" customHeight="1" x14ac:dyDescent="0.3">
      <c r="A61"/>
      <c r="B61" s="16">
        <v>63</v>
      </c>
      <c r="C61" s="16" t="s">
        <v>914</v>
      </c>
      <c r="D61" s="16" t="s">
        <v>1586</v>
      </c>
      <c r="E61" s="16" t="s">
        <v>2098</v>
      </c>
      <c r="F61" s="200" t="s">
        <v>915</v>
      </c>
      <c r="G61" s="189" t="str">
        <f>IFERROR(VLOOKUP(C61,#REF!,4,FALSE),"")</f>
        <v/>
      </c>
      <c r="H61" s="249">
        <f>VLOOKUP(C61,Dados!B:AW,11,0)</f>
        <v>0.95</v>
      </c>
      <c r="I61" s="16" t="str">
        <f>(VLOOKUP(C61,Dados!B:AW,48,0))</f>
        <v>Confiabilidade em Crescimento</v>
      </c>
      <c r="J61" s="189" t="s">
        <v>1223</v>
      </c>
      <c r="K61" s="177">
        <f>IFERROR((VLOOKUP(C61,Dados!B:AW,44,0)),0)</f>
        <v>0</v>
      </c>
      <c r="L61" s="177">
        <f>IFERROR((VLOOKUP(C61,Dados!B:AW,45,0)),0)</f>
        <v>0</v>
      </c>
      <c r="M61" s="177">
        <f>IFERROR((VLOOKUP(C61,Dados!B:AW,43,0)),0)</f>
        <v>0</v>
      </c>
      <c r="N61" s="179">
        <f>IFERROR((VLOOKUP(C61,Dados!B:AW,47,0)),0)</f>
        <v>0</v>
      </c>
      <c r="O61" s="197">
        <f t="shared" si="0"/>
        <v>2</v>
      </c>
      <c r="P61" s="1">
        <f t="shared" si="1"/>
        <v>0</v>
      </c>
      <c r="Q61" s="221"/>
      <c r="AC61">
        <v>2</v>
      </c>
      <c r="AD61">
        <v>2</v>
      </c>
      <c r="AE61">
        <v>2</v>
      </c>
      <c r="AH61" t="s">
        <v>286</v>
      </c>
      <c r="AI61" t="str">
        <f t="shared" si="2"/>
        <v>BRU022*</v>
      </c>
    </row>
    <row r="62" spans="1:35" ht="26.25" customHeight="1" x14ac:dyDescent="0.3">
      <c r="A62"/>
      <c r="B62" s="16">
        <v>62</v>
      </c>
      <c r="C62" s="16" t="s">
        <v>912</v>
      </c>
      <c r="D62" s="16" t="s">
        <v>1586</v>
      </c>
      <c r="E62" s="16" t="s">
        <v>2099</v>
      </c>
      <c r="F62" s="200" t="s">
        <v>913</v>
      </c>
      <c r="G62" s="189" t="str">
        <f>IFERROR(VLOOKUP(C62,#REF!,4,FALSE),"")</f>
        <v/>
      </c>
      <c r="H62" s="249">
        <f>VLOOKUP(C62,Dados!B:AW,11,0)</f>
        <v>1.01</v>
      </c>
      <c r="I62" s="16" t="str">
        <f>(VLOOKUP(C62,Dados!B:AW,48,0))</f>
        <v>Fase de Vida Útil</v>
      </c>
      <c r="J62" s="189" t="s">
        <v>1223</v>
      </c>
      <c r="K62" s="177">
        <f>IFERROR((VLOOKUP(C62,Dados!B:AW,44,0)),0)</f>
        <v>0</v>
      </c>
      <c r="L62" s="177">
        <f>IFERROR((VLOOKUP(C62,Dados!B:AW,45,0)),0)</f>
        <v>0</v>
      </c>
      <c r="M62" s="177">
        <f>IFERROR((VLOOKUP(C62,Dados!B:AW,43,0)),0)</f>
        <v>0</v>
      </c>
      <c r="N62" s="179">
        <f>IFERROR((VLOOKUP(C62,Dados!B:AW,47,0)),0)</f>
        <v>0</v>
      </c>
      <c r="O62" s="197">
        <f t="shared" si="0"/>
        <v>2</v>
      </c>
      <c r="P62" s="1">
        <f t="shared" si="1"/>
        <v>0</v>
      </c>
      <c r="Q62" s="221"/>
      <c r="AC62">
        <v>2</v>
      </c>
      <c r="AD62">
        <v>2</v>
      </c>
      <c r="AE62">
        <v>2</v>
      </c>
      <c r="AH62" t="s">
        <v>326</v>
      </c>
      <c r="AI62" t="str">
        <f t="shared" si="2"/>
        <v>CEN039*</v>
      </c>
    </row>
    <row r="63" spans="1:35" ht="26.25" customHeight="1" x14ac:dyDescent="0.3">
      <c r="A63"/>
      <c r="B63" s="16">
        <v>64</v>
      </c>
      <c r="C63" s="16" t="s">
        <v>916</v>
      </c>
      <c r="D63" s="16" t="s">
        <v>1586</v>
      </c>
      <c r="E63" s="16" t="s">
        <v>2099</v>
      </c>
      <c r="F63" s="200" t="s">
        <v>917</v>
      </c>
      <c r="G63" s="189" t="str">
        <f>IFERROR(VLOOKUP(C63,#REF!,4,FALSE),"")</f>
        <v/>
      </c>
      <c r="H63" s="249">
        <f>VLOOKUP(C63,Dados!B:AW,11,0)</f>
        <v>1.03</v>
      </c>
      <c r="I63" s="16" t="str">
        <f>(VLOOKUP(C63,Dados!B:AW,48,0))</f>
        <v>Fase de Vida Útil</v>
      </c>
      <c r="J63" s="189" t="s">
        <v>1223</v>
      </c>
      <c r="K63" s="177">
        <f>IFERROR((VLOOKUP(C63,Dados!B:AW,44,0)),0)</f>
        <v>0</v>
      </c>
      <c r="L63" s="177">
        <f>IFERROR((VLOOKUP(C63,Dados!B:AW,45,0)),0)</f>
        <v>0</v>
      </c>
      <c r="M63" s="177">
        <f>IFERROR((VLOOKUP(C63,Dados!B:AW,43,0)),0)</f>
        <v>0</v>
      </c>
      <c r="N63" s="179">
        <f>IFERROR((VLOOKUP(C63,Dados!B:AW,47,0)),0)</f>
        <v>0</v>
      </c>
      <c r="O63" s="197">
        <f t="shared" si="0"/>
        <v>2</v>
      </c>
      <c r="P63" s="1">
        <f t="shared" si="1"/>
        <v>0</v>
      </c>
      <c r="Q63" s="221"/>
      <c r="AC63">
        <v>2</v>
      </c>
      <c r="AD63">
        <v>2</v>
      </c>
      <c r="AE63">
        <v>2</v>
      </c>
      <c r="AH63" t="s">
        <v>370</v>
      </c>
      <c r="AI63" t="str">
        <f t="shared" si="2"/>
        <v>MON001*</v>
      </c>
    </row>
    <row r="64" spans="1:35" ht="26.25" customHeight="1" x14ac:dyDescent="0.3">
      <c r="A64"/>
      <c r="B64" s="16">
        <v>305</v>
      </c>
      <c r="C64" s="16" t="s">
        <v>783</v>
      </c>
      <c r="D64" s="16" t="s">
        <v>1586</v>
      </c>
      <c r="E64" s="16" t="s">
        <v>2139</v>
      </c>
      <c r="F64" s="200" t="s">
        <v>784</v>
      </c>
      <c r="G64" s="189" t="str">
        <f>IFERROR(VLOOKUP(C64,#REF!,4,FALSE),"")</f>
        <v/>
      </c>
      <c r="H64" s="249">
        <f>VLOOKUP(C64,Dados!B:AW,11,0)</f>
        <v>1.24</v>
      </c>
      <c r="I64" s="16" t="str">
        <f>(VLOOKUP(C64,Dados!B:AW,48,0))</f>
        <v>Fase de Degradação</v>
      </c>
      <c r="J64" s="189" t="s">
        <v>735</v>
      </c>
      <c r="K64" s="177">
        <f>IFERROR((VLOOKUP(C64,Dados!B:AW,44,0)),0)</f>
        <v>0</v>
      </c>
      <c r="L64" s="177">
        <f>IFERROR((VLOOKUP(C64,Dados!B:AW,45,0)),0)</f>
        <v>0</v>
      </c>
      <c r="M64" s="177">
        <f>IFERROR((VLOOKUP(C64,Dados!B:AW,43,0)),0)</f>
        <v>0</v>
      </c>
      <c r="N64" s="179">
        <f>IFERROR((VLOOKUP(C64,Dados!B:AW,47,0)),0)</f>
        <v>0</v>
      </c>
      <c r="O64" s="197">
        <f t="shared" si="0"/>
        <v>1</v>
      </c>
      <c r="P64" s="1">
        <f t="shared" si="1"/>
        <v>0</v>
      </c>
      <c r="Q64" s="221"/>
      <c r="AC64">
        <v>2</v>
      </c>
      <c r="AD64">
        <v>2</v>
      </c>
      <c r="AE64">
        <v>2</v>
      </c>
      <c r="AH64" t="s">
        <v>582</v>
      </c>
      <c r="AI64" t="str">
        <f t="shared" si="2"/>
        <v>TRO011*</v>
      </c>
    </row>
    <row r="65" spans="1:35" ht="26.25" customHeight="1" x14ac:dyDescent="0.3">
      <c r="A65"/>
      <c r="B65" s="16">
        <v>309</v>
      </c>
      <c r="C65" s="16" t="s">
        <v>789</v>
      </c>
      <c r="D65" s="16" t="s">
        <v>1586</v>
      </c>
      <c r="E65" s="16" t="s">
        <v>2139</v>
      </c>
      <c r="F65" s="200" t="s">
        <v>790</v>
      </c>
      <c r="G65" s="189" t="str">
        <f>IFERROR(VLOOKUP(C65,#REF!,4,FALSE),"")</f>
        <v/>
      </c>
      <c r="H65" s="249">
        <f>VLOOKUP(C65,Dados!B:AW,11,0)</f>
        <v>0.87</v>
      </c>
      <c r="I65" s="16" t="str">
        <f>(VLOOKUP(C65,Dados!B:AW,48,0))</f>
        <v>Confiabilidade em Crescimento</v>
      </c>
      <c r="J65" s="189" t="s">
        <v>735</v>
      </c>
      <c r="K65" s="177">
        <f>IFERROR((VLOOKUP(C65,Dados!B:AW,44,0)),0)</f>
        <v>0</v>
      </c>
      <c r="L65" s="177">
        <f>IFERROR((VLOOKUP(C65,Dados!B:AW,45,0)),0)</f>
        <v>0</v>
      </c>
      <c r="M65" s="177">
        <f>IFERROR((VLOOKUP(C65,Dados!B:AW,43,0)),0)</f>
        <v>0</v>
      </c>
      <c r="N65" s="179">
        <f>IFERROR((VLOOKUP(C65,Dados!B:AW,47,0)),0)</f>
        <v>0</v>
      </c>
      <c r="O65" s="197">
        <f t="shared" si="0"/>
        <v>2</v>
      </c>
      <c r="P65" s="1">
        <f t="shared" si="1"/>
        <v>0</v>
      </c>
      <c r="Q65" s="221"/>
      <c r="AC65">
        <v>2</v>
      </c>
      <c r="AD65">
        <v>2</v>
      </c>
      <c r="AE65">
        <v>2</v>
      </c>
      <c r="AH65" t="s">
        <v>534</v>
      </c>
      <c r="AI65" t="str">
        <f t="shared" si="2"/>
        <v>BRU027*</v>
      </c>
    </row>
    <row r="66" spans="1:35" ht="26.25" customHeight="1" x14ac:dyDescent="0.3">
      <c r="A66"/>
      <c r="B66" s="16">
        <v>306</v>
      </c>
      <c r="C66" s="16" t="s">
        <v>367</v>
      </c>
      <c r="D66" s="16" t="s">
        <v>1586</v>
      </c>
      <c r="E66" s="16" t="s">
        <v>2140</v>
      </c>
      <c r="F66" s="200" t="s">
        <v>188</v>
      </c>
      <c r="G66" s="189" t="str">
        <f>IFERROR(VLOOKUP(C66,#REF!,4,FALSE),"")</f>
        <v/>
      </c>
      <c r="H66" s="248">
        <f>VLOOKUP(C66,Dados!B:AW,11,0)</f>
        <v>1.04</v>
      </c>
      <c r="I66" s="16" t="str">
        <f>(VLOOKUP(C66,Dados!B:AW,48,0))</f>
        <v>Fase de Vida Útil</v>
      </c>
      <c r="J66" s="189" t="s">
        <v>732</v>
      </c>
      <c r="K66" s="177">
        <f>IFERROR((VLOOKUP(C66,Dados!B:AW,44,0)),0)</f>
        <v>0</v>
      </c>
      <c r="L66" s="177">
        <f>IFERROR((VLOOKUP(C66,Dados!B:AW,45,0)),0)</f>
        <v>0</v>
      </c>
      <c r="M66" s="177">
        <f>IFERROR((VLOOKUP(C66,Dados!B:AW,43,0)),0)</f>
        <v>0</v>
      </c>
      <c r="N66" s="179">
        <f>IFERROR((VLOOKUP(C66,Dados!B:AW,47,0)),0)</f>
        <v>0</v>
      </c>
      <c r="O66" s="197">
        <f t="shared" si="0"/>
        <v>2</v>
      </c>
      <c r="P66" s="1">
        <f t="shared" si="1"/>
        <v>0</v>
      </c>
      <c r="Q66" s="221"/>
      <c r="AC66">
        <v>2</v>
      </c>
      <c r="AD66">
        <v>2</v>
      </c>
      <c r="AE66">
        <v>2</v>
      </c>
      <c r="AH66" t="s">
        <v>590</v>
      </c>
      <c r="AI66" t="str">
        <f t="shared" si="2"/>
        <v>CEN010*</v>
      </c>
    </row>
    <row r="67" spans="1:35" ht="26.25" customHeight="1" x14ac:dyDescent="0.3">
      <c r="A67"/>
      <c r="B67" s="16">
        <v>127</v>
      </c>
      <c r="C67" s="16" t="s">
        <v>590</v>
      </c>
      <c r="D67" s="16" t="s">
        <v>1593</v>
      </c>
      <c r="E67" s="16" t="s">
        <v>2133</v>
      </c>
      <c r="F67" s="252" t="s">
        <v>591</v>
      </c>
      <c r="G67" s="189" t="str">
        <f>IFERROR(VLOOKUP(C67,#REF!,4,FALSE),"")</f>
        <v/>
      </c>
      <c r="H67" s="250">
        <f>VLOOKUP(C67,Dados!B:AW,11,0)</f>
        <v>1.73</v>
      </c>
      <c r="I67" s="16" t="str">
        <f>(VLOOKUP(C67,Dados!B:AW,48,0))</f>
        <v>Fase de Degradação</v>
      </c>
      <c r="J67" s="189" t="s">
        <v>734</v>
      </c>
      <c r="K67" s="177">
        <f>IFERROR((VLOOKUP(C67,Dados!B:AW,44,0)),0)</f>
        <v>0</v>
      </c>
      <c r="L67" s="177">
        <f>IFERROR((VLOOKUP(C67,Dados!B:AW,45,0)),0)</f>
        <v>0</v>
      </c>
      <c r="M67" s="177">
        <f>IFERROR((VLOOKUP(C67,Dados!B:AW,43,0)),0)</f>
        <v>0</v>
      </c>
      <c r="N67" s="179">
        <f>IFERROR((VLOOKUP(C67,Dados!B:AW,47,0)),0)</f>
        <v>0</v>
      </c>
      <c r="O67" s="197">
        <f t="shared" si="0"/>
        <v>1</v>
      </c>
      <c r="P67" s="1">
        <f t="shared" si="1"/>
        <v>0</v>
      </c>
      <c r="Q67" s="221"/>
      <c r="AC67">
        <v>2</v>
      </c>
      <c r="AD67">
        <v>2</v>
      </c>
      <c r="AE67">
        <v>2</v>
      </c>
      <c r="AH67" t="s">
        <v>833</v>
      </c>
      <c r="AI67" t="str">
        <f t="shared" si="2"/>
        <v>ROB062*</v>
      </c>
    </row>
    <row r="68" spans="1:35" ht="26.25" customHeight="1" x14ac:dyDescent="0.3">
      <c r="A68"/>
      <c r="B68" s="16">
        <v>131</v>
      </c>
      <c r="C68" s="16" t="s">
        <v>409</v>
      </c>
      <c r="D68" s="16" t="s">
        <v>1593</v>
      </c>
      <c r="E68" s="16" t="s">
        <v>2133</v>
      </c>
      <c r="F68" s="252" t="s">
        <v>230</v>
      </c>
      <c r="G68" s="189" t="str">
        <f>IFERROR(VLOOKUP(C68,#REF!,4,FALSE),"")</f>
        <v/>
      </c>
      <c r="H68" s="250">
        <f>VLOOKUP(C68,Dados!B:AW,11,0)</f>
        <v>1.05</v>
      </c>
      <c r="I68" s="16" t="str">
        <f>(VLOOKUP(C68,Dados!B:AW,48,0))</f>
        <v>Fase de Vida Útil</v>
      </c>
      <c r="J68" s="189" t="s">
        <v>734</v>
      </c>
      <c r="K68" s="177">
        <f>IFERROR((VLOOKUP(C68,Dados!B:AW,44,0)),0)</f>
        <v>0</v>
      </c>
      <c r="L68" s="177">
        <f>IFERROR((VLOOKUP(C68,Dados!B:AW,45,0)),0)</f>
        <v>0</v>
      </c>
      <c r="M68" s="177">
        <f>IFERROR((VLOOKUP(C68,Dados!B:AW,43,0)),0)</f>
        <v>0</v>
      </c>
      <c r="N68" s="179">
        <f>IFERROR((VLOOKUP(C68,Dados!B:AW,47,0)),0)</f>
        <v>0</v>
      </c>
      <c r="O68" s="197">
        <f t="shared" si="0"/>
        <v>2</v>
      </c>
      <c r="P68" s="1">
        <f t="shared" si="1"/>
        <v>0</v>
      </c>
      <c r="Q68" s="221"/>
      <c r="AC68">
        <v>2</v>
      </c>
      <c r="AD68">
        <v>2</v>
      </c>
      <c r="AE68">
        <v>2</v>
      </c>
      <c r="AH68" t="s">
        <v>399</v>
      </c>
      <c r="AI68" t="str">
        <f t="shared" ref="AI68:AI132" si="3">CONCATENATE(AH68,"*")</f>
        <v>TOR033*</v>
      </c>
    </row>
    <row r="69" spans="1:35" ht="26.25" customHeight="1" x14ac:dyDescent="0.3">
      <c r="A69"/>
      <c r="B69" s="16">
        <v>161</v>
      </c>
      <c r="C69" s="16" t="s">
        <v>332</v>
      </c>
      <c r="D69" s="16" t="s">
        <v>1593</v>
      </c>
      <c r="E69" s="16" t="s">
        <v>2133</v>
      </c>
      <c r="F69" s="200" t="s">
        <v>153</v>
      </c>
      <c r="G69" s="189" t="str">
        <f>IFERROR(VLOOKUP(C69,#REF!,4,FALSE),"")</f>
        <v/>
      </c>
      <c r="H69" s="248">
        <f>VLOOKUP(C69,Dados!B:AW,11,0)</f>
        <v>1.79</v>
      </c>
      <c r="I69" s="16" t="str">
        <f>(VLOOKUP(C69,Dados!B:AW,48,0))</f>
        <v>Fase de Degradação</v>
      </c>
      <c r="J69" s="189" t="s">
        <v>735</v>
      </c>
      <c r="K69" s="177">
        <f>IFERROR((VLOOKUP(C69,Dados!B:AW,44,0)),0)</f>
        <v>0</v>
      </c>
      <c r="L69" s="177">
        <f>IFERROR((VLOOKUP(C69,Dados!B:AW,45,0)),0)</f>
        <v>0</v>
      </c>
      <c r="M69" s="177">
        <f>IFERROR((VLOOKUP(C69,Dados!B:AW,43,0)),0)</f>
        <v>0</v>
      </c>
      <c r="N69" s="179">
        <f>IFERROR((VLOOKUP(C69,Dados!B:AW,47,0)),0)</f>
        <v>0</v>
      </c>
      <c r="O69" s="197">
        <f t="shared" si="0"/>
        <v>1</v>
      </c>
      <c r="P69" s="1">
        <f t="shared" si="1"/>
        <v>0</v>
      </c>
      <c r="Q69" s="221"/>
      <c r="AC69">
        <v>2</v>
      </c>
      <c r="AD69">
        <v>2</v>
      </c>
      <c r="AE69">
        <v>2</v>
      </c>
      <c r="AH69" t="s">
        <v>531</v>
      </c>
      <c r="AI69" t="str">
        <f t="shared" si="3"/>
        <v>BRU024*</v>
      </c>
    </row>
    <row r="70" spans="1:35" ht="26.25" customHeight="1" x14ac:dyDescent="0.3">
      <c r="A70"/>
      <c r="B70" s="16">
        <v>163</v>
      </c>
      <c r="C70" s="16" t="s">
        <v>349</v>
      </c>
      <c r="D70" s="16" t="s">
        <v>1593</v>
      </c>
      <c r="E70" s="16" t="s">
        <v>2133</v>
      </c>
      <c r="F70" s="200" t="s">
        <v>170</v>
      </c>
      <c r="G70" s="189" t="str">
        <f>IFERROR(VLOOKUP(C70,#REF!,4,FALSE),"")</f>
        <v/>
      </c>
      <c r="H70" s="248">
        <f>VLOOKUP(C70,Dados!B:AW,11,0)</f>
        <v>1.51</v>
      </c>
      <c r="I70" s="16" t="str">
        <f>(VLOOKUP(C70,Dados!B:AW,48,0))</f>
        <v>Fase de Degradação</v>
      </c>
      <c r="J70" s="189" t="s">
        <v>735</v>
      </c>
      <c r="K70" s="177">
        <f>IFERROR((VLOOKUP(C70,Dados!B:AW,44,0)),0)</f>
        <v>0</v>
      </c>
      <c r="L70" s="177">
        <f>IFERROR((VLOOKUP(C70,Dados!B:AW,45,0)),0)</f>
        <v>0</v>
      </c>
      <c r="M70" s="177">
        <f>IFERROR((VLOOKUP(C70,Dados!B:AW,43,0)),0)</f>
        <v>0</v>
      </c>
      <c r="N70" s="179">
        <f>IFERROR((VLOOKUP(C70,Dados!B:AW,47,0)),0)</f>
        <v>0</v>
      </c>
      <c r="O70" s="197">
        <f t="shared" ref="O70:O133" si="4">IF(AND(J70="Parcial",N70&gt;0,H70&gt;1),-1,IF(AND(J70="Parcial",N70&gt;0,H70&lt;1.1),1,IF(AND(J70="Parcial",N70&lt;0,H70&gt;1.09),-1,IF(J70="Total",-1,IF(H70&gt;1.09,1,2)))))</f>
        <v>1</v>
      </c>
      <c r="P70" s="1">
        <f t="shared" ref="P70:P133" si="5">IF(G70="",0,IF(H70&gt;G70,-1,1))</f>
        <v>0</v>
      </c>
      <c r="Q70" s="221"/>
      <c r="AC70">
        <v>2</v>
      </c>
      <c r="AD70">
        <v>2</v>
      </c>
      <c r="AE70">
        <v>2</v>
      </c>
      <c r="AH70" t="s">
        <v>411</v>
      </c>
      <c r="AI70" t="str">
        <f t="shared" si="3"/>
        <v>CEN075*</v>
      </c>
    </row>
    <row r="71" spans="1:35" ht="25" x14ac:dyDescent="0.3">
      <c r="A71"/>
      <c r="B71" s="16">
        <v>164</v>
      </c>
      <c r="C71" s="16" t="s">
        <v>395</v>
      </c>
      <c r="D71" s="16" t="s">
        <v>1593</v>
      </c>
      <c r="E71" s="16" t="s">
        <v>2133</v>
      </c>
      <c r="F71" s="200" t="s">
        <v>216</v>
      </c>
      <c r="G71" s="189" t="str">
        <f>IFERROR(VLOOKUP(C71,#REF!,4,FALSE),"")</f>
        <v/>
      </c>
      <c r="H71" s="248">
        <f>VLOOKUP(C71,Dados!B:AW,11,0)</f>
        <v>1.27</v>
      </c>
      <c r="I71" s="16" t="str">
        <f>(VLOOKUP(C71,Dados!B:AW,48,0))</f>
        <v>Fase de Degradação</v>
      </c>
      <c r="J71" s="189" t="s">
        <v>735</v>
      </c>
      <c r="K71" s="177">
        <f>IFERROR((VLOOKUP(C71,Dados!B:AW,44,0)),0)</f>
        <v>0</v>
      </c>
      <c r="L71" s="177">
        <f>IFERROR((VLOOKUP(C71,Dados!B:AW,45,0)),0)</f>
        <v>0</v>
      </c>
      <c r="M71" s="177">
        <f>IFERROR((VLOOKUP(C71,Dados!B:AW,43,0)),0)</f>
        <v>0</v>
      </c>
      <c r="N71" s="179">
        <f>IFERROR((VLOOKUP(C71,Dados!B:AW,47,0)),0)</f>
        <v>0</v>
      </c>
      <c r="O71" s="197">
        <f t="shared" si="4"/>
        <v>1</v>
      </c>
      <c r="P71" s="1">
        <f t="shared" si="5"/>
        <v>0</v>
      </c>
      <c r="Q71" s="221"/>
      <c r="AC71">
        <v>2</v>
      </c>
      <c r="AD71">
        <v>2</v>
      </c>
      <c r="AE71">
        <v>2</v>
      </c>
      <c r="AH71" t="s">
        <v>623</v>
      </c>
      <c r="AI71" t="str">
        <f t="shared" si="3"/>
        <v>FOR045*</v>
      </c>
    </row>
    <row r="72" spans="1:35" ht="25" x14ac:dyDescent="0.3">
      <c r="A72"/>
      <c r="B72" s="16">
        <v>169</v>
      </c>
      <c r="C72" s="16" t="s">
        <v>322</v>
      </c>
      <c r="D72" s="16" t="s">
        <v>1593</v>
      </c>
      <c r="E72" s="16" t="s">
        <v>2133</v>
      </c>
      <c r="F72" s="200" t="s">
        <v>143</v>
      </c>
      <c r="G72" s="189" t="str">
        <f>IFERROR(VLOOKUP(C72,#REF!,4,FALSE),"")</f>
        <v/>
      </c>
      <c r="H72" s="250">
        <f>VLOOKUP(C72,Dados!B:AW,11,0)</f>
        <v>1.54</v>
      </c>
      <c r="I72" s="16" t="str">
        <f>(VLOOKUP(C72,Dados!B:AW,48,0))</f>
        <v>Fase de Degradação</v>
      </c>
      <c r="J72" s="189" t="s">
        <v>735</v>
      </c>
      <c r="K72" s="177">
        <f>IFERROR((VLOOKUP(C72,Dados!B:AW,44,0)),0)</f>
        <v>0</v>
      </c>
      <c r="L72" s="177">
        <f>IFERROR((VLOOKUP(C72,Dados!B:AW,45,0)),0)</f>
        <v>0</v>
      </c>
      <c r="M72" s="177">
        <f>IFERROR((VLOOKUP(C72,Dados!B:AW,43,0)),0)</f>
        <v>0</v>
      </c>
      <c r="N72" s="179">
        <f>IFERROR((VLOOKUP(C72,Dados!B:AW,47,0)),0)</f>
        <v>0</v>
      </c>
      <c r="O72" s="197">
        <f t="shared" si="4"/>
        <v>1</v>
      </c>
      <c r="P72" s="1">
        <f t="shared" si="5"/>
        <v>0</v>
      </c>
      <c r="Q72" s="221"/>
      <c r="AC72">
        <v>2</v>
      </c>
      <c r="AD72">
        <v>2</v>
      </c>
      <c r="AE72">
        <v>2</v>
      </c>
      <c r="AH72" t="s">
        <v>475</v>
      </c>
      <c r="AI72" t="str">
        <f t="shared" si="3"/>
        <v>ROB058*</v>
      </c>
    </row>
    <row r="73" spans="1:35" ht="25" x14ac:dyDescent="0.3">
      <c r="A73"/>
      <c r="B73" s="16">
        <v>171</v>
      </c>
      <c r="C73" s="16" t="s">
        <v>603</v>
      </c>
      <c r="D73" s="16" t="s">
        <v>1593</v>
      </c>
      <c r="E73" s="16" t="s">
        <v>2133</v>
      </c>
      <c r="F73" s="200" t="s">
        <v>604</v>
      </c>
      <c r="G73" s="189" t="str">
        <f>IFERROR(VLOOKUP(C73,#REF!,4,FALSE),"")</f>
        <v/>
      </c>
      <c r="H73" s="248">
        <f>VLOOKUP(C73,Dados!B:AW,11,0)</f>
        <v>1.63</v>
      </c>
      <c r="I73" s="16" t="str">
        <f>(VLOOKUP(C73,Dados!B:AW,48,0))</f>
        <v>Fase de Degradação</v>
      </c>
      <c r="J73" s="189" t="s">
        <v>735</v>
      </c>
      <c r="K73" s="177">
        <f>IFERROR((VLOOKUP(C73,Dados!B:AW,44,0)),0)</f>
        <v>0</v>
      </c>
      <c r="L73" s="177">
        <f>IFERROR((VLOOKUP(C73,Dados!B:AW,45,0)),0)</f>
        <v>0</v>
      </c>
      <c r="M73" s="177">
        <f>IFERROR((VLOOKUP(C73,Dados!B:AW,43,0)),0)</f>
        <v>0</v>
      </c>
      <c r="N73" s="179">
        <f>IFERROR((VLOOKUP(C73,Dados!B:AW,47,0)),0)</f>
        <v>0</v>
      </c>
      <c r="O73" s="197">
        <f t="shared" si="4"/>
        <v>1</v>
      </c>
      <c r="P73" s="1">
        <f t="shared" si="5"/>
        <v>0</v>
      </c>
      <c r="Q73" s="221"/>
      <c r="AC73">
        <v>2</v>
      </c>
      <c r="AD73">
        <v>2</v>
      </c>
      <c r="AE73">
        <v>2</v>
      </c>
      <c r="AH73" t="s">
        <v>371</v>
      </c>
      <c r="AI73" t="str">
        <f t="shared" si="3"/>
        <v>CEN030*</v>
      </c>
    </row>
    <row r="74" spans="1:35" ht="25" x14ac:dyDescent="0.3">
      <c r="A74"/>
      <c r="B74" s="16">
        <v>200</v>
      </c>
      <c r="C74" s="16" t="s">
        <v>689</v>
      </c>
      <c r="D74" s="16" t="s">
        <v>1593</v>
      </c>
      <c r="E74" s="16" t="s">
        <v>2136</v>
      </c>
      <c r="F74" s="200" t="s">
        <v>690</v>
      </c>
      <c r="G74" s="189" t="str">
        <f>IFERROR(VLOOKUP(C74,#REF!,4,FALSE),"")</f>
        <v/>
      </c>
      <c r="H74" s="248">
        <f>VLOOKUP(C74,Dados!B:AW,11,0)</f>
        <v>0.95</v>
      </c>
      <c r="I74" s="16" t="str">
        <f>(VLOOKUP(C74,Dados!B:AW,48,0))</f>
        <v>Confiabilidade em Crescimento</v>
      </c>
      <c r="J74" s="189" t="s">
        <v>735</v>
      </c>
      <c r="K74" s="177">
        <f>IFERROR((VLOOKUP(C74,Dados!B:AW,44,0)),0)</f>
        <v>0</v>
      </c>
      <c r="L74" s="177">
        <f>IFERROR((VLOOKUP(C74,Dados!B:AW,45,0)),0)</f>
        <v>0</v>
      </c>
      <c r="M74" s="177">
        <f>IFERROR((VLOOKUP(C74,Dados!B:AW,43,0)),0)</f>
        <v>0</v>
      </c>
      <c r="N74" s="179">
        <f>IFERROR((VLOOKUP(C74,Dados!B:AW,47,0)),0)</f>
        <v>0</v>
      </c>
      <c r="O74" s="197">
        <f t="shared" si="4"/>
        <v>2</v>
      </c>
      <c r="P74" s="1">
        <f t="shared" si="5"/>
        <v>0</v>
      </c>
      <c r="Q74" s="221"/>
    </row>
    <row r="75" spans="1:35" ht="25" x14ac:dyDescent="0.3">
      <c r="A75"/>
      <c r="B75" s="16">
        <v>202</v>
      </c>
      <c r="C75" s="16" t="s">
        <v>755</v>
      </c>
      <c r="D75" s="16" t="s">
        <v>1593</v>
      </c>
      <c r="E75" s="16" t="s">
        <v>2136</v>
      </c>
      <c r="F75" s="200" t="s">
        <v>756</v>
      </c>
      <c r="G75" s="189" t="str">
        <f>IFERROR(VLOOKUP(C75,#REF!,4,FALSE),"")</f>
        <v/>
      </c>
      <c r="H75" s="249">
        <f>VLOOKUP(C75,Dados!B:AW,11,0)</f>
        <v>1.84</v>
      </c>
      <c r="I75" s="16" t="str">
        <f>(VLOOKUP(C75,Dados!B:AW,48,0))</f>
        <v>Fase de Degradação</v>
      </c>
      <c r="J75" s="189" t="s">
        <v>735</v>
      </c>
      <c r="K75" s="177">
        <f>IFERROR((VLOOKUP(C75,Dados!B:AW,44,0)),0)</f>
        <v>0</v>
      </c>
      <c r="L75" s="177">
        <f>IFERROR((VLOOKUP(C75,Dados!B:AW,45,0)),0)</f>
        <v>0</v>
      </c>
      <c r="M75" s="177">
        <f>IFERROR((VLOOKUP(C75,Dados!B:AW,43,0)),0)</f>
        <v>0</v>
      </c>
      <c r="N75" s="179">
        <f>IFERROR((VLOOKUP(C75,Dados!B:AW,47,0)),0)</f>
        <v>0</v>
      </c>
      <c r="O75" s="197">
        <f t="shared" si="4"/>
        <v>1</v>
      </c>
      <c r="P75" s="1">
        <f t="shared" si="5"/>
        <v>0</v>
      </c>
      <c r="Q75" s="221"/>
      <c r="AC75">
        <v>2</v>
      </c>
      <c r="AD75">
        <v>2</v>
      </c>
      <c r="AE75">
        <v>2</v>
      </c>
      <c r="AH75" t="s">
        <v>252</v>
      </c>
      <c r="AI75" t="str">
        <f t="shared" si="3"/>
        <v>CEN074*</v>
      </c>
    </row>
    <row r="76" spans="1:35" ht="25" x14ac:dyDescent="0.3">
      <c r="A76"/>
      <c r="B76" s="16">
        <v>203</v>
      </c>
      <c r="C76" s="16" t="s">
        <v>757</v>
      </c>
      <c r="D76" s="16" t="s">
        <v>1593</v>
      </c>
      <c r="E76" s="16" t="s">
        <v>2136</v>
      </c>
      <c r="F76" s="200" t="s">
        <v>758</v>
      </c>
      <c r="G76" s="189" t="str">
        <f>IFERROR(VLOOKUP(C76,#REF!,4,FALSE),"")</f>
        <v/>
      </c>
      <c r="H76" s="249">
        <f>VLOOKUP(C76,Dados!B:AW,11,0)</f>
        <v>1.42</v>
      </c>
      <c r="I76" s="16" t="str">
        <f>(VLOOKUP(C76,Dados!B:AW,48,0))</f>
        <v>Fase de Degradação</v>
      </c>
      <c r="J76" s="189" t="s">
        <v>735</v>
      </c>
      <c r="K76" s="177">
        <f>IFERROR((VLOOKUP(C76,Dados!B:AW,44,0)),0)</f>
        <v>0</v>
      </c>
      <c r="L76" s="177">
        <f>IFERROR((VLOOKUP(C76,Dados!B:AW,45,0)),0)</f>
        <v>0</v>
      </c>
      <c r="M76" s="177">
        <f>IFERROR((VLOOKUP(C76,Dados!B:AW,43,0)),0)</f>
        <v>0</v>
      </c>
      <c r="N76" s="179">
        <f>IFERROR((VLOOKUP(C76,Dados!B:AW,47,0)),0)</f>
        <v>0</v>
      </c>
      <c r="O76" s="197">
        <f t="shared" si="4"/>
        <v>1</v>
      </c>
      <c r="P76" s="1">
        <f t="shared" si="5"/>
        <v>0</v>
      </c>
      <c r="Q76" s="221"/>
      <c r="AC76">
        <v>2</v>
      </c>
      <c r="AD76">
        <v>2</v>
      </c>
      <c r="AE76">
        <v>2</v>
      </c>
      <c r="AH76" t="s">
        <v>1004</v>
      </c>
      <c r="AI76" t="str">
        <f t="shared" si="3"/>
        <v>ELE014*</v>
      </c>
    </row>
    <row r="77" spans="1:35" ht="25" x14ac:dyDescent="0.3">
      <c r="A77"/>
      <c r="B77" s="16">
        <v>204</v>
      </c>
      <c r="C77" s="16" t="s">
        <v>759</v>
      </c>
      <c r="D77" s="16" t="s">
        <v>1593</v>
      </c>
      <c r="E77" s="16" t="s">
        <v>2136</v>
      </c>
      <c r="F77" s="200" t="s">
        <v>760</v>
      </c>
      <c r="G77" s="189" t="str">
        <f>IFERROR(VLOOKUP(C77,#REF!,4,FALSE),"")</f>
        <v/>
      </c>
      <c r="H77" s="249">
        <f>VLOOKUP(C77,Dados!B:AW,11,0)</f>
        <v>1.53</v>
      </c>
      <c r="I77" s="16" t="str">
        <f>(VLOOKUP(C77,Dados!B:AW,48,0))</f>
        <v>Fase de Degradação</v>
      </c>
      <c r="J77" s="189" t="s">
        <v>735</v>
      </c>
      <c r="K77" s="177">
        <f>IFERROR((VLOOKUP(C77,Dados!B:AW,44,0)),0)</f>
        <v>0</v>
      </c>
      <c r="L77" s="177">
        <f>IFERROR((VLOOKUP(C77,Dados!B:AW,45,0)),0)</f>
        <v>0</v>
      </c>
      <c r="M77" s="177">
        <f>IFERROR((VLOOKUP(C77,Dados!B:AW,43,0)),0)</f>
        <v>0</v>
      </c>
      <c r="N77" s="179">
        <f>IFERROR((VLOOKUP(C77,Dados!B:AW,47,0)),0)</f>
        <v>0</v>
      </c>
      <c r="O77" s="197">
        <f t="shared" si="4"/>
        <v>1</v>
      </c>
      <c r="P77" s="1">
        <f t="shared" si="5"/>
        <v>0</v>
      </c>
      <c r="Q77" s="221"/>
      <c r="AC77">
        <v>2</v>
      </c>
      <c r="AD77">
        <v>2</v>
      </c>
      <c r="AE77">
        <v>2</v>
      </c>
      <c r="AH77" t="s">
        <v>1040</v>
      </c>
      <c r="AI77" t="str">
        <f t="shared" si="3"/>
        <v>GRV009*</v>
      </c>
    </row>
    <row r="78" spans="1:35" ht="25" x14ac:dyDescent="0.3">
      <c r="A78"/>
      <c r="B78" s="16">
        <v>205</v>
      </c>
      <c r="C78" s="16" t="s">
        <v>761</v>
      </c>
      <c r="D78" s="16" t="s">
        <v>1593</v>
      </c>
      <c r="E78" s="16" t="s">
        <v>2136</v>
      </c>
      <c r="F78" s="200" t="s">
        <v>762</v>
      </c>
      <c r="G78" s="189" t="str">
        <f>IFERROR(VLOOKUP(C78,#REF!,4,FALSE),"")</f>
        <v/>
      </c>
      <c r="H78" s="249">
        <f>VLOOKUP(C78,Dados!B:AW,11,0)</f>
        <v>1.64</v>
      </c>
      <c r="I78" s="16" t="str">
        <f>(VLOOKUP(C78,Dados!B:AW,48,0))</f>
        <v>Fase de Degradação</v>
      </c>
      <c r="J78" s="189" t="s">
        <v>735</v>
      </c>
      <c r="K78" s="177">
        <f>IFERROR((VLOOKUP(C78,Dados!B:AW,44,0)),0)</f>
        <v>0</v>
      </c>
      <c r="L78" s="177">
        <f>IFERROR((VLOOKUP(C78,Dados!B:AW,45,0)),0)</f>
        <v>0</v>
      </c>
      <c r="M78" s="177">
        <f>IFERROR((VLOOKUP(C78,Dados!B:AW,43,0)),0)</f>
        <v>0</v>
      </c>
      <c r="N78" s="179">
        <f>IFERROR((VLOOKUP(C78,Dados!B:AW,47,0)),0)</f>
        <v>0</v>
      </c>
      <c r="O78" s="197">
        <f t="shared" si="4"/>
        <v>1</v>
      </c>
      <c r="P78" s="1">
        <f t="shared" si="5"/>
        <v>0</v>
      </c>
      <c r="Q78" s="221"/>
      <c r="AC78">
        <v>2</v>
      </c>
      <c r="AD78">
        <v>2</v>
      </c>
      <c r="AE78">
        <v>2</v>
      </c>
      <c r="AH78" t="s">
        <v>477</v>
      </c>
      <c r="AI78" t="str">
        <f t="shared" si="3"/>
        <v>ROB065*</v>
      </c>
    </row>
    <row r="79" spans="1:35" ht="25" x14ac:dyDescent="0.3">
      <c r="A79"/>
      <c r="B79" s="16">
        <v>227</v>
      </c>
      <c r="C79" s="16" t="s">
        <v>1822</v>
      </c>
      <c r="D79" s="16" t="s">
        <v>1593</v>
      </c>
      <c r="E79" s="16" t="s">
        <v>2136</v>
      </c>
      <c r="F79" s="200" t="s">
        <v>1691</v>
      </c>
      <c r="G79" s="189" t="str">
        <f>IFERROR(VLOOKUP(C79,#REF!,4,FALSE),"")</f>
        <v/>
      </c>
      <c r="H79" s="248">
        <f>VLOOKUP(C79,Dados!B:AW,11,0)</f>
        <v>0.72</v>
      </c>
      <c r="I79" s="16" t="str">
        <f>(VLOOKUP(C79,Dados!B:AW,48,0))</f>
        <v>Confiabilidade em Crescimento</v>
      </c>
      <c r="J79" s="189" t="s">
        <v>735</v>
      </c>
      <c r="K79" s="177">
        <f>IFERROR((VLOOKUP(C79,Dados!B:AW,44,0)),0)</f>
        <v>0</v>
      </c>
      <c r="L79" s="177">
        <f>IFERROR((VLOOKUP(C79,Dados!B:AW,45,0)),0)</f>
        <v>0</v>
      </c>
      <c r="M79" s="177">
        <f>IFERROR((VLOOKUP(C79,Dados!B:AW,43,0)),0)</f>
        <v>0</v>
      </c>
      <c r="N79" s="179">
        <f>IFERROR((VLOOKUP(C79,Dados!B:AW,47,0)),0)</f>
        <v>0</v>
      </c>
      <c r="O79" s="197">
        <f t="shared" si="4"/>
        <v>2</v>
      </c>
      <c r="P79" s="1">
        <f t="shared" si="5"/>
        <v>0</v>
      </c>
      <c r="Q79" s="221"/>
      <c r="AC79">
        <v>2</v>
      </c>
      <c r="AD79">
        <v>2</v>
      </c>
      <c r="AE79">
        <v>1</v>
      </c>
      <c r="AH79" t="s">
        <v>705</v>
      </c>
      <c r="AI79" t="str">
        <f t="shared" si="3"/>
        <v>RET023*</v>
      </c>
    </row>
    <row r="80" spans="1:35" ht="25" x14ac:dyDescent="0.3">
      <c r="A80"/>
      <c r="B80" s="16">
        <v>228</v>
      </c>
      <c r="C80" s="16" t="s">
        <v>1823</v>
      </c>
      <c r="D80" s="16" t="s">
        <v>1593</v>
      </c>
      <c r="E80" s="16" t="s">
        <v>2136</v>
      </c>
      <c r="F80" s="200" t="s">
        <v>1692</v>
      </c>
      <c r="G80" s="189" t="str">
        <f>IFERROR(VLOOKUP(C80,#REF!,4,FALSE),"")</f>
        <v/>
      </c>
      <c r="H80" s="250">
        <f>VLOOKUP(C80,Dados!B:AW,11,0)</f>
        <v>1.34</v>
      </c>
      <c r="I80" s="16" t="str">
        <f>(VLOOKUP(C80,Dados!B:AW,48,0))</f>
        <v>Fase de Degradação</v>
      </c>
      <c r="J80" s="189" t="s">
        <v>735</v>
      </c>
      <c r="K80" s="177">
        <f>IFERROR((VLOOKUP(C80,Dados!B:AW,44,0)),0)</f>
        <v>0</v>
      </c>
      <c r="L80" s="177">
        <f>IFERROR((VLOOKUP(C80,Dados!B:AW,45,0)),0)</f>
        <v>0</v>
      </c>
      <c r="M80" s="177">
        <f>IFERROR((VLOOKUP(C80,Dados!B:AW,43,0)),0)</f>
        <v>0</v>
      </c>
      <c r="N80" s="179">
        <f>IFERROR((VLOOKUP(C80,Dados!B:AW,47,0)),0)</f>
        <v>0</v>
      </c>
      <c r="O80" s="197">
        <f t="shared" si="4"/>
        <v>1</v>
      </c>
      <c r="P80" s="1">
        <f t="shared" si="5"/>
        <v>0</v>
      </c>
      <c r="Q80" s="221"/>
      <c r="AC80">
        <v>2</v>
      </c>
      <c r="AD80">
        <v>2</v>
      </c>
      <c r="AE80">
        <v>1</v>
      </c>
      <c r="AH80" t="s">
        <v>845</v>
      </c>
      <c r="AI80" t="str">
        <f t="shared" si="3"/>
        <v>ROB075*</v>
      </c>
    </row>
    <row r="81" spans="1:35" ht="25" x14ac:dyDescent="0.3">
      <c r="A81"/>
      <c r="B81" s="16">
        <v>229</v>
      </c>
      <c r="C81" s="16" t="s">
        <v>1824</v>
      </c>
      <c r="D81" s="16" t="s">
        <v>1593</v>
      </c>
      <c r="E81" s="16" t="s">
        <v>2136</v>
      </c>
      <c r="F81" s="200" t="s">
        <v>1693</v>
      </c>
      <c r="G81" s="189" t="str">
        <f>IFERROR(VLOOKUP(C81,#REF!,4,FALSE),"")</f>
        <v/>
      </c>
      <c r="H81" s="248">
        <f>VLOOKUP(C81,Dados!B:AW,11,0)</f>
        <v>0.55000000000000004</v>
      </c>
      <c r="I81" s="16" t="str">
        <f>(VLOOKUP(C81,Dados!B:AW,48,0))</f>
        <v>Confiabilidade em Crescimento</v>
      </c>
      <c r="J81" s="189" t="s">
        <v>735</v>
      </c>
      <c r="K81" s="177">
        <f>IFERROR((VLOOKUP(C81,Dados!B:AW,44,0)),0)</f>
        <v>0</v>
      </c>
      <c r="L81" s="177">
        <f>IFERROR((VLOOKUP(C81,Dados!B:AW,45,0)),0)</f>
        <v>0</v>
      </c>
      <c r="M81" s="177">
        <f>IFERROR((VLOOKUP(C81,Dados!B:AW,43,0)),0)</f>
        <v>0</v>
      </c>
      <c r="N81" s="179">
        <f>IFERROR((VLOOKUP(C81,Dados!B:AW,47,0)),0)</f>
        <v>0</v>
      </c>
      <c r="O81" s="197">
        <f t="shared" si="4"/>
        <v>2</v>
      </c>
      <c r="P81" s="1">
        <f t="shared" si="5"/>
        <v>0</v>
      </c>
      <c r="Q81" s="221"/>
      <c r="AC81">
        <v>2</v>
      </c>
      <c r="AD81">
        <v>2</v>
      </c>
      <c r="AE81">
        <v>1</v>
      </c>
      <c r="AH81" t="s">
        <v>368</v>
      </c>
      <c r="AI81" t="str">
        <f t="shared" si="3"/>
        <v>CEN028*</v>
      </c>
    </row>
    <row r="82" spans="1:35" ht="25" x14ac:dyDescent="0.3">
      <c r="A82"/>
      <c r="B82" s="16">
        <v>230</v>
      </c>
      <c r="C82" s="16" t="s">
        <v>1825</v>
      </c>
      <c r="D82" s="16" t="s">
        <v>1593</v>
      </c>
      <c r="E82" s="16" t="s">
        <v>2136</v>
      </c>
      <c r="F82" s="200" t="s">
        <v>1694</v>
      </c>
      <c r="G82" s="189" t="str">
        <f>IFERROR(VLOOKUP(C82,#REF!,4,FALSE),"")</f>
        <v/>
      </c>
      <c r="H82" s="248">
        <f>VLOOKUP(C82,Dados!B:AW,11,0)</f>
        <v>0.75</v>
      </c>
      <c r="I82" s="16" t="str">
        <f>(VLOOKUP(C82,Dados!B:AW,48,0))</f>
        <v>Confiabilidade em Crescimento</v>
      </c>
      <c r="J82" s="189" t="s">
        <v>735</v>
      </c>
      <c r="K82" s="177">
        <f>IFERROR((VLOOKUP(C82,Dados!B:AW,44,0)),0)</f>
        <v>0</v>
      </c>
      <c r="L82" s="177">
        <f>IFERROR((VLOOKUP(C82,Dados!B:AW,45,0)),0)</f>
        <v>0</v>
      </c>
      <c r="M82" s="177">
        <f>IFERROR((VLOOKUP(C82,Dados!B:AW,43,0)),0)</f>
        <v>0</v>
      </c>
      <c r="N82" s="179">
        <f>IFERROR((VLOOKUP(C82,Dados!B:AW,47,0)),0)</f>
        <v>0</v>
      </c>
      <c r="O82" s="197">
        <f t="shared" si="4"/>
        <v>2</v>
      </c>
      <c r="P82" s="1">
        <f t="shared" si="5"/>
        <v>0</v>
      </c>
      <c r="Q82" s="221"/>
      <c r="AC82">
        <v>2</v>
      </c>
      <c r="AD82">
        <v>2</v>
      </c>
      <c r="AE82">
        <v>1</v>
      </c>
      <c r="AH82" t="s">
        <v>369</v>
      </c>
      <c r="AI82" t="str">
        <f t="shared" si="3"/>
        <v>CEN029*</v>
      </c>
    </row>
    <row r="83" spans="1:35" ht="25" x14ac:dyDescent="0.3">
      <c r="A83"/>
      <c r="B83" s="16">
        <v>231</v>
      </c>
      <c r="C83" s="16" t="s">
        <v>1826</v>
      </c>
      <c r="D83" s="16" t="s">
        <v>1593</v>
      </c>
      <c r="E83" s="16" t="s">
        <v>2136</v>
      </c>
      <c r="F83" s="200" t="s">
        <v>1695</v>
      </c>
      <c r="G83" s="189" t="str">
        <f>IFERROR(VLOOKUP(C83,#REF!,4,FALSE),"")</f>
        <v/>
      </c>
      <c r="H83" s="248">
        <f>VLOOKUP(C83,Dados!B:AW,11,0)</f>
        <v>0.9</v>
      </c>
      <c r="I83" s="16" t="str">
        <f>(VLOOKUP(C83,Dados!B:AW,48,0))</f>
        <v>Confiabilidade em Crescimento</v>
      </c>
      <c r="J83" s="189" t="s">
        <v>735</v>
      </c>
      <c r="K83" s="177">
        <f>IFERROR((VLOOKUP(C83,Dados!B:AW,44,0)),0)</f>
        <v>0</v>
      </c>
      <c r="L83" s="177">
        <f>IFERROR((VLOOKUP(C83,Dados!B:AW,45,0)),0)</f>
        <v>0</v>
      </c>
      <c r="M83" s="177">
        <f>IFERROR((VLOOKUP(C83,Dados!B:AW,43,0)),0)</f>
        <v>0</v>
      </c>
      <c r="N83" s="179">
        <f>IFERROR((VLOOKUP(C83,Dados!B:AW,47,0)),0)</f>
        <v>0</v>
      </c>
      <c r="O83" s="197">
        <f t="shared" si="4"/>
        <v>2</v>
      </c>
      <c r="P83" s="1">
        <f t="shared" si="5"/>
        <v>0</v>
      </c>
      <c r="Q83" s="221"/>
      <c r="AC83">
        <v>2</v>
      </c>
      <c r="AD83">
        <v>2</v>
      </c>
      <c r="AE83">
        <v>1</v>
      </c>
      <c r="AH83" t="s">
        <v>350</v>
      </c>
      <c r="AI83" t="str">
        <f t="shared" si="3"/>
        <v>RET033*</v>
      </c>
    </row>
    <row r="84" spans="1:35" ht="25" x14ac:dyDescent="0.3">
      <c r="A84"/>
      <c r="B84" s="16">
        <v>232</v>
      </c>
      <c r="C84" s="16" t="s">
        <v>1827</v>
      </c>
      <c r="D84" s="16" t="s">
        <v>1593</v>
      </c>
      <c r="E84" s="16" t="s">
        <v>2136</v>
      </c>
      <c r="F84" s="200" t="s">
        <v>1696</v>
      </c>
      <c r="G84" s="189" t="str">
        <f>IFERROR(VLOOKUP(C84,#REF!,4,FALSE),"")</f>
        <v/>
      </c>
      <c r="H84" s="250">
        <f>VLOOKUP(C84,Dados!B:AW,11,0)</f>
        <v>0</v>
      </c>
      <c r="I84" s="16">
        <f>(VLOOKUP(C84,Dados!B:AW,48,0))</f>
        <v>0</v>
      </c>
      <c r="J84" s="189" t="s">
        <v>735</v>
      </c>
      <c r="K84" s="177">
        <f>IFERROR((VLOOKUP(C84,Dados!B:AW,44,0)),0)</f>
        <v>0</v>
      </c>
      <c r="L84" s="177">
        <f>IFERROR((VLOOKUP(C84,Dados!B:AW,45,0)),0)</f>
        <v>0</v>
      </c>
      <c r="M84" s="177">
        <f>IFERROR((VLOOKUP(C84,Dados!B:AW,43,0)),0)</f>
        <v>0</v>
      </c>
      <c r="N84" s="179">
        <f>IFERROR((VLOOKUP(C84,Dados!B:AW,47,0)),0)</f>
        <v>0</v>
      </c>
      <c r="O84" s="197">
        <f t="shared" si="4"/>
        <v>2</v>
      </c>
      <c r="P84" s="1">
        <f t="shared" si="5"/>
        <v>0</v>
      </c>
      <c r="Q84" s="221"/>
      <c r="AC84">
        <v>2</v>
      </c>
      <c r="AD84">
        <v>2</v>
      </c>
      <c r="AE84">
        <v>1</v>
      </c>
      <c r="AH84" t="s">
        <v>536</v>
      </c>
      <c r="AI84" t="str">
        <f t="shared" si="3"/>
        <v>BRU030*</v>
      </c>
    </row>
    <row r="85" spans="1:35" ht="25" x14ac:dyDescent="0.3">
      <c r="A85"/>
      <c r="B85" s="16">
        <v>233</v>
      </c>
      <c r="C85" s="16" t="s">
        <v>1828</v>
      </c>
      <c r="D85" s="16" t="s">
        <v>1593</v>
      </c>
      <c r="E85" s="16" t="s">
        <v>2136</v>
      </c>
      <c r="F85" s="200" t="s">
        <v>1697</v>
      </c>
      <c r="G85" s="189" t="str">
        <f>IFERROR(VLOOKUP(C85,#REF!,4,FALSE),"")</f>
        <v/>
      </c>
      <c r="H85" s="250">
        <f>VLOOKUP(C85,Dados!B:AW,11,0)</f>
        <v>0</v>
      </c>
      <c r="I85" s="16">
        <f>(VLOOKUP(C85,Dados!B:AW,48,0))</f>
        <v>0</v>
      </c>
      <c r="J85" s="189" t="s">
        <v>735</v>
      </c>
      <c r="K85" s="177">
        <f>IFERROR((VLOOKUP(C85,Dados!B:AW,44,0)),0)</f>
        <v>0</v>
      </c>
      <c r="L85" s="177">
        <f>IFERROR((VLOOKUP(C85,Dados!B:AW,45,0)),0)</f>
        <v>0</v>
      </c>
      <c r="M85" s="177">
        <f>IFERROR((VLOOKUP(C85,Dados!B:AW,43,0)),0)</f>
        <v>0</v>
      </c>
      <c r="N85" s="179">
        <f>IFERROR((VLOOKUP(C85,Dados!B:AW,47,0)),0)</f>
        <v>0</v>
      </c>
      <c r="O85" s="197">
        <f t="shared" si="4"/>
        <v>2</v>
      </c>
      <c r="P85" s="1">
        <f t="shared" si="5"/>
        <v>0</v>
      </c>
      <c r="Q85" s="221"/>
      <c r="AC85">
        <v>2</v>
      </c>
      <c r="AD85">
        <v>2</v>
      </c>
      <c r="AE85">
        <v>2</v>
      </c>
      <c r="AH85" t="s">
        <v>386</v>
      </c>
      <c r="AI85" t="str">
        <f t="shared" si="3"/>
        <v>FOR001*</v>
      </c>
    </row>
    <row r="86" spans="1:35" ht="25" x14ac:dyDescent="0.3">
      <c r="A86"/>
      <c r="B86" s="16">
        <v>128</v>
      </c>
      <c r="C86" s="16" t="s">
        <v>29</v>
      </c>
      <c r="D86" s="16" t="s">
        <v>1587</v>
      </c>
      <c r="E86" s="16" t="s">
        <v>29</v>
      </c>
      <c r="F86" s="252" t="str">
        <f>VLOOKUP(C86,[9]Dados!B:C,2,0)</f>
        <v>CEN017-CENTRO DE USINAGEM</v>
      </c>
      <c r="G86" s="189" t="str">
        <f>IFERROR(VLOOKUP(C86,#REF!,4,FALSE),"")</f>
        <v/>
      </c>
      <c r="H86" s="248">
        <f>VLOOKUP(C86,Dados!B:AW,11,0)</f>
        <v>1.42</v>
      </c>
      <c r="I86" s="16" t="str">
        <f>(VLOOKUP(C86,Dados!B:AW,48,0))</f>
        <v>Fase de Degradação</v>
      </c>
      <c r="J86" s="189" t="s">
        <v>735</v>
      </c>
      <c r="K86" s="177">
        <f>IFERROR((VLOOKUP(C86,Dados!B:AW,44,0)),0)</f>
        <v>0</v>
      </c>
      <c r="L86" s="177">
        <f>IFERROR((VLOOKUP(C86,Dados!B:AW,45,0)),0)</f>
        <v>0</v>
      </c>
      <c r="M86" s="177">
        <f>IFERROR((VLOOKUP(C86,Dados!B:AW,43,0)),0)</f>
        <v>0</v>
      </c>
      <c r="N86" s="179">
        <f>IFERROR((VLOOKUP(C86,Dados!B:AW,47,0)),0)</f>
        <v>0</v>
      </c>
      <c r="O86" s="197">
        <f t="shared" si="4"/>
        <v>1</v>
      </c>
      <c r="P86" s="1">
        <f t="shared" si="5"/>
        <v>0</v>
      </c>
      <c r="Q86" s="221"/>
      <c r="AC86">
        <v>2</v>
      </c>
      <c r="AD86">
        <v>2</v>
      </c>
      <c r="AE86">
        <v>2</v>
      </c>
      <c r="AH86" t="s">
        <v>129</v>
      </c>
      <c r="AI86" t="str">
        <f t="shared" si="3"/>
        <v>MOD022*</v>
      </c>
    </row>
    <row r="87" spans="1:35" ht="25" x14ac:dyDescent="0.3">
      <c r="A87"/>
      <c r="B87" s="16">
        <v>129</v>
      </c>
      <c r="C87" s="16" t="s">
        <v>30</v>
      </c>
      <c r="D87" s="16" t="s">
        <v>1587</v>
      </c>
      <c r="E87" s="16" t="s">
        <v>30</v>
      </c>
      <c r="F87" s="252" t="str">
        <f>VLOOKUP(C87,[9]Dados!B:C,2,0)</f>
        <v>CEN018-CENTRO DE USINAGEM</v>
      </c>
      <c r="G87" s="189" t="str">
        <f>IFERROR(VLOOKUP(C87,#REF!,4,FALSE),"")</f>
        <v/>
      </c>
      <c r="H87" s="250">
        <f>VLOOKUP(C87,Dados!B:AW,11,0)</f>
        <v>1.45</v>
      </c>
      <c r="I87" s="16" t="str">
        <f>(VLOOKUP(C87,Dados!B:AW,48,0))</f>
        <v>Fase de Degradação</v>
      </c>
      <c r="J87" s="189" t="s">
        <v>735</v>
      </c>
      <c r="K87" s="177">
        <f>IFERROR((VLOOKUP(C87,Dados!B:AW,44,0)),0)</f>
        <v>0</v>
      </c>
      <c r="L87" s="177">
        <f>IFERROR((VLOOKUP(C87,Dados!B:AW,45,0)),0)</f>
        <v>0</v>
      </c>
      <c r="M87" s="177">
        <f>IFERROR((VLOOKUP(C87,Dados!B:AW,43,0)),0)</f>
        <v>0</v>
      </c>
      <c r="N87" s="179">
        <f>IFERROR((VLOOKUP(C87,Dados!B:AW,47,0)),0)</f>
        <v>0</v>
      </c>
      <c r="O87" s="197">
        <f t="shared" si="4"/>
        <v>1</v>
      </c>
      <c r="P87" s="1">
        <f t="shared" si="5"/>
        <v>0</v>
      </c>
      <c r="Q87" s="221"/>
      <c r="AC87">
        <v>2</v>
      </c>
      <c r="AD87">
        <v>2</v>
      </c>
      <c r="AE87">
        <v>1</v>
      </c>
      <c r="AH87" t="s">
        <v>334</v>
      </c>
      <c r="AI87" t="str">
        <f t="shared" si="3"/>
        <v>INJ002*</v>
      </c>
    </row>
    <row r="88" spans="1:35" ht="25" x14ac:dyDescent="0.3">
      <c r="A88"/>
      <c r="B88" s="16">
        <v>130</v>
      </c>
      <c r="C88" s="16" t="s">
        <v>365</v>
      </c>
      <c r="D88" s="16" t="s">
        <v>1587</v>
      </c>
      <c r="E88" s="16" t="s">
        <v>365</v>
      </c>
      <c r="F88" s="252" t="str">
        <f>VLOOKUP(C88,[9]Dados!B:C,2,0)</f>
        <v>CEN019-CENTRO DE USINAGEM</v>
      </c>
      <c r="G88" s="189" t="str">
        <f>IFERROR(VLOOKUP(C88,#REF!,4,FALSE),"")</f>
        <v/>
      </c>
      <c r="H88" s="250">
        <f>VLOOKUP(C88,Dados!B:AW,11,0)</f>
        <v>1.93</v>
      </c>
      <c r="I88" s="16" t="str">
        <f>(VLOOKUP(C88,Dados!B:AW,48,0))</f>
        <v>Fase de Degradação</v>
      </c>
      <c r="J88" s="189" t="s">
        <v>735</v>
      </c>
      <c r="K88" s="177">
        <f>IFERROR((VLOOKUP(C88,Dados!B:AW,44,0)),0)</f>
        <v>0</v>
      </c>
      <c r="L88" s="177">
        <f>IFERROR((VLOOKUP(C88,Dados!B:AW,45,0)),0)</f>
        <v>0</v>
      </c>
      <c r="M88" s="177">
        <f>IFERROR((VLOOKUP(C88,Dados!B:AW,43,0)),0)</f>
        <v>0</v>
      </c>
      <c r="N88" s="179">
        <f>IFERROR((VLOOKUP(C88,Dados!B:AW,47,0)),0)</f>
        <v>0</v>
      </c>
      <c r="O88" s="197">
        <f t="shared" si="4"/>
        <v>1</v>
      </c>
      <c r="P88" s="1">
        <f t="shared" si="5"/>
        <v>0</v>
      </c>
      <c r="Q88" s="221"/>
      <c r="AC88">
        <v>2</v>
      </c>
      <c r="AD88">
        <v>2</v>
      </c>
      <c r="AE88">
        <v>2</v>
      </c>
      <c r="AH88" t="s">
        <v>52</v>
      </c>
      <c r="AI88" t="str">
        <f t="shared" si="3"/>
        <v>INJ017*</v>
      </c>
    </row>
    <row r="89" spans="1:35" ht="25" x14ac:dyDescent="0.3">
      <c r="A89"/>
      <c r="B89" s="16">
        <v>132</v>
      </c>
      <c r="C89" s="16" t="s">
        <v>383</v>
      </c>
      <c r="D89" s="16" t="s">
        <v>1587</v>
      </c>
      <c r="E89" s="16" t="s">
        <v>383</v>
      </c>
      <c r="F89" s="200" t="s">
        <v>204</v>
      </c>
      <c r="G89" s="189" t="str">
        <f>IFERROR(VLOOKUP(C89,#REF!,4,FALSE),"")</f>
        <v/>
      </c>
      <c r="H89" s="248">
        <f>VLOOKUP(C89,Dados!B:AW,11,0)</f>
        <v>1.23</v>
      </c>
      <c r="I89" s="16" t="str">
        <f>(VLOOKUP(C89,Dados!B:AW,48,0))</f>
        <v>Fase de Degradação</v>
      </c>
      <c r="J89" s="189" t="s">
        <v>735</v>
      </c>
      <c r="K89" s="177">
        <f>IFERROR((VLOOKUP(C89,Dados!B:AW,44,0)),0)</f>
        <v>0</v>
      </c>
      <c r="L89" s="177">
        <f>IFERROR((VLOOKUP(C89,Dados!B:AW,45,0)),0)</f>
        <v>0</v>
      </c>
      <c r="M89" s="177">
        <f>IFERROR((VLOOKUP(C89,Dados!B:AW,43,0)),0)</f>
        <v>0</v>
      </c>
      <c r="N89" s="179">
        <f>IFERROR((VLOOKUP(C89,Dados!B:AW,47,0)),0)</f>
        <v>0</v>
      </c>
      <c r="O89" s="197">
        <f t="shared" si="4"/>
        <v>1</v>
      </c>
      <c r="P89" s="1">
        <f t="shared" si="5"/>
        <v>0</v>
      </c>
      <c r="Q89" s="221"/>
      <c r="AC89">
        <v>2</v>
      </c>
      <c r="AD89">
        <v>2</v>
      </c>
      <c r="AE89">
        <v>2</v>
      </c>
      <c r="AH89" t="s">
        <v>343</v>
      </c>
      <c r="AI89" t="str">
        <f t="shared" si="3"/>
        <v>INJ034*</v>
      </c>
    </row>
    <row r="90" spans="1:35" ht="25" x14ac:dyDescent="0.3">
      <c r="A90"/>
      <c r="B90" s="16">
        <v>133</v>
      </c>
      <c r="C90" s="16" t="s">
        <v>31</v>
      </c>
      <c r="D90" s="16" t="s">
        <v>1587</v>
      </c>
      <c r="E90" s="16" t="s">
        <v>31</v>
      </c>
      <c r="F90" s="200" t="s">
        <v>6</v>
      </c>
      <c r="G90" s="189" t="str">
        <f>IFERROR(VLOOKUP(C90,#REF!,4,FALSE),"")</f>
        <v/>
      </c>
      <c r="H90" s="248">
        <f>VLOOKUP(C90,Dados!B:AW,11,0)</f>
        <v>1.41</v>
      </c>
      <c r="I90" s="16" t="str">
        <f>(VLOOKUP(C90,Dados!B:AW,48,0))</f>
        <v>Fase de Degradação</v>
      </c>
      <c r="J90" s="189" t="s">
        <v>735</v>
      </c>
      <c r="K90" s="177">
        <f>IFERROR((VLOOKUP(C90,Dados!B:AW,44,0)),0)</f>
        <v>0</v>
      </c>
      <c r="L90" s="177">
        <f>IFERROR((VLOOKUP(C90,Dados!B:AW,45,0)),0)</f>
        <v>0</v>
      </c>
      <c r="M90" s="177">
        <f>IFERROR((VLOOKUP(C90,Dados!B:AW,43,0)),0)</f>
        <v>0</v>
      </c>
      <c r="N90" s="179">
        <f>IFERROR((VLOOKUP(C90,Dados!B:AW,47,0)),0)</f>
        <v>0</v>
      </c>
      <c r="O90" s="197">
        <f t="shared" si="4"/>
        <v>1</v>
      </c>
      <c r="P90" s="1">
        <f t="shared" si="5"/>
        <v>0</v>
      </c>
      <c r="Q90" s="221"/>
      <c r="AC90">
        <v>2</v>
      </c>
      <c r="AD90">
        <v>2</v>
      </c>
      <c r="AE90">
        <v>2</v>
      </c>
      <c r="AH90" t="s">
        <v>372</v>
      </c>
      <c r="AI90" t="str">
        <f t="shared" si="3"/>
        <v>CEN045*</v>
      </c>
    </row>
    <row r="91" spans="1:35" ht="25" x14ac:dyDescent="0.3">
      <c r="A91"/>
      <c r="B91" s="16">
        <v>134</v>
      </c>
      <c r="C91" s="16" t="s">
        <v>362</v>
      </c>
      <c r="D91" s="16" t="s">
        <v>1587</v>
      </c>
      <c r="E91" s="16" t="s">
        <v>362</v>
      </c>
      <c r="F91" s="200" t="s">
        <v>183</v>
      </c>
      <c r="G91" s="189" t="str">
        <f>IFERROR(VLOOKUP(C91,#REF!,4,FALSE),"")</f>
        <v/>
      </c>
      <c r="H91" s="248">
        <f>VLOOKUP(C91,Dados!B:AW,11,0)</f>
        <v>1.4</v>
      </c>
      <c r="I91" s="16" t="str">
        <f>(VLOOKUP(C91,Dados!B:AW,48,0))</f>
        <v>Fase de Degradação</v>
      </c>
      <c r="J91" s="189" t="s">
        <v>735</v>
      </c>
      <c r="K91" s="177">
        <f>IFERROR((VLOOKUP(C91,Dados!B:AW,44,0)),0)</f>
        <v>0</v>
      </c>
      <c r="L91" s="177">
        <f>IFERROR((VLOOKUP(C91,Dados!B:AW,45,0)),0)</f>
        <v>0</v>
      </c>
      <c r="M91" s="177">
        <f>IFERROR((VLOOKUP(C91,Dados!B:AW,43,0)),0)</f>
        <v>0</v>
      </c>
      <c r="N91" s="179">
        <f>IFERROR((VLOOKUP(C91,Dados!B:AW,47,0)),0)</f>
        <v>0</v>
      </c>
      <c r="O91" s="197">
        <f t="shared" si="4"/>
        <v>1</v>
      </c>
      <c r="P91" s="1">
        <f t="shared" si="5"/>
        <v>0</v>
      </c>
      <c r="Q91" s="221"/>
      <c r="AC91">
        <v>2</v>
      </c>
      <c r="AD91">
        <v>2</v>
      </c>
      <c r="AE91">
        <v>2</v>
      </c>
      <c r="AH91" t="s">
        <v>1010</v>
      </c>
      <c r="AI91" t="str">
        <f t="shared" si="3"/>
        <v>ELE017*</v>
      </c>
    </row>
    <row r="92" spans="1:35" ht="25" x14ac:dyDescent="0.3">
      <c r="A92"/>
      <c r="B92" s="16">
        <v>135</v>
      </c>
      <c r="C92" s="16" t="s">
        <v>337</v>
      </c>
      <c r="D92" s="16" t="s">
        <v>1587</v>
      </c>
      <c r="E92" s="16" t="s">
        <v>337</v>
      </c>
      <c r="F92" s="200" t="s">
        <v>158</v>
      </c>
      <c r="G92" s="189" t="str">
        <f>IFERROR(VLOOKUP(C92,#REF!,4,FALSE),"")</f>
        <v/>
      </c>
      <c r="H92" s="248">
        <f>VLOOKUP(C92,Dados!B:AW,11,0)</f>
        <v>1.52</v>
      </c>
      <c r="I92" s="16" t="str">
        <f>(VLOOKUP(C92,Dados!B:AW,48,0))</f>
        <v>Fase de Degradação</v>
      </c>
      <c r="J92" s="189" t="s">
        <v>735</v>
      </c>
      <c r="K92" s="177">
        <f>IFERROR((VLOOKUP(C92,Dados!B:AW,44,0)),0)</f>
        <v>0</v>
      </c>
      <c r="L92" s="177">
        <f>IFERROR((VLOOKUP(C92,Dados!B:AW,45,0)),0)</f>
        <v>0</v>
      </c>
      <c r="M92" s="177">
        <f>IFERROR((VLOOKUP(C92,Dados!B:AW,43,0)),0)</f>
        <v>0</v>
      </c>
      <c r="N92" s="179">
        <f>IFERROR((VLOOKUP(C92,Dados!B:AW,47,0)),0)</f>
        <v>0</v>
      </c>
      <c r="O92" s="197">
        <f t="shared" si="4"/>
        <v>1</v>
      </c>
      <c r="P92" s="1">
        <f t="shared" si="5"/>
        <v>0</v>
      </c>
      <c r="Q92" s="221"/>
      <c r="AC92">
        <v>2</v>
      </c>
      <c r="AD92">
        <v>2</v>
      </c>
      <c r="AE92">
        <v>2</v>
      </c>
      <c r="AH92" t="s">
        <v>391</v>
      </c>
      <c r="AI92" t="str">
        <f t="shared" si="3"/>
        <v>CEN042*</v>
      </c>
    </row>
    <row r="93" spans="1:35" ht="25" x14ac:dyDescent="0.3">
      <c r="A93"/>
      <c r="B93" s="16">
        <v>571</v>
      </c>
      <c r="C93" s="16" t="s">
        <v>639</v>
      </c>
      <c r="D93" s="16" t="s">
        <v>1587</v>
      </c>
      <c r="E93" s="16" t="s">
        <v>337</v>
      </c>
      <c r="F93" s="200" t="s">
        <v>640</v>
      </c>
      <c r="G93" s="189" t="str">
        <f>IFERROR(VLOOKUP(C93,#REF!,4,FALSE),"")</f>
        <v/>
      </c>
      <c r="H93" s="249">
        <f>VLOOKUP(C93,Dados!B:AW,11,0)</f>
        <v>1.21</v>
      </c>
      <c r="I93" s="16" t="str">
        <f>(VLOOKUP(C93,Dados!B:AW,48,0))</f>
        <v>Fase de Degradação</v>
      </c>
      <c r="J93" s="189" t="s">
        <v>732</v>
      </c>
      <c r="K93" s="177">
        <f>IFERROR((VLOOKUP(C93,Dados!B:AW,44,0)),0)</f>
        <v>0</v>
      </c>
      <c r="L93" s="177">
        <f>IFERROR((VLOOKUP(C93,Dados!B:AW,45,0)),0)</f>
        <v>0</v>
      </c>
      <c r="M93" s="177">
        <f>IFERROR((VLOOKUP(C93,Dados!B:AW,43,0)),0)</f>
        <v>0</v>
      </c>
      <c r="N93" s="179">
        <f>IFERROR((VLOOKUP(C93,Dados!B:AW,47,0)),0)</f>
        <v>0</v>
      </c>
      <c r="O93" s="197">
        <f t="shared" si="4"/>
        <v>1</v>
      </c>
      <c r="P93" s="1">
        <f t="shared" si="5"/>
        <v>0</v>
      </c>
      <c r="Q93" s="221"/>
      <c r="AC93">
        <v>2</v>
      </c>
      <c r="AD93">
        <v>2</v>
      </c>
      <c r="AE93">
        <v>2</v>
      </c>
      <c r="AH93" t="s">
        <v>377</v>
      </c>
      <c r="AI93" t="str">
        <f t="shared" si="3"/>
        <v>CEN041*</v>
      </c>
    </row>
    <row r="94" spans="1:35" ht="25" x14ac:dyDescent="0.3">
      <c r="A94"/>
      <c r="B94" s="16">
        <v>136</v>
      </c>
      <c r="C94" s="16" t="s">
        <v>356</v>
      </c>
      <c r="D94" s="16" t="s">
        <v>1587</v>
      </c>
      <c r="E94" s="16" t="s">
        <v>356</v>
      </c>
      <c r="F94" s="200" t="s">
        <v>177</v>
      </c>
      <c r="G94" s="189" t="str">
        <f>IFERROR(VLOOKUP(C94,#REF!,4,FALSE),"")</f>
        <v/>
      </c>
      <c r="H94" s="248">
        <f>VLOOKUP(C94,Dados!B:AW,11,0)</f>
        <v>1.53</v>
      </c>
      <c r="I94" s="16" t="str">
        <f>(VLOOKUP(C94,Dados!B:AW,48,0))</f>
        <v>Fase de Degradação</v>
      </c>
      <c r="J94" s="189" t="s">
        <v>735</v>
      </c>
      <c r="K94" s="177">
        <f>IFERROR((VLOOKUP(C94,Dados!B:AW,44,0)),0)</f>
        <v>0</v>
      </c>
      <c r="L94" s="177">
        <f>IFERROR((VLOOKUP(C94,Dados!B:AW,45,0)),0)</f>
        <v>0</v>
      </c>
      <c r="M94" s="177">
        <f>IFERROR((VLOOKUP(C94,Dados!B:AW,43,0)),0)</f>
        <v>0</v>
      </c>
      <c r="N94" s="179">
        <f>IFERROR((VLOOKUP(C94,Dados!B:AW,47,0)),0)</f>
        <v>0</v>
      </c>
      <c r="O94" s="197">
        <f t="shared" si="4"/>
        <v>1</v>
      </c>
      <c r="P94" s="1">
        <f t="shared" si="5"/>
        <v>0</v>
      </c>
      <c r="Q94" s="221"/>
      <c r="AC94">
        <v>2</v>
      </c>
      <c r="AD94">
        <v>2</v>
      </c>
      <c r="AE94">
        <v>2</v>
      </c>
      <c r="AH94" t="s">
        <v>45</v>
      </c>
      <c r="AI94" t="str">
        <f t="shared" si="3"/>
        <v>TOR014*</v>
      </c>
    </row>
    <row r="95" spans="1:35" ht="25" x14ac:dyDescent="0.3">
      <c r="A95"/>
      <c r="B95" s="16">
        <v>572</v>
      </c>
      <c r="C95" s="16" t="s">
        <v>627</v>
      </c>
      <c r="D95" s="16" t="s">
        <v>1587</v>
      </c>
      <c r="E95" s="16" t="s">
        <v>356</v>
      </c>
      <c r="F95" s="200" t="s">
        <v>628</v>
      </c>
      <c r="G95" s="189" t="str">
        <f>IFERROR(VLOOKUP(C95,#REF!,4,FALSE),"")</f>
        <v/>
      </c>
      <c r="H95" s="249">
        <f>VLOOKUP(C95,Dados!B:AW,11,0)</f>
        <v>1.29</v>
      </c>
      <c r="I95" s="16" t="str">
        <f>(VLOOKUP(C95,Dados!B:AW,48,0))</f>
        <v>Fase de Degradação</v>
      </c>
      <c r="J95" s="189" t="s">
        <v>732</v>
      </c>
      <c r="K95" s="177">
        <f>IFERROR((VLOOKUP(C95,Dados!B:AW,44,0)),0)</f>
        <v>0</v>
      </c>
      <c r="L95" s="177">
        <f>IFERROR((VLOOKUP(C95,Dados!B:AW,45,0)),0)</f>
        <v>0</v>
      </c>
      <c r="M95" s="177">
        <f>IFERROR((VLOOKUP(C95,Dados!B:AW,43,0)),0)</f>
        <v>0</v>
      </c>
      <c r="N95" s="179">
        <f>IFERROR((VLOOKUP(C95,Dados!B:AW,47,0)),0)</f>
        <v>0</v>
      </c>
      <c r="O95" s="197">
        <f t="shared" si="4"/>
        <v>1</v>
      </c>
      <c r="P95" s="1">
        <f t="shared" si="5"/>
        <v>0</v>
      </c>
      <c r="Q95" s="221"/>
      <c r="AC95">
        <v>2</v>
      </c>
      <c r="AD95">
        <v>2</v>
      </c>
      <c r="AE95">
        <v>2</v>
      </c>
      <c r="AH95" t="s">
        <v>1088</v>
      </c>
      <c r="AI95" t="str">
        <f t="shared" si="3"/>
        <v>MAC002*</v>
      </c>
    </row>
    <row r="96" spans="1:35" ht="25" x14ac:dyDescent="0.3">
      <c r="A96"/>
      <c r="B96" s="16">
        <v>137</v>
      </c>
      <c r="C96" s="16" t="s">
        <v>330</v>
      </c>
      <c r="D96" s="16" t="s">
        <v>1587</v>
      </c>
      <c r="E96" s="16" t="s">
        <v>330</v>
      </c>
      <c r="F96" s="200" t="s">
        <v>151</v>
      </c>
      <c r="G96" s="189" t="str">
        <f>IFERROR(VLOOKUP(C96,#REF!,4,FALSE),"")</f>
        <v/>
      </c>
      <c r="H96" s="250">
        <f>VLOOKUP(C96,Dados!B:AW,11,0)</f>
        <v>1.56</v>
      </c>
      <c r="I96" s="16" t="str">
        <f>(VLOOKUP(C96,Dados!B:AW,48,0))</f>
        <v>Fase de Degradação</v>
      </c>
      <c r="J96" s="189" t="s">
        <v>735</v>
      </c>
      <c r="K96" s="177">
        <f>IFERROR((VLOOKUP(C96,Dados!B:AW,44,0)),0)</f>
        <v>0</v>
      </c>
      <c r="L96" s="177">
        <f>IFERROR((VLOOKUP(C96,Dados!B:AW,45,0)),0)</f>
        <v>0</v>
      </c>
      <c r="M96" s="177">
        <f>IFERROR((VLOOKUP(C96,Dados!B:AW,43,0)),0)</f>
        <v>0</v>
      </c>
      <c r="N96" s="179">
        <f>IFERROR((VLOOKUP(C96,Dados!B:AW,47,0)),0)</f>
        <v>0</v>
      </c>
      <c r="O96" s="197">
        <f t="shared" si="4"/>
        <v>1</v>
      </c>
      <c r="P96" s="1">
        <f t="shared" si="5"/>
        <v>0</v>
      </c>
      <c r="Q96" s="221"/>
      <c r="AC96">
        <v>2</v>
      </c>
      <c r="AD96">
        <v>2</v>
      </c>
      <c r="AE96">
        <v>1</v>
      </c>
      <c r="AH96" t="s">
        <v>464</v>
      </c>
      <c r="AI96" t="str">
        <f t="shared" si="3"/>
        <v>ROB027*</v>
      </c>
    </row>
    <row r="97" spans="1:35" ht="26.25" customHeight="1" x14ac:dyDescent="0.3">
      <c r="A97" s="219"/>
      <c r="B97" s="16">
        <v>138</v>
      </c>
      <c r="C97" s="16" t="s">
        <v>368</v>
      </c>
      <c r="D97" s="16" t="s">
        <v>1587</v>
      </c>
      <c r="E97" s="16" t="s">
        <v>368</v>
      </c>
      <c r="F97" s="200" t="s">
        <v>189</v>
      </c>
      <c r="G97" s="189" t="str">
        <f>IFERROR(VLOOKUP(C97,#REF!,4,FALSE),"")</f>
        <v/>
      </c>
      <c r="H97" s="248">
        <f>VLOOKUP(C97,Dados!B:AW,11,0)</f>
        <v>1.64</v>
      </c>
      <c r="I97" s="16" t="str">
        <f>(VLOOKUP(C97,Dados!B:AW,48,0))</f>
        <v>Fase de Degradação</v>
      </c>
      <c r="J97" s="189" t="s">
        <v>735</v>
      </c>
      <c r="K97" s="177">
        <f>IFERROR((VLOOKUP(C97,Dados!B:AW,44,0)),0)</f>
        <v>0</v>
      </c>
      <c r="L97" s="177">
        <f>IFERROR((VLOOKUP(C97,Dados!B:AW,45,0)),0)</f>
        <v>0</v>
      </c>
      <c r="M97" s="177">
        <f>IFERROR((VLOOKUP(C97,Dados!B:AW,43,0)),0)</f>
        <v>0</v>
      </c>
      <c r="N97" s="179">
        <f>IFERROR((VLOOKUP(C97,Dados!B:AW,47,0)),0)</f>
        <v>0</v>
      </c>
      <c r="O97" s="197">
        <f t="shared" si="4"/>
        <v>1</v>
      </c>
      <c r="P97" s="1">
        <f t="shared" si="5"/>
        <v>0</v>
      </c>
      <c r="Q97" s="221"/>
      <c r="AC97">
        <v>2</v>
      </c>
      <c r="AD97">
        <v>2</v>
      </c>
      <c r="AE97">
        <v>1</v>
      </c>
      <c r="AH97" t="s">
        <v>671</v>
      </c>
      <c r="AI97" t="str">
        <f t="shared" si="3"/>
        <v>ROB047*</v>
      </c>
    </row>
    <row r="98" spans="1:35" ht="25" x14ac:dyDescent="0.3">
      <c r="A98"/>
      <c r="B98" s="16">
        <v>139</v>
      </c>
      <c r="C98" s="16" t="s">
        <v>369</v>
      </c>
      <c r="D98" s="16" t="s">
        <v>1587</v>
      </c>
      <c r="E98" s="16" t="s">
        <v>369</v>
      </c>
      <c r="F98" s="200" t="s">
        <v>190</v>
      </c>
      <c r="G98" s="189" t="str">
        <f>IFERROR(VLOOKUP(C98,#REF!,4,FALSE),"")</f>
        <v/>
      </c>
      <c r="H98" s="248">
        <f>VLOOKUP(C98,Dados!B:AW,11,0)</f>
        <v>1.66</v>
      </c>
      <c r="I98" s="16" t="str">
        <f>(VLOOKUP(C98,Dados!B:AW,48,0))</f>
        <v>Fase de Degradação</v>
      </c>
      <c r="J98" s="189" t="s">
        <v>735</v>
      </c>
      <c r="K98" s="177">
        <f>IFERROR((VLOOKUP(C98,Dados!B:AW,44,0)),0)</f>
        <v>0</v>
      </c>
      <c r="L98" s="177">
        <f>IFERROR((VLOOKUP(C98,Dados!B:AW,45,0)),0)</f>
        <v>0</v>
      </c>
      <c r="M98" s="177">
        <f>IFERROR((VLOOKUP(C98,Dados!B:AW,43,0)),0)</f>
        <v>0</v>
      </c>
      <c r="N98" s="179">
        <f>IFERROR((VLOOKUP(C98,Dados!B:AW,47,0)),0)</f>
        <v>0</v>
      </c>
      <c r="O98" s="197">
        <f t="shared" si="4"/>
        <v>1</v>
      </c>
      <c r="P98" s="1">
        <f t="shared" si="5"/>
        <v>0</v>
      </c>
      <c r="Q98" s="221"/>
      <c r="AC98">
        <v>-1</v>
      </c>
      <c r="AD98">
        <v>-1</v>
      </c>
      <c r="AE98">
        <v>-1</v>
      </c>
      <c r="AH98" t="s">
        <v>843</v>
      </c>
      <c r="AI98" t="str">
        <f t="shared" si="3"/>
        <v>ROB074*</v>
      </c>
    </row>
    <row r="99" spans="1:35" ht="26.25" customHeight="1" x14ac:dyDescent="0.3">
      <c r="A99"/>
      <c r="B99" s="16">
        <v>140</v>
      </c>
      <c r="C99" s="16" t="s">
        <v>371</v>
      </c>
      <c r="D99" s="16" t="s">
        <v>1587</v>
      </c>
      <c r="E99" s="16" t="s">
        <v>371</v>
      </c>
      <c r="F99" s="200" t="s">
        <v>192</v>
      </c>
      <c r="G99" s="189" t="str">
        <f>IFERROR(VLOOKUP(C99,#REF!,4,FALSE),"")</f>
        <v/>
      </c>
      <c r="H99" s="248">
        <f>VLOOKUP(C99,Dados!B:AW,11,0)</f>
        <v>1.71</v>
      </c>
      <c r="I99" s="16" t="str">
        <f>(VLOOKUP(C99,Dados!B:AW,48,0))</f>
        <v>Fase de Degradação</v>
      </c>
      <c r="J99" s="189" t="s">
        <v>735</v>
      </c>
      <c r="K99" s="177">
        <f>IFERROR((VLOOKUP(C99,Dados!B:AW,44,0)),0)</f>
        <v>0</v>
      </c>
      <c r="L99" s="177">
        <f>IFERROR((VLOOKUP(C99,Dados!B:AW,45,0)),0)</f>
        <v>0</v>
      </c>
      <c r="M99" s="177">
        <f>IFERROR((VLOOKUP(C99,Dados!B:AW,43,0)),0)</f>
        <v>0</v>
      </c>
      <c r="N99" s="179">
        <f>IFERROR((VLOOKUP(C99,Dados!B:AW,47,0)),0)</f>
        <v>0</v>
      </c>
      <c r="O99" s="197">
        <f t="shared" si="4"/>
        <v>1</v>
      </c>
      <c r="P99" s="1">
        <f t="shared" si="5"/>
        <v>0</v>
      </c>
      <c r="Q99" s="221"/>
      <c r="AC99">
        <v>-1</v>
      </c>
      <c r="AD99">
        <v>-1</v>
      </c>
      <c r="AE99">
        <v>-1</v>
      </c>
      <c r="AH99" t="s">
        <v>888</v>
      </c>
      <c r="AI99" t="str">
        <f t="shared" si="3"/>
        <v>BRU057*</v>
      </c>
    </row>
    <row r="100" spans="1:35" ht="26.25" customHeight="1" x14ac:dyDescent="0.3">
      <c r="A100"/>
      <c r="B100" s="16">
        <v>141</v>
      </c>
      <c r="C100" s="16" t="s">
        <v>348</v>
      </c>
      <c r="D100" s="16" t="s">
        <v>1587</v>
      </c>
      <c r="E100" s="16" t="s">
        <v>348</v>
      </c>
      <c r="F100" s="200" t="s">
        <v>169</v>
      </c>
      <c r="G100" s="189" t="str">
        <f>IFERROR(VLOOKUP(C100,#REF!,4,FALSE),"")</f>
        <v/>
      </c>
      <c r="H100" s="248">
        <f>VLOOKUP(C100,Dados!B:AW,11,0)</f>
        <v>1.57</v>
      </c>
      <c r="I100" s="16" t="str">
        <f>(VLOOKUP(C100,Dados!B:AW,48,0))</f>
        <v>Fase de Degradação</v>
      </c>
      <c r="J100" s="189" t="s">
        <v>735</v>
      </c>
      <c r="K100" s="177">
        <f>IFERROR((VLOOKUP(C100,Dados!B:AW,44,0)),0)</f>
        <v>0</v>
      </c>
      <c r="L100" s="177">
        <f>IFERROR((VLOOKUP(C100,Dados!B:AW,45,0)),0)</f>
        <v>0</v>
      </c>
      <c r="M100" s="177">
        <f>IFERROR((VLOOKUP(C100,Dados!B:AW,43,0)),0)</f>
        <v>0</v>
      </c>
      <c r="N100" s="179">
        <f>IFERROR((VLOOKUP(C100,Dados!B:AW,47,0)),0)</f>
        <v>0</v>
      </c>
      <c r="O100" s="197">
        <f t="shared" si="4"/>
        <v>1</v>
      </c>
      <c r="P100" s="1">
        <f t="shared" si="5"/>
        <v>0</v>
      </c>
      <c r="Q100" s="221"/>
      <c r="AC100">
        <v>-1</v>
      </c>
      <c r="AD100">
        <v>-1</v>
      </c>
      <c r="AE100">
        <v>-1</v>
      </c>
      <c r="AH100" t="s">
        <v>544</v>
      </c>
      <c r="AI100" t="str">
        <f t="shared" si="3"/>
        <v>BRU041*</v>
      </c>
    </row>
    <row r="101" spans="1:35" ht="26.25" customHeight="1" x14ac:dyDescent="0.3">
      <c r="A101" s="219"/>
      <c r="B101" s="16">
        <v>142</v>
      </c>
      <c r="C101" s="16" t="s">
        <v>376</v>
      </c>
      <c r="D101" s="16" t="s">
        <v>1587</v>
      </c>
      <c r="E101" s="16" t="s">
        <v>376</v>
      </c>
      <c r="F101" s="200" t="s">
        <v>197</v>
      </c>
      <c r="G101" s="189" t="str">
        <f>IFERROR(VLOOKUP(C101,#REF!,4,FALSE),"")</f>
        <v/>
      </c>
      <c r="H101" s="250">
        <f>VLOOKUP(C101,Dados!B:AW,11,0)</f>
        <v>1.6</v>
      </c>
      <c r="I101" s="16" t="str">
        <f>(VLOOKUP(C101,Dados!B:AW,48,0))</f>
        <v>Fase de Degradação</v>
      </c>
      <c r="J101" s="189" t="s">
        <v>735</v>
      </c>
      <c r="K101" s="177">
        <f>IFERROR((VLOOKUP(C101,Dados!B:AW,44,0)),0)</f>
        <v>0</v>
      </c>
      <c r="L101" s="177">
        <f>IFERROR((VLOOKUP(C101,Dados!B:AW,45,0)),0)</f>
        <v>0</v>
      </c>
      <c r="M101" s="177">
        <f>IFERROR((VLOOKUP(C101,Dados!B:AW,43,0)),0)</f>
        <v>0</v>
      </c>
      <c r="N101" s="179">
        <f>IFERROR((VLOOKUP(C101,Dados!B:AW,47,0)),0)</f>
        <v>0</v>
      </c>
      <c r="O101" s="197">
        <f t="shared" si="4"/>
        <v>1</v>
      </c>
      <c r="P101" s="1">
        <f t="shared" si="5"/>
        <v>0</v>
      </c>
      <c r="Q101" s="221"/>
      <c r="AC101">
        <v>-1</v>
      </c>
      <c r="AD101">
        <v>-1</v>
      </c>
      <c r="AE101">
        <v>-1</v>
      </c>
      <c r="AH101" t="s">
        <v>330</v>
      </c>
      <c r="AI101" t="str">
        <f t="shared" si="3"/>
        <v>CEN027*</v>
      </c>
    </row>
    <row r="102" spans="1:35" ht="25" x14ac:dyDescent="0.3">
      <c r="A102"/>
      <c r="B102" s="16">
        <v>143</v>
      </c>
      <c r="C102" s="16" t="s">
        <v>355</v>
      </c>
      <c r="D102" s="16" t="s">
        <v>1587</v>
      </c>
      <c r="E102" s="16" t="s">
        <v>355</v>
      </c>
      <c r="F102" s="200" t="s">
        <v>176</v>
      </c>
      <c r="G102" s="189" t="str">
        <f>IFERROR(VLOOKUP(C102,#REF!,4,FALSE),"")</f>
        <v/>
      </c>
      <c r="H102" s="248">
        <f>VLOOKUP(C102,Dados!B:AW,11,0)</f>
        <v>1.32</v>
      </c>
      <c r="I102" s="16" t="str">
        <f>(VLOOKUP(C102,Dados!B:AW,48,0))</f>
        <v>Fase de Degradação</v>
      </c>
      <c r="J102" s="189" t="s">
        <v>735</v>
      </c>
      <c r="K102" s="177">
        <f>IFERROR((VLOOKUP(C102,Dados!B:AW,44,0)),0)</f>
        <v>0</v>
      </c>
      <c r="L102" s="177">
        <f>IFERROR((VLOOKUP(C102,Dados!B:AW,45,0)),0)</f>
        <v>0</v>
      </c>
      <c r="M102" s="177">
        <f>IFERROR((VLOOKUP(C102,Dados!B:AW,43,0)),0)</f>
        <v>0</v>
      </c>
      <c r="N102" s="179">
        <f>IFERROR((VLOOKUP(C102,Dados!B:AW,47,0)),0)</f>
        <v>0</v>
      </c>
      <c r="O102" s="197">
        <f t="shared" si="4"/>
        <v>1</v>
      </c>
      <c r="P102" s="1">
        <f t="shared" si="5"/>
        <v>0</v>
      </c>
      <c r="Q102" s="221"/>
      <c r="AC102">
        <v>-1</v>
      </c>
      <c r="AD102">
        <v>-1</v>
      </c>
      <c r="AE102">
        <v>-1</v>
      </c>
      <c r="AH102" t="s">
        <v>348</v>
      </c>
      <c r="AI102" t="str">
        <f t="shared" si="3"/>
        <v>CEN031*</v>
      </c>
    </row>
    <row r="103" spans="1:35" ht="26.25" customHeight="1" x14ac:dyDescent="0.3">
      <c r="A103"/>
      <c r="B103" s="16">
        <v>144</v>
      </c>
      <c r="C103" s="16" t="s">
        <v>364</v>
      </c>
      <c r="D103" s="16" t="s">
        <v>1587</v>
      </c>
      <c r="E103" s="16" t="s">
        <v>364</v>
      </c>
      <c r="F103" s="200" t="s">
        <v>185</v>
      </c>
      <c r="G103" s="189" t="str">
        <f>IFERROR(VLOOKUP(C103,#REF!,4,FALSE),"")</f>
        <v/>
      </c>
      <c r="H103" s="248">
        <f>VLOOKUP(C103,Dados!B:AW,11,0)</f>
        <v>1.43</v>
      </c>
      <c r="I103" s="16" t="str">
        <f>(VLOOKUP(C103,Dados!B:AW,48,0))</f>
        <v>Fase de Degradação</v>
      </c>
      <c r="J103" s="189" t="s">
        <v>735</v>
      </c>
      <c r="K103" s="177">
        <f>IFERROR((VLOOKUP(C103,Dados!B:AW,44,0)),0)</f>
        <v>0</v>
      </c>
      <c r="L103" s="177">
        <f>IFERROR((VLOOKUP(C103,Dados!B:AW,45,0)),0)</f>
        <v>0</v>
      </c>
      <c r="M103" s="177">
        <f>IFERROR((VLOOKUP(C103,Dados!B:AW,43,0)),0)</f>
        <v>0</v>
      </c>
      <c r="N103" s="179">
        <f>IFERROR((VLOOKUP(C103,Dados!B:AW,47,0)),0)</f>
        <v>0</v>
      </c>
      <c r="O103" s="197">
        <f t="shared" si="4"/>
        <v>1</v>
      </c>
      <c r="P103" s="1">
        <f t="shared" si="5"/>
        <v>0</v>
      </c>
      <c r="Q103" s="221"/>
      <c r="AC103">
        <v>-1</v>
      </c>
      <c r="AD103">
        <v>-1</v>
      </c>
      <c r="AE103">
        <v>-1</v>
      </c>
      <c r="AH103" t="s">
        <v>1096</v>
      </c>
      <c r="AI103" t="str">
        <f t="shared" si="3"/>
        <v>MAC010*</v>
      </c>
    </row>
    <row r="104" spans="1:35" ht="26.25" customHeight="1" x14ac:dyDescent="0.3">
      <c r="A104"/>
      <c r="B104" s="16">
        <v>145</v>
      </c>
      <c r="C104" s="16" t="s">
        <v>375</v>
      </c>
      <c r="D104" s="16" t="s">
        <v>1587</v>
      </c>
      <c r="E104" s="16" t="s">
        <v>375</v>
      </c>
      <c r="F104" s="200" t="s">
        <v>196</v>
      </c>
      <c r="G104" s="189" t="str">
        <f>IFERROR(VLOOKUP(C104,#REF!,4,FALSE),"")</f>
        <v/>
      </c>
      <c r="H104" s="248">
        <f>VLOOKUP(C104,Dados!B:AW,11,0)</f>
        <v>1.27</v>
      </c>
      <c r="I104" s="16" t="str">
        <f>(VLOOKUP(C104,Dados!B:AW,48,0))</f>
        <v>Fase de Degradação</v>
      </c>
      <c r="J104" s="189" t="s">
        <v>735</v>
      </c>
      <c r="K104" s="177">
        <f>IFERROR((VLOOKUP(C104,Dados!B:AW,44,0)),0)</f>
        <v>0</v>
      </c>
      <c r="L104" s="177">
        <f>IFERROR((VLOOKUP(C104,Dados!B:AW,45,0)),0)</f>
        <v>0</v>
      </c>
      <c r="M104" s="177">
        <f>IFERROR((VLOOKUP(C104,Dados!B:AW,43,0)),0)</f>
        <v>0</v>
      </c>
      <c r="N104" s="179">
        <f>IFERROR((VLOOKUP(C104,Dados!B:AW,47,0)),0)</f>
        <v>0</v>
      </c>
      <c r="O104" s="197">
        <f t="shared" si="4"/>
        <v>1</v>
      </c>
      <c r="P104" s="1">
        <f t="shared" si="5"/>
        <v>0</v>
      </c>
      <c r="Q104" s="221"/>
      <c r="AC104">
        <v>-1</v>
      </c>
      <c r="AD104">
        <v>-1</v>
      </c>
      <c r="AE104">
        <v>-1</v>
      </c>
      <c r="AH104" t="s">
        <v>603</v>
      </c>
      <c r="AI104" t="str">
        <f t="shared" si="3"/>
        <v>CEN061*</v>
      </c>
    </row>
    <row r="105" spans="1:35" ht="26.25" customHeight="1" x14ac:dyDescent="0.3">
      <c r="A105"/>
      <c r="B105" s="16">
        <v>146</v>
      </c>
      <c r="C105" s="16" t="s">
        <v>360</v>
      </c>
      <c r="D105" s="16" t="s">
        <v>1587</v>
      </c>
      <c r="E105" s="16" t="s">
        <v>360</v>
      </c>
      <c r="F105" s="200" t="s">
        <v>181</v>
      </c>
      <c r="G105" s="189" t="str">
        <f>IFERROR(VLOOKUP(C105,#REF!,4,FALSE),"")</f>
        <v/>
      </c>
      <c r="H105" s="248">
        <f>VLOOKUP(C105,Dados!B:AW,11,0)</f>
        <v>1.4</v>
      </c>
      <c r="I105" s="16" t="str">
        <f>(VLOOKUP(C105,Dados!B:AW,48,0))</f>
        <v>Fase de Degradação</v>
      </c>
      <c r="J105" s="189" t="s">
        <v>735</v>
      </c>
      <c r="K105" s="177">
        <f>IFERROR((VLOOKUP(C105,Dados!B:AW,44,0)),0)</f>
        <v>0</v>
      </c>
      <c r="L105" s="177">
        <f>IFERROR((VLOOKUP(C105,Dados!B:AW,45,0)),0)</f>
        <v>0</v>
      </c>
      <c r="M105" s="177">
        <f>IFERROR((VLOOKUP(C105,Dados!B:AW,43,0)),0)</f>
        <v>0</v>
      </c>
      <c r="N105" s="179">
        <f>IFERROR((VLOOKUP(C105,Dados!B:AW,47,0)),0)</f>
        <v>0</v>
      </c>
      <c r="O105" s="197">
        <f t="shared" si="4"/>
        <v>1</v>
      </c>
      <c r="P105" s="1">
        <f t="shared" si="5"/>
        <v>0</v>
      </c>
      <c r="Q105" s="221"/>
      <c r="AC105">
        <v>-1</v>
      </c>
      <c r="AD105">
        <v>-1</v>
      </c>
      <c r="AE105">
        <v>-1</v>
      </c>
      <c r="AH105" t="s">
        <v>809</v>
      </c>
      <c r="AI105" t="str">
        <f t="shared" si="3"/>
        <v>MOD014*</v>
      </c>
    </row>
    <row r="106" spans="1:35" ht="26.25" customHeight="1" x14ac:dyDescent="0.3">
      <c r="A106"/>
      <c r="B106" s="16">
        <v>147</v>
      </c>
      <c r="C106" s="16" t="s">
        <v>385</v>
      </c>
      <c r="D106" s="16" t="s">
        <v>1587</v>
      </c>
      <c r="E106" s="16" t="s">
        <v>385</v>
      </c>
      <c r="F106" s="200" t="s">
        <v>206</v>
      </c>
      <c r="G106" s="189" t="str">
        <f>IFERROR(VLOOKUP(C106,#REF!,4,FALSE),"")</f>
        <v/>
      </c>
      <c r="H106" s="248">
        <f>VLOOKUP(C106,Dados!B:AW,11,0)</f>
        <v>1.1399999999999999</v>
      </c>
      <c r="I106" s="16" t="str">
        <f>(VLOOKUP(C106,Dados!B:AW,48,0))</f>
        <v>Fase de Degradação</v>
      </c>
      <c r="J106" s="189" t="s">
        <v>735</v>
      </c>
      <c r="K106" s="177">
        <f>IFERROR((VLOOKUP(C106,Dados!B:AW,44,0)),0)</f>
        <v>0</v>
      </c>
      <c r="L106" s="177">
        <f>IFERROR((VLOOKUP(C106,Dados!B:AW,45,0)),0)</f>
        <v>0</v>
      </c>
      <c r="M106" s="177">
        <f>IFERROR((VLOOKUP(C106,Dados!B:AW,43,0)),0)</f>
        <v>0</v>
      </c>
      <c r="N106" s="179">
        <f>IFERROR((VLOOKUP(C106,Dados!B:AW,47,0)),0)</f>
        <v>0</v>
      </c>
      <c r="O106" s="197">
        <f t="shared" si="4"/>
        <v>1</v>
      </c>
      <c r="P106" s="1">
        <f t="shared" si="5"/>
        <v>0</v>
      </c>
      <c r="Q106" s="221"/>
      <c r="AC106">
        <v>-1</v>
      </c>
      <c r="AD106">
        <v>-1</v>
      </c>
      <c r="AE106">
        <v>-1</v>
      </c>
      <c r="AH106" t="s">
        <v>825</v>
      </c>
      <c r="AI106" t="str">
        <f t="shared" si="3"/>
        <v>REB009*</v>
      </c>
    </row>
    <row r="107" spans="1:35" ht="26.25" customHeight="1" x14ac:dyDescent="0.3">
      <c r="A107"/>
      <c r="B107" s="16">
        <v>148</v>
      </c>
      <c r="C107" s="16" t="s">
        <v>358</v>
      </c>
      <c r="D107" s="16" t="s">
        <v>1587</v>
      </c>
      <c r="E107" s="16" t="s">
        <v>358</v>
      </c>
      <c r="F107" s="200" t="s">
        <v>179</v>
      </c>
      <c r="G107" s="189" t="str">
        <f>IFERROR(VLOOKUP(C107,#REF!,4,FALSE),"")</f>
        <v/>
      </c>
      <c r="H107" s="248">
        <f>VLOOKUP(C107,Dados!B:AW,11,0)</f>
        <v>1.36</v>
      </c>
      <c r="I107" s="16" t="str">
        <f>(VLOOKUP(C107,Dados!B:AW,48,0))</f>
        <v>Fase de Degradação</v>
      </c>
      <c r="J107" s="189" t="s">
        <v>735</v>
      </c>
      <c r="K107" s="177">
        <f>IFERROR((VLOOKUP(C107,Dados!B:AW,44,0)),0)</f>
        <v>0</v>
      </c>
      <c r="L107" s="177">
        <f>IFERROR((VLOOKUP(C107,Dados!B:AW,45,0)),0)</f>
        <v>0</v>
      </c>
      <c r="M107" s="177">
        <f>IFERROR((VLOOKUP(C107,Dados!B:AW,43,0)),0)</f>
        <v>0</v>
      </c>
      <c r="N107" s="179">
        <f>IFERROR((VLOOKUP(C107,Dados!B:AW,47,0)),0)</f>
        <v>0</v>
      </c>
      <c r="O107" s="197">
        <f t="shared" si="4"/>
        <v>1</v>
      </c>
      <c r="P107" s="1">
        <f t="shared" si="5"/>
        <v>0</v>
      </c>
      <c r="Q107" s="221"/>
      <c r="AC107">
        <v>-1</v>
      </c>
      <c r="AD107">
        <v>-1</v>
      </c>
      <c r="AE107">
        <v>-1</v>
      </c>
      <c r="AH107" t="s">
        <v>461</v>
      </c>
      <c r="AI107" t="str">
        <f t="shared" si="3"/>
        <v>ROB024*</v>
      </c>
    </row>
    <row r="108" spans="1:35" ht="26.25" customHeight="1" x14ac:dyDescent="0.3">
      <c r="A108"/>
      <c r="B108" s="16">
        <v>149</v>
      </c>
      <c r="C108" s="16" t="s">
        <v>326</v>
      </c>
      <c r="D108" s="16" t="s">
        <v>1587</v>
      </c>
      <c r="E108" s="16" t="s">
        <v>326</v>
      </c>
      <c r="F108" s="200" t="s">
        <v>147</v>
      </c>
      <c r="G108" s="189" t="str">
        <f>IFERROR(VLOOKUP(C108,#REF!,4,FALSE),"")</f>
        <v/>
      </c>
      <c r="H108" s="248">
        <f>VLOOKUP(C108,Dados!B:AW,11,0)</f>
        <v>1.76</v>
      </c>
      <c r="I108" s="16" t="str">
        <f>(VLOOKUP(C108,Dados!B:AW,48,0))</f>
        <v>Fase de Degradação</v>
      </c>
      <c r="J108" s="189" t="s">
        <v>735</v>
      </c>
      <c r="K108" s="177">
        <f>IFERROR((VLOOKUP(C108,Dados!B:AW,44,0)),0)</f>
        <v>0</v>
      </c>
      <c r="L108" s="177">
        <f>IFERROR((VLOOKUP(C108,Dados!B:AW,45,0)),0)</f>
        <v>0</v>
      </c>
      <c r="M108" s="177">
        <f>IFERROR((VLOOKUP(C108,Dados!B:AW,43,0)),0)</f>
        <v>0</v>
      </c>
      <c r="N108" s="179">
        <f>IFERROR((VLOOKUP(C108,Dados!B:AW,47,0)),0)</f>
        <v>0</v>
      </c>
      <c r="O108" s="197">
        <f t="shared" si="4"/>
        <v>1</v>
      </c>
      <c r="P108" s="1">
        <f t="shared" si="5"/>
        <v>0</v>
      </c>
      <c r="Q108" s="221"/>
      <c r="AC108">
        <v>-1</v>
      </c>
      <c r="AD108">
        <v>-1</v>
      </c>
      <c r="AE108">
        <v>-1</v>
      </c>
      <c r="AH108" t="s">
        <v>272</v>
      </c>
      <c r="AI108" t="str">
        <f t="shared" si="3"/>
        <v>CEN077*</v>
      </c>
    </row>
    <row r="109" spans="1:35" ht="26.25" customHeight="1" x14ac:dyDescent="0.3">
      <c r="A109"/>
      <c r="B109" s="16">
        <v>150</v>
      </c>
      <c r="C109" s="16" t="s">
        <v>381</v>
      </c>
      <c r="D109" s="16" t="s">
        <v>1587</v>
      </c>
      <c r="E109" s="16" t="s">
        <v>381</v>
      </c>
      <c r="F109" s="200" t="s">
        <v>202</v>
      </c>
      <c r="G109" s="189" t="str">
        <f>IFERROR(VLOOKUP(C109,#REF!,4,FALSE),"")</f>
        <v/>
      </c>
      <c r="H109" s="248">
        <f>VLOOKUP(C109,Dados!B:AW,11,0)</f>
        <v>1.44</v>
      </c>
      <c r="I109" s="16" t="str">
        <f>(VLOOKUP(C109,Dados!B:AW,48,0))</f>
        <v>Fase de Degradação</v>
      </c>
      <c r="J109" s="189" t="s">
        <v>735</v>
      </c>
      <c r="K109" s="177">
        <f>IFERROR((VLOOKUP(C109,Dados!B:AW,44,0)),0)</f>
        <v>0</v>
      </c>
      <c r="L109" s="177">
        <f>IFERROR((VLOOKUP(C109,Dados!B:AW,45,0)),0)</f>
        <v>0</v>
      </c>
      <c r="M109" s="177">
        <f>IFERROR((VLOOKUP(C109,Dados!B:AW,43,0)),0)</f>
        <v>0</v>
      </c>
      <c r="N109" s="179">
        <f>IFERROR((VLOOKUP(C109,Dados!B:AW,47,0)),0)</f>
        <v>0</v>
      </c>
      <c r="O109" s="197">
        <f t="shared" si="4"/>
        <v>1</v>
      </c>
      <c r="P109" s="1">
        <f t="shared" si="5"/>
        <v>0</v>
      </c>
      <c r="Q109" s="221"/>
      <c r="AC109">
        <v>-1</v>
      </c>
      <c r="AD109">
        <v>-1</v>
      </c>
      <c r="AE109">
        <v>-1</v>
      </c>
      <c r="AH109" t="s">
        <v>359</v>
      </c>
      <c r="AI109" t="str">
        <f t="shared" si="3"/>
        <v>CEN082*</v>
      </c>
    </row>
    <row r="110" spans="1:35" ht="26.25" customHeight="1" x14ac:dyDescent="0.3">
      <c r="A110"/>
      <c r="B110" s="16">
        <v>151</v>
      </c>
      <c r="C110" s="16" t="s">
        <v>377</v>
      </c>
      <c r="D110" s="16" t="s">
        <v>1587</v>
      </c>
      <c r="E110" s="16" t="s">
        <v>377</v>
      </c>
      <c r="F110" s="200" t="s">
        <v>198</v>
      </c>
      <c r="G110" s="189" t="str">
        <f>IFERROR(VLOOKUP(C110,#REF!,4,FALSE),"")</f>
        <v/>
      </c>
      <c r="H110" s="248">
        <f>VLOOKUP(C110,Dados!B:AW,11,0)</f>
        <v>1.68</v>
      </c>
      <c r="I110" s="16" t="str">
        <f>(VLOOKUP(C110,Dados!B:AW,48,0))</f>
        <v>Fase de Degradação</v>
      </c>
      <c r="J110" s="189" t="s">
        <v>735</v>
      </c>
      <c r="K110" s="177">
        <f>IFERROR((VLOOKUP(C110,Dados!B:AW,44,0)),0)</f>
        <v>0</v>
      </c>
      <c r="L110" s="177">
        <f>IFERROR((VLOOKUP(C110,Dados!B:AW,45,0)),0)</f>
        <v>0</v>
      </c>
      <c r="M110" s="177">
        <f>IFERROR((VLOOKUP(C110,Dados!B:AW,43,0)),0)</f>
        <v>0</v>
      </c>
      <c r="N110" s="179">
        <f>IFERROR((VLOOKUP(C110,Dados!B:AW,47,0)),0)</f>
        <v>0</v>
      </c>
      <c r="O110" s="197">
        <f t="shared" si="4"/>
        <v>1</v>
      </c>
      <c r="P110" s="1">
        <f t="shared" si="5"/>
        <v>0</v>
      </c>
      <c r="Q110" s="221"/>
      <c r="AC110">
        <v>-1</v>
      </c>
      <c r="AD110">
        <v>-1</v>
      </c>
      <c r="AE110">
        <v>-1</v>
      </c>
      <c r="AH110" t="s">
        <v>305</v>
      </c>
      <c r="AI110" t="str">
        <f t="shared" si="3"/>
        <v>JAT028*</v>
      </c>
    </row>
    <row r="111" spans="1:35" ht="26.25" customHeight="1" x14ac:dyDescent="0.3">
      <c r="A111"/>
      <c r="B111" s="16">
        <v>152</v>
      </c>
      <c r="C111" s="16" t="s">
        <v>391</v>
      </c>
      <c r="D111" s="16" t="s">
        <v>1587</v>
      </c>
      <c r="E111" s="16" t="s">
        <v>391</v>
      </c>
      <c r="F111" s="200" t="s">
        <v>212</v>
      </c>
      <c r="G111" s="189" t="str">
        <f>IFERROR(VLOOKUP(C111,#REF!,4,FALSE),"")</f>
        <v/>
      </c>
      <c r="H111" s="248">
        <f>VLOOKUP(C111,Dados!B:AW,11,0)</f>
        <v>1.66</v>
      </c>
      <c r="I111" s="16" t="str">
        <f>(VLOOKUP(C111,Dados!B:AW,48,0))</f>
        <v>Fase de Degradação</v>
      </c>
      <c r="J111" s="189" t="s">
        <v>735</v>
      </c>
      <c r="K111" s="177">
        <f>IFERROR((VLOOKUP(C111,Dados!B:AW,44,0)),0)</f>
        <v>0</v>
      </c>
      <c r="L111" s="177">
        <f>IFERROR((VLOOKUP(C111,Dados!B:AW,45,0)),0)</f>
        <v>0</v>
      </c>
      <c r="M111" s="177">
        <f>IFERROR((VLOOKUP(C111,Dados!B:AW,43,0)),0)</f>
        <v>0</v>
      </c>
      <c r="N111" s="179">
        <f>IFERROR((VLOOKUP(C111,Dados!B:AW,47,0)),0)</f>
        <v>0</v>
      </c>
      <c r="O111" s="197">
        <f t="shared" si="4"/>
        <v>1</v>
      </c>
      <c r="P111" s="1">
        <f t="shared" si="5"/>
        <v>0</v>
      </c>
      <c r="Q111" s="221"/>
      <c r="AC111">
        <v>-1</v>
      </c>
      <c r="AD111">
        <v>-1</v>
      </c>
      <c r="AE111">
        <v>-1</v>
      </c>
      <c r="AH111" t="s">
        <v>352</v>
      </c>
      <c r="AI111" t="str">
        <f t="shared" si="3"/>
        <v>JAT029*</v>
      </c>
    </row>
    <row r="112" spans="1:35" ht="26.25" customHeight="1" x14ac:dyDescent="0.3">
      <c r="A112"/>
      <c r="B112" s="16">
        <v>153</v>
      </c>
      <c r="C112" s="16" t="s">
        <v>398</v>
      </c>
      <c r="D112" s="16" t="s">
        <v>1587</v>
      </c>
      <c r="E112" s="16" t="s">
        <v>398</v>
      </c>
      <c r="F112" s="200" t="s">
        <v>219</v>
      </c>
      <c r="G112" s="189" t="str">
        <f>IFERROR(VLOOKUP(C112,#REF!,4,FALSE),"")</f>
        <v/>
      </c>
      <c r="H112" s="248">
        <f>VLOOKUP(C112,Dados!B:AW,11,0)</f>
        <v>2.39</v>
      </c>
      <c r="I112" s="16" t="str">
        <f>(VLOOKUP(C112,Dados!B:AW,48,0))</f>
        <v>Fase de Degradação</v>
      </c>
      <c r="J112" s="189" t="s">
        <v>735</v>
      </c>
      <c r="K112" s="177">
        <f>IFERROR((VLOOKUP(C112,Dados!B:AW,44,0)),0)</f>
        <v>0</v>
      </c>
      <c r="L112" s="177">
        <f>IFERROR((VLOOKUP(C112,Dados!B:AW,45,0)),0)</f>
        <v>0</v>
      </c>
      <c r="M112" s="177">
        <f>IFERROR((VLOOKUP(C112,Dados!B:AW,43,0)),0)</f>
        <v>0</v>
      </c>
      <c r="N112" s="179">
        <f>IFERROR((VLOOKUP(C112,Dados!B:AW,47,0)),0)</f>
        <v>0</v>
      </c>
      <c r="O112" s="197">
        <f t="shared" si="4"/>
        <v>1</v>
      </c>
      <c r="P112" s="1">
        <f t="shared" si="5"/>
        <v>0</v>
      </c>
      <c r="Q112" s="221"/>
      <c r="AC112">
        <v>-1</v>
      </c>
      <c r="AD112">
        <v>-1</v>
      </c>
      <c r="AE112">
        <v>-1</v>
      </c>
      <c r="AH112" t="s">
        <v>526</v>
      </c>
      <c r="AI112" t="str">
        <f t="shared" si="3"/>
        <v>BRU011*</v>
      </c>
    </row>
    <row r="113" spans="1:35" ht="26.25" customHeight="1" x14ac:dyDescent="0.3">
      <c r="A113"/>
      <c r="B113" s="16">
        <v>597</v>
      </c>
      <c r="C113" s="16" t="s">
        <v>1148</v>
      </c>
      <c r="D113" s="16" t="s">
        <v>1587</v>
      </c>
      <c r="E113" s="16" t="s">
        <v>398</v>
      </c>
      <c r="F113" s="200" t="s">
        <v>1149</v>
      </c>
      <c r="G113" s="189" t="str">
        <f>IFERROR(VLOOKUP(C113,#REF!,4,FALSE),"")</f>
        <v/>
      </c>
      <c r="H113" s="249">
        <f>VLOOKUP(C113,Dados!B:AW,11,0)</f>
        <v>0.63</v>
      </c>
      <c r="I113" s="16" t="str">
        <f>(VLOOKUP(C113,Dados!B:AW,48,0))</f>
        <v>Confiabilidade em Crescimento</v>
      </c>
      <c r="J113" s="189" t="s">
        <v>735</v>
      </c>
      <c r="K113" s="177">
        <f>IFERROR((VLOOKUP(C113,Dados!B:AW,44,0)),0)</f>
        <v>0</v>
      </c>
      <c r="L113" s="177">
        <f>IFERROR((VLOOKUP(C113,Dados!B:AW,45,0)),0)</f>
        <v>0</v>
      </c>
      <c r="M113" s="177">
        <f>IFERROR((VLOOKUP(C113,Dados!B:AW,43,0)),0)</f>
        <v>0</v>
      </c>
      <c r="N113" s="179">
        <f>IFERROR((VLOOKUP(C113,Dados!B:AW,47,0)),0)</f>
        <v>0</v>
      </c>
      <c r="O113" s="197">
        <f t="shared" si="4"/>
        <v>2</v>
      </c>
      <c r="P113" s="1">
        <f t="shared" si="5"/>
        <v>0</v>
      </c>
      <c r="Q113" s="221"/>
      <c r="AC113">
        <v>-1</v>
      </c>
      <c r="AD113">
        <v>-1</v>
      </c>
      <c r="AE113">
        <v>-1</v>
      </c>
      <c r="AH113" t="s">
        <v>349</v>
      </c>
      <c r="AI113" t="str">
        <f t="shared" si="3"/>
        <v>CEN053*</v>
      </c>
    </row>
    <row r="114" spans="1:35" ht="26.25" customHeight="1" x14ac:dyDescent="0.3">
      <c r="A114"/>
      <c r="B114" s="16">
        <v>154</v>
      </c>
      <c r="C114" s="16" t="s">
        <v>389</v>
      </c>
      <c r="D114" s="16" t="s">
        <v>1587</v>
      </c>
      <c r="E114" s="16" t="s">
        <v>389</v>
      </c>
      <c r="F114" s="200" t="s">
        <v>210</v>
      </c>
      <c r="G114" s="189" t="str">
        <f>IFERROR(VLOOKUP(C114,#REF!,4,FALSE),"")</f>
        <v/>
      </c>
      <c r="H114" s="248">
        <f>VLOOKUP(C114,Dados!B:AW,11,0)</f>
        <v>1.3</v>
      </c>
      <c r="I114" s="16" t="str">
        <f>(VLOOKUP(C114,Dados!B:AW,48,0))</f>
        <v>Fase de Degradação</v>
      </c>
      <c r="J114" s="189" t="s">
        <v>735</v>
      </c>
      <c r="K114" s="177">
        <f>IFERROR((VLOOKUP(C114,Dados!B:AW,44,0)),0)</f>
        <v>0</v>
      </c>
      <c r="L114" s="177">
        <f>IFERROR((VLOOKUP(C114,Dados!B:AW,45,0)),0)</f>
        <v>0</v>
      </c>
      <c r="M114" s="177">
        <f>IFERROR((VLOOKUP(C114,Dados!B:AW,43,0)),0)</f>
        <v>0</v>
      </c>
      <c r="N114" s="179">
        <f>IFERROR((VLOOKUP(C114,Dados!B:AW,47,0)),0)</f>
        <v>0</v>
      </c>
      <c r="O114" s="197">
        <f t="shared" si="4"/>
        <v>1</v>
      </c>
      <c r="P114" s="1">
        <f t="shared" si="5"/>
        <v>0</v>
      </c>
      <c r="Q114" s="221"/>
      <c r="AC114">
        <v>-1</v>
      </c>
      <c r="AD114">
        <v>-1</v>
      </c>
      <c r="AE114">
        <v>-1</v>
      </c>
      <c r="AH114" t="s">
        <v>276</v>
      </c>
      <c r="AI114" t="str">
        <f t="shared" si="3"/>
        <v>CEN067*</v>
      </c>
    </row>
    <row r="115" spans="1:35" ht="26.25" customHeight="1" x14ac:dyDescent="0.3">
      <c r="A115"/>
      <c r="B115" s="16">
        <v>598</v>
      </c>
      <c r="C115" s="16" t="s">
        <v>1150</v>
      </c>
      <c r="D115" s="16" t="s">
        <v>1587</v>
      </c>
      <c r="E115" s="16" t="s">
        <v>389</v>
      </c>
      <c r="F115" s="200" t="s">
        <v>1151</v>
      </c>
      <c r="G115" s="189" t="str">
        <f>IFERROR(VLOOKUP(C115,#REF!,4,FALSE),"")</f>
        <v/>
      </c>
      <c r="H115" s="249">
        <f>VLOOKUP(C115,Dados!B:AW,11,0)</f>
        <v>0.89</v>
      </c>
      <c r="I115" s="16" t="str">
        <f>(VLOOKUP(C115,Dados!B:AW,48,0))</f>
        <v>Confiabilidade em Crescimento</v>
      </c>
      <c r="J115" s="189" t="s">
        <v>735</v>
      </c>
      <c r="K115" s="177">
        <f>IFERROR((VLOOKUP(C115,Dados!B:AW,44,0)),0)</f>
        <v>0</v>
      </c>
      <c r="L115" s="177">
        <f>IFERROR((VLOOKUP(C115,Dados!B:AW,45,0)),0)</f>
        <v>0</v>
      </c>
      <c r="M115" s="177">
        <f>IFERROR((VLOOKUP(C115,Dados!B:AW,43,0)),0)</f>
        <v>0</v>
      </c>
      <c r="N115" s="179">
        <f>IFERROR((VLOOKUP(C115,Dados!B:AW,47,0)),0)</f>
        <v>0</v>
      </c>
      <c r="O115" s="197">
        <f t="shared" si="4"/>
        <v>2</v>
      </c>
      <c r="P115" s="1">
        <f t="shared" si="5"/>
        <v>0</v>
      </c>
      <c r="Q115" s="221"/>
      <c r="AC115">
        <v>-1</v>
      </c>
      <c r="AD115">
        <v>-1</v>
      </c>
      <c r="AE115">
        <v>-1</v>
      </c>
      <c r="AH115" t="s">
        <v>647</v>
      </c>
      <c r="AI115" t="str">
        <f t="shared" si="3"/>
        <v>FOR039*</v>
      </c>
    </row>
    <row r="116" spans="1:35" ht="26.25" customHeight="1" x14ac:dyDescent="0.3">
      <c r="A116"/>
      <c r="B116" s="16">
        <v>155</v>
      </c>
      <c r="C116" s="16" t="s">
        <v>372</v>
      </c>
      <c r="D116" s="16" t="s">
        <v>1587</v>
      </c>
      <c r="E116" s="16" t="s">
        <v>372</v>
      </c>
      <c r="F116" s="200" t="s">
        <v>193</v>
      </c>
      <c r="G116" s="189" t="str">
        <f>IFERROR(VLOOKUP(C116,#REF!,4,FALSE),"")</f>
        <v/>
      </c>
      <c r="H116" s="248">
        <f>VLOOKUP(C116,Dados!B:AW,11,0)</f>
        <v>1.57</v>
      </c>
      <c r="I116" s="16" t="str">
        <f>(VLOOKUP(C116,Dados!B:AW,48,0))</f>
        <v>Fase de Degradação</v>
      </c>
      <c r="J116" s="189" t="s">
        <v>735</v>
      </c>
      <c r="K116" s="177">
        <f>IFERROR((VLOOKUP(C116,Dados!B:AW,44,0)),0)</f>
        <v>0</v>
      </c>
      <c r="L116" s="177">
        <f>IFERROR((VLOOKUP(C116,Dados!B:AW,45,0)),0)</f>
        <v>0</v>
      </c>
      <c r="M116" s="177">
        <f>IFERROR((VLOOKUP(C116,Dados!B:AW,43,0)),0)</f>
        <v>0</v>
      </c>
      <c r="N116" s="179">
        <f>IFERROR((VLOOKUP(C116,Dados!B:AW,47,0)),0)</f>
        <v>0</v>
      </c>
      <c r="O116" s="197">
        <f t="shared" si="4"/>
        <v>1</v>
      </c>
      <c r="P116" s="1">
        <f t="shared" si="5"/>
        <v>0</v>
      </c>
      <c r="Q116" s="221"/>
      <c r="AC116">
        <v>-1</v>
      </c>
      <c r="AD116">
        <v>-1</v>
      </c>
      <c r="AE116">
        <v>-1</v>
      </c>
      <c r="AH116" t="s">
        <v>649</v>
      </c>
      <c r="AI116" t="str">
        <f t="shared" si="3"/>
        <v>FOR071*</v>
      </c>
    </row>
    <row r="117" spans="1:35" ht="26.25" customHeight="1" x14ac:dyDescent="0.3">
      <c r="A117"/>
      <c r="B117" s="16">
        <v>628</v>
      </c>
      <c r="C117" s="16" t="s">
        <v>1874</v>
      </c>
      <c r="D117" s="16" t="s">
        <v>1587</v>
      </c>
      <c r="E117" s="16" t="s">
        <v>372</v>
      </c>
      <c r="F117" s="200" t="s">
        <v>1743</v>
      </c>
      <c r="G117" s="189" t="str">
        <f>IFERROR(VLOOKUP(C117,#REF!,4,FALSE),"")</f>
        <v/>
      </c>
      <c r="H117" s="249">
        <f>VLOOKUP(C117,Dados!B:AW,11,0)</f>
        <v>2.0099999999999998</v>
      </c>
      <c r="I117" s="16" t="str">
        <f>(VLOOKUP(C117,Dados!B:AW,48,0))</f>
        <v>Fase de Degradação</v>
      </c>
      <c r="J117" s="189" t="s">
        <v>735</v>
      </c>
      <c r="K117" s="177">
        <f>IFERROR((VLOOKUP(C117,Dados!B:AW,44,0)),0)</f>
        <v>0</v>
      </c>
      <c r="L117" s="177">
        <f>IFERROR((VLOOKUP(C117,Dados!B:AW,45,0)),0)</f>
        <v>0</v>
      </c>
      <c r="M117" s="177">
        <f>IFERROR((VLOOKUP(C117,Dados!B:AW,43,0)),0)</f>
        <v>0</v>
      </c>
      <c r="N117" s="179">
        <f>IFERROR((VLOOKUP(C117,Dados!B:AW,47,0)),0)</f>
        <v>0</v>
      </c>
      <c r="O117" s="197">
        <f t="shared" si="4"/>
        <v>1</v>
      </c>
      <c r="P117" s="1">
        <f t="shared" si="5"/>
        <v>0</v>
      </c>
      <c r="Q117" s="221"/>
      <c r="AC117">
        <v>-1</v>
      </c>
      <c r="AD117">
        <v>-1</v>
      </c>
      <c r="AE117">
        <v>-1</v>
      </c>
      <c r="AH117" t="s">
        <v>421</v>
      </c>
      <c r="AI117" t="str">
        <f t="shared" si="3"/>
        <v>JAT012*</v>
      </c>
    </row>
    <row r="118" spans="1:35" ht="26.25" customHeight="1" x14ac:dyDescent="0.3">
      <c r="A118"/>
      <c r="B118" s="16">
        <v>156</v>
      </c>
      <c r="C118" s="16" t="s">
        <v>400</v>
      </c>
      <c r="D118" s="16" t="s">
        <v>1587</v>
      </c>
      <c r="E118" s="16" t="s">
        <v>400</v>
      </c>
      <c r="F118" s="200" t="s">
        <v>221</v>
      </c>
      <c r="G118" s="189" t="str">
        <f>IFERROR(VLOOKUP(C118,#REF!,4,FALSE),"")</f>
        <v/>
      </c>
      <c r="H118" s="248">
        <f>VLOOKUP(C118,Dados!B:AW,11,0)</f>
        <v>1.8</v>
      </c>
      <c r="I118" s="16" t="str">
        <f>(VLOOKUP(C118,Dados!B:AW,48,0))</f>
        <v>Fase de Degradação</v>
      </c>
      <c r="J118" s="189" t="s">
        <v>735</v>
      </c>
      <c r="K118" s="177">
        <f>IFERROR((VLOOKUP(C118,Dados!B:AW,44,0)),0)</f>
        <v>0</v>
      </c>
      <c r="L118" s="177">
        <f>IFERROR((VLOOKUP(C118,Dados!B:AW,45,0)),0)</f>
        <v>0</v>
      </c>
      <c r="M118" s="177">
        <f>IFERROR((VLOOKUP(C118,Dados!B:AW,43,0)),0)</f>
        <v>0</v>
      </c>
      <c r="N118" s="179">
        <f>IFERROR((VLOOKUP(C118,Dados!B:AW,47,0)),0)</f>
        <v>0</v>
      </c>
      <c r="O118" s="197">
        <f t="shared" si="4"/>
        <v>1</v>
      </c>
      <c r="P118" s="1">
        <f t="shared" si="5"/>
        <v>0</v>
      </c>
      <c r="Q118" s="221"/>
      <c r="AC118">
        <v>-1</v>
      </c>
      <c r="AD118">
        <v>2</v>
      </c>
      <c r="AE118">
        <v>2</v>
      </c>
      <c r="AH118" t="s">
        <v>1086</v>
      </c>
      <c r="AI118" t="str">
        <f t="shared" si="3"/>
        <v>MAC001*</v>
      </c>
    </row>
    <row r="119" spans="1:35" ht="26.25" customHeight="1" x14ac:dyDescent="0.3">
      <c r="A119"/>
      <c r="B119" s="16">
        <v>629</v>
      </c>
      <c r="C119" s="16" t="s">
        <v>1875</v>
      </c>
      <c r="D119" s="16" t="s">
        <v>1587</v>
      </c>
      <c r="E119" s="16" t="s">
        <v>400</v>
      </c>
      <c r="F119" s="200" t="s">
        <v>1744</v>
      </c>
      <c r="G119" s="189" t="str">
        <f>IFERROR(VLOOKUP(C119,#REF!,4,FALSE),"")</f>
        <v/>
      </c>
      <c r="H119" s="249">
        <f>VLOOKUP(C119,Dados!B:AW,11,0)</f>
        <v>1.01</v>
      </c>
      <c r="I119" s="16" t="str">
        <f>(VLOOKUP(C119,Dados!B:AW,48,0))</f>
        <v>Fase de Vida Útil</v>
      </c>
      <c r="J119" s="189" t="s">
        <v>735</v>
      </c>
      <c r="K119" s="177">
        <f>IFERROR((VLOOKUP(C119,Dados!B:AW,44,0)),0)</f>
        <v>0</v>
      </c>
      <c r="L119" s="177">
        <f>IFERROR((VLOOKUP(C119,Dados!B:AW,45,0)),0)</f>
        <v>0</v>
      </c>
      <c r="M119" s="177">
        <f>IFERROR((VLOOKUP(C119,Dados!B:AW,43,0)),0)</f>
        <v>0</v>
      </c>
      <c r="N119" s="179">
        <f>IFERROR((VLOOKUP(C119,Dados!B:AW,47,0)),0)</f>
        <v>0</v>
      </c>
      <c r="O119" s="197">
        <f t="shared" si="4"/>
        <v>2</v>
      </c>
      <c r="P119" s="1">
        <f t="shared" si="5"/>
        <v>0</v>
      </c>
      <c r="Q119" s="221"/>
      <c r="AC119">
        <v>-1</v>
      </c>
      <c r="AD119">
        <v>-1</v>
      </c>
      <c r="AE119">
        <v>-1</v>
      </c>
      <c r="AH119" t="s">
        <v>40</v>
      </c>
      <c r="AI119" t="str">
        <f t="shared" si="3"/>
        <v>MAN010*</v>
      </c>
    </row>
    <row r="120" spans="1:35" ht="26.25" customHeight="1" x14ac:dyDescent="0.3">
      <c r="A120"/>
      <c r="B120" s="16">
        <v>157</v>
      </c>
      <c r="C120" s="16" t="s">
        <v>397</v>
      </c>
      <c r="D120" s="16" t="s">
        <v>1587</v>
      </c>
      <c r="E120" s="16" t="s">
        <v>397</v>
      </c>
      <c r="F120" s="200" t="s">
        <v>218</v>
      </c>
      <c r="G120" s="189" t="str">
        <f>IFERROR(VLOOKUP(C120,#REF!,4,FALSE),"")</f>
        <v/>
      </c>
      <c r="H120" s="248">
        <f>VLOOKUP(C120,Dados!B:AW,11,0)</f>
        <v>1.44</v>
      </c>
      <c r="I120" s="16" t="str">
        <f>(VLOOKUP(C120,Dados!B:AW,48,0))</f>
        <v>Fase de Degradação</v>
      </c>
      <c r="J120" s="189" t="s">
        <v>735</v>
      </c>
      <c r="K120" s="177">
        <f>IFERROR((VLOOKUP(C120,Dados!B:AW,44,0)),0)</f>
        <v>0</v>
      </c>
      <c r="L120" s="177">
        <f>IFERROR((VLOOKUP(C120,Dados!B:AW,45,0)),0)</f>
        <v>0</v>
      </c>
      <c r="M120" s="177">
        <f>IFERROR((VLOOKUP(C120,Dados!B:AW,43,0)),0)</f>
        <v>0</v>
      </c>
      <c r="N120" s="179">
        <f>IFERROR((VLOOKUP(C120,Dados!B:AW,47,0)),0)</f>
        <v>0</v>
      </c>
      <c r="O120" s="197">
        <f t="shared" si="4"/>
        <v>1</v>
      </c>
      <c r="P120" s="1">
        <f t="shared" si="5"/>
        <v>0</v>
      </c>
      <c r="Q120" s="221"/>
      <c r="AC120">
        <v>-1</v>
      </c>
      <c r="AD120">
        <v>-1</v>
      </c>
      <c r="AE120">
        <v>-1</v>
      </c>
      <c r="AH120" t="s">
        <v>404</v>
      </c>
      <c r="AI120" t="str">
        <f t="shared" si="3"/>
        <v>CEN079*</v>
      </c>
    </row>
    <row r="121" spans="1:35" ht="26.25" customHeight="1" x14ac:dyDescent="0.3">
      <c r="A121"/>
      <c r="B121" s="16">
        <v>158</v>
      </c>
      <c r="C121" s="16" t="s">
        <v>392</v>
      </c>
      <c r="D121" s="16" t="s">
        <v>1587</v>
      </c>
      <c r="E121" s="16" t="s">
        <v>392</v>
      </c>
      <c r="F121" s="200" t="s">
        <v>213</v>
      </c>
      <c r="G121" s="189" t="str">
        <f>IFERROR(VLOOKUP(C121,#REF!,4,FALSE),"")</f>
        <v/>
      </c>
      <c r="H121" s="248">
        <f>VLOOKUP(C121,Dados!B:AW,11,0)</f>
        <v>1.43</v>
      </c>
      <c r="I121" s="16" t="str">
        <f>(VLOOKUP(C121,Dados!B:AW,48,0))</f>
        <v>Fase de Degradação</v>
      </c>
      <c r="J121" s="189" t="s">
        <v>735</v>
      </c>
      <c r="K121" s="177">
        <f>IFERROR((VLOOKUP(C121,Dados!B:AW,44,0)),0)</f>
        <v>0</v>
      </c>
      <c r="L121" s="177">
        <f>IFERROR((VLOOKUP(C121,Dados!B:AW,45,0)),0)</f>
        <v>0</v>
      </c>
      <c r="M121" s="177">
        <f>IFERROR((VLOOKUP(C121,Dados!B:AW,43,0)),0)</f>
        <v>0</v>
      </c>
      <c r="N121" s="179">
        <f>IFERROR((VLOOKUP(C121,Dados!B:AW,47,0)),0)</f>
        <v>0</v>
      </c>
      <c r="O121" s="197">
        <f t="shared" si="4"/>
        <v>1</v>
      </c>
      <c r="P121" s="1">
        <f t="shared" si="5"/>
        <v>0</v>
      </c>
      <c r="Q121" s="221"/>
      <c r="AC121">
        <v>-1</v>
      </c>
      <c r="AD121">
        <v>-1</v>
      </c>
      <c r="AE121">
        <v>-1</v>
      </c>
      <c r="AH121" t="s">
        <v>250</v>
      </c>
      <c r="AI121" t="str">
        <f t="shared" si="3"/>
        <v>CEN081*</v>
      </c>
    </row>
    <row r="122" spans="1:35" ht="26.25" customHeight="1" x14ac:dyDescent="0.3">
      <c r="A122"/>
      <c r="B122" s="16">
        <v>159</v>
      </c>
      <c r="C122" s="16" t="s">
        <v>410</v>
      </c>
      <c r="D122" s="16" t="s">
        <v>1587</v>
      </c>
      <c r="E122" s="16" t="s">
        <v>410</v>
      </c>
      <c r="F122" s="200" t="s">
        <v>231</v>
      </c>
      <c r="G122" s="189" t="str">
        <f>IFERROR(VLOOKUP(C122,#REF!,4,FALSE),"")</f>
        <v/>
      </c>
      <c r="H122" s="248">
        <f>VLOOKUP(C122,Dados!B:AW,11,0)</f>
        <v>1.32</v>
      </c>
      <c r="I122" s="16" t="str">
        <f>(VLOOKUP(C122,Dados!B:AW,48,0))</f>
        <v>Fase de Degradação</v>
      </c>
      <c r="J122" s="189" t="s">
        <v>735</v>
      </c>
      <c r="K122" s="177">
        <f>IFERROR((VLOOKUP(C122,Dados!B:AW,44,0)),0)</f>
        <v>0</v>
      </c>
      <c r="L122" s="177">
        <f>IFERROR((VLOOKUP(C122,Dados!B:AW,45,0)),0)</f>
        <v>0</v>
      </c>
      <c r="M122" s="177">
        <f>IFERROR((VLOOKUP(C122,Dados!B:AW,43,0)),0)</f>
        <v>0</v>
      </c>
      <c r="N122" s="179">
        <f>IFERROR((VLOOKUP(C122,Dados!B:AW,47,0)),0)</f>
        <v>0</v>
      </c>
      <c r="O122" s="197">
        <f t="shared" si="4"/>
        <v>1</v>
      </c>
      <c r="P122" s="1">
        <f t="shared" si="5"/>
        <v>0</v>
      </c>
      <c r="Q122" s="221"/>
      <c r="AC122">
        <v>-1</v>
      </c>
      <c r="AD122">
        <v>-1</v>
      </c>
      <c r="AE122">
        <v>-1</v>
      </c>
      <c r="AH122" t="s">
        <v>347</v>
      </c>
      <c r="AI122" t="str">
        <f t="shared" si="3"/>
        <v>RET004*</v>
      </c>
    </row>
    <row r="123" spans="1:35" ht="26.25" customHeight="1" x14ac:dyDescent="0.3">
      <c r="A123"/>
      <c r="B123" s="16">
        <v>177</v>
      </c>
      <c r="C123" s="16" t="s">
        <v>268</v>
      </c>
      <c r="D123" s="16" t="s">
        <v>1587</v>
      </c>
      <c r="E123" s="16" t="s">
        <v>268</v>
      </c>
      <c r="F123" s="200" t="s">
        <v>269</v>
      </c>
      <c r="G123" s="189" t="str">
        <f>IFERROR(VLOOKUP(C123,#REF!,4,FALSE),"")</f>
        <v/>
      </c>
      <c r="H123" s="249">
        <f>VLOOKUP(C123,Dados!B:AW,11,0)</f>
        <v>1.35</v>
      </c>
      <c r="I123" s="16" t="str">
        <f>(VLOOKUP(C123,Dados!B:AW,48,0))</f>
        <v>Fase de Degradação</v>
      </c>
      <c r="J123" s="189" t="s">
        <v>735</v>
      </c>
      <c r="K123" s="177">
        <f>IFERROR((VLOOKUP(C123,Dados!B:AW,44,0)),0)</f>
        <v>0</v>
      </c>
      <c r="L123" s="177">
        <f>IFERROR((VLOOKUP(C123,Dados!B:AW,45,0)),0)</f>
        <v>0</v>
      </c>
      <c r="M123" s="177">
        <f>IFERROR((VLOOKUP(C123,Dados!B:AW,43,0)),0)</f>
        <v>0</v>
      </c>
      <c r="N123" s="179">
        <f>IFERROR((VLOOKUP(C123,Dados!B:AW,47,0)),0)</f>
        <v>0</v>
      </c>
      <c r="O123" s="197">
        <f t="shared" si="4"/>
        <v>1</v>
      </c>
      <c r="P123" s="1">
        <f t="shared" si="5"/>
        <v>0</v>
      </c>
      <c r="Q123" s="221"/>
      <c r="AC123">
        <v>-1</v>
      </c>
      <c r="AD123">
        <v>-1</v>
      </c>
      <c r="AE123">
        <v>-1</v>
      </c>
      <c r="AH123" t="s">
        <v>133</v>
      </c>
      <c r="AI123" t="str">
        <f t="shared" si="3"/>
        <v>ROB004*</v>
      </c>
    </row>
    <row r="124" spans="1:35" ht="26.25" customHeight="1" x14ac:dyDescent="0.3">
      <c r="A124"/>
      <c r="B124" s="16">
        <v>178</v>
      </c>
      <c r="C124" s="16" t="s">
        <v>408</v>
      </c>
      <c r="D124" s="16" t="s">
        <v>1587</v>
      </c>
      <c r="E124" s="16" t="s">
        <v>408</v>
      </c>
      <c r="F124" s="200" t="s">
        <v>229</v>
      </c>
      <c r="G124" s="189" t="str">
        <f>IFERROR(VLOOKUP(C124,#REF!,4,FALSE),"")</f>
        <v/>
      </c>
      <c r="H124" s="249">
        <f>VLOOKUP(C124,Dados!B:AW,11,0)</f>
        <v>1.38</v>
      </c>
      <c r="I124" s="16" t="str">
        <f>(VLOOKUP(C124,Dados!B:AW,48,0))</f>
        <v>Fase de Degradação</v>
      </c>
      <c r="J124" s="189" t="s">
        <v>735</v>
      </c>
      <c r="K124" s="177">
        <f>IFERROR((VLOOKUP(C124,Dados!B:AW,44,0)),0)</f>
        <v>0</v>
      </c>
      <c r="L124" s="177">
        <f>IFERROR((VLOOKUP(C124,Dados!B:AW,45,0)),0)</f>
        <v>0</v>
      </c>
      <c r="M124" s="177">
        <f>IFERROR((VLOOKUP(C124,Dados!B:AW,43,0)),0)</f>
        <v>0</v>
      </c>
      <c r="N124" s="179">
        <f>IFERROR((VLOOKUP(C124,Dados!B:AW,47,0)),0)</f>
        <v>0</v>
      </c>
      <c r="O124" s="197">
        <f t="shared" si="4"/>
        <v>1</v>
      </c>
      <c r="P124" s="1">
        <f t="shared" si="5"/>
        <v>0</v>
      </c>
      <c r="Q124" s="221"/>
      <c r="AC124">
        <v>2</v>
      </c>
      <c r="AD124">
        <v>2</v>
      </c>
      <c r="AE124">
        <v>1</v>
      </c>
      <c r="AH124" t="s">
        <v>552</v>
      </c>
      <c r="AI124" t="str">
        <f t="shared" si="3"/>
        <v>BRU054*</v>
      </c>
    </row>
    <row r="125" spans="1:35" ht="26.25" customHeight="1" x14ac:dyDescent="0.3">
      <c r="A125"/>
      <c r="B125" s="16">
        <v>179</v>
      </c>
      <c r="C125" s="16" t="s">
        <v>247</v>
      </c>
      <c r="D125" s="16" t="s">
        <v>1587</v>
      </c>
      <c r="E125" s="16" t="s">
        <v>247</v>
      </c>
      <c r="F125" s="200" t="s">
        <v>248</v>
      </c>
      <c r="G125" s="189" t="str">
        <f>IFERROR(VLOOKUP(C125,#REF!,4,FALSE),"")</f>
        <v/>
      </c>
      <c r="H125" s="249">
        <f>VLOOKUP(C125,Dados!B:AW,11,0)</f>
        <v>1.3</v>
      </c>
      <c r="I125" s="16" t="str">
        <f>(VLOOKUP(C125,Dados!B:AW,48,0))</f>
        <v>Fase de Degradação</v>
      </c>
      <c r="J125" s="189" t="s">
        <v>735</v>
      </c>
      <c r="K125" s="177">
        <f>IFERROR((VLOOKUP(C125,Dados!B:AW,44,0)),0)</f>
        <v>0</v>
      </c>
      <c r="L125" s="177">
        <f>IFERROR((VLOOKUP(C125,Dados!B:AW,45,0)),0)</f>
        <v>0</v>
      </c>
      <c r="M125" s="177">
        <f>IFERROR((VLOOKUP(C125,Dados!B:AW,43,0)),0)</f>
        <v>0</v>
      </c>
      <c r="N125" s="179">
        <f>IFERROR((VLOOKUP(C125,Dados!B:AW,47,0)),0)</f>
        <v>0</v>
      </c>
      <c r="O125" s="197">
        <f t="shared" si="4"/>
        <v>1</v>
      </c>
      <c r="P125" s="1">
        <f t="shared" si="5"/>
        <v>0</v>
      </c>
      <c r="Q125" s="221"/>
      <c r="AC125">
        <v>2</v>
      </c>
      <c r="AD125">
        <v>2</v>
      </c>
      <c r="AE125">
        <v>1</v>
      </c>
      <c r="AH125" t="s">
        <v>376</v>
      </c>
      <c r="AI125" t="str">
        <f t="shared" si="3"/>
        <v>CEN032*</v>
      </c>
    </row>
    <row r="126" spans="1:35" ht="26.25" customHeight="1" x14ac:dyDescent="0.3">
      <c r="A126"/>
      <c r="B126" s="16">
        <v>180</v>
      </c>
      <c r="C126" s="16" t="s">
        <v>260</v>
      </c>
      <c r="D126" s="16" t="s">
        <v>1587</v>
      </c>
      <c r="E126" s="16" t="s">
        <v>260</v>
      </c>
      <c r="F126" s="200" t="s">
        <v>261</v>
      </c>
      <c r="G126" s="189" t="str">
        <f>IFERROR(VLOOKUP(C126,#REF!,4,FALSE),"")</f>
        <v/>
      </c>
      <c r="H126" s="249">
        <f>VLOOKUP(C126,Dados!B:AW,11,0)</f>
        <v>1.41</v>
      </c>
      <c r="I126" s="16" t="str">
        <f>(VLOOKUP(C126,Dados!B:AW,48,0))</f>
        <v>Fase de Degradação</v>
      </c>
      <c r="J126" s="189" t="s">
        <v>735</v>
      </c>
      <c r="K126" s="177">
        <f>IFERROR((VLOOKUP(C126,Dados!B:AW,44,0)),0)</f>
        <v>0</v>
      </c>
      <c r="L126" s="177">
        <f>IFERROR((VLOOKUP(C126,Dados!B:AW,45,0)),0)</f>
        <v>0</v>
      </c>
      <c r="M126" s="177">
        <f>IFERROR((VLOOKUP(C126,Dados!B:AW,43,0)),0)</f>
        <v>0</v>
      </c>
      <c r="N126" s="179">
        <f>IFERROR((VLOOKUP(C126,Dados!B:AW,47,0)),0)</f>
        <v>0</v>
      </c>
      <c r="O126" s="197">
        <f t="shared" si="4"/>
        <v>1</v>
      </c>
      <c r="P126" s="1">
        <f t="shared" si="5"/>
        <v>0</v>
      </c>
      <c r="Q126" s="221"/>
      <c r="AC126">
        <v>2</v>
      </c>
      <c r="AD126">
        <v>2</v>
      </c>
      <c r="AE126">
        <v>1</v>
      </c>
      <c r="AH126" t="s">
        <v>322</v>
      </c>
      <c r="AI126" t="str">
        <f t="shared" si="3"/>
        <v>CEN059*</v>
      </c>
    </row>
    <row r="127" spans="1:35" ht="26.25" customHeight="1" x14ac:dyDescent="0.3">
      <c r="A127"/>
      <c r="B127" s="16">
        <v>181</v>
      </c>
      <c r="C127" s="16" t="s">
        <v>405</v>
      </c>
      <c r="D127" s="16" t="s">
        <v>1587</v>
      </c>
      <c r="E127" s="16" t="s">
        <v>405</v>
      </c>
      <c r="F127" s="200" t="s">
        <v>226</v>
      </c>
      <c r="G127" s="189" t="str">
        <f>IFERROR(VLOOKUP(C127,#REF!,4,FALSE),"")</f>
        <v/>
      </c>
      <c r="H127" s="249">
        <f>VLOOKUP(C127,Dados!B:AW,11,0)</f>
        <v>1.38</v>
      </c>
      <c r="I127" s="16" t="str">
        <f>(VLOOKUP(C127,Dados!B:AW,48,0))</f>
        <v>Fase de Degradação</v>
      </c>
      <c r="J127" s="189" t="s">
        <v>735</v>
      </c>
      <c r="K127" s="177">
        <f>IFERROR((VLOOKUP(C127,Dados!B:AW,44,0)),0)</f>
        <v>0</v>
      </c>
      <c r="L127" s="177">
        <f>IFERROR((VLOOKUP(C127,Dados!B:AW,45,0)),0)</f>
        <v>0</v>
      </c>
      <c r="M127" s="177">
        <f>IFERROR((VLOOKUP(C127,Dados!B:AW,43,0)),0)</f>
        <v>0</v>
      </c>
      <c r="N127" s="179">
        <f>IFERROR((VLOOKUP(C127,Dados!B:AW,47,0)),0)</f>
        <v>0</v>
      </c>
      <c r="O127" s="197">
        <f t="shared" si="4"/>
        <v>1</v>
      </c>
      <c r="P127" s="1">
        <f t="shared" si="5"/>
        <v>0</v>
      </c>
      <c r="Q127" s="221"/>
      <c r="AC127">
        <v>2</v>
      </c>
      <c r="AD127">
        <v>2</v>
      </c>
      <c r="AE127">
        <v>1</v>
      </c>
      <c r="AH127" t="s">
        <v>454</v>
      </c>
      <c r="AI127" t="str">
        <f t="shared" si="3"/>
        <v>ROB012*</v>
      </c>
    </row>
    <row r="128" spans="1:35" ht="26.25" customHeight="1" x14ac:dyDescent="0.3">
      <c r="A128"/>
      <c r="B128" s="16">
        <v>624</v>
      </c>
      <c r="C128" s="16" t="s">
        <v>1870</v>
      </c>
      <c r="D128" s="16" t="s">
        <v>1587</v>
      </c>
      <c r="E128" s="16" t="s">
        <v>405</v>
      </c>
      <c r="F128" s="200" t="s">
        <v>1739</v>
      </c>
      <c r="G128" s="189" t="str">
        <f>IFERROR(VLOOKUP(C128,#REF!,4,FALSE),"")</f>
        <v/>
      </c>
      <c r="H128" s="249">
        <f>VLOOKUP(C128,Dados!B:AW,11,0)</f>
        <v>0.98</v>
      </c>
      <c r="I128" s="16" t="str">
        <f>(VLOOKUP(C128,Dados!B:AW,48,0))</f>
        <v>Confiabilidade em Crescimento</v>
      </c>
      <c r="J128" s="189" t="s">
        <v>735</v>
      </c>
      <c r="K128" s="177">
        <f>IFERROR((VLOOKUP(C128,Dados!B:AW,44,0)),0)</f>
        <v>0</v>
      </c>
      <c r="L128" s="177">
        <f>IFERROR((VLOOKUP(C128,Dados!B:AW,45,0)),0)</f>
        <v>0</v>
      </c>
      <c r="M128" s="177">
        <f>IFERROR((VLOOKUP(C128,Dados!B:AW,43,0)),0)</f>
        <v>0</v>
      </c>
      <c r="N128" s="179">
        <f>IFERROR((VLOOKUP(C128,Dados!B:AW,47,0)),0)</f>
        <v>0</v>
      </c>
      <c r="O128" s="197">
        <f t="shared" si="4"/>
        <v>2</v>
      </c>
      <c r="P128" s="1">
        <f t="shared" si="5"/>
        <v>0</v>
      </c>
      <c r="Q128" s="221"/>
      <c r="AC128">
        <v>2</v>
      </c>
      <c r="AD128">
        <v>2</v>
      </c>
      <c r="AE128">
        <v>1</v>
      </c>
      <c r="AH128" t="s">
        <v>356</v>
      </c>
      <c r="AI128" t="str">
        <f t="shared" si="3"/>
        <v>CEN026*</v>
      </c>
    </row>
    <row r="129" spans="1:35" ht="26.25" customHeight="1" x14ac:dyDescent="0.3">
      <c r="A129"/>
      <c r="B129" s="16">
        <v>182</v>
      </c>
      <c r="C129" s="16" t="s">
        <v>252</v>
      </c>
      <c r="D129" s="16" t="s">
        <v>1587</v>
      </c>
      <c r="E129" s="16" t="s">
        <v>252</v>
      </c>
      <c r="F129" s="200" t="s">
        <v>253</v>
      </c>
      <c r="G129" s="189" t="str">
        <f>IFERROR(VLOOKUP(C129,#REF!,4,FALSE),"")</f>
        <v/>
      </c>
      <c r="H129" s="249">
        <f>VLOOKUP(C129,Dados!B:AW,11,0)</f>
        <v>1.81</v>
      </c>
      <c r="I129" s="16" t="str">
        <f>(VLOOKUP(C129,Dados!B:AW,48,0))</f>
        <v>Fase de Degradação</v>
      </c>
      <c r="J129" s="189" t="s">
        <v>735</v>
      </c>
      <c r="K129" s="177">
        <f>IFERROR((VLOOKUP(C129,Dados!B:AW,44,0)),0)</f>
        <v>0</v>
      </c>
      <c r="L129" s="177">
        <f>IFERROR((VLOOKUP(C129,Dados!B:AW,45,0)),0)</f>
        <v>0</v>
      </c>
      <c r="M129" s="177">
        <f>IFERROR((VLOOKUP(C129,Dados!B:AW,43,0)),0)</f>
        <v>0</v>
      </c>
      <c r="N129" s="179">
        <f>IFERROR((VLOOKUP(C129,Dados!B:AW,47,0)),0)</f>
        <v>0</v>
      </c>
      <c r="O129" s="197">
        <f t="shared" si="4"/>
        <v>1</v>
      </c>
      <c r="P129" s="1">
        <f t="shared" si="5"/>
        <v>0</v>
      </c>
      <c r="Q129" s="221"/>
      <c r="AC129">
        <v>2</v>
      </c>
      <c r="AD129">
        <v>2</v>
      </c>
      <c r="AE129">
        <v>1</v>
      </c>
      <c r="AH129" t="s">
        <v>422</v>
      </c>
      <c r="AI129" t="str">
        <f t="shared" si="3"/>
        <v>TOR030*</v>
      </c>
    </row>
    <row r="130" spans="1:35" ht="26.25" customHeight="1" x14ac:dyDescent="0.3">
      <c r="A130"/>
      <c r="B130" s="16">
        <v>627</v>
      </c>
      <c r="C130" s="16" t="s">
        <v>1873</v>
      </c>
      <c r="D130" s="16" t="s">
        <v>1587</v>
      </c>
      <c r="E130" s="16" t="s">
        <v>252</v>
      </c>
      <c r="F130" s="200" t="s">
        <v>1742</v>
      </c>
      <c r="G130" s="189" t="str">
        <f>IFERROR(VLOOKUP(C130,#REF!,4,FALSE),"")</f>
        <v/>
      </c>
      <c r="H130" s="249">
        <f>VLOOKUP(C130,Dados!B:AW,11,0)</f>
        <v>1.03</v>
      </c>
      <c r="I130" s="16" t="str">
        <f>(VLOOKUP(C130,Dados!B:AW,48,0))</f>
        <v>Fase de Vida Útil</v>
      </c>
      <c r="J130" s="189" t="s">
        <v>735</v>
      </c>
      <c r="K130" s="177">
        <f>IFERROR((VLOOKUP(C130,Dados!B:AW,44,0)),0)</f>
        <v>0</v>
      </c>
      <c r="L130" s="177">
        <f>IFERROR((VLOOKUP(C130,Dados!B:AW,45,0)),0)</f>
        <v>0</v>
      </c>
      <c r="M130" s="177">
        <f>IFERROR((VLOOKUP(C130,Dados!B:AW,43,0)),0)</f>
        <v>0</v>
      </c>
      <c r="N130" s="179">
        <f>IFERROR((VLOOKUP(C130,Dados!B:AW,47,0)),0)</f>
        <v>0</v>
      </c>
      <c r="O130" s="197">
        <f t="shared" si="4"/>
        <v>2</v>
      </c>
      <c r="P130" s="1">
        <f t="shared" si="5"/>
        <v>0</v>
      </c>
      <c r="Q130" s="221"/>
      <c r="AC130">
        <v>2</v>
      </c>
      <c r="AD130">
        <v>2</v>
      </c>
      <c r="AE130">
        <v>1</v>
      </c>
      <c r="AH130" t="s">
        <v>384</v>
      </c>
      <c r="AI130" t="str">
        <f t="shared" si="3"/>
        <v>BRU044*</v>
      </c>
    </row>
    <row r="131" spans="1:35" ht="25" x14ac:dyDescent="0.3">
      <c r="A131"/>
      <c r="B131" s="16">
        <v>183</v>
      </c>
      <c r="C131" s="16" t="s">
        <v>411</v>
      </c>
      <c r="D131" s="16" t="s">
        <v>1587</v>
      </c>
      <c r="E131" s="16" t="s">
        <v>411</v>
      </c>
      <c r="F131" s="200" t="s">
        <v>232</v>
      </c>
      <c r="G131" s="189" t="str">
        <f>IFERROR(VLOOKUP(C131,#REF!,4,FALSE),"")</f>
        <v/>
      </c>
      <c r="H131" s="249">
        <f>VLOOKUP(C131,Dados!B:AW,11,0)</f>
        <v>1.68</v>
      </c>
      <c r="I131" s="16" t="str">
        <f>(VLOOKUP(C131,Dados!B:AW,48,0))</f>
        <v>Fase de Degradação</v>
      </c>
      <c r="J131" s="189" t="s">
        <v>735</v>
      </c>
      <c r="K131" s="177">
        <f>IFERROR((VLOOKUP(C131,Dados!B:AW,44,0)),0)</f>
        <v>0</v>
      </c>
      <c r="L131" s="177">
        <f>IFERROR((VLOOKUP(C131,Dados!B:AW,45,0)),0)</f>
        <v>0</v>
      </c>
      <c r="M131" s="177">
        <f>IFERROR((VLOOKUP(C131,Dados!B:AW,43,0)),0)</f>
        <v>0</v>
      </c>
      <c r="N131" s="179">
        <f>IFERROR((VLOOKUP(C131,Dados!B:AW,47,0)),0)</f>
        <v>0</v>
      </c>
      <c r="O131" s="197">
        <f t="shared" si="4"/>
        <v>1</v>
      </c>
      <c r="P131" s="1">
        <f t="shared" si="5"/>
        <v>0</v>
      </c>
      <c r="Q131" s="221"/>
      <c r="AC131">
        <v>2</v>
      </c>
      <c r="AD131">
        <v>2</v>
      </c>
      <c r="AE131">
        <v>2</v>
      </c>
      <c r="AH131" t="s">
        <v>401</v>
      </c>
      <c r="AI131" t="str">
        <f t="shared" si="3"/>
        <v>CEN080*</v>
      </c>
    </row>
    <row r="132" spans="1:35" ht="25" x14ac:dyDescent="0.3">
      <c r="A132"/>
      <c r="B132" s="16">
        <v>625</v>
      </c>
      <c r="C132" s="16" t="s">
        <v>1871</v>
      </c>
      <c r="D132" s="16" t="s">
        <v>1587</v>
      </c>
      <c r="E132" s="16" t="s">
        <v>411</v>
      </c>
      <c r="F132" s="200" t="s">
        <v>1740</v>
      </c>
      <c r="G132" s="189" t="str">
        <f>IFERROR(VLOOKUP(C132,#REF!,4,FALSE),"")</f>
        <v/>
      </c>
      <c r="H132" s="249">
        <f>VLOOKUP(C132,Dados!B:AW,11,0)</f>
        <v>3.91</v>
      </c>
      <c r="I132" s="16" t="str">
        <f>(VLOOKUP(C132,Dados!B:AW,48,0))</f>
        <v>Fase de Degradação</v>
      </c>
      <c r="J132" s="189" t="s">
        <v>735</v>
      </c>
      <c r="K132" s="177">
        <f>IFERROR((VLOOKUP(C132,Dados!B:AW,44,0)),0)</f>
        <v>0</v>
      </c>
      <c r="L132" s="177">
        <f>IFERROR((VLOOKUP(C132,Dados!B:AW,45,0)),0)</f>
        <v>0</v>
      </c>
      <c r="M132" s="177">
        <f>IFERROR((VLOOKUP(C132,Dados!B:AW,43,0)),0)</f>
        <v>0</v>
      </c>
      <c r="N132" s="179">
        <f>IFERROR((VLOOKUP(C132,Dados!B:AW,47,0)),0)</f>
        <v>0</v>
      </c>
      <c r="O132" s="197">
        <f t="shared" si="4"/>
        <v>1</v>
      </c>
      <c r="P132" s="1">
        <f t="shared" si="5"/>
        <v>0</v>
      </c>
      <c r="Q132" s="221"/>
      <c r="AC132">
        <v>2</v>
      </c>
      <c r="AD132">
        <v>2</v>
      </c>
      <c r="AE132">
        <v>1</v>
      </c>
      <c r="AH132" t="s">
        <v>339</v>
      </c>
      <c r="AI132" t="str">
        <f t="shared" si="3"/>
        <v>CEN078*</v>
      </c>
    </row>
    <row r="133" spans="1:35" ht="25" x14ac:dyDescent="0.3">
      <c r="A133"/>
      <c r="B133" s="16">
        <v>184</v>
      </c>
      <c r="C133" s="16" t="s">
        <v>407</v>
      </c>
      <c r="D133" s="16" t="s">
        <v>1587</v>
      </c>
      <c r="E133" s="16" t="s">
        <v>407</v>
      </c>
      <c r="F133" s="200" t="s">
        <v>228</v>
      </c>
      <c r="G133" s="189" t="str">
        <f>IFERROR(VLOOKUP(C133,#REF!,4,FALSE),"")</f>
        <v/>
      </c>
      <c r="H133" s="249">
        <f>VLOOKUP(C133,Dados!B:AW,11,0)</f>
        <v>1.46</v>
      </c>
      <c r="I133" s="16" t="str">
        <f>(VLOOKUP(C133,Dados!B:AW,48,0))</f>
        <v>Fase de Degradação</v>
      </c>
      <c r="J133" s="189" t="s">
        <v>735</v>
      </c>
      <c r="K133" s="177">
        <f>IFERROR((VLOOKUP(C133,Dados!B:AW,44,0)),0)</f>
        <v>0</v>
      </c>
      <c r="L133" s="177">
        <f>IFERROR((VLOOKUP(C133,Dados!B:AW,45,0)),0)</f>
        <v>0</v>
      </c>
      <c r="M133" s="177">
        <f>IFERROR((VLOOKUP(C133,Dados!B:AW,43,0)),0)</f>
        <v>0</v>
      </c>
      <c r="N133" s="179">
        <f>IFERROR((VLOOKUP(C133,Dados!B:AW,47,0)),0)</f>
        <v>0</v>
      </c>
      <c r="O133" s="197">
        <f t="shared" si="4"/>
        <v>1</v>
      </c>
      <c r="P133" s="1">
        <f t="shared" si="5"/>
        <v>0</v>
      </c>
      <c r="Q133" s="221"/>
      <c r="AC133">
        <v>2</v>
      </c>
      <c r="AD133">
        <v>2</v>
      </c>
      <c r="AE133">
        <v>2</v>
      </c>
      <c r="AH133" t="s">
        <v>1142</v>
      </c>
      <c r="AI133" t="str">
        <f t="shared" ref="AI133:AI196" si="6">CONCATENATE(AH133,"*")</f>
        <v>RET041*</v>
      </c>
    </row>
    <row r="134" spans="1:35" ht="25" x14ac:dyDescent="0.3">
      <c r="A134"/>
      <c r="B134" s="16">
        <v>626</v>
      </c>
      <c r="C134" s="16" t="s">
        <v>1872</v>
      </c>
      <c r="D134" s="16" t="s">
        <v>1587</v>
      </c>
      <c r="E134" s="16" t="s">
        <v>407</v>
      </c>
      <c r="F134" s="200" t="s">
        <v>1741</v>
      </c>
      <c r="G134" s="189" t="str">
        <f>IFERROR(VLOOKUP(C134,#REF!,4,FALSE),"")</f>
        <v/>
      </c>
      <c r="H134" s="249">
        <f>VLOOKUP(C134,Dados!B:AW,11,0)</f>
        <v>0.99</v>
      </c>
      <c r="I134" s="16" t="str">
        <f>(VLOOKUP(C134,Dados!B:AW,48,0))</f>
        <v>Confiabilidade em Crescimento</v>
      </c>
      <c r="J134" s="189" t="s">
        <v>735</v>
      </c>
      <c r="K134" s="177">
        <f>IFERROR((VLOOKUP(C134,Dados!B:AW,44,0)),0)</f>
        <v>0</v>
      </c>
      <c r="L134" s="177">
        <f>IFERROR((VLOOKUP(C134,Dados!B:AW,45,0)),0)</f>
        <v>0</v>
      </c>
      <c r="M134" s="177">
        <f>IFERROR((VLOOKUP(C134,Dados!B:AW,43,0)),0)</f>
        <v>0</v>
      </c>
      <c r="N134" s="179">
        <f>IFERROR((VLOOKUP(C134,Dados!B:AW,47,0)),0)</f>
        <v>0</v>
      </c>
      <c r="O134" s="197">
        <f t="shared" ref="O134:O197" si="7">IF(AND(J134="Parcial",N134&gt;0,H134&gt;1),-1,IF(AND(J134="Parcial",N134&gt;0,H134&lt;1.1),1,IF(AND(J134="Parcial",N134&lt;0,H134&gt;1.09),-1,IF(J134="Total",-1,IF(H134&gt;1.09,1,2)))))</f>
        <v>2</v>
      </c>
      <c r="P134" s="1">
        <f t="shared" ref="P134:P197" si="8">IF(G134="",0,IF(H134&gt;G134,-1,1))</f>
        <v>0</v>
      </c>
      <c r="Q134" s="221"/>
      <c r="AC134">
        <v>2</v>
      </c>
      <c r="AD134">
        <v>2</v>
      </c>
      <c r="AE134">
        <v>1</v>
      </c>
      <c r="AH134" t="s">
        <v>861</v>
      </c>
      <c r="AI134" t="str">
        <f t="shared" si="6"/>
        <v>SOP007*</v>
      </c>
    </row>
    <row r="135" spans="1:35" ht="25" x14ac:dyDescent="0.3">
      <c r="A135"/>
      <c r="B135" s="16">
        <v>185</v>
      </c>
      <c r="C135" s="16" t="s">
        <v>272</v>
      </c>
      <c r="D135" s="16" t="s">
        <v>1587</v>
      </c>
      <c r="E135" s="16" t="s">
        <v>272</v>
      </c>
      <c r="F135" s="200" t="s">
        <v>273</v>
      </c>
      <c r="G135" s="189" t="str">
        <f>IFERROR(VLOOKUP(C135,#REF!,4,FALSE),"")</f>
        <v/>
      </c>
      <c r="H135" s="249">
        <f>VLOOKUP(C135,Dados!B:AW,11,0)</f>
        <v>1.52</v>
      </c>
      <c r="I135" s="16" t="str">
        <f>(VLOOKUP(C135,Dados!B:AW,48,0))</f>
        <v>Fase de Degradação</v>
      </c>
      <c r="J135" s="189" t="s">
        <v>735</v>
      </c>
      <c r="K135" s="177">
        <f>IFERROR((VLOOKUP(C135,Dados!B:AW,44,0)),0)</f>
        <v>0</v>
      </c>
      <c r="L135" s="177">
        <f>IFERROR((VLOOKUP(C135,Dados!B:AW,45,0)),0)</f>
        <v>0</v>
      </c>
      <c r="M135" s="177">
        <f>IFERROR((VLOOKUP(C135,Dados!B:AW,43,0)),0)</f>
        <v>0</v>
      </c>
      <c r="N135" s="179">
        <f>IFERROR((VLOOKUP(C135,Dados!B:AW,47,0)),0)</f>
        <v>0</v>
      </c>
      <c r="O135" s="197">
        <f t="shared" si="7"/>
        <v>1</v>
      </c>
      <c r="P135" s="1">
        <f t="shared" si="8"/>
        <v>0</v>
      </c>
      <c r="Q135" s="221"/>
      <c r="AC135">
        <v>2</v>
      </c>
      <c r="AD135">
        <v>2</v>
      </c>
      <c r="AE135">
        <v>1</v>
      </c>
      <c r="AH135" t="s">
        <v>337</v>
      </c>
      <c r="AI135" t="str">
        <f t="shared" si="6"/>
        <v>CEN025*</v>
      </c>
    </row>
    <row r="136" spans="1:35" ht="25" x14ac:dyDescent="0.3">
      <c r="A136" s="219"/>
      <c r="B136" s="16">
        <v>620</v>
      </c>
      <c r="C136" s="16" t="s">
        <v>1866</v>
      </c>
      <c r="D136" s="16" t="s">
        <v>1587</v>
      </c>
      <c r="E136" s="16" t="s">
        <v>272</v>
      </c>
      <c r="F136" s="200" t="s">
        <v>1735</v>
      </c>
      <c r="G136" s="189" t="str">
        <f>IFERROR(VLOOKUP(C136,#REF!,4,FALSE),"")</f>
        <v/>
      </c>
      <c r="H136" s="249">
        <f>VLOOKUP(C136,Dados!B:AW,11,0)</f>
        <v>1.03</v>
      </c>
      <c r="I136" s="16" t="str">
        <f>(VLOOKUP(C136,Dados!B:AW,48,0))</f>
        <v>Fase de Vida Útil</v>
      </c>
      <c r="J136" s="189" t="s">
        <v>735</v>
      </c>
      <c r="K136" s="177">
        <f>IFERROR((VLOOKUP(C136,Dados!B:AW,44,0)),0)</f>
        <v>0</v>
      </c>
      <c r="L136" s="177">
        <f>IFERROR((VLOOKUP(C136,Dados!B:AW,45,0)),0)</f>
        <v>0</v>
      </c>
      <c r="M136" s="177">
        <f>IFERROR((VLOOKUP(C136,Dados!B:AW,43,0)),0)</f>
        <v>0</v>
      </c>
      <c r="N136" s="179">
        <f>IFERROR((VLOOKUP(C136,Dados!B:AW,47,0)),0)</f>
        <v>0</v>
      </c>
      <c r="O136" s="197">
        <f t="shared" si="7"/>
        <v>2</v>
      </c>
      <c r="P136" s="1">
        <f t="shared" si="8"/>
        <v>0</v>
      </c>
      <c r="Q136" s="221"/>
      <c r="AC136">
        <v>2</v>
      </c>
      <c r="AD136">
        <v>2</v>
      </c>
      <c r="AE136">
        <v>1</v>
      </c>
      <c r="AH136" t="s">
        <v>318</v>
      </c>
      <c r="AI136" t="str">
        <f t="shared" si="6"/>
        <v>CEN083*</v>
      </c>
    </row>
    <row r="137" spans="1:35" ht="25" x14ac:dyDescent="0.3">
      <c r="A137" s="219"/>
      <c r="B137" s="16">
        <v>186</v>
      </c>
      <c r="C137" s="16" t="s">
        <v>339</v>
      </c>
      <c r="D137" s="16" t="s">
        <v>1587</v>
      </c>
      <c r="E137" s="16" t="s">
        <v>339</v>
      </c>
      <c r="F137" s="200" t="s">
        <v>160</v>
      </c>
      <c r="G137" s="189" t="str">
        <f>IFERROR(VLOOKUP(C137,#REF!,4,FALSE),"")</f>
        <v/>
      </c>
      <c r="H137" s="249">
        <f>VLOOKUP(C137,Dados!B:AW,11,0)</f>
        <v>1.58</v>
      </c>
      <c r="I137" s="16" t="str">
        <f>(VLOOKUP(C137,Dados!B:AW,48,0))</f>
        <v>Fase de Degradação</v>
      </c>
      <c r="J137" s="189" t="s">
        <v>735</v>
      </c>
      <c r="K137" s="177">
        <f>IFERROR((VLOOKUP(C137,Dados!B:AW,44,0)),0)</f>
        <v>0</v>
      </c>
      <c r="L137" s="177">
        <f>IFERROR((VLOOKUP(C137,Dados!B:AW,45,0)),0)</f>
        <v>0</v>
      </c>
      <c r="M137" s="177">
        <f>IFERROR((VLOOKUP(C137,Dados!B:AW,43,0)),0)</f>
        <v>0</v>
      </c>
      <c r="N137" s="179">
        <f>IFERROR((VLOOKUP(C137,Dados!B:AW,47,0)),0)</f>
        <v>0</v>
      </c>
      <c r="O137" s="197">
        <f t="shared" si="7"/>
        <v>1</v>
      </c>
      <c r="P137" s="1">
        <f t="shared" si="8"/>
        <v>0</v>
      </c>
      <c r="Q137" s="221"/>
      <c r="AC137">
        <v>-1</v>
      </c>
      <c r="AD137">
        <v>-1</v>
      </c>
      <c r="AE137">
        <v>-1</v>
      </c>
      <c r="AH137" t="s">
        <v>417</v>
      </c>
      <c r="AI137" t="str">
        <f t="shared" si="6"/>
        <v>INJ016*</v>
      </c>
    </row>
    <row r="138" spans="1:35" ht="25" x14ac:dyDescent="0.3">
      <c r="A138"/>
      <c r="B138" s="16">
        <v>621</v>
      </c>
      <c r="C138" s="16" t="s">
        <v>1867</v>
      </c>
      <c r="D138" s="16" t="s">
        <v>1587</v>
      </c>
      <c r="E138" s="16" t="s">
        <v>339</v>
      </c>
      <c r="F138" s="200" t="s">
        <v>1736</v>
      </c>
      <c r="G138" s="189" t="str">
        <f>IFERROR(VLOOKUP(C138,#REF!,4,FALSE),"")</f>
        <v/>
      </c>
      <c r="H138" s="249">
        <f>VLOOKUP(C138,Dados!B:AW,11,0)</f>
        <v>1.64</v>
      </c>
      <c r="I138" s="16" t="str">
        <f>(VLOOKUP(C138,Dados!B:AW,48,0))</f>
        <v>Fase de Degradação</v>
      </c>
      <c r="J138" s="189" t="s">
        <v>735</v>
      </c>
      <c r="K138" s="177">
        <f>IFERROR((VLOOKUP(C138,Dados!B:AW,44,0)),0)</f>
        <v>0</v>
      </c>
      <c r="L138" s="177">
        <f>IFERROR((VLOOKUP(C138,Dados!B:AW,45,0)),0)</f>
        <v>0</v>
      </c>
      <c r="M138" s="177">
        <f>IFERROR((VLOOKUP(C138,Dados!B:AW,43,0)),0)</f>
        <v>0</v>
      </c>
      <c r="N138" s="179">
        <f>IFERROR((VLOOKUP(C138,Dados!B:AW,47,0)),0)</f>
        <v>0</v>
      </c>
      <c r="O138" s="197">
        <f t="shared" si="7"/>
        <v>1</v>
      </c>
      <c r="P138" s="1">
        <f t="shared" si="8"/>
        <v>0</v>
      </c>
      <c r="Q138" s="221"/>
      <c r="AC138">
        <v>-1</v>
      </c>
      <c r="AD138">
        <v>-1</v>
      </c>
      <c r="AE138">
        <v>-1</v>
      </c>
      <c r="AH138" t="s">
        <v>653</v>
      </c>
      <c r="AI138" t="str">
        <f t="shared" si="6"/>
        <v>PRE031*</v>
      </c>
    </row>
    <row r="139" spans="1:35" ht="26.25" customHeight="1" x14ac:dyDescent="0.3">
      <c r="A139"/>
      <c r="B139" s="16">
        <v>187</v>
      </c>
      <c r="C139" s="16" t="s">
        <v>404</v>
      </c>
      <c r="D139" s="16" t="s">
        <v>1587</v>
      </c>
      <c r="E139" s="16" t="s">
        <v>404</v>
      </c>
      <c r="F139" s="200" t="s">
        <v>225</v>
      </c>
      <c r="G139" s="189" t="str">
        <f>IFERROR(VLOOKUP(C139,#REF!,4,FALSE),"")</f>
        <v/>
      </c>
      <c r="H139" s="249">
        <f>VLOOKUP(C139,Dados!B:AW,11,0)</f>
        <v>1.64</v>
      </c>
      <c r="I139" s="16" t="str">
        <f>(VLOOKUP(C139,Dados!B:AW,48,0))</f>
        <v>Fase de Degradação</v>
      </c>
      <c r="J139" s="189" t="s">
        <v>735</v>
      </c>
      <c r="K139" s="177">
        <f>IFERROR((VLOOKUP(C139,Dados!B:AW,44,0)),0)</f>
        <v>0</v>
      </c>
      <c r="L139" s="177">
        <f>IFERROR((VLOOKUP(C139,Dados!B:AW,45,0)),0)</f>
        <v>0</v>
      </c>
      <c r="M139" s="177">
        <f>IFERROR((VLOOKUP(C139,Dados!B:AW,43,0)),0)</f>
        <v>0</v>
      </c>
      <c r="N139" s="179">
        <f>IFERROR((VLOOKUP(C139,Dados!B:AW,47,0)),0)</f>
        <v>0</v>
      </c>
      <c r="O139" s="197">
        <f t="shared" si="7"/>
        <v>1</v>
      </c>
      <c r="P139" s="1">
        <f t="shared" si="8"/>
        <v>0</v>
      </c>
      <c r="Q139" s="221"/>
      <c r="AC139">
        <v>2</v>
      </c>
      <c r="AD139">
        <v>2</v>
      </c>
      <c r="AE139">
        <v>1</v>
      </c>
      <c r="AH139" t="s">
        <v>528</v>
      </c>
      <c r="AI139" t="str">
        <f t="shared" si="6"/>
        <v>BRU014*</v>
      </c>
    </row>
    <row r="140" spans="1:35" ht="25" x14ac:dyDescent="0.3">
      <c r="A140"/>
      <c r="B140" s="16">
        <v>622</v>
      </c>
      <c r="C140" s="16" t="s">
        <v>1868</v>
      </c>
      <c r="D140" s="16" t="s">
        <v>1587</v>
      </c>
      <c r="E140" s="16" t="s">
        <v>404</v>
      </c>
      <c r="F140" s="200" t="s">
        <v>1737</v>
      </c>
      <c r="G140" s="189" t="str">
        <f>IFERROR(VLOOKUP(C140,#REF!,4,FALSE),"")</f>
        <v/>
      </c>
      <c r="H140" s="249">
        <f>VLOOKUP(C140,Dados!B:AW,11,0)</f>
        <v>1</v>
      </c>
      <c r="I140" s="16" t="str">
        <f>(VLOOKUP(C140,Dados!B:AW,48,0))</f>
        <v>Fase de Vida Útil</v>
      </c>
      <c r="J140" s="189" t="s">
        <v>735</v>
      </c>
      <c r="K140" s="177">
        <f>IFERROR((VLOOKUP(C140,Dados!B:AW,44,0)),0)</f>
        <v>0</v>
      </c>
      <c r="L140" s="177">
        <f>IFERROR((VLOOKUP(C140,Dados!B:AW,45,0)),0)</f>
        <v>0</v>
      </c>
      <c r="M140" s="177">
        <f>IFERROR((VLOOKUP(C140,Dados!B:AW,43,0)),0)</f>
        <v>0</v>
      </c>
      <c r="N140" s="179">
        <f>IFERROR((VLOOKUP(C140,Dados!B:AW,47,0)),0)</f>
        <v>0</v>
      </c>
      <c r="O140" s="197">
        <f t="shared" si="7"/>
        <v>2</v>
      </c>
      <c r="P140" s="1">
        <f t="shared" si="8"/>
        <v>0</v>
      </c>
      <c r="Q140" s="221"/>
      <c r="AC140">
        <v>2</v>
      </c>
      <c r="AD140">
        <v>2</v>
      </c>
      <c r="AE140">
        <v>1</v>
      </c>
      <c r="AH140" t="s">
        <v>41</v>
      </c>
      <c r="AI140" t="str">
        <f t="shared" si="6"/>
        <v>REB003*</v>
      </c>
    </row>
    <row r="141" spans="1:35" ht="26.25" customHeight="1" x14ac:dyDescent="0.3">
      <c r="A141"/>
      <c r="B141" s="16">
        <v>188</v>
      </c>
      <c r="C141" s="16" t="s">
        <v>401</v>
      </c>
      <c r="D141" s="16" t="s">
        <v>1587</v>
      </c>
      <c r="E141" s="16" t="s">
        <v>401</v>
      </c>
      <c r="F141" s="200" t="s">
        <v>222</v>
      </c>
      <c r="G141" s="189" t="str">
        <f>IFERROR(VLOOKUP(C141,#REF!,4,FALSE),"")</f>
        <v/>
      </c>
      <c r="H141" s="249">
        <f>VLOOKUP(C141,Dados!B:AW,11,0)</f>
        <v>1.55</v>
      </c>
      <c r="I141" s="16" t="str">
        <f>(VLOOKUP(C141,Dados!B:AW,48,0))</f>
        <v>Fase de Degradação</v>
      </c>
      <c r="J141" s="189" t="s">
        <v>735</v>
      </c>
      <c r="K141" s="177">
        <f>IFERROR((VLOOKUP(C141,Dados!B:AW,44,0)),0)</f>
        <v>0</v>
      </c>
      <c r="L141" s="177">
        <f>IFERROR((VLOOKUP(C141,Dados!B:AW,45,0)),0)</f>
        <v>0</v>
      </c>
      <c r="M141" s="177">
        <f>IFERROR((VLOOKUP(C141,Dados!B:AW,43,0)),0)</f>
        <v>0</v>
      </c>
      <c r="N141" s="179">
        <f>IFERROR((VLOOKUP(C141,Dados!B:AW,47,0)),0)</f>
        <v>0</v>
      </c>
      <c r="O141" s="197">
        <f t="shared" si="7"/>
        <v>1</v>
      </c>
      <c r="P141" s="1">
        <f t="shared" si="8"/>
        <v>0</v>
      </c>
      <c r="Q141" s="221"/>
      <c r="AC141">
        <v>2</v>
      </c>
      <c r="AD141">
        <v>2</v>
      </c>
      <c r="AE141">
        <v>1</v>
      </c>
      <c r="AH141" t="s">
        <v>131</v>
      </c>
      <c r="AI141" t="str">
        <f t="shared" si="6"/>
        <v>ROB003*</v>
      </c>
    </row>
    <row r="142" spans="1:35" ht="25" x14ac:dyDescent="0.3">
      <c r="A142"/>
      <c r="B142" s="16">
        <v>623</v>
      </c>
      <c r="C142" s="16" t="s">
        <v>1869</v>
      </c>
      <c r="D142" s="16" t="s">
        <v>1587</v>
      </c>
      <c r="E142" s="16" t="s">
        <v>401</v>
      </c>
      <c r="F142" s="200" t="s">
        <v>1738</v>
      </c>
      <c r="G142" s="189" t="str">
        <f>IFERROR(VLOOKUP(C142,#REF!,4,FALSE),"")</f>
        <v/>
      </c>
      <c r="H142" s="249">
        <f>VLOOKUP(C142,Dados!B:AW,11,0)</f>
        <v>1.02</v>
      </c>
      <c r="I142" s="16" t="str">
        <f>(VLOOKUP(C142,Dados!B:AW,48,0))</f>
        <v>Fase de Vida Útil</v>
      </c>
      <c r="J142" s="189" t="s">
        <v>735</v>
      </c>
      <c r="K142" s="177">
        <f>IFERROR((VLOOKUP(C142,Dados!B:AW,44,0)),0)</f>
        <v>0</v>
      </c>
      <c r="L142" s="177">
        <f>IFERROR((VLOOKUP(C142,Dados!B:AW,45,0)),0)</f>
        <v>0</v>
      </c>
      <c r="M142" s="177">
        <f>IFERROR((VLOOKUP(C142,Dados!B:AW,43,0)),0)</f>
        <v>0</v>
      </c>
      <c r="N142" s="179">
        <f>IFERROR((VLOOKUP(C142,Dados!B:AW,47,0)),0)</f>
        <v>0</v>
      </c>
      <c r="O142" s="197">
        <f t="shared" si="7"/>
        <v>2</v>
      </c>
      <c r="P142" s="1">
        <f t="shared" si="8"/>
        <v>0</v>
      </c>
      <c r="Q142" s="221"/>
      <c r="AC142">
        <v>2</v>
      </c>
      <c r="AD142">
        <v>2</v>
      </c>
      <c r="AE142">
        <v>1</v>
      </c>
      <c r="AH142" t="s">
        <v>924</v>
      </c>
      <c r="AI142" t="str">
        <f t="shared" si="6"/>
        <v>CAB108*</v>
      </c>
    </row>
    <row r="143" spans="1:35" ht="25" x14ac:dyDescent="0.3">
      <c r="A143"/>
      <c r="B143" s="16">
        <v>189</v>
      </c>
      <c r="C143" s="16" t="s">
        <v>250</v>
      </c>
      <c r="D143" s="16" t="s">
        <v>1587</v>
      </c>
      <c r="E143" s="16" t="s">
        <v>250</v>
      </c>
      <c r="F143" s="200" t="s">
        <v>251</v>
      </c>
      <c r="G143" s="189" t="str">
        <f>IFERROR(VLOOKUP(C143,#REF!,4,FALSE),"")</f>
        <v/>
      </c>
      <c r="H143" s="249">
        <f>VLOOKUP(C143,Dados!B:AW,11,0)</f>
        <v>1.53</v>
      </c>
      <c r="I143" s="16" t="str">
        <f>(VLOOKUP(C143,Dados!B:AW,48,0))</f>
        <v>Fase de Degradação</v>
      </c>
      <c r="J143" s="189" t="s">
        <v>735</v>
      </c>
      <c r="K143" s="177">
        <f>IFERROR((VLOOKUP(C143,Dados!B:AW,44,0)),0)</f>
        <v>0</v>
      </c>
      <c r="L143" s="177">
        <f>IFERROR((VLOOKUP(C143,Dados!B:AW,45,0)),0)</f>
        <v>0</v>
      </c>
      <c r="M143" s="177">
        <f>IFERROR((VLOOKUP(C143,Dados!B:AW,43,0)),0)</f>
        <v>0</v>
      </c>
      <c r="N143" s="179">
        <f>IFERROR((VLOOKUP(C143,Dados!B:AW,47,0)),0)</f>
        <v>0</v>
      </c>
      <c r="O143" s="197">
        <f t="shared" si="7"/>
        <v>1</v>
      </c>
      <c r="P143" s="1">
        <f t="shared" si="8"/>
        <v>0</v>
      </c>
      <c r="Q143" s="221"/>
      <c r="AC143">
        <v>2</v>
      </c>
      <c r="AD143">
        <v>2</v>
      </c>
      <c r="AE143">
        <v>1</v>
      </c>
      <c r="AH143" t="s">
        <v>414</v>
      </c>
      <c r="AI143" t="str">
        <f t="shared" si="6"/>
        <v>CEN004*</v>
      </c>
    </row>
    <row r="144" spans="1:35" ht="26.25" customHeight="1" x14ac:dyDescent="0.3">
      <c r="A144"/>
      <c r="B144" s="16">
        <v>587</v>
      </c>
      <c r="C144" s="16" t="s">
        <v>661</v>
      </c>
      <c r="D144" s="16" t="s">
        <v>1587</v>
      </c>
      <c r="E144" s="16" t="s">
        <v>250</v>
      </c>
      <c r="F144" s="200" t="s">
        <v>662</v>
      </c>
      <c r="G144" s="189" t="str">
        <f>IFERROR(VLOOKUP(C144,#REF!,4,FALSE),"")</f>
        <v/>
      </c>
      <c r="H144" s="249">
        <f>VLOOKUP(C144,Dados!B:AW,11,0)</f>
        <v>0.55000000000000004</v>
      </c>
      <c r="I144" s="16" t="str">
        <f>(VLOOKUP(C144,Dados!B:AW,48,0))</f>
        <v>Confiabilidade em Crescimento</v>
      </c>
      <c r="J144" s="189" t="s">
        <v>732</v>
      </c>
      <c r="K144" s="177">
        <f>IFERROR((VLOOKUP(C144,Dados!B:AW,44,0)),0)</f>
        <v>0</v>
      </c>
      <c r="L144" s="177">
        <f>IFERROR((VLOOKUP(C144,Dados!B:AW,45,0)),0)</f>
        <v>0</v>
      </c>
      <c r="M144" s="177">
        <f>IFERROR((VLOOKUP(C144,Dados!B:AW,43,0)),0)</f>
        <v>0</v>
      </c>
      <c r="N144" s="179">
        <f>IFERROR((VLOOKUP(C144,Dados!B:AW,47,0)),0)</f>
        <v>0</v>
      </c>
      <c r="O144" s="197">
        <f t="shared" si="7"/>
        <v>2</v>
      </c>
      <c r="P144" s="1">
        <f t="shared" si="8"/>
        <v>0</v>
      </c>
      <c r="Q144" s="221"/>
      <c r="AC144">
        <v>2</v>
      </c>
      <c r="AD144">
        <v>2</v>
      </c>
      <c r="AE144">
        <v>1</v>
      </c>
      <c r="AH144" t="s">
        <v>787</v>
      </c>
      <c r="AI144" t="str">
        <f t="shared" si="6"/>
        <v>FIL042*</v>
      </c>
    </row>
    <row r="145" spans="1:35" ht="25" x14ac:dyDescent="0.3">
      <c r="A145"/>
      <c r="B145" s="16">
        <v>190</v>
      </c>
      <c r="C145" s="16" t="s">
        <v>359</v>
      </c>
      <c r="D145" s="16" t="s">
        <v>1587</v>
      </c>
      <c r="E145" s="16" t="s">
        <v>359</v>
      </c>
      <c r="F145" s="200" t="s">
        <v>180</v>
      </c>
      <c r="G145" s="189" t="str">
        <f>IFERROR(VLOOKUP(C145,#REF!,4,FALSE),"")</f>
        <v/>
      </c>
      <c r="H145" s="249">
        <f>VLOOKUP(C145,Dados!B:AW,11,0)</f>
        <v>1.57</v>
      </c>
      <c r="I145" s="16" t="str">
        <f>(VLOOKUP(C145,Dados!B:AW,48,0))</f>
        <v>Fase de Degradação</v>
      </c>
      <c r="J145" s="189" t="s">
        <v>735</v>
      </c>
      <c r="K145" s="177">
        <f>IFERROR((VLOOKUP(C145,Dados!B:AW,44,0)),0)</f>
        <v>0</v>
      </c>
      <c r="L145" s="177">
        <f>IFERROR((VLOOKUP(C145,Dados!B:AW,45,0)),0)</f>
        <v>0</v>
      </c>
      <c r="M145" s="177">
        <f>IFERROR((VLOOKUP(C145,Dados!B:AW,43,0)),0)</f>
        <v>0</v>
      </c>
      <c r="N145" s="179">
        <f>IFERROR((VLOOKUP(C145,Dados!B:AW,47,0)),0)</f>
        <v>0</v>
      </c>
      <c r="O145" s="197">
        <f t="shared" si="7"/>
        <v>1</v>
      </c>
      <c r="P145" s="1">
        <f t="shared" si="8"/>
        <v>0</v>
      </c>
      <c r="Q145" s="221"/>
      <c r="AC145">
        <v>2</v>
      </c>
      <c r="AD145">
        <v>2</v>
      </c>
      <c r="AE145">
        <v>1</v>
      </c>
      <c r="AH145" t="s">
        <v>799</v>
      </c>
      <c r="AI145" t="str">
        <f t="shared" si="6"/>
        <v>INJ068*</v>
      </c>
    </row>
    <row r="146" spans="1:35" ht="26.25" customHeight="1" x14ac:dyDescent="0.3">
      <c r="A146"/>
      <c r="B146" s="16">
        <v>588</v>
      </c>
      <c r="C146" s="16" t="s">
        <v>835</v>
      </c>
      <c r="D146" s="16" t="s">
        <v>1587</v>
      </c>
      <c r="E146" s="16" t="s">
        <v>359</v>
      </c>
      <c r="F146" s="200" t="s">
        <v>836</v>
      </c>
      <c r="G146" s="189" t="str">
        <f>IFERROR(VLOOKUP(C146,#REF!,4,FALSE),"")</f>
        <v/>
      </c>
      <c r="H146" s="249">
        <f>VLOOKUP(C146,Dados!B:AW,11,0)</f>
        <v>0.63</v>
      </c>
      <c r="I146" s="16" t="str">
        <f>(VLOOKUP(C146,Dados!B:AW,48,0))</f>
        <v>Confiabilidade em Crescimento</v>
      </c>
      <c r="J146" s="189" t="s">
        <v>732</v>
      </c>
      <c r="K146" s="177">
        <f>IFERROR((VLOOKUP(C146,Dados!B:AW,44,0)),0)</f>
        <v>0</v>
      </c>
      <c r="L146" s="177">
        <f>IFERROR((VLOOKUP(C146,Dados!B:AW,45,0)),0)</f>
        <v>0</v>
      </c>
      <c r="M146" s="177">
        <f>IFERROR((VLOOKUP(C146,Dados!B:AW,43,0)),0)</f>
        <v>0</v>
      </c>
      <c r="N146" s="179">
        <f>IFERROR((VLOOKUP(C146,Dados!B:AW,47,0)),0)</f>
        <v>0</v>
      </c>
      <c r="O146" s="197">
        <f t="shared" si="7"/>
        <v>2</v>
      </c>
      <c r="P146" s="1">
        <f t="shared" si="8"/>
        <v>0</v>
      </c>
      <c r="Q146" s="221"/>
      <c r="AC146">
        <v>2</v>
      </c>
      <c r="AD146">
        <v>2</v>
      </c>
      <c r="AE146">
        <v>1</v>
      </c>
      <c r="AH146" t="s">
        <v>645</v>
      </c>
      <c r="AI146" t="str">
        <f t="shared" si="6"/>
        <v>LAS007*</v>
      </c>
    </row>
    <row r="147" spans="1:35" ht="26.25" customHeight="1" x14ac:dyDescent="0.3">
      <c r="A147"/>
      <c r="B147" s="16">
        <v>193</v>
      </c>
      <c r="C147" s="16" t="s">
        <v>274</v>
      </c>
      <c r="D147" s="16" t="s">
        <v>1587</v>
      </c>
      <c r="E147" s="16" t="s">
        <v>274</v>
      </c>
      <c r="F147" s="200" t="s">
        <v>275</v>
      </c>
      <c r="G147" s="189" t="str">
        <f>IFERROR(VLOOKUP(C147,#REF!,4,FALSE),"")</f>
        <v/>
      </c>
      <c r="H147" s="248">
        <f>VLOOKUP(C147,Dados!B:AW,11,0)</f>
        <v>1.26</v>
      </c>
      <c r="I147" s="16" t="str">
        <f>(VLOOKUP(C147,Dados!B:AW,48,0))</f>
        <v>Fase de Degradação</v>
      </c>
      <c r="J147" s="189" t="s">
        <v>735</v>
      </c>
      <c r="K147" s="177">
        <f>IFERROR((VLOOKUP(C147,Dados!B:AW,44,0)),0)</f>
        <v>0</v>
      </c>
      <c r="L147" s="177">
        <f>IFERROR((VLOOKUP(C147,Dados!B:AW,45,0)),0)</f>
        <v>0</v>
      </c>
      <c r="M147" s="177">
        <f>IFERROR((VLOOKUP(C147,Dados!B:AW,43,0)),0)</f>
        <v>0</v>
      </c>
      <c r="N147" s="179">
        <f>IFERROR((VLOOKUP(C147,Dados!B:AW,47,0)),0)</f>
        <v>0</v>
      </c>
      <c r="O147" s="197">
        <f t="shared" si="7"/>
        <v>1</v>
      </c>
      <c r="P147" s="1">
        <f t="shared" si="8"/>
        <v>0</v>
      </c>
      <c r="Q147" s="221"/>
      <c r="AC147">
        <v>2</v>
      </c>
      <c r="AD147">
        <v>2</v>
      </c>
      <c r="AE147">
        <v>1</v>
      </c>
      <c r="AH147" t="s">
        <v>453</v>
      </c>
      <c r="AI147" t="str">
        <f t="shared" si="6"/>
        <v>ROB011*</v>
      </c>
    </row>
    <row r="148" spans="1:35" ht="26.25" customHeight="1" x14ac:dyDescent="0.3">
      <c r="A148"/>
      <c r="B148" s="16">
        <v>599</v>
      </c>
      <c r="C148" s="16" t="s">
        <v>1152</v>
      </c>
      <c r="D148" s="16" t="s">
        <v>1587</v>
      </c>
      <c r="E148" s="16" t="s">
        <v>274</v>
      </c>
      <c r="F148" s="200" t="s">
        <v>1153</v>
      </c>
      <c r="G148" s="189" t="str">
        <f>IFERROR(VLOOKUP(C148,#REF!,4,FALSE),"")</f>
        <v/>
      </c>
      <c r="H148" s="249">
        <f>VLOOKUP(C148,Dados!B:AW,11,0)</f>
        <v>0.88</v>
      </c>
      <c r="I148" s="16" t="str">
        <f>(VLOOKUP(C148,Dados!B:AW,48,0))</f>
        <v>Confiabilidade em Crescimento</v>
      </c>
      <c r="J148" s="189" t="s">
        <v>735</v>
      </c>
      <c r="K148" s="177">
        <f>IFERROR((VLOOKUP(C148,Dados!B:AW,44,0)),0)</f>
        <v>0</v>
      </c>
      <c r="L148" s="177">
        <f>IFERROR((VLOOKUP(C148,Dados!B:AW,45,0)),0)</f>
        <v>0</v>
      </c>
      <c r="M148" s="177">
        <f>IFERROR((VLOOKUP(C148,Dados!B:AW,43,0)),0)</f>
        <v>0</v>
      </c>
      <c r="N148" s="179">
        <f>IFERROR((VLOOKUP(C148,Dados!B:AW,47,0)),0)</f>
        <v>0</v>
      </c>
      <c r="O148" s="197">
        <f t="shared" si="7"/>
        <v>2</v>
      </c>
      <c r="P148" s="1">
        <f t="shared" si="8"/>
        <v>0</v>
      </c>
      <c r="Q148" s="221"/>
      <c r="AC148">
        <v>2</v>
      </c>
      <c r="AD148">
        <v>2</v>
      </c>
      <c r="AE148">
        <v>1</v>
      </c>
      <c r="AH148" t="s">
        <v>30</v>
      </c>
      <c r="AI148" t="str">
        <f t="shared" si="6"/>
        <v>CEN018*</v>
      </c>
    </row>
    <row r="149" spans="1:35" ht="26.25" customHeight="1" x14ac:dyDescent="0.3">
      <c r="A149"/>
      <c r="B149" s="16">
        <v>194</v>
      </c>
      <c r="C149" s="16" t="s">
        <v>329</v>
      </c>
      <c r="D149" s="16" t="s">
        <v>1587</v>
      </c>
      <c r="E149" s="16" t="s">
        <v>329</v>
      </c>
      <c r="F149" s="200" t="s">
        <v>150</v>
      </c>
      <c r="G149" s="189" t="str">
        <f>IFERROR(VLOOKUP(C149,#REF!,4,FALSE),"")</f>
        <v/>
      </c>
      <c r="H149" s="248">
        <f>VLOOKUP(C149,Dados!B:AW,11,0)</f>
        <v>1.53</v>
      </c>
      <c r="I149" s="16" t="str">
        <f>(VLOOKUP(C149,Dados!B:AW,48,0))</f>
        <v>Fase de Degradação</v>
      </c>
      <c r="J149" s="189" t="s">
        <v>735</v>
      </c>
      <c r="K149" s="177">
        <f>IFERROR((VLOOKUP(C149,Dados!B:AW,44,0)),0)</f>
        <v>0</v>
      </c>
      <c r="L149" s="177">
        <f>IFERROR((VLOOKUP(C149,Dados!B:AW,45,0)),0)</f>
        <v>0</v>
      </c>
      <c r="M149" s="177">
        <f>IFERROR((VLOOKUP(C149,Dados!B:AW,43,0)),0)</f>
        <v>0</v>
      </c>
      <c r="N149" s="179">
        <f>IFERROR((VLOOKUP(C149,Dados!B:AW,47,0)),0)</f>
        <v>0</v>
      </c>
      <c r="O149" s="197">
        <f t="shared" si="7"/>
        <v>1</v>
      </c>
      <c r="P149" s="1">
        <f t="shared" si="8"/>
        <v>0</v>
      </c>
      <c r="Q149" s="221"/>
      <c r="AC149">
        <v>2</v>
      </c>
      <c r="AD149">
        <v>2</v>
      </c>
      <c r="AE149">
        <v>1</v>
      </c>
      <c r="AH149" t="s">
        <v>381</v>
      </c>
      <c r="AI149" t="str">
        <f t="shared" si="6"/>
        <v>CEN040*</v>
      </c>
    </row>
    <row r="150" spans="1:35" ht="26.25" customHeight="1" x14ac:dyDescent="0.3">
      <c r="A150"/>
      <c r="B150" s="16">
        <v>600</v>
      </c>
      <c r="C150" s="16" t="s">
        <v>1154</v>
      </c>
      <c r="D150" s="16" t="s">
        <v>1587</v>
      </c>
      <c r="E150" s="16" t="s">
        <v>329</v>
      </c>
      <c r="F150" s="200" t="s">
        <v>1155</v>
      </c>
      <c r="G150" s="189" t="str">
        <f>IFERROR(VLOOKUP(C150,#REF!,4,FALSE),"")</f>
        <v/>
      </c>
      <c r="H150" s="249">
        <f>VLOOKUP(C150,Dados!B:AW,11,0)</f>
        <v>0.89</v>
      </c>
      <c r="I150" s="16" t="str">
        <f>(VLOOKUP(C150,Dados!B:AW,48,0))</f>
        <v>Confiabilidade em Crescimento</v>
      </c>
      <c r="J150" s="189" t="s">
        <v>735</v>
      </c>
      <c r="K150" s="177">
        <f>IFERROR((VLOOKUP(C150,Dados!B:AW,44,0)),0)</f>
        <v>0</v>
      </c>
      <c r="L150" s="177">
        <f>IFERROR((VLOOKUP(C150,Dados!B:AW,45,0)),0)</f>
        <v>0</v>
      </c>
      <c r="M150" s="177">
        <f>IFERROR((VLOOKUP(C150,Dados!B:AW,43,0)),0)</f>
        <v>0</v>
      </c>
      <c r="N150" s="179">
        <f>IFERROR((VLOOKUP(C150,Dados!B:AW,47,0)),0)</f>
        <v>0</v>
      </c>
      <c r="O150" s="197">
        <f t="shared" si="7"/>
        <v>2</v>
      </c>
      <c r="P150" s="1">
        <f t="shared" si="8"/>
        <v>0</v>
      </c>
      <c r="Q150" s="221"/>
      <c r="AC150">
        <v>2</v>
      </c>
      <c r="AD150">
        <v>2</v>
      </c>
      <c r="AE150">
        <v>1</v>
      </c>
      <c r="AH150" t="s">
        <v>1068</v>
      </c>
      <c r="AI150" t="str">
        <f t="shared" si="6"/>
        <v>LAV015*</v>
      </c>
    </row>
    <row r="151" spans="1:35" ht="26.25" customHeight="1" x14ac:dyDescent="0.3">
      <c r="A151"/>
      <c r="B151" s="16">
        <v>197</v>
      </c>
      <c r="C151" s="16" t="s">
        <v>354</v>
      </c>
      <c r="D151" s="16" t="s">
        <v>1587</v>
      </c>
      <c r="E151" s="16" t="s">
        <v>354</v>
      </c>
      <c r="F151" s="200" t="s">
        <v>175</v>
      </c>
      <c r="G151" s="189" t="str">
        <f>IFERROR(VLOOKUP(C151,#REF!,4,FALSE),"")</f>
        <v/>
      </c>
      <c r="H151" s="248">
        <f>VLOOKUP(C151,Dados!B:AW,11,0)</f>
        <v>1.93</v>
      </c>
      <c r="I151" s="16" t="str">
        <f>(VLOOKUP(C151,Dados!B:AW,48,0))</f>
        <v>Fase de Degradação</v>
      </c>
      <c r="J151" s="189" t="s">
        <v>735</v>
      </c>
      <c r="K151" s="177">
        <f>IFERROR((VLOOKUP(C151,Dados!B:AW,44,0)),0)</f>
        <v>0</v>
      </c>
      <c r="L151" s="177">
        <f>IFERROR((VLOOKUP(C151,Dados!B:AW,45,0)),0)</f>
        <v>0</v>
      </c>
      <c r="M151" s="177">
        <f>IFERROR((VLOOKUP(C151,Dados!B:AW,43,0)),0)</f>
        <v>0</v>
      </c>
      <c r="N151" s="179">
        <f>IFERROR((VLOOKUP(C151,Dados!B:AW,47,0)),0)</f>
        <v>0</v>
      </c>
      <c r="O151" s="197">
        <f t="shared" si="7"/>
        <v>1</v>
      </c>
      <c r="P151" s="1">
        <f t="shared" si="8"/>
        <v>0</v>
      </c>
      <c r="Q151" s="221"/>
      <c r="AC151">
        <v>2</v>
      </c>
      <c r="AD151">
        <v>2</v>
      </c>
      <c r="AE151">
        <v>1</v>
      </c>
      <c r="AH151" t="s">
        <v>31</v>
      </c>
      <c r="AI151" t="str">
        <f t="shared" si="6"/>
        <v>CEN023*</v>
      </c>
    </row>
    <row r="152" spans="1:35" ht="26.25" customHeight="1" x14ac:dyDescent="0.3">
      <c r="A152"/>
      <c r="B152" s="16">
        <v>601</v>
      </c>
      <c r="C152" s="16" t="s">
        <v>1156</v>
      </c>
      <c r="D152" s="16" t="s">
        <v>1587</v>
      </c>
      <c r="E152" s="16" t="s">
        <v>354</v>
      </c>
      <c r="F152" s="200" t="s">
        <v>1157</v>
      </c>
      <c r="G152" s="189" t="str">
        <f>IFERROR(VLOOKUP(C152,#REF!,4,FALSE),"")</f>
        <v/>
      </c>
      <c r="H152" s="249">
        <f>VLOOKUP(C152,Dados!B:AW,11,0)</f>
        <v>0.91</v>
      </c>
      <c r="I152" s="16" t="str">
        <f>(VLOOKUP(C152,Dados!B:AW,48,0))</f>
        <v>Confiabilidade em Crescimento</v>
      </c>
      <c r="J152" s="189" t="s">
        <v>735</v>
      </c>
      <c r="K152" s="177">
        <f>IFERROR((VLOOKUP(C152,Dados!B:AW,44,0)),0)</f>
        <v>0</v>
      </c>
      <c r="L152" s="177">
        <f>IFERROR((VLOOKUP(C152,Dados!B:AW,45,0)),0)</f>
        <v>0</v>
      </c>
      <c r="M152" s="177">
        <f>IFERROR((VLOOKUP(C152,Dados!B:AW,43,0)),0)</f>
        <v>0</v>
      </c>
      <c r="N152" s="179">
        <f>IFERROR((VLOOKUP(C152,Dados!B:AW,47,0)),0)</f>
        <v>0</v>
      </c>
      <c r="O152" s="197">
        <f t="shared" si="7"/>
        <v>2</v>
      </c>
      <c r="P152" s="1">
        <f t="shared" si="8"/>
        <v>0</v>
      </c>
      <c r="Q152" s="221"/>
      <c r="AC152">
        <v>2</v>
      </c>
      <c r="AD152">
        <v>2</v>
      </c>
      <c r="AE152">
        <v>1</v>
      </c>
      <c r="AH152" t="s">
        <v>362</v>
      </c>
      <c r="AI152" t="str">
        <f t="shared" si="6"/>
        <v>CEN024*</v>
      </c>
    </row>
    <row r="153" spans="1:35" ht="26.25" customHeight="1" x14ac:dyDescent="0.3">
      <c r="A153"/>
      <c r="B153" s="16">
        <v>198</v>
      </c>
      <c r="C153" s="16" t="s">
        <v>254</v>
      </c>
      <c r="D153" s="16" t="s">
        <v>1587</v>
      </c>
      <c r="E153" s="16" t="s">
        <v>254</v>
      </c>
      <c r="F153" s="200" t="s">
        <v>255</v>
      </c>
      <c r="G153" s="189" t="str">
        <f>IFERROR(VLOOKUP(C153,#REF!,4,FALSE),"")</f>
        <v/>
      </c>
      <c r="H153" s="248">
        <f>VLOOKUP(C153,Dados!B:AW,11,0)</f>
        <v>1.2</v>
      </c>
      <c r="I153" s="16" t="str">
        <f>(VLOOKUP(C153,Dados!B:AW,48,0))</f>
        <v>Fase de Degradação</v>
      </c>
      <c r="J153" s="189" t="s">
        <v>735</v>
      </c>
      <c r="K153" s="177">
        <f>IFERROR((VLOOKUP(C153,Dados!B:AW,44,0)),0)</f>
        <v>0</v>
      </c>
      <c r="L153" s="177">
        <f>IFERROR((VLOOKUP(C153,Dados!B:AW,45,0)),0)</f>
        <v>0</v>
      </c>
      <c r="M153" s="177">
        <f>IFERROR((VLOOKUP(C153,Dados!B:AW,43,0)),0)</f>
        <v>0</v>
      </c>
      <c r="N153" s="179">
        <f>IFERROR((VLOOKUP(C153,Dados!B:AW,47,0)),0)</f>
        <v>0</v>
      </c>
      <c r="O153" s="197">
        <f t="shared" si="7"/>
        <v>1</v>
      </c>
      <c r="P153" s="1">
        <f t="shared" si="8"/>
        <v>0</v>
      </c>
      <c r="Q153" s="221"/>
      <c r="AC153">
        <v>2</v>
      </c>
      <c r="AD153">
        <v>2</v>
      </c>
      <c r="AE153">
        <v>1</v>
      </c>
      <c r="AH153" t="s">
        <v>360</v>
      </c>
      <c r="AI153" t="str">
        <f t="shared" si="6"/>
        <v>CEN036*</v>
      </c>
    </row>
    <row r="154" spans="1:35" ht="26.25" customHeight="1" x14ac:dyDescent="0.3">
      <c r="A154"/>
      <c r="B154" s="16">
        <v>602</v>
      </c>
      <c r="C154" s="16" t="s">
        <v>1158</v>
      </c>
      <c r="D154" s="16" t="s">
        <v>1587</v>
      </c>
      <c r="E154" s="16" t="s">
        <v>254</v>
      </c>
      <c r="F154" s="200" t="s">
        <v>1159</v>
      </c>
      <c r="G154" s="189" t="str">
        <f>IFERROR(VLOOKUP(C154,#REF!,4,FALSE),"")</f>
        <v/>
      </c>
      <c r="H154" s="249">
        <f>VLOOKUP(C154,Dados!B:AW,11,0)</f>
        <v>0.9</v>
      </c>
      <c r="I154" s="16" t="str">
        <f>(VLOOKUP(C154,Dados!B:AW,48,0))</f>
        <v>Confiabilidade em Crescimento</v>
      </c>
      <c r="J154" s="189" t="s">
        <v>735</v>
      </c>
      <c r="K154" s="177">
        <f>IFERROR((VLOOKUP(C154,Dados!B:AW,44,0)),0)</f>
        <v>0</v>
      </c>
      <c r="L154" s="177">
        <f>IFERROR((VLOOKUP(C154,Dados!B:AW,45,0)),0)</f>
        <v>0</v>
      </c>
      <c r="M154" s="177">
        <f>IFERROR((VLOOKUP(C154,Dados!B:AW,43,0)),0)</f>
        <v>0</v>
      </c>
      <c r="N154" s="179">
        <f>IFERROR((VLOOKUP(C154,Dados!B:AW,47,0)),0)</f>
        <v>0</v>
      </c>
      <c r="O154" s="197">
        <f t="shared" si="7"/>
        <v>2</v>
      </c>
      <c r="P154" s="1">
        <f t="shared" si="8"/>
        <v>0</v>
      </c>
      <c r="Q154" s="221"/>
      <c r="AC154">
        <v>2</v>
      </c>
      <c r="AD154">
        <v>2</v>
      </c>
      <c r="AE154">
        <v>1</v>
      </c>
      <c r="AH154" t="s">
        <v>397</v>
      </c>
      <c r="AI154" t="str">
        <f t="shared" si="6"/>
        <v>CEN047*</v>
      </c>
    </row>
    <row r="155" spans="1:35" ht="26.25" customHeight="1" x14ac:dyDescent="0.3">
      <c r="A155"/>
      <c r="B155" s="16">
        <v>206</v>
      </c>
      <c r="C155" s="16" t="s">
        <v>763</v>
      </c>
      <c r="D155" s="16" t="s">
        <v>1587</v>
      </c>
      <c r="E155" s="16" t="s">
        <v>763</v>
      </c>
      <c r="F155" s="200" t="s">
        <v>764</v>
      </c>
      <c r="G155" s="189" t="str">
        <f>IFERROR(VLOOKUP(C155,#REF!,4,FALSE),"")</f>
        <v/>
      </c>
      <c r="H155" s="249">
        <f>VLOOKUP(C155,Dados!B:AW,11,0)</f>
        <v>1.04</v>
      </c>
      <c r="I155" s="16" t="str">
        <f>(VLOOKUP(C155,Dados!B:AW,48,0))</f>
        <v>Fase de Vida Útil</v>
      </c>
      <c r="J155" s="189" t="s">
        <v>735</v>
      </c>
      <c r="K155" s="177">
        <f>IFERROR((VLOOKUP(C155,Dados!B:AW,44,0)),0)</f>
        <v>0</v>
      </c>
      <c r="L155" s="177">
        <f>IFERROR((VLOOKUP(C155,Dados!B:AW,45,0)),0)</f>
        <v>0</v>
      </c>
      <c r="M155" s="177">
        <f>IFERROR((VLOOKUP(C155,Dados!B:AW,43,0)),0)</f>
        <v>0</v>
      </c>
      <c r="N155" s="179">
        <f>IFERROR((VLOOKUP(C155,Dados!B:AW,47,0)),0)</f>
        <v>0</v>
      </c>
      <c r="O155" s="197">
        <f t="shared" si="7"/>
        <v>2</v>
      </c>
      <c r="P155" s="1">
        <f t="shared" si="8"/>
        <v>0</v>
      </c>
      <c r="Q155" s="221"/>
      <c r="AC155">
        <v>2</v>
      </c>
      <c r="AD155">
        <v>2</v>
      </c>
      <c r="AE155">
        <v>1</v>
      </c>
      <c r="AH155" t="s">
        <v>407</v>
      </c>
      <c r="AI155" t="str">
        <f t="shared" si="6"/>
        <v>CEN076*</v>
      </c>
    </row>
    <row r="156" spans="1:35" ht="26.25" customHeight="1" x14ac:dyDescent="0.3">
      <c r="A156"/>
      <c r="B156" s="16">
        <v>207</v>
      </c>
      <c r="C156" s="16" t="s">
        <v>765</v>
      </c>
      <c r="D156" s="16" t="s">
        <v>1587</v>
      </c>
      <c r="E156" s="16" t="s">
        <v>765</v>
      </c>
      <c r="F156" s="200" t="s">
        <v>766</v>
      </c>
      <c r="G156" s="189" t="str">
        <f>IFERROR(VLOOKUP(C156,#REF!,4,FALSE),"")</f>
        <v/>
      </c>
      <c r="H156" s="249">
        <f>VLOOKUP(C156,Dados!B:AW,11,0)</f>
        <v>0.97</v>
      </c>
      <c r="I156" s="16" t="str">
        <f>(VLOOKUP(C156,Dados!B:AW,48,0))</f>
        <v>Confiabilidade em Crescimento</v>
      </c>
      <c r="J156" s="189" t="s">
        <v>735</v>
      </c>
      <c r="K156" s="177">
        <f>IFERROR((VLOOKUP(C156,Dados!B:AW,44,0)),0)</f>
        <v>0</v>
      </c>
      <c r="L156" s="177">
        <f>IFERROR((VLOOKUP(C156,Dados!B:AW,45,0)),0)</f>
        <v>0</v>
      </c>
      <c r="M156" s="177">
        <f>IFERROR((VLOOKUP(C156,Dados!B:AW,43,0)),0)</f>
        <v>0</v>
      </c>
      <c r="N156" s="179">
        <f>IFERROR((VLOOKUP(C156,Dados!B:AW,47,0)),0)</f>
        <v>0</v>
      </c>
      <c r="O156" s="197">
        <f t="shared" si="7"/>
        <v>2</v>
      </c>
      <c r="P156" s="1">
        <f t="shared" si="8"/>
        <v>0</v>
      </c>
      <c r="Q156" s="221"/>
      <c r="AC156">
        <v>2</v>
      </c>
      <c r="AD156">
        <v>2</v>
      </c>
      <c r="AE156">
        <v>1</v>
      </c>
      <c r="AH156" t="s">
        <v>416</v>
      </c>
      <c r="AI156" t="str">
        <f t="shared" si="6"/>
        <v>TOR022*</v>
      </c>
    </row>
    <row r="157" spans="1:35" ht="26.25" customHeight="1" x14ac:dyDescent="0.3">
      <c r="A157"/>
      <c r="B157" s="16">
        <v>208</v>
      </c>
      <c r="C157" s="16" t="s">
        <v>958</v>
      </c>
      <c r="D157" s="16" t="s">
        <v>1587</v>
      </c>
      <c r="E157" s="16" t="s">
        <v>958</v>
      </c>
      <c r="F157" s="200" t="s">
        <v>959</v>
      </c>
      <c r="G157" s="189" t="str">
        <f>IFERROR(VLOOKUP(C157,#REF!,4,FALSE),"")</f>
        <v/>
      </c>
      <c r="H157" s="249">
        <f>VLOOKUP(C157,Dados!B:AW,11,0)</f>
        <v>0.99</v>
      </c>
      <c r="I157" s="16" t="str">
        <f>(VLOOKUP(C157,Dados!B:AW,48,0))</f>
        <v>Confiabilidade em Crescimento</v>
      </c>
      <c r="J157" s="189" t="s">
        <v>735</v>
      </c>
      <c r="K157" s="177">
        <f>IFERROR((VLOOKUP(C157,Dados!B:AW,44,0)),0)</f>
        <v>0</v>
      </c>
      <c r="L157" s="177">
        <f>IFERROR((VLOOKUP(C157,Dados!B:AW,45,0)),0)</f>
        <v>0</v>
      </c>
      <c r="M157" s="177">
        <f>IFERROR((VLOOKUP(C157,Dados!B:AW,43,0)),0)</f>
        <v>0</v>
      </c>
      <c r="N157" s="179">
        <f>IFERROR((VLOOKUP(C157,Dados!B:AW,47,0)),0)</f>
        <v>0</v>
      </c>
      <c r="O157" s="197">
        <f t="shared" si="7"/>
        <v>2</v>
      </c>
      <c r="P157" s="1">
        <f t="shared" si="8"/>
        <v>0</v>
      </c>
      <c r="Q157" s="221"/>
      <c r="AC157">
        <v>2</v>
      </c>
      <c r="AD157">
        <v>2</v>
      </c>
      <c r="AE157">
        <v>1</v>
      </c>
      <c r="AH157" t="s">
        <v>282</v>
      </c>
      <c r="AI157" t="str">
        <f t="shared" si="6"/>
        <v>BRU034*</v>
      </c>
    </row>
    <row r="158" spans="1:35" ht="26.25" customHeight="1" x14ac:dyDescent="0.3">
      <c r="A158"/>
      <c r="B158" s="16">
        <v>209</v>
      </c>
      <c r="C158" s="16" t="s">
        <v>960</v>
      </c>
      <c r="D158" s="16" t="s">
        <v>1587</v>
      </c>
      <c r="E158" s="16" t="s">
        <v>960</v>
      </c>
      <c r="F158" s="200" t="s">
        <v>961</v>
      </c>
      <c r="G158" s="189" t="str">
        <f>IFERROR(VLOOKUP(C158,#REF!,4,FALSE),"")</f>
        <v/>
      </c>
      <c r="H158" s="249">
        <f>VLOOKUP(C158,Dados!B:AW,11,0)</f>
        <v>0.95</v>
      </c>
      <c r="I158" s="16" t="str">
        <f>(VLOOKUP(C158,Dados!B:AW,48,0))</f>
        <v>Confiabilidade em Crescimento</v>
      </c>
      <c r="J158" s="189" t="s">
        <v>735</v>
      </c>
      <c r="K158" s="177">
        <f>IFERROR((VLOOKUP(C158,Dados!B:AW,44,0)),0)</f>
        <v>0</v>
      </c>
      <c r="L158" s="177">
        <f>IFERROR((VLOOKUP(C158,Dados!B:AW,45,0)),0)</f>
        <v>0</v>
      </c>
      <c r="M158" s="177">
        <f>IFERROR((VLOOKUP(C158,Dados!B:AW,43,0)),0)</f>
        <v>0</v>
      </c>
      <c r="N158" s="179">
        <f>IFERROR((VLOOKUP(C158,Dados!B:AW,47,0)),0)</f>
        <v>0</v>
      </c>
      <c r="O158" s="197">
        <f t="shared" si="7"/>
        <v>2</v>
      </c>
      <c r="P158" s="1">
        <f t="shared" si="8"/>
        <v>0</v>
      </c>
      <c r="Q158" s="221"/>
      <c r="AC158">
        <v>2</v>
      </c>
      <c r="AD158">
        <v>2</v>
      </c>
      <c r="AE158">
        <v>1</v>
      </c>
      <c r="AH158" t="s">
        <v>29</v>
      </c>
      <c r="AI158" t="str">
        <f t="shared" si="6"/>
        <v>CEN017*</v>
      </c>
    </row>
    <row r="159" spans="1:35" ht="26.25" customHeight="1" x14ac:dyDescent="0.3">
      <c r="A159"/>
      <c r="B159" s="16">
        <v>210</v>
      </c>
      <c r="C159" s="16" t="s">
        <v>962</v>
      </c>
      <c r="D159" s="16" t="s">
        <v>1587</v>
      </c>
      <c r="E159" s="16" t="s">
        <v>962</v>
      </c>
      <c r="F159" s="200" t="s">
        <v>963</v>
      </c>
      <c r="G159" s="189" t="str">
        <f>IFERROR(VLOOKUP(C159,#REF!,4,FALSE),"")</f>
        <v/>
      </c>
      <c r="H159" s="249">
        <f>VLOOKUP(C159,Dados!B:AW,11,0)</f>
        <v>0.71</v>
      </c>
      <c r="I159" s="16" t="str">
        <f>(VLOOKUP(C159,Dados!B:AW,48,0))</f>
        <v>Confiabilidade em Crescimento</v>
      </c>
      <c r="J159" s="189" t="s">
        <v>735</v>
      </c>
      <c r="K159" s="177">
        <f>IFERROR((VLOOKUP(C159,Dados!B:AW,44,0)),0)</f>
        <v>0</v>
      </c>
      <c r="L159" s="177">
        <f>IFERROR((VLOOKUP(C159,Dados!B:AW,45,0)),0)</f>
        <v>0</v>
      </c>
      <c r="M159" s="177">
        <f>IFERROR((VLOOKUP(C159,Dados!B:AW,43,0)),0)</f>
        <v>0</v>
      </c>
      <c r="N159" s="179">
        <f>IFERROR((VLOOKUP(C159,Dados!B:AW,47,0)),0)</f>
        <v>0</v>
      </c>
      <c r="O159" s="197">
        <f t="shared" si="7"/>
        <v>2</v>
      </c>
      <c r="P159" s="1">
        <f t="shared" si="8"/>
        <v>0</v>
      </c>
      <c r="Q159" s="221"/>
      <c r="AC159">
        <v>2</v>
      </c>
      <c r="AD159">
        <v>2</v>
      </c>
      <c r="AE159">
        <v>1</v>
      </c>
      <c r="AH159" t="s">
        <v>922</v>
      </c>
      <c r="AI159" t="str">
        <f t="shared" si="6"/>
        <v>CAB107*</v>
      </c>
    </row>
    <row r="160" spans="1:35" ht="26.25" customHeight="1" x14ac:dyDescent="0.3">
      <c r="A160"/>
      <c r="B160" s="16">
        <v>211</v>
      </c>
      <c r="C160" s="16" t="s">
        <v>964</v>
      </c>
      <c r="D160" s="16" t="s">
        <v>1587</v>
      </c>
      <c r="E160" s="16" t="s">
        <v>964</v>
      </c>
      <c r="F160" s="200" t="s">
        <v>965</v>
      </c>
      <c r="G160" s="189" t="str">
        <f>IFERROR(VLOOKUP(C160,#REF!,4,FALSE),"")</f>
        <v/>
      </c>
      <c r="H160" s="249">
        <f>VLOOKUP(C160,Dados!B:AW,11,0)</f>
        <v>0.93</v>
      </c>
      <c r="I160" s="16" t="str">
        <f>(VLOOKUP(C160,Dados!B:AW,48,0))</f>
        <v>Confiabilidade em Crescimento</v>
      </c>
      <c r="J160" s="189" t="s">
        <v>735</v>
      </c>
      <c r="K160" s="177">
        <f>IFERROR((VLOOKUP(C160,Dados!B:AW,44,0)),0)</f>
        <v>0</v>
      </c>
      <c r="L160" s="177">
        <f>IFERROR((VLOOKUP(C160,Dados!B:AW,45,0)),0)</f>
        <v>0</v>
      </c>
      <c r="M160" s="177">
        <f>IFERROR((VLOOKUP(C160,Dados!B:AW,43,0)),0)</f>
        <v>0</v>
      </c>
      <c r="N160" s="179">
        <f>IFERROR((VLOOKUP(C160,Dados!B:AW,47,0)),0)</f>
        <v>0</v>
      </c>
      <c r="O160" s="197">
        <f t="shared" si="7"/>
        <v>2</v>
      </c>
      <c r="P160" s="1">
        <f t="shared" si="8"/>
        <v>0</v>
      </c>
      <c r="Q160" s="221"/>
      <c r="AC160">
        <v>2</v>
      </c>
      <c r="AD160">
        <v>2</v>
      </c>
      <c r="AE160">
        <v>1</v>
      </c>
      <c r="AH160" t="s">
        <v>938</v>
      </c>
      <c r="AI160" t="str">
        <f t="shared" si="6"/>
        <v>CAB120*</v>
      </c>
    </row>
    <row r="161" spans="1:35" ht="26.25" customHeight="1" x14ac:dyDescent="0.3">
      <c r="A161"/>
      <c r="B161" s="16">
        <v>212</v>
      </c>
      <c r="C161" s="16" t="s">
        <v>966</v>
      </c>
      <c r="D161" s="16" t="s">
        <v>1587</v>
      </c>
      <c r="E161" s="16" t="s">
        <v>966</v>
      </c>
      <c r="F161" s="200" t="s">
        <v>967</v>
      </c>
      <c r="G161" s="189" t="str">
        <f>IFERROR(VLOOKUP(C161,#REF!,4,FALSE),"")</f>
        <v/>
      </c>
      <c r="H161" s="249">
        <f>VLOOKUP(C161,Dados!B:AW,11,0)</f>
        <v>0.8</v>
      </c>
      <c r="I161" s="16" t="str">
        <f>(VLOOKUP(C161,Dados!B:AW,48,0))</f>
        <v>Confiabilidade em Crescimento</v>
      </c>
      <c r="J161" s="189" t="s">
        <v>735</v>
      </c>
      <c r="K161" s="177">
        <f>IFERROR((VLOOKUP(C161,Dados!B:AW,44,0)),0)</f>
        <v>0</v>
      </c>
      <c r="L161" s="177">
        <f>IFERROR((VLOOKUP(C161,Dados!B:AW,45,0)),0)</f>
        <v>0</v>
      </c>
      <c r="M161" s="177">
        <f>IFERROR((VLOOKUP(C161,Dados!B:AW,43,0)),0)</f>
        <v>0</v>
      </c>
      <c r="N161" s="179">
        <f>IFERROR((VLOOKUP(C161,Dados!B:AW,47,0)),0)</f>
        <v>0</v>
      </c>
      <c r="O161" s="197">
        <f t="shared" si="7"/>
        <v>2</v>
      </c>
      <c r="P161" s="1">
        <f t="shared" si="8"/>
        <v>0</v>
      </c>
      <c r="Q161" s="221"/>
      <c r="AC161">
        <v>2</v>
      </c>
      <c r="AD161">
        <v>2</v>
      </c>
      <c r="AE161">
        <v>1</v>
      </c>
      <c r="AH161" t="s">
        <v>785</v>
      </c>
      <c r="AI161" t="str">
        <f t="shared" si="6"/>
        <v>FIL024*</v>
      </c>
    </row>
    <row r="162" spans="1:35" ht="26.25" customHeight="1" x14ac:dyDescent="0.3">
      <c r="A162"/>
      <c r="B162" s="16">
        <v>213</v>
      </c>
      <c r="C162" s="16" t="s">
        <v>968</v>
      </c>
      <c r="D162" s="16" t="s">
        <v>1587</v>
      </c>
      <c r="E162" s="16" t="s">
        <v>968</v>
      </c>
      <c r="F162" s="200" t="s">
        <v>969</v>
      </c>
      <c r="G162" s="189" t="str">
        <f>IFERROR(VLOOKUP(C162,#REF!,4,FALSE),"")</f>
        <v/>
      </c>
      <c r="H162" s="249">
        <f>VLOOKUP(C162,Dados!B:AW,11,0)</f>
        <v>0.88</v>
      </c>
      <c r="I162" s="16" t="str">
        <f>(VLOOKUP(C162,Dados!B:AW,48,0))</f>
        <v>Confiabilidade em Crescimento</v>
      </c>
      <c r="J162" s="189" t="s">
        <v>735</v>
      </c>
      <c r="K162" s="177">
        <f>IFERROR((VLOOKUP(C162,Dados!B:AW,44,0)),0)</f>
        <v>0</v>
      </c>
      <c r="L162" s="177">
        <f>IFERROR((VLOOKUP(C162,Dados!B:AW,45,0)),0)</f>
        <v>0</v>
      </c>
      <c r="M162" s="177">
        <f>IFERROR((VLOOKUP(C162,Dados!B:AW,43,0)),0)</f>
        <v>0</v>
      </c>
      <c r="N162" s="179">
        <f>IFERROR((VLOOKUP(C162,Dados!B:AW,47,0)),0)</f>
        <v>0</v>
      </c>
      <c r="O162" s="197">
        <f t="shared" si="7"/>
        <v>2</v>
      </c>
      <c r="P162" s="1">
        <f t="shared" si="8"/>
        <v>0</v>
      </c>
      <c r="Q162" s="221"/>
      <c r="AC162">
        <v>2</v>
      </c>
      <c r="AD162">
        <v>2</v>
      </c>
      <c r="AE162">
        <v>1</v>
      </c>
      <c r="AH162" t="s">
        <v>793</v>
      </c>
      <c r="AI162" t="str">
        <f t="shared" si="6"/>
        <v>FOR101*</v>
      </c>
    </row>
    <row r="163" spans="1:35" ht="25" x14ac:dyDescent="0.3">
      <c r="A163"/>
      <c r="B163" s="16">
        <v>214</v>
      </c>
      <c r="C163" s="16" t="s">
        <v>970</v>
      </c>
      <c r="D163" s="16" t="s">
        <v>1587</v>
      </c>
      <c r="E163" s="16" t="s">
        <v>970</v>
      </c>
      <c r="F163" s="200" t="s">
        <v>971</v>
      </c>
      <c r="G163" s="189" t="str">
        <f>IFERROR(VLOOKUP(C163,#REF!,4,FALSE),"")</f>
        <v/>
      </c>
      <c r="H163" s="249">
        <f>VLOOKUP(C163,Dados!B:AW,11,0)</f>
        <v>0.99</v>
      </c>
      <c r="I163" s="16" t="str">
        <f>(VLOOKUP(C163,Dados!B:AW,48,0))</f>
        <v>Confiabilidade em Crescimento</v>
      </c>
      <c r="J163" s="189" t="s">
        <v>735</v>
      </c>
      <c r="K163" s="177">
        <f>IFERROR((VLOOKUP(C163,Dados!B:AW,44,0)),0)</f>
        <v>0</v>
      </c>
      <c r="L163" s="177">
        <f>IFERROR((VLOOKUP(C163,Dados!B:AW,45,0)),0)</f>
        <v>0</v>
      </c>
      <c r="M163" s="177">
        <f>IFERROR((VLOOKUP(C163,Dados!B:AW,43,0)),0)</f>
        <v>0</v>
      </c>
      <c r="N163" s="179">
        <f>IFERROR((VLOOKUP(C163,Dados!B:AW,47,0)),0)</f>
        <v>0</v>
      </c>
      <c r="O163" s="197">
        <f t="shared" si="7"/>
        <v>2</v>
      </c>
      <c r="P163" s="1">
        <f t="shared" si="8"/>
        <v>0</v>
      </c>
      <c r="Q163" s="221"/>
      <c r="AC163">
        <v>2</v>
      </c>
      <c r="AD163">
        <v>2</v>
      </c>
      <c r="AE163">
        <v>1</v>
      </c>
      <c r="AH163" t="s">
        <v>123</v>
      </c>
      <c r="AI163" t="str">
        <f t="shared" si="6"/>
        <v>MOD013*</v>
      </c>
    </row>
    <row r="164" spans="1:35" ht="26.25" customHeight="1" x14ac:dyDescent="0.3">
      <c r="A164"/>
      <c r="B164" s="16">
        <v>215</v>
      </c>
      <c r="C164" s="16" t="s">
        <v>972</v>
      </c>
      <c r="D164" s="16" t="s">
        <v>1587</v>
      </c>
      <c r="E164" s="16" t="s">
        <v>972</v>
      </c>
      <c r="F164" s="200" t="s">
        <v>973</v>
      </c>
      <c r="G164" s="189" t="str">
        <f>IFERROR(VLOOKUP(C164,#REF!,4,FALSE),"")</f>
        <v/>
      </c>
      <c r="H164" s="248">
        <f>VLOOKUP(C164,Dados!B:AW,11,0)</f>
        <v>0.83</v>
      </c>
      <c r="I164" s="16" t="str">
        <f>(VLOOKUP(C164,Dados!B:AW,48,0))</f>
        <v>Confiabilidade em Crescimento</v>
      </c>
      <c r="J164" s="189" t="s">
        <v>735</v>
      </c>
      <c r="K164" s="177">
        <f>IFERROR((VLOOKUP(C164,Dados!B:AW,44,0)),0)</f>
        <v>0</v>
      </c>
      <c r="L164" s="177">
        <f>IFERROR((VLOOKUP(C164,Dados!B:AW,45,0)),0)</f>
        <v>0</v>
      </c>
      <c r="M164" s="177">
        <f>IFERROR((VLOOKUP(C164,Dados!B:AW,43,0)),0)</f>
        <v>0</v>
      </c>
      <c r="N164" s="179">
        <f>IFERROR((VLOOKUP(C164,Dados!B:AW,47,0)),0)</f>
        <v>0</v>
      </c>
      <c r="O164" s="197">
        <f t="shared" si="7"/>
        <v>2</v>
      </c>
      <c r="P164" s="1">
        <f t="shared" si="8"/>
        <v>0</v>
      </c>
      <c r="Q164" s="221"/>
      <c r="AC164">
        <v>2</v>
      </c>
      <c r="AD164">
        <v>2</v>
      </c>
      <c r="AE164">
        <v>2</v>
      </c>
      <c r="AH164" t="s">
        <v>392</v>
      </c>
      <c r="AI164" t="str">
        <f t="shared" si="6"/>
        <v>CEN048*</v>
      </c>
    </row>
    <row r="165" spans="1:35" ht="26.25" customHeight="1" x14ac:dyDescent="0.3">
      <c r="A165"/>
      <c r="B165" s="16">
        <v>216</v>
      </c>
      <c r="C165" s="16" t="s">
        <v>974</v>
      </c>
      <c r="D165" s="16" t="s">
        <v>1587</v>
      </c>
      <c r="E165" s="16" t="s">
        <v>974</v>
      </c>
      <c r="F165" s="200" t="s">
        <v>975</v>
      </c>
      <c r="G165" s="189" t="str">
        <f>IFERROR(VLOOKUP(C165,#REF!,4,FALSE),"")</f>
        <v/>
      </c>
      <c r="H165" s="248">
        <f>VLOOKUP(C165,Dados!B:AW,11,0)</f>
        <v>0.76</v>
      </c>
      <c r="I165" s="16" t="str">
        <f>(VLOOKUP(C165,Dados!B:AW,48,0))</f>
        <v>Confiabilidade em Crescimento</v>
      </c>
      <c r="J165" s="189" t="s">
        <v>735</v>
      </c>
      <c r="K165" s="177">
        <f>IFERROR((VLOOKUP(C165,Dados!B:AW,44,0)),0)</f>
        <v>0</v>
      </c>
      <c r="L165" s="177">
        <f>IFERROR((VLOOKUP(C165,Dados!B:AW,45,0)),0)</f>
        <v>0</v>
      </c>
      <c r="M165" s="177">
        <f>IFERROR((VLOOKUP(C165,Dados!B:AW,43,0)),0)</f>
        <v>0</v>
      </c>
      <c r="N165" s="179">
        <f>IFERROR((VLOOKUP(C165,Dados!B:AW,47,0)),0)</f>
        <v>0</v>
      </c>
      <c r="O165" s="197">
        <f t="shared" si="7"/>
        <v>2</v>
      </c>
      <c r="P165" s="1">
        <f t="shared" si="8"/>
        <v>0</v>
      </c>
      <c r="Q165" s="221"/>
      <c r="AC165">
        <v>2</v>
      </c>
      <c r="AD165">
        <v>2</v>
      </c>
      <c r="AE165">
        <v>1</v>
      </c>
      <c r="AH165" t="s">
        <v>336</v>
      </c>
      <c r="AI165" t="str">
        <f t="shared" si="6"/>
        <v>CEN088*</v>
      </c>
    </row>
    <row r="166" spans="1:35" ht="25" x14ac:dyDescent="0.3">
      <c r="A166"/>
      <c r="B166" s="16">
        <v>217</v>
      </c>
      <c r="C166" s="16" t="s">
        <v>976</v>
      </c>
      <c r="D166" s="16" t="s">
        <v>1587</v>
      </c>
      <c r="E166" s="16" t="s">
        <v>976</v>
      </c>
      <c r="F166" s="200" t="s">
        <v>977</v>
      </c>
      <c r="G166" s="189" t="str">
        <f>IFERROR(VLOOKUP(C166,#REF!,4,FALSE),"")</f>
        <v/>
      </c>
      <c r="H166" s="250">
        <f>VLOOKUP(C166,Dados!B:AW,11,0)</f>
        <v>0.85</v>
      </c>
      <c r="I166" s="16" t="str">
        <f>(VLOOKUP(C166,Dados!B:AW,48,0))</f>
        <v>Confiabilidade em Crescimento</v>
      </c>
      <c r="J166" s="189" t="s">
        <v>735</v>
      </c>
      <c r="K166" s="177">
        <f>IFERROR((VLOOKUP(C166,Dados!B:AW,44,0)),0)</f>
        <v>0</v>
      </c>
      <c r="L166" s="177">
        <f>IFERROR((VLOOKUP(C166,Dados!B:AW,45,0)),0)</f>
        <v>0</v>
      </c>
      <c r="M166" s="177">
        <f>IFERROR((VLOOKUP(C166,Dados!B:AW,43,0)),0)</f>
        <v>0</v>
      </c>
      <c r="N166" s="179">
        <f>IFERROR((VLOOKUP(C166,Dados!B:AW,47,0)),0)</f>
        <v>0</v>
      </c>
      <c r="O166" s="197">
        <f t="shared" si="7"/>
        <v>2</v>
      </c>
      <c r="P166" s="1">
        <f t="shared" si="8"/>
        <v>0</v>
      </c>
      <c r="Q166" s="221"/>
      <c r="AC166">
        <v>2</v>
      </c>
      <c r="AD166">
        <v>2</v>
      </c>
      <c r="AE166">
        <v>2</v>
      </c>
      <c r="AH166" t="s">
        <v>380</v>
      </c>
      <c r="AI166" t="str">
        <f t="shared" si="6"/>
        <v>RET006*</v>
      </c>
    </row>
    <row r="167" spans="1:35" ht="25" x14ac:dyDescent="0.3">
      <c r="A167"/>
      <c r="B167" s="16">
        <v>218</v>
      </c>
      <c r="C167" s="16" t="s">
        <v>978</v>
      </c>
      <c r="D167" s="16" t="s">
        <v>1587</v>
      </c>
      <c r="E167" s="16" t="s">
        <v>978</v>
      </c>
      <c r="F167" s="200" t="s">
        <v>979</v>
      </c>
      <c r="G167" s="189" t="str">
        <f>IFERROR(VLOOKUP(C167,#REF!,4,FALSE),"")</f>
        <v/>
      </c>
      <c r="H167" s="248">
        <f>VLOOKUP(C167,Dados!B:AW,11,0)</f>
        <v>1.35</v>
      </c>
      <c r="I167" s="16" t="str">
        <f>(VLOOKUP(C167,Dados!B:AW,48,0))</f>
        <v>Fase de Degradação</v>
      </c>
      <c r="J167" s="189" t="s">
        <v>735</v>
      </c>
      <c r="K167" s="177">
        <f>IFERROR((VLOOKUP(C167,Dados!B:AW,44,0)),0)</f>
        <v>0</v>
      </c>
      <c r="L167" s="177">
        <f>IFERROR((VLOOKUP(C167,Dados!B:AW,45,0)),0)</f>
        <v>0</v>
      </c>
      <c r="M167" s="177">
        <f>IFERROR((VLOOKUP(C167,Dados!B:AW,43,0)),0)</f>
        <v>0</v>
      </c>
      <c r="N167" s="179">
        <f>IFERROR((VLOOKUP(C167,Dados!B:AW,47,0)),0)</f>
        <v>0</v>
      </c>
      <c r="O167" s="197">
        <f t="shared" si="7"/>
        <v>1</v>
      </c>
      <c r="P167" s="1">
        <f t="shared" si="8"/>
        <v>0</v>
      </c>
      <c r="Q167" s="221"/>
      <c r="AC167">
        <v>2</v>
      </c>
      <c r="AD167">
        <v>2</v>
      </c>
      <c r="AE167">
        <v>1</v>
      </c>
      <c r="AH167" t="s">
        <v>473</v>
      </c>
      <c r="AI167" t="str">
        <f t="shared" si="6"/>
        <v>ROB056*</v>
      </c>
    </row>
    <row r="168" spans="1:35" ht="26.25" customHeight="1" x14ac:dyDescent="0.3">
      <c r="A168"/>
      <c r="B168" s="16">
        <v>219</v>
      </c>
      <c r="C168" s="16" t="s">
        <v>980</v>
      </c>
      <c r="D168" s="16" t="s">
        <v>1587</v>
      </c>
      <c r="E168" s="16" t="s">
        <v>980</v>
      </c>
      <c r="F168" s="200" t="s">
        <v>981</v>
      </c>
      <c r="G168" s="189" t="str">
        <f>IFERROR(VLOOKUP(C168,#REF!,4,FALSE),"")</f>
        <v/>
      </c>
      <c r="H168" s="250">
        <f>VLOOKUP(C168,Dados!B:AW,11,0)</f>
        <v>1.05</v>
      </c>
      <c r="I168" s="16" t="str">
        <f>(VLOOKUP(C168,Dados!B:AW,48,0))</f>
        <v>Fase de Vida Útil</v>
      </c>
      <c r="J168" s="189" t="s">
        <v>735</v>
      </c>
      <c r="K168" s="177">
        <f>IFERROR((VLOOKUP(C168,Dados!B:AW,44,0)),0)</f>
        <v>0</v>
      </c>
      <c r="L168" s="177">
        <f>IFERROR((VLOOKUP(C168,Dados!B:AW,45,0)),0)</f>
        <v>0</v>
      </c>
      <c r="M168" s="177">
        <f>IFERROR((VLOOKUP(C168,Dados!B:AW,43,0)),0)</f>
        <v>0</v>
      </c>
      <c r="N168" s="179">
        <f>IFERROR((VLOOKUP(C168,Dados!B:AW,47,0)),0)</f>
        <v>0</v>
      </c>
      <c r="O168" s="197">
        <f t="shared" si="7"/>
        <v>2</v>
      </c>
      <c r="P168" s="1">
        <f t="shared" si="8"/>
        <v>0</v>
      </c>
      <c r="Q168" s="221"/>
      <c r="AC168">
        <v>2</v>
      </c>
      <c r="AD168">
        <v>2</v>
      </c>
      <c r="AE168">
        <v>1</v>
      </c>
      <c r="AH168" t="s">
        <v>527</v>
      </c>
      <c r="AI168" t="str">
        <f t="shared" si="6"/>
        <v>BRU012*</v>
      </c>
    </row>
    <row r="169" spans="1:35" ht="26.25" customHeight="1" x14ac:dyDescent="0.3">
      <c r="A169"/>
      <c r="B169" s="16">
        <v>220</v>
      </c>
      <c r="C169" s="16" t="s">
        <v>982</v>
      </c>
      <c r="D169" s="16" t="s">
        <v>1587</v>
      </c>
      <c r="E169" s="16" t="s">
        <v>982</v>
      </c>
      <c r="F169" s="200" t="s">
        <v>983</v>
      </c>
      <c r="G169" s="189" t="str">
        <f>IFERROR(VLOOKUP(C169,#REF!,4,FALSE),"")</f>
        <v/>
      </c>
      <c r="H169" s="248">
        <f>VLOOKUP(C169,Dados!B:AW,11,0)</f>
        <v>1.6</v>
      </c>
      <c r="I169" s="16" t="str">
        <f>(VLOOKUP(C169,Dados!B:AW,48,0))</f>
        <v>Fase de Degradação</v>
      </c>
      <c r="J169" s="189" t="s">
        <v>735</v>
      </c>
      <c r="K169" s="177">
        <f>IFERROR((VLOOKUP(C169,Dados!B:AW,44,0)),0)</f>
        <v>0</v>
      </c>
      <c r="L169" s="177">
        <f>IFERROR((VLOOKUP(C169,Dados!B:AW,45,0)),0)</f>
        <v>0</v>
      </c>
      <c r="M169" s="177">
        <f>IFERROR((VLOOKUP(C169,Dados!B:AW,43,0)),0)</f>
        <v>0</v>
      </c>
      <c r="N169" s="179">
        <f>IFERROR((VLOOKUP(C169,Dados!B:AW,47,0)),0)</f>
        <v>0</v>
      </c>
      <c r="O169" s="197">
        <f t="shared" si="7"/>
        <v>1</v>
      </c>
      <c r="P169" s="1">
        <f t="shared" si="8"/>
        <v>0</v>
      </c>
      <c r="Q169" s="221"/>
      <c r="AC169">
        <v>2</v>
      </c>
      <c r="AD169">
        <v>2</v>
      </c>
      <c r="AE169">
        <v>1</v>
      </c>
      <c r="AH169" t="s">
        <v>36</v>
      </c>
      <c r="AI169" t="str">
        <f t="shared" si="6"/>
        <v>INJ015*</v>
      </c>
    </row>
    <row r="170" spans="1:35" ht="26.25" customHeight="1" x14ac:dyDescent="0.3">
      <c r="A170"/>
      <c r="B170" s="16">
        <v>221</v>
      </c>
      <c r="C170" s="16" t="s">
        <v>984</v>
      </c>
      <c r="D170" s="16" t="s">
        <v>1587</v>
      </c>
      <c r="E170" s="16" t="s">
        <v>984</v>
      </c>
      <c r="F170" s="200" t="s">
        <v>985</v>
      </c>
      <c r="G170" s="189" t="str">
        <f>IFERROR(VLOOKUP(C170,#REF!,4,FALSE),"")</f>
        <v/>
      </c>
      <c r="H170" s="248">
        <f>VLOOKUP(C170,Dados!B:AW,11,0)</f>
        <v>1.05</v>
      </c>
      <c r="I170" s="16" t="str">
        <f>(VLOOKUP(C170,Dados!B:AW,48,0))</f>
        <v>Fase de Vida Útil</v>
      </c>
      <c r="J170" s="189" t="s">
        <v>735</v>
      </c>
      <c r="K170" s="177">
        <f>IFERROR((VLOOKUP(C170,Dados!B:AW,44,0)),0)</f>
        <v>0</v>
      </c>
      <c r="L170" s="177">
        <f>IFERROR((VLOOKUP(C170,Dados!B:AW,45,0)),0)</f>
        <v>0</v>
      </c>
      <c r="M170" s="177">
        <f>IFERROR((VLOOKUP(C170,Dados!B:AW,43,0)),0)</f>
        <v>0</v>
      </c>
      <c r="N170" s="179">
        <f>IFERROR((VLOOKUP(C170,Dados!B:AW,47,0)),0)</f>
        <v>0</v>
      </c>
      <c r="O170" s="197">
        <f t="shared" si="7"/>
        <v>2</v>
      </c>
      <c r="P170" s="1">
        <f t="shared" si="8"/>
        <v>0</v>
      </c>
      <c r="Q170" s="221"/>
      <c r="AC170">
        <v>2</v>
      </c>
      <c r="AD170">
        <v>2</v>
      </c>
      <c r="AE170">
        <v>1</v>
      </c>
      <c r="AH170" t="s">
        <v>408</v>
      </c>
      <c r="AI170" t="str">
        <f t="shared" si="6"/>
        <v>CEN070*</v>
      </c>
    </row>
    <row r="171" spans="1:35" ht="25" x14ac:dyDescent="0.3">
      <c r="A171"/>
      <c r="B171" s="16">
        <v>222</v>
      </c>
      <c r="C171" s="16" t="s">
        <v>986</v>
      </c>
      <c r="D171" s="16" t="s">
        <v>1587</v>
      </c>
      <c r="E171" s="16" t="s">
        <v>986</v>
      </c>
      <c r="F171" s="200" t="s">
        <v>987</v>
      </c>
      <c r="G171" s="189" t="str">
        <f>IFERROR(VLOOKUP(C171,#REF!,4,FALSE),"")</f>
        <v/>
      </c>
      <c r="H171" s="249">
        <f>VLOOKUP(C171,Dados!B:AW,11,0)</f>
        <v>1.42</v>
      </c>
      <c r="I171" s="16" t="str">
        <f>(VLOOKUP(C171,Dados!B:AW,48,0))</f>
        <v>Fase de Degradação</v>
      </c>
      <c r="J171" s="189" t="s">
        <v>735</v>
      </c>
      <c r="K171" s="177">
        <f>IFERROR((VLOOKUP(C171,Dados!B:AW,44,0)),0)</f>
        <v>0</v>
      </c>
      <c r="L171" s="177">
        <f>IFERROR((VLOOKUP(C171,Dados!B:AW,45,0)),0)</f>
        <v>0</v>
      </c>
      <c r="M171" s="177">
        <f>IFERROR((VLOOKUP(C171,Dados!B:AW,43,0)),0)</f>
        <v>0</v>
      </c>
      <c r="N171" s="179">
        <f>IFERROR((VLOOKUP(C171,Dados!B:AW,47,0)),0)</f>
        <v>0</v>
      </c>
      <c r="O171" s="197">
        <f t="shared" si="7"/>
        <v>1</v>
      </c>
      <c r="P171" s="1">
        <f t="shared" si="8"/>
        <v>0</v>
      </c>
      <c r="Q171" s="221"/>
      <c r="AC171">
        <v>2</v>
      </c>
      <c r="AD171">
        <v>2</v>
      </c>
      <c r="AE171">
        <v>2</v>
      </c>
      <c r="AH171" t="s">
        <v>463</v>
      </c>
      <c r="AI171" t="str">
        <f t="shared" si="6"/>
        <v>ROB026*</v>
      </c>
    </row>
    <row r="172" spans="1:35" ht="26.25" customHeight="1" x14ac:dyDescent="0.3">
      <c r="A172"/>
      <c r="B172" s="16">
        <v>223</v>
      </c>
      <c r="C172" s="16" t="s">
        <v>988</v>
      </c>
      <c r="D172" s="16" t="s">
        <v>1587</v>
      </c>
      <c r="E172" s="16" t="s">
        <v>988</v>
      </c>
      <c r="F172" s="200" t="s">
        <v>989</v>
      </c>
      <c r="G172" s="189" t="str">
        <f>IFERROR(VLOOKUP(C172,#REF!,4,FALSE),"")</f>
        <v/>
      </c>
      <c r="H172" s="250">
        <f>VLOOKUP(C172,Dados!B:AW,11,0)</f>
        <v>1.29</v>
      </c>
      <c r="I172" s="16" t="str">
        <f>(VLOOKUP(C172,Dados!B:AW,48,0))</f>
        <v>Fase de Degradação</v>
      </c>
      <c r="J172" s="189" t="s">
        <v>735</v>
      </c>
      <c r="K172" s="177">
        <f>IFERROR((VLOOKUP(C172,Dados!B:AW,44,0)),0)</f>
        <v>0</v>
      </c>
      <c r="L172" s="177">
        <f>IFERROR((VLOOKUP(C172,Dados!B:AW,45,0)),0)</f>
        <v>0</v>
      </c>
      <c r="M172" s="177">
        <f>IFERROR((VLOOKUP(C172,Dados!B:AW,43,0)),0)</f>
        <v>0</v>
      </c>
      <c r="N172" s="179">
        <f>IFERROR((VLOOKUP(C172,Dados!B:AW,47,0)),0)</f>
        <v>0</v>
      </c>
      <c r="O172" s="197">
        <f t="shared" si="7"/>
        <v>1</v>
      </c>
      <c r="P172" s="1">
        <f t="shared" si="8"/>
        <v>0</v>
      </c>
      <c r="Q172" s="221"/>
      <c r="AC172">
        <v>2</v>
      </c>
      <c r="AD172">
        <v>2</v>
      </c>
      <c r="AE172">
        <v>2</v>
      </c>
      <c r="AH172" t="s">
        <v>543</v>
      </c>
      <c r="AI172" t="str">
        <f t="shared" si="6"/>
        <v>BRU040*</v>
      </c>
    </row>
    <row r="173" spans="1:35" ht="25" x14ac:dyDescent="0.3">
      <c r="A173"/>
      <c r="B173" s="16">
        <v>224</v>
      </c>
      <c r="C173" s="16" t="s">
        <v>990</v>
      </c>
      <c r="D173" s="16" t="s">
        <v>1587</v>
      </c>
      <c r="E173" s="16" t="s">
        <v>990</v>
      </c>
      <c r="F173" s="200" t="s">
        <v>991</v>
      </c>
      <c r="G173" s="189" t="str">
        <f>IFERROR(VLOOKUP(C173,#REF!,4,FALSE),"")</f>
        <v/>
      </c>
      <c r="H173" s="250">
        <f>VLOOKUP(C173,Dados!B:AW,11,0)</f>
        <v>1.33</v>
      </c>
      <c r="I173" s="16" t="str">
        <f>(VLOOKUP(C173,Dados!B:AW,48,0))</f>
        <v>Fase de Degradação</v>
      </c>
      <c r="J173" s="189" t="s">
        <v>735</v>
      </c>
      <c r="K173" s="177">
        <f>IFERROR((VLOOKUP(C173,Dados!B:AW,44,0)),0)</f>
        <v>0</v>
      </c>
      <c r="L173" s="177">
        <f>IFERROR((VLOOKUP(C173,Dados!B:AW,45,0)),0)</f>
        <v>0</v>
      </c>
      <c r="M173" s="177">
        <f>IFERROR((VLOOKUP(C173,Dados!B:AW,43,0)),0)</f>
        <v>0</v>
      </c>
      <c r="N173" s="179">
        <f>IFERROR((VLOOKUP(C173,Dados!B:AW,47,0)),0)</f>
        <v>0</v>
      </c>
      <c r="O173" s="197">
        <f t="shared" si="7"/>
        <v>1</v>
      </c>
      <c r="P173" s="1">
        <f t="shared" si="8"/>
        <v>0</v>
      </c>
      <c r="Q173" s="221"/>
      <c r="AC173">
        <v>2</v>
      </c>
      <c r="AD173">
        <v>2</v>
      </c>
      <c r="AE173">
        <v>1</v>
      </c>
      <c r="AH173" t="s">
        <v>364</v>
      </c>
      <c r="AI173" t="str">
        <f t="shared" si="6"/>
        <v>CEN034*</v>
      </c>
    </row>
    <row r="174" spans="1:35" ht="25" x14ac:dyDescent="0.3">
      <c r="A174"/>
      <c r="B174" s="16">
        <v>225</v>
      </c>
      <c r="C174" s="16" t="s">
        <v>1820</v>
      </c>
      <c r="D174" s="16" t="s">
        <v>1587</v>
      </c>
      <c r="E174" s="16" t="s">
        <v>1820</v>
      </c>
      <c r="F174" s="200" t="s">
        <v>1689</v>
      </c>
      <c r="G174" s="189" t="str">
        <f>IFERROR(VLOOKUP(C174,#REF!,4,FALSE),"")</f>
        <v/>
      </c>
      <c r="H174" s="248">
        <f>VLOOKUP(C174,Dados!B:AW,11,0)</f>
        <v>0</v>
      </c>
      <c r="I174" s="16" t="str">
        <f>(VLOOKUP(C174,Dados!B:AW,48,0))</f>
        <v>Confiabilidade em Crescimento</v>
      </c>
      <c r="J174" s="189" t="s">
        <v>735</v>
      </c>
      <c r="K174" s="177">
        <f>IFERROR((VLOOKUP(C174,Dados!B:AW,44,0)),0)</f>
        <v>0</v>
      </c>
      <c r="L174" s="177">
        <f>IFERROR((VLOOKUP(C174,Dados!B:AW,45,0)),0)</f>
        <v>0</v>
      </c>
      <c r="M174" s="177">
        <f>IFERROR((VLOOKUP(C174,Dados!B:AW,43,0)),0)</f>
        <v>0</v>
      </c>
      <c r="N174" s="179">
        <f>IFERROR((VLOOKUP(C174,Dados!B:AW,47,0)),0)</f>
        <v>0</v>
      </c>
      <c r="O174" s="197">
        <f t="shared" si="7"/>
        <v>2</v>
      </c>
      <c r="P174" s="1">
        <f t="shared" si="8"/>
        <v>0</v>
      </c>
      <c r="Q174" s="221"/>
      <c r="AC174">
        <v>2</v>
      </c>
      <c r="AD174">
        <v>2</v>
      </c>
      <c r="AE174">
        <v>1</v>
      </c>
      <c r="AH174" t="s">
        <v>351</v>
      </c>
      <c r="AI174" t="str">
        <f t="shared" si="6"/>
        <v>FOR052*</v>
      </c>
    </row>
    <row r="175" spans="1:35" ht="25" x14ac:dyDescent="0.3">
      <c r="A175"/>
      <c r="B175" s="16">
        <v>226</v>
      </c>
      <c r="C175" s="16" t="s">
        <v>1821</v>
      </c>
      <c r="D175" s="16" t="s">
        <v>1587</v>
      </c>
      <c r="E175" s="16" t="s">
        <v>1821</v>
      </c>
      <c r="F175" s="200" t="s">
        <v>1690</v>
      </c>
      <c r="G175" s="189" t="str">
        <f>IFERROR(VLOOKUP(C175,#REF!,4,FALSE),"")</f>
        <v/>
      </c>
      <c r="H175" s="248">
        <f>VLOOKUP(C175,Dados!B:AW,11,0)</f>
        <v>0</v>
      </c>
      <c r="I175" s="16" t="str">
        <f>(VLOOKUP(C175,Dados!B:AW,48,0))</f>
        <v>Confiabilidade em Crescimento</v>
      </c>
      <c r="J175" s="189" t="s">
        <v>735</v>
      </c>
      <c r="K175" s="177">
        <f>IFERROR((VLOOKUP(C175,Dados!B:AW,44,0)),0)</f>
        <v>0</v>
      </c>
      <c r="L175" s="177">
        <f>IFERROR((VLOOKUP(C175,Dados!B:AW,45,0)),0)</f>
        <v>0</v>
      </c>
      <c r="M175" s="177">
        <f>IFERROR((VLOOKUP(C175,Dados!B:AW,43,0)),0)</f>
        <v>0</v>
      </c>
      <c r="N175" s="179">
        <f>IFERROR((VLOOKUP(C175,Dados!B:AW,47,0)),0)</f>
        <v>0</v>
      </c>
      <c r="O175" s="197">
        <f t="shared" si="7"/>
        <v>2</v>
      </c>
      <c r="P175" s="1">
        <f t="shared" si="8"/>
        <v>0</v>
      </c>
      <c r="Q175" s="221"/>
      <c r="AC175">
        <v>2</v>
      </c>
      <c r="AD175">
        <v>2</v>
      </c>
      <c r="AE175">
        <v>1</v>
      </c>
      <c r="AH175" t="s">
        <v>241</v>
      </c>
      <c r="AI175" t="str">
        <f t="shared" si="6"/>
        <v>FOR062*</v>
      </c>
    </row>
    <row r="176" spans="1:35" ht="25" x14ac:dyDescent="0.3">
      <c r="A176"/>
      <c r="B176" s="16">
        <v>236</v>
      </c>
      <c r="C176" s="16" t="s">
        <v>767</v>
      </c>
      <c r="D176" s="16" t="s">
        <v>1585</v>
      </c>
      <c r="E176" s="16" t="s">
        <v>2063</v>
      </c>
      <c r="F176" s="200" t="s">
        <v>768</v>
      </c>
      <c r="G176" s="189" t="str">
        <f>IFERROR(VLOOKUP(C176,#REF!,4,FALSE),"")</f>
        <v/>
      </c>
      <c r="H176" s="248">
        <f>VLOOKUP(C176,Dados!B:AW,11,0)</f>
        <v>0.53</v>
      </c>
      <c r="I176" s="16" t="str">
        <f>(VLOOKUP(C176,Dados!B:AW,48,0))</f>
        <v>Confiabilidade em Crescimento</v>
      </c>
      <c r="J176" s="189" t="s">
        <v>734</v>
      </c>
      <c r="K176" s="177">
        <f>IFERROR((VLOOKUP(C176,Dados!B:AW,44,0)),0)</f>
        <v>0</v>
      </c>
      <c r="L176" s="177">
        <f>IFERROR((VLOOKUP(C176,Dados!B:AW,45,0)),0)</f>
        <v>0</v>
      </c>
      <c r="M176" s="177">
        <f>IFERROR((VLOOKUP(C176,Dados!B:AW,43,0)),0)</f>
        <v>0</v>
      </c>
      <c r="N176" s="179">
        <f>IFERROR((VLOOKUP(C176,Dados!B:AW,47,0)),0)</f>
        <v>0</v>
      </c>
      <c r="O176" s="197">
        <f t="shared" si="7"/>
        <v>2</v>
      </c>
      <c r="P176" s="1">
        <f t="shared" si="8"/>
        <v>0</v>
      </c>
      <c r="Q176" s="221"/>
      <c r="AC176">
        <v>2</v>
      </c>
      <c r="AD176">
        <v>2</v>
      </c>
      <c r="AE176">
        <v>1</v>
      </c>
      <c r="AH176" t="s">
        <v>1050</v>
      </c>
      <c r="AI176" t="str">
        <f t="shared" si="6"/>
        <v>GRV017*</v>
      </c>
    </row>
    <row r="177" spans="1:35" ht="26.25" customHeight="1" x14ac:dyDescent="0.3">
      <c r="A177"/>
      <c r="B177" s="16">
        <v>237</v>
      </c>
      <c r="C177" s="16" t="s">
        <v>769</v>
      </c>
      <c r="D177" s="16" t="s">
        <v>1585</v>
      </c>
      <c r="E177" s="16" t="s">
        <v>2063</v>
      </c>
      <c r="F177" s="200" t="s">
        <v>770</v>
      </c>
      <c r="G177" s="189" t="str">
        <f>IFERROR(VLOOKUP(C177,#REF!,4,FALSE),"")</f>
        <v/>
      </c>
      <c r="H177" s="250">
        <f>VLOOKUP(C177,Dados!B:AW,11,0)</f>
        <v>0.6</v>
      </c>
      <c r="I177" s="16" t="str">
        <f>(VLOOKUP(C177,Dados!B:AW,48,0))</f>
        <v>Confiabilidade em Crescimento</v>
      </c>
      <c r="J177" s="189" t="s">
        <v>734</v>
      </c>
      <c r="K177" s="177">
        <f>IFERROR((VLOOKUP(C177,Dados!B:AW,44,0)),0)</f>
        <v>0</v>
      </c>
      <c r="L177" s="177">
        <f>IFERROR((VLOOKUP(C177,Dados!B:AW,45,0)),0)</f>
        <v>0</v>
      </c>
      <c r="M177" s="177">
        <f>IFERROR((VLOOKUP(C177,Dados!B:AW,43,0)),0)</f>
        <v>0</v>
      </c>
      <c r="N177" s="179">
        <f>IFERROR((VLOOKUP(C177,Dados!B:AW,47,0)),0)</f>
        <v>0</v>
      </c>
      <c r="O177" s="197">
        <f t="shared" si="7"/>
        <v>2</v>
      </c>
      <c r="P177" s="1">
        <f t="shared" si="8"/>
        <v>0</v>
      </c>
      <c r="Q177" s="221"/>
      <c r="AC177">
        <v>2</v>
      </c>
      <c r="AD177">
        <v>2</v>
      </c>
      <c r="AE177">
        <v>1</v>
      </c>
      <c r="AH177" t="s">
        <v>1108</v>
      </c>
      <c r="AI177" t="str">
        <f t="shared" si="6"/>
        <v>MAQ243*</v>
      </c>
    </row>
    <row r="178" spans="1:35" ht="26.25" customHeight="1" x14ac:dyDescent="0.3">
      <c r="A178"/>
      <c r="B178" s="16">
        <v>546</v>
      </c>
      <c r="C178" s="16" t="s">
        <v>296</v>
      </c>
      <c r="D178" s="16" t="s">
        <v>1585</v>
      </c>
      <c r="E178" s="16" t="s">
        <v>2063</v>
      </c>
      <c r="F178" s="252" t="str">
        <f>VLOOKUP(C178,[9]Dados!B:C,2,0)</f>
        <v>ROB010-ROBO</v>
      </c>
      <c r="G178" s="189" t="str">
        <f>IFERROR(VLOOKUP(C178,#REF!,4,FALSE),"")</f>
        <v/>
      </c>
      <c r="H178" s="249">
        <f>VLOOKUP(C178,Dados!B:AW,11,0)</f>
        <v>1.72</v>
      </c>
      <c r="I178" s="16" t="str">
        <f>(VLOOKUP(C178,Dados!B:AW,48,0))</f>
        <v>Fase de Degradação</v>
      </c>
      <c r="J178" s="189" t="s">
        <v>733</v>
      </c>
      <c r="K178" s="177">
        <f>IFERROR((VLOOKUP(C178,Dados!B:AW,44,0)),0)</f>
        <v>0</v>
      </c>
      <c r="L178" s="177">
        <f>IFERROR((VLOOKUP(C178,Dados!B:AW,45,0)),0)</f>
        <v>0</v>
      </c>
      <c r="M178" s="177">
        <f>IFERROR((VLOOKUP(C178,Dados!B:AW,43,0)),0)</f>
        <v>0</v>
      </c>
      <c r="N178" s="179">
        <f>IFERROR((VLOOKUP(C178,Dados!B:AW,47,0)),0)</f>
        <v>0</v>
      </c>
      <c r="O178" s="197">
        <f t="shared" si="7"/>
        <v>-1</v>
      </c>
      <c r="P178" s="1">
        <f t="shared" si="8"/>
        <v>0</v>
      </c>
      <c r="Q178" s="221"/>
      <c r="AC178">
        <v>2</v>
      </c>
      <c r="AD178">
        <v>2</v>
      </c>
      <c r="AE178">
        <v>2</v>
      </c>
      <c r="AH178" t="s">
        <v>1215</v>
      </c>
      <c r="AI178" t="str">
        <f t="shared" si="6"/>
        <v>TRO002*</v>
      </c>
    </row>
    <row r="179" spans="1:35" ht="26.25" customHeight="1" x14ac:dyDescent="0.3">
      <c r="A179"/>
      <c r="B179" s="16">
        <v>238</v>
      </c>
      <c r="C179" s="16" t="s">
        <v>771</v>
      </c>
      <c r="D179" s="16" t="s">
        <v>1585</v>
      </c>
      <c r="E179" s="16" t="s">
        <v>2068</v>
      </c>
      <c r="F179" s="200" t="s">
        <v>772</v>
      </c>
      <c r="G179" s="189" t="str">
        <f>IFERROR(VLOOKUP(C179,#REF!,4,FALSE),"")</f>
        <v/>
      </c>
      <c r="H179" s="250">
        <f>VLOOKUP(C179,Dados!B:AW,11,0)</f>
        <v>0.77</v>
      </c>
      <c r="I179" s="16" t="str">
        <f>(VLOOKUP(C179,Dados!B:AW,48,0))</f>
        <v>Confiabilidade em Crescimento</v>
      </c>
      <c r="J179" s="189" t="s">
        <v>734</v>
      </c>
      <c r="K179" s="177">
        <f>IFERROR((VLOOKUP(C179,Dados!B:AW,44,0)),0)</f>
        <v>0</v>
      </c>
      <c r="L179" s="177">
        <f>IFERROR((VLOOKUP(C179,Dados!B:AW,45,0)),0)</f>
        <v>0</v>
      </c>
      <c r="M179" s="177">
        <f>IFERROR((VLOOKUP(C179,Dados!B:AW,43,0)),0)</f>
        <v>0</v>
      </c>
      <c r="N179" s="179">
        <f>IFERROR((VLOOKUP(C179,Dados!B:AW,47,0)),0)</f>
        <v>0</v>
      </c>
      <c r="O179" s="197">
        <f t="shared" si="7"/>
        <v>2</v>
      </c>
      <c r="P179" s="1">
        <f t="shared" si="8"/>
        <v>0</v>
      </c>
      <c r="Q179" s="221"/>
      <c r="AC179">
        <v>2</v>
      </c>
      <c r="AD179">
        <v>2</v>
      </c>
      <c r="AE179">
        <v>2</v>
      </c>
      <c r="AH179" t="s">
        <v>524</v>
      </c>
      <c r="AI179" t="str">
        <f t="shared" si="6"/>
        <v>BRU009*</v>
      </c>
    </row>
    <row r="180" spans="1:35" ht="26.25" customHeight="1" x14ac:dyDescent="0.3">
      <c r="A180"/>
      <c r="B180" s="16">
        <v>239</v>
      </c>
      <c r="C180" s="16" t="s">
        <v>773</v>
      </c>
      <c r="D180" s="16" t="s">
        <v>1585</v>
      </c>
      <c r="E180" s="16" t="s">
        <v>2068</v>
      </c>
      <c r="F180" s="200" t="s">
        <v>774</v>
      </c>
      <c r="G180" s="189" t="str">
        <f>IFERROR(VLOOKUP(C180,#REF!,4,FALSE),"")</f>
        <v/>
      </c>
      <c r="H180" s="248">
        <f>VLOOKUP(C180,Dados!B:AW,11,0)</f>
        <v>0.76</v>
      </c>
      <c r="I180" s="16" t="str">
        <f>(VLOOKUP(C180,Dados!B:AW,48,0))</f>
        <v>Confiabilidade em Crescimento</v>
      </c>
      <c r="J180" s="189" t="s">
        <v>734</v>
      </c>
      <c r="K180" s="177">
        <f>IFERROR((VLOOKUP(C180,Dados!B:AW,44,0)),0)</f>
        <v>0</v>
      </c>
      <c r="L180" s="177">
        <f>IFERROR((VLOOKUP(C180,Dados!B:AW,45,0)),0)</f>
        <v>0</v>
      </c>
      <c r="M180" s="177">
        <f>IFERROR((VLOOKUP(C180,Dados!B:AW,43,0)),0)</f>
        <v>0</v>
      </c>
      <c r="N180" s="179">
        <f>IFERROR((VLOOKUP(C180,Dados!B:AW,47,0)),0)</f>
        <v>0</v>
      </c>
      <c r="O180" s="197">
        <f t="shared" si="7"/>
        <v>2</v>
      </c>
      <c r="P180" s="1">
        <f t="shared" si="8"/>
        <v>0</v>
      </c>
      <c r="Q180" s="221"/>
      <c r="AC180">
        <v>2</v>
      </c>
      <c r="AD180">
        <v>2</v>
      </c>
      <c r="AE180">
        <v>2</v>
      </c>
      <c r="AH180" t="s">
        <v>537</v>
      </c>
      <c r="AI180" t="str">
        <f t="shared" si="6"/>
        <v>BRU031*</v>
      </c>
    </row>
    <row r="181" spans="1:35" ht="26.25" customHeight="1" x14ac:dyDescent="0.3">
      <c r="A181"/>
      <c r="B181" s="16">
        <v>541</v>
      </c>
      <c r="C181" s="16" t="s">
        <v>133</v>
      </c>
      <c r="D181" s="16" t="s">
        <v>1585</v>
      </c>
      <c r="E181" s="16" t="s">
        <v>2068</v>
      </c>
      <c r="F181" s="252" t="str">
        <f>VLOOKUP(C181,[9]Dados!B:C,2,0)</f>
        <v>ROB004-ROBÔ</v>
      </c>
      <c r="G181" s="189" t="str">
        <f>IFERROR(VLOOKUP(C181,#REF!,4,FALSE),"")</f>
        <v/>
      </c>
      <c r="H181" s="249">
        <f>VLOOKUP(C181,Dados!B:AW,11,0)</f>
        <v>1.46</v>
      </c>
      <c r="I181" s="16" t="str">
        <f>(VLOOKUP(C181,Dados!B:AW,48,0))</f>
        <v>Fase de Degradação</v>
      </c>
      <c r="J181" s="189" t="s">
        <v>733</v>
      </c>
      <c r="K181" s="177">
        <f>IFERROR((VLOOKUP(C181,Dados!B:AW,44,0)),0)</f>
        <v>0</v>
      </c>
      <c r="L181" s="177">
        <f>IFERROR((VLOOKUP(C181,Dados!B:AW,45,0)),0)</f>
        <v>0</v>
      </c>
      <c r="M181" s="177">
        <f>IFERROR((VLOOKUP(C181,Dados!B:AW,43,0)),0)</f>
        <v>0</v>
      </c>
      <c r="N181" s="179">
        <f>IFERROR((VLOOKUP(C181,Dados!B:AW,47,0)),0)</f>
        <v>0</v>
      </c>
      <c r="O181" s="197">
        <f t="shared" si="7"/>
        <v>-1</v>
      </c>
      <c r="P181" s="1">
        <f t="shared" si="8"/>
        <v>0</v>
      </c>
      <c r="Q181" s="221"/>
      <c r="AC181">
        <v>2</v>
      </c>
      <c r="AD181">
        <v>2</v>
      </c>
      <c r="AE181">
        <v>2</v>
      </c>
      <c r="AH181" t="s">
        <v>358</v>
      </c>
      <c r="AI181" t="str">
        <f t="shared" si="6"/>
        <v>CEN038*</v>
      </c>
    </row>
    <row r="182" spans="1:35" ht="26.25" customHeight="1" x14ac:dyDescent="0.3">
      <c r="A182"/>
      <c r="B182" s="16">
        <v>240</v>
      </c>
      <c r="C182" s="16" t="s">
        <v>775</v>
      </c>
      <c r="D182" s="16" t="s">
        <v>1585</v>
      </c>
      <c r="E182" s="16" t="s">
        <v>2076</v>
      </c>
      <c r="F182" s="200" t="s">
        <v>776</v>
      </c>
      <c r="G182" s="189" t="str">
        <f>IFERROR(VLOOKUP(C182,#REF!,4,FALSE),"")</f>
        <v/>
      </c>
      <c r="H182" s="250">
        <f>VLOOKUP(C182,Dados!B:AW,11,0)</f>
        <v>0.72</v>
      </c>
      <c r="I182" s="16" t="str">
        <f>(VLOOKUP(C182,Dados!B:AW,48,0))</f>
        <v>Confiabilidade em Crescimento</v>
      </c>
      <c r="J182" s="189" t="s">
        <v>734</v>
      </c>
      <c r="K182" s="177">
        <f>IFERROR((VLOOKUP(C182,Dados!B:AW,44,0)),0)</f>
        <v>0</v>
      </c>
      <c r="L182" s="177">
        <f>IFERROR((VLOOKUP(C182,Dados!B:AW,45,0)),0)</f>
        <v>0</v>
      </c>
      <c r="M182" s="177">
        <f>IFERROR((VLOOKUP(C182,Dados!B:AW,43,0)),0)</f>
        <v>0</v>
      </c>
      <c r="N182" s="179">
        <f>IFERROR((VLOOKUP(C182,Dados!B:AW,47,0)),0)</f>
        <v>0</v>
      </c>
      <c r="O182" s="197">
        <f t="shared" si="7"/>
        <v>2</v>
      </c>
      <c r="P182" s="1">
        <f t="shared" si="8"/>
        <v>0</v>
      </c>
      <c r="Q182" s="221"/>
      <c r="AC182">
        <v>2</v>
      </c>
      <c r="AD182">
        <v>2</v>
      </c>
      <c r="AE182">
        <v>2</v>
      </c>
      <c r="AH182" t="s">
        <v>35</v>
      </c>
      <c r="AI182" t="str">
        <f t="shared" si="6"/>
        <v>INJ012*</v>
      </c>
    </row>
    <row r="183" spans="1:35" ht="26.25" customHeight="1" x14ac:dyDescent="0.3">
      <c r="A183"/>
      <c r="B183" s="16">
        <v>241</v>
      </c>
      <c r="C183" s="16" t="s">
        <v>777</v>
      </c>
      <c r="D183" s="16" t="s">
        <v>1585</v>
      </c>
      <c r="E183" s="16" t="s">
        <v>2076</v>
      </c>
      <c r="F183" s="200" t="s">
        <v>778</v>
      </c>
      <c r="G183" s="189" t="str">
        <f>IFERROR(VLOOKUP(C183,#REF!,4,FALSE),"")</f>
        <v/>
      </c>
      <c r="H183" s="250">
        <f>VLOOKUP(C183,Dados!B:AW,11,0)</f>
        <v>0.78</v>
      </c>
      <c r="I183" s="16" t="str">
        <f>(VLOOKUP(C183,Dados!B:AW,48,0))</f>
        <v>Confiabilidade em Crescimento</v>
      </c>
      <c r="J183" s="189" t="s">
        <v>734</v>
      </c>
      <c r="K183" s="177">
        <f>IFERROR((VLOOKUP(C183,Dados!B:AW,44,0)),0)</f>
        <v>0</v>
      </c>
      <c r="L183" s="177">
        <f>IFERROR((VLOOKUP(C183,Dados!B:AW,45,0)),0)</f>
        <v>0</v>
      </c>
      <c r="M183" s="177">
        <f>IFERROR((VLOOKUP(C183,Dados!B:AW,43,0)),0)</f>
        <v>0</v>
      </c>
      <c r="N183" s="179">
        <f>IFERROR((VLOOKUP(C183,Dados!B:AW,47,0)),0)</f>
        <v>0</v>
      </c>
      <c r="O183" s="197">
        <f t="shared" si="7"/>
        <v>2</v>
      </c>
      <c r="P183" s="1">
        <f t="shared" si="8"/>
        <v>0</v>
      </c>
      <c r="Q183" s="221"/>
      <c r="AC183">
        <v>2</v>
      </c>
      <c r="AD183">
        <v>2</v>
      </c>
      <c r="AE183">
        <v>2</v>
      </c>
      <c r="AH183" t="s">
        <v>801</v>
      </c>
      <c r="AI183" t="str">
        <f t="shared" si="6"/>
        <v>JAT033*</v>
      </c>
    </row>
    <row r="184" spans="1:35" ht="26.25" customHeight="1" x14ac:dyDescent="0.3">
      <c r="A184"/>
      <c r="B184" s="16">
        <v>542</v>
      </c>
      <c r="C184" s="16" t="s">
        <v>451</v>
      </c>
      <c r="D184" s="16" t="s">
        <v>1585</v>
      </c>
      <c r="E184" s="16" t="s">
        <v>2076</v>
      </c>
      <c r="F184" s="252" t="str">
        <f>VLOOKUP(C184,[9]Dados!B:C,2,0)</f>
        <v>ROB005-ROBÔ</v>
      </c>
      <c r="G184" s="189" t="str">
        <f>IFERROR(VLOOKUP(C184,#REF!,4,FALSE),"")</f>
        <v/>
      </c>
      <c r="H184" s="249">
        <f>VLOOKUP(C184,Dados!B:AW,11,0)</f>
        <v>1.92</v>
      </c>
      <c r="I184" s="16" t="str">
        <f>(VLOOKUP(C184,Dados!B:AW,48,0))</f>
        <v>Fase de Degradação</v>
      </c>
      <c r="J184" s="189" t="s">
        <v>733</v>
      </c>
      <c r="K184" s="177">
        <f>IFERROR((VLOOKUP(C184,Dados!B:AW,44,0)),0)</f>
        <v>0</v>
      </c>
      <c r="L184" s="177">
        <f>IFERROR((VLOOKUP(C184,Dados!B:AW,45,0)),0)</f>
        <v>0</v>
      </c>
      <c r="M184" s="177">
        <f>IFERROR((VLOOKUP(C184,Dados!B:AW,43,0)),0)</f>
        <v>0</v>
      </c>
      <c r="N184" s="179">
        <f>IFERROR((VLOOKUP(C184,Dados!B:AW,47,0)),0)</f>
        <v>0</v>
      </c>
      <c r="O184" s="197">
        <f t="shared" si="7"/>
        <v>-1</v>
      </c>
      <c r="P184" s="1">
        <f t="shared" si="8"/>
        <v>0</v>
      </c>
      <c r="Q184" s="221"/>
      <c r="AC184">
        <v>2</v>
      </c>
      <c r="AD184">
        <v>2</v>
      </c>
      <c r="AE184">
        <v>2</v>
      </c>
      <c r="AH184" t="s">
        <v>663</v>
      </c>
      <c r="AI184" t="str">
        <f t="shared" si="6"/>
        <v>PRE053*</v>
      </c>
    </row>
    <row r="185" spans="1:35" ht="26.25" customHeight="1" x14ac:dyDescent="0.3">
      <c r="A185"/>
      <c r="B185" s="16">
        <v>242</v>
      </c>
      <c r="C185" s="16" t="s">
        <v>779</v>
      </c>
      <c r="D185" s="16" t="s">
        <v>1585</v>
      </c>
      <c r="E185" s="16" t="s">
        <v>2082</v>
      </c>
      <c r="F185" s="200" t="s">
        <v>780</v>
      </c>
      <c r="G185" s="189" t="str">
        <f>IFERROR(VLOOKUP(C185,#REF!,4,FALSE),"")</f>
        <v/>
      </c>
      <c r="H185" s="248">
        <f>VLOOKUP(C185,Dados!B:AW,11,0)</f>
        <v>0.92</v>
      </c>
      <c r="I185" s="16" t="str">
        <f>(VLOOKUP(C185,Dados!B:AW,48,0))</f>
        <v>Confiabilidade em Crescimento</v>
      </c>
      <c r="J185" s="189" t="s">
        <v>734</v>
      </c>
      <c r="K185" s="177">
        <f>IFERROR((VLOOKUP(C185,Dados!B:AW,44,0)),0)</f>
        <v>0</v>
      </c>
      <c r="L185" s="177">
        <f>IFERROR((VLOOKUP(C185,Dados!B:AW,45,0)),0)</f>
        <v>0</v>
      </c>
      <c r="M185" s="177">
        <f>IFERROR((VLOOKUP(C185,Dados!B:AW,43,0)),0)</f>
        <v>0</v>
      </c>
      <c r="N185" s="179">
        <f>IFERROR((VLOOKUP(C185,Dados!B:AW,47,0)),0)</f>
        <v>0</v>
      </c>
      <c r="O185" s="197">
        <f t="shared" si="7"/>
        <v>2</v>
      </c>
      <c r="P185" s="1">
        <f t="shared" si="8"/>
        <v>0</v>
      </c>
      <c r="Q185" s="221"/>
      <c r="AC185">
        <v>2</v>
      </c>
      <c r="AD185">
        <v>2</v>
      </c>
      <c r="AE185">
        <v>2</v>
      </c>
      <c r="AH185" t="s">
        <v>1138</v>
      </c>
      <c r="AI185" t="str">
        <f t="shared" si="6"/>
        <v>REB010*</v>
      </c>
    </row>
    <row r="186" spans="1:35" ht="26.25" customHeight="1" x14ac:dyDescent="0.3">
      <c r="A186"/>
      <c r="B186" s="16">
        <v>243</v>
      </c>
      <c r="C186" s="16" t="s">
        <v>781</v>
      </c>
      <c r="D186" s="16" t="s">
        <v>1585</v>
      </c>
      <c r="E186" s="16" t="s">
        <v>2082</v>
      </c>
      <c r="F186" s="200" t="s">
        <v>782</v>
      </c>
      <c r="G186" s="189" t="str">
        <f>IFERROR(VLOOKUP(C186,#REF!,4,FALSE),"")</f>
        <v/>
      </c>
      <c r="H186" s="248">
        <f>VLOOKUP(C186,Dados!B:AW,11,0)</f>
        <v>0.97</v>
      </c>
      <c r="I186" s="16" t="str">
        <f>(VLOOKUP(C186,Dados!B:AW,48,0))</f>
        <v>Confiabilidade em Crescimento</v>
      </c>
      <c r="J186" s="189" t="s">
        <v>734</v>
      </c>
      <c r="K186" s="177">
        <f>IFERROR((VLOOKUP(C186,Dados!B:AW,44,0)),0)</f>
        <v>0</v>
      </c>
      <c r="L186" s="177">
        <f>IFERROR((VLOOKUP(C186,Dados!B:AW,45,0)),0)</f>
        <v>0</v>
      </c>
      <c r="M186" s="177">
        <f>IFERROR((VLOOKUP(C186,Dados!B:AW,43,0)),0)</f>
        <v>0</v>
      </c>
      <c r="N186" s="179">
        <f>IFERROR((VLOOKUP(C186,Dados!B:AW,47,0)),0)</f>
        <v>0</v>
      </c>
      <c r="O186" s="197">
        <f t="shared" si="7"/>
        <v>2</v>
      </c>
      <c r="P186" s="1">
        <f t="shared" si="8"/>
        <v>0</v>
      </c>
      <c r="Q186" s="221"/>
      <c r="AC186">
        <v>2</v>
      </c>
      <c r="AD186">
        <v>2</v>
      </c>
      <c r="AE186">
        <v>2</v>
      </c>
      <c r="AH186" t="s">
        <v>827</v>
      </c>
      <c r="AI186" t="str">
        <f t="shared" si="6"/>
        <v>REB011*</v>
      </c>
    </row>
    <row r="187" spans="1:35" ht="26.25" customHeight="1" x14ac:dyDescent="0.3">
      <c r="A187"/>
      <c r="B187" s="16">
        <v>547</v>
      </c>
      <c r="C187" s="16" t="s">
        <v>453</v>
      </c>
      <c r="D187" s="16" t="s">
        <v>1585</v>
      </c>
      <c r="E187" s="16" t="s">
        <v>2082</v>
      </c>
      <c r="F187" s="252" t="str">
        <f>VLOOKUP(C187,[9]Dados!B:C,2,0)</f>
        <v>ROB011-ROBÔ</v>
      </c>
      <c r="G187" s="189" t="str">
        <f>IFERROR(VLOOKUP(C187,#REF!,4,FALSE),"")</f>
        <v/>
      </c>
      <c r="H187" s="249">
        <f>VLOOKUP(C187,Dados!B:AW,11,0)</f>
        <v>1.4</v>
      </c>
      <c r="I187" s="16" t="str">
        <f>(VLOOKUP(C187,Dados!B:AW,48,0))</f>
        <v>Fase de Degradação</v>
      </c>
      <c r="J187" s="189" t="s">
        <v>733</v>
      </c>
      <c r="K187" s="177">
        <f>IFERROR((VLOOKUP(C187,Dados!B:AW,44,0)),0)</f>
        <v>0</v>
      </c>
      <c r="L187" s="177">
        <f>IFERROR((VLOOKUP(C187,Dados!B:AW,45,0)),0)</f>
        <v>0</v>
      </c>
      <c r="M187" s="177">
        <f>IFERROR((VLOOKUP(C187,Dados!B:AW,43,0)),0)</f>
        <v>0</v>
      </c>
      <c r="N187" s="179">
        <f>IFERROR((VLOOKUP(C187,Dados!B:AW,47,0)),0)</f>
        <v>0</v>
      </c>
      <c r="O187" s="197">
        <f t="shared" si="7"/>
        <v>-1</v>
      </c>
      <c r="P187" s="1">
        <f t="shared" si="8"/>
        <v>0</v>
      </c>
      <c r="Q187" s="221"/>
      <c r="AC187">
        <v>2</v>
      </c>
      <c r="AD187">
        <v>2</v>
      </c>
      <c r="AE187">
        <v>2</v>
      </c>
      <c r="AH187" t="s">
        <v>413</v>
      </c>
      <c r="AI187" t="str">
        <f t="shared" si="6"/>
        <v>ROB028*</v>
      </c>
    </row>
    <row r="188" spans="1:35" ht="26.25" customHeight="1" x14ac:dyDescent="0.3">
      <c r="A188"/>
      <c r="B188" s="16">
        <v>459</v>
      </c>
      <c r="C188" s="16" t="s">
        <v>1106</v>
      </c>
      <c r="D188" s="16" t="s">
        <v>1585</v>
      </c>
      <c r="E188" s="16" t="s">
        <v>2111</v>
      </c>
      <c r="F188" s="200" t="s">
        <v>1107</v>
      </c>
      <c r="G188" s="189" t="str">
        <f>IFERROR(VLOOKUP(C188,#REF!,4,FALSE),"")</f>
        <v/>
      </c>
      <c r="H188" s="250">
        <f>VLOOKUP(C188,Dados!B:AW,11,0)</f>
        <v>1.1399999999999999</v>
      </c>
      <c r="I188" s="16" t="str">
        <f>(VLOOKUP(C188,Dados!B:AW,48,0))</f>
        <v>Fase de Degradação</v>
      </c>
      <c r="J188" s="189" t="s">
        <v>735</v>
      </c>
      <c r="K188" s="177">
        <f>IFERROR((VLOOKUP(C188,Dados!B:AW,44,0)),0)</f>
        <v>0</v>
      </c>
      <c r="L188" s="177">
        <f>IFERROR((VLOOKUP(C188,Dados!B:AW,45,0)),0)</f>
        <v>0</v>
      </c>
      <c r="M188" s="177">
        <f>IFERROR((VLOOKUP(C188,Dados!B:AW,43,0)),0)</f>
        <v>0</v>
      </c>
      <c r="N188" s="179">
        <f>IFERROR((VLOOKUP(C188,Dados!B:AW,47,0)),0)</f>
        <v>0</v>
      </c>
      <c r="O188" s="197">
        <f t="shared" si="7"/>
        <v>1</v>
      </c>
      <c r="P188" s="1">
        <f t="shared" si="8"/>
        <v>0</v>
      </c>
      <c r="Q188" s="221"/>
      <c r="AC188">
        <v>2</v>
      </c>
      <c r="AD188">
        <v>2</v>
      </c>
      <c r="AE188">
        <v>2</v>
      </c>
      <c r="AH188" t="s">
        <v>1604</v>
      </c>
      <c r="AI188" t="str">
        <f t="shared" si="6"/>
        <v>TOR039*</v>
      </c>
    </row>
    <row r="189" spans="1:35" ht="26.25" customHeight="1" x14ac:dyDescent="0.3">
      <c r="A189"/>
      <c r="B189" s="16">
        <v>460</v>
      </c>
      <c r="C189" s="16" t="s">
        <v>1108</v>
      </c>
      <c r="D189" s="16" t="s">
        <v>1585</v>
      </c>
      <c r="E189" s="16" t="s">
        <v>2111</v>
      </c>
      <c r="F189" s="200" t="s">
        <v>1109</v>
      </c>
      <c r="G189" s="189" t="str">
        <f>IFERROR(VLOOKUP(C189,#REF!,4,FALSE),"")</f>
        <v/>
      </c>
      <c r="H189" s="248">
        <f>VLOOKUP(C189,Dados!B:AW,11,0)</f>
        <v>1.49</v>
      </c>
      <c r="I189" s="16" t="str">
        <f>(VLOOKUP(C189,Dados!B:AW,48,0))</f>
        <v>Fase de Degradação</v>
      </c>
      <c r="J189" s="189" t="s">
        <v>735</v>
      </c>
      <c r="K189" s="177">
        <f>IFERROR((VLOOKUP(C189,Dados!B:AW,44,0)),0)</f>
        <v>0</v>
      </c>
      <c r="L189" s="177">
        <f>IFERROR((VLOOKUP(C189,Dados!B:AW,45,0)),0)</f>
        <v>0</v>
      </c>
      <c r="M189" s="177">
        <f>IFERROR((VLOOKUP(C189,Dados!B:AW,43,0)),0)</f>
        <v>0</v>
      </c>
      <c r="N189" s="179">
        <f>IFERROR((VLOOKUP(C189,Dados!B:AW,47,0)),0)</f>
        <v>0</v>
      </c>
      <c r="O189" s="197">
        <f t="shared" si="7"/>
        <v>1</v>
      </c>
      <c r="P189" s="1">
        <f t="shared" si="8"/>
        <v>0</v>
      </c>
      <c r="Q189" s="221"/>
      <c r="AC189">
        <v>2</v>
      </c>
      <c r="AD189">
        <v>2</v>
      </c>
      <c r="AE189">
        <v>2</v>
      </c>
      <c r="AH189" t="s">
        <v>278</v>
      </c>
      <c r="AI189" t="str">
        <f t="shared" si="6"/>
        <v>BRU028*</v>
      </c>
    </row>
    <row r="190" spans="1:35" ht="26.25" customHeight="1" x14ac:dyDescent="0.3">
      <c r="A190"/>
      <c r="B190" s="16">
        <v>462</v>
      </c>
      <c r="C190" s="16" t="s">
        <v>1110</v>
      </c>
      <c r="D190" s="16" t="s">
        <v>1585</v>
      </c>
      <c r="E190" s="16" t="s">
        <v>2111</v>
      </c>
      <c r="F190" s="200" t="s">
        <v>1111</v>
      </c>
      <c r="G190" s="189" t="str">
        <f>IFERROR(VLOOKUP(C190,#REF!,4,FALSE),"")</f>
        <v/>
      </c>
      <c r="H190" s="248">
        <f>VLOOKUP(C190,Dados!B:AW,11,0)</f>
        <v>1.42</v>
      </c>
      <c r="I190" s="16" t="str">
        <f>(VLOOKUP(C190,Dados!B:AW,48,0))</f>
        <v>Fase de Degradação</v>
      </c>
      <c r="J190" s="189" t="s">
        <v>735</v>
      </c>
      <c r="K190" s="177">
        <f>IFERROR((VLOOKUP(C190,Dados!B:AW,44,0)),0)</f>
        <v>0</v>
      </c>
      <c r="L190" s="177">
        <f>IFERROR((VLOOKUP(C190,Dados!B:AW,45,0)),0)</f>
        <v>0</v>
      </c>
      <c r="M190" s="177">
        <f>IFERROR((VLOOKUP(C190,Dados!B:AW,43,0)),0)</f>
        <v>0</v>
      </c>
      <c r="N190" s="179">
        <f>IFERROR((VLOOKUP(C190,Dados!B:AW,47,0)),0)</f>
        <v>0</v>
      </c>
      <c r="O190" s="197">
        <f t="shared" si="7"/>
        <v>1</v>
      </c>
      <c r="P190" s="1">
        <f t="shared" si="8"/>
        <v>0</v>
      </c>
      <c r="Q190" s="221"/>
      <c r="AC190">
        <v>2</v>
      </c>
      <c r="AD190">
        <v>2</v>
      </c>
      <c r="AE190">
        <v>2</v>
      </c>
      <c r="AH190" t="s">
        <v>635</v>
      </c>
      <c r="AI190" t="str">
        <f t="shared" si="6"/>
        <v>RET024*</v>
      </c>
    </row>
    <row r="191" spans="1:35" ht="26.25" customHeight="1" x14ac:dyDescent="0.3">
      <c r="A191"/>
      <c r="B191" s="16">
        <v>463</v>
      </c>
      <c r="C191" s="16" t="s">
        <v>1112</v>
      </c>
      <c r="D191" s="16" t="s">
        <v>1585</v>
      </c>
      <c r="E191" s="16" t="s">
        <v>2111</v>
      </c>
      <c r="F191" s="200" t="s">
        <v>1113</v>
      </c>
      <c r="G191" s="189" t="str">
        <f>IFERROR(VLOOKUP(C191,#REF!,4,FALSE),"")</f>
        <v/>
      </c>
      <c r="H191" s="248">
        <f>VLOOKUP(C191,Dados!B:AW,11,0)</f>
        <v>1.21</v>
      </c>
      <c r="I191" s="16" t="str">
        <f>(VLOOKUP(C191,Dados!B:AW,48,0))</f>
        <v>Fase de Degradação</v>
      </c>
      <c r="J191" s="189" t="s">
        <v>735</v>
      </c>
      <c r="K191" s="177">
        <f>IFERROR((VLOOKUP(C191,Dados!B:AW,44,0)),0)</f>
        <v>0</v>
      </c>
      <c r="L191" s="177">
        <f>IFERROR((VLOOKUP(C191,Dados!B:AW,45,0)),0)</f>
        <v>0</v>
      </c>
      <c r="M191" s="177">
        <f>IFERROR((VLOOKUP(C191,Dados!B:AW,43,0)),0)</f>
        <v>0</v>
      </c>
      <c r="N191" s="179">
        <f>IFERROR((VLOOKUP(C191,Dados!B:AW,47,0)),0)</f>
        <v>0</v>
      </c>
      <c r="O191" s="197">
        <f t="shared" si="7"/>
        <v>1</v>
      </c>
      <c r="P191" s="1">
        <f t="shared" si="8"/>
        <v>0</v>
      </c>
      <c r="Q191" s="221"/>
      <c r="AC191">
        <v>2</v>
      </c>
      <c r="AD191">
        <v>2</v>
      </c>
      <c r="AE191">
        <v>2</v>
      </c>
      <c r="AH191" t="s">
        <v>847</v>
      </c>
      <c r="AI191" t="str">
        <f t="shared" si="6"/>
        <v>ROB076*</v>
      </c>
    </row>
    <row r="192" spans="1:35" ht="26.25" customHeight="1" x14ac:dyDescent="0.3">
      <c r="A192"/>
      <c r="B192" s="16">
        <v>464</v>
      </c>
      <c r="C192" s="16" t="s">
        <v>1855</v>
      </c>
      <c r="D192" s="16" t="s">
        <v>1585</v>
      </c>
      <c r="E192" s="16" t="s">
        <v>2111</v>
      </c>
      <c r="F192" s="200" t="s">
        <v>1724</v>
      </c>
      <c r="G192" s="189" t="str">
        <f>IFERROR(VLOOKUP(C192,#REF!,4,FALSE),"")</f>
        <v/>
      </c>
      <c r="H192" s="250">
        <f>VLOOKUP(C192,Dados!B:AW,11,0)</f>
        <v>0.93</v>
      </c>
      <c r="I192" s="16" t="str">
        <f>(VLOOKUP(C192,Dados!B:AW,48,0))</f>
        <v>Confiabilidade em Crescimento</v>
      </c>
      <c r="J192" s="189" t="s">
        <v>735</v>
      </c>
      <c r="K192" s="177">
        <f>IFERROR((VLOOKUP(C192,Dados!B:AW,44,0)),0)</f>
        <v>0</v>
      </c>
      <c r="L192" s="177">
        <f>IFERROR((VLOOKUP(C192,Dados!B:AW,45,0)),0)</f>
        <v>0</v>
      </c>
      <c r="M192" s="177">
        <f>IFERROR((VLOOKUP(C192,Dados!B:AW,43,0)),0)</f>
        <v>0</v>
      </c>
      <c r="N192" s="179">
        <f>IFERROR((VLOOKUP(C192,Dados!B:AW,47,0)),0)</f>
        <v>0</v>
      </c>
      <c r="O192" s="197">
        <f t="shared" si="7"/>
        <v>2</v>
      </c>
      <c r="P192" s="1">
        <f t="shared" si="8"/>
        <v>0</v>
      </c>
      <c r="Q192" s="221"/>
      <c r="AC192">
        <v>2</v>
      </c>
      <c r="AD192">
        <v>2</v>
      </c>
      <c r="AE192">
        <v>2</v>
      </c>
      <c r="AH192" t="s">
        <v>525</v>
      </c>
      <c r="AI192" t="str">
        <f t="shared" si="6"/>
        <v>BRU010*</v>
      </c>
    </row>
    <row r="193" spans="1:35" ht="26.25" customHeight="1" x14ac:dyDescent="0.3">
      <c r="A193"/>
      <c r="B193" s="16">
        <v>106</v>
      </c>
      <c r="C193" s="16" t="s">
        <v>2000</v>
      </c>
      <c r="D193" s="16" t="s">
        <v>1582</v>
      </c>
      <c r="E193" s="16" t="s">
        <v>2114</v>
      </c>
      <c r="F193" s="200" t="s">
        <v>1905</v>
      </c>
      <c r="G193" s="189" t="str">
        <f>IFERROR(VLOOKUP(C193,#REF!,4,FALSE),"")</f>
        <v/>
      </c>
      <c r="H193" s="248">
        <f>VLOOKUP(C193,Dados!B:AW,11,0)</f>
        <v>1.65</v>
      </c>
      <c r="I193" s="16" t="str">
        <f>(VLOOKUP(C193,Dados!B:AW,48,0))</f>
        <v>Fase de Degradação</v>
      </c>
      <c r="J193" s="189" t="s">
        <v>735</v>
      </c>
      <c r="K193" s="177">
        <f>IFERROR((VLOOKUP(C193,Dados!B:AW,44,0)),0)</f>
        <v>0</v>
      </c>
      <c r="L193" s="177">
        <f>IFERROR((VLOOKUP(C193,Dados!B:AW,45,0)),0)</f>
        <v>0</v>
      </c>
      <c r="M193" s="177">
        <f>IFERROR((VLOOKUP(C193,Dados!B:AW,43,0)),0)</f>
        <v>0</v>
      </c>
      <c r="N193" s="179">
        <f>IFERROR((VLOOKUP(C193,Dados!B:AW,47,0)),0)</f>
        <v>0</v>
      </c>
      <c r="O193" s="197">
        <f t="shared" si="7"/>
        <v>1</v>
      </c>
      <c r="P193" s="1">
        <f t="shared" si="8"/>
        <v>0</v>
      </c>
      <c r="Q193" s="221"/>
      <c r="AC193">
        <v>2</v>
      </c>
      <c r="AD193">
        <v>2</v>
      </c>
      <c r="AE193">
        <v>2</v>
      </c>
      <c r="AH193" t="s">
        <v>1030</v>
      </c>
      <c r="AI193" t="str">
        <f t="shared" si="6"/>
        <v>FOR106*</v>
      </c>
    </row>
    <row r="194" spans="1:35" ht="26.25" customHeight="1" x14ac:dyDescent="0.3">
      <c r="A194"/>
      <c r="B194" s="16">
        <v>107</v>
      </c>
      <c r="C194" s="16" t="s">
        <v>2001</v>
      </c>
      <c r="D194" s="16" t="s">
        <v>1582</v>
      </c>
      <c r="E194" s="16" t="s">
        <v>2114</v>
      </c>
      <c r="F194" s="200" t="s">
        <v>1906</v>
      </c>
      <c r="G194" s="189" t="str">
        <f>IFERROR(VLOOKUP(C194,#REF!,4,FALSE),"")</f>
        <v/>
      </c>
      <c r="H194" s="248">
        <f>VLOOKUP(C194,Dados!B:AW,11,0)</f>
        <v>1.58</v>
      </c>
      <c r="I194" s="16" t="str">
        <f>(VLOOKUP(C194,Dados!B:AW,48,0))</f>
        <v>Fase de Degradação</v>
      </c>
      <c r="J194" s="189" t="s">
        <v>735</v>
      </c>
      <c r="K194" s="177">
        <f>IFERROR((VLOOKUP(C194,Dados!B:AW,44,0)),0)</f>
        <v>0</v>
      </c>
      <c r="L194" s="177">
        <f>IFERROR((VLOOKUP(C194,Dados!B:AW,45,0)),0)</f>
        <v>0</v>
      </c>
      <c r="M194" s="177">
        <f>IFERROR((VLOOKUP(C194,Dados!B:AW,43,0)),0)</f>
        <v>0</v>
      </c>
      <c r="N194" s="179">
        <f>IFERROR((VLOOKUP(C194,Dados!B:AW,47,0)),0)</f>
        <v>0</v>
      </c>
      <c r="O194" s="197">
        <f t="shared" si="7"/>
        <v>1</v>
      </c>
      <c r="P194" s="1">
        <f t="shared" si="8"/>
        <v>0</v>
      </c>
      <c r="Q194" s="221"/>
      <c r="AC194">
        <v>2</v>
      </c>
      <c r="AD194">
        <v>2</v>
      </c>
      <c r="AE194">
        <v>2</v>
      </c>
      <c r="AH194" t="s">
        <v>315</v>
      </c>
      <c r="AI194" t="str">
        <f t="shared" si="6"/>
        <v>INJ005*</v>
      </c>
    </row>
    <row r="195" spans="1:35" ht="26.25" customHeight="1" x14ac:dyDescent="0.3">
      <c r="A195"/>
      <c r="B195" s="16">
        <v>108</v>
      </c>
      <c r="C195" s="16" t="s">
        <v>2002</v>
      </c>
      <c r="D195" s="16" t="s">
        <v>1582</v>
      </c>
      <c r="E195" s="16" t="s">
        <v>2114</v>
      </c>
      <c r="F195" s="200" t="s">
        <v>1907</v>
      </c>
      <c r="G195" s="189" t="str">
        <f>IFERROR(VLOOKUP(C195,#REF!,4,FALSE),"")</f>
        <v/>
      </c>
      <c r="H195" s="248">
        <f>VLOOKUP(C195,Dados!B:AW,11,0)</f>
        <v>1.45</v>
      </c>
      <c r="I195" s="16" t="str">
        <f>(VLOOKUP(C195,Dados!B:AW,48,0))</f>
        <v>Fase de Degradação</v>
      </c>
      <c r="J195" s="189" t="s">
        <v>735</v>
      </c>
      <c r="K195" s="177">
        <f>IFERROR((VLOOKUP(C195,Dados!B:AW,44,0)),0)</f>
        <v>0</v>
      </c>
      <c r="L195" s="177">
        <f>IFERROR((VLOOKUP(C195,Dados!B:AW,45,0)),0)</f>
        <v>0</v>
      </c>
      <c r="M195" s="177">
        <f>IFERROR((VLOOKUP(C195,Dados!B:AW,43,0)),0)</f>
        <v>0</v>
      </c>
      <c r="N195" s="179">
        <f>IFERROR((VLOOKUP(C195,Dados!B:AW,47,0)),0)</f>
        <v>0</v>
      </c>
      <c r="O195" s="197">
        <f t="shared" si="7"/>
        <v>1</v>
      </c>
      <c r="P195" s="1">
        <f t="shared" si="8"/>
        <v>0</v>
      </c>
      <c r="Q195" s="221"/>
      <c r="AC195">
        <v>2</v>
      </c>
      <c r="AD195">
        <v>2</v>
      </c>
      <c r="AE195">
        <v>2</v>
      </c>
      <c r="AH195" t="s">
        <v>1066</v>
      </c>
      <c r="AI195" t="str">
        <f t="shared" si="6"/>
        <v>JAT021*</v>
      </c>
    </row>
    <row r="196" spans="1:35" ht="26.25" customHeight="1" x14ac:dyDescent="0.3">
      <c r="A196"/>
      <c r="B196" s="16">
        <v>109</v>
      </c>
      <c r="C196" s="16" t="s">
        <v>2003</v>
      </c>
      <c r="D196" s="16" t="s">
        <v>1582</v>
      </c>
      <c r="E196" s="16" t="s">
        <v>2114</v>
      </c>
      <c r="F196" s="200" t="s">
        <v>1908</v>
      </c>
      <c r="G196" s="189" t="str">
        <f>IFERROR(VLOOKUP(C196,#REF!,4,FALSE),"")</f>
        <v/>
      </c>
      <c r="H196" s="248">
        <f>VLOOKUP(C196,Dados!B:AW,11,0)</f>
        <v>1.24</v>
      </c>
      <c r="I196" s="16" t="str">
        <f>(VLOOKUP(C196,Dados!B:AW,48,0))</f>
        <v>Fase de Degradação</v>
      </c>
      <c r="J196" s="189" t="s">
        <v>735</v>
      </c>
      <c r="K196" s="177">
        <f>IFERROR((VLOOKUP(C196,Dados!B:AW,44,0)),0)</f>
        <v>0</v>
      </c>
      <c r="L196" s="177">
        <f>IFERROR((VLOOKUP(C196,Dados!B:AW,45,0)),0)</f>
        <v>0</v>
      </c>
      <c r="M196" s="177">
        <f>IFERROR((VLOOKUP(C196,Dados!B:AW,43,0)),0)</f>
        <v>0</v>
      </c>
      <c r="N196" s="179">
        <f>IFERROR((VLOOKUP(C196,Dados!B:AW,47,0)),0)</f>
        <v>0</v>
      </c>
      <c r="O196" s="197">
        <f t="shared" si="7"/>
        <v>1</v>
      </c>
      <c r="P196" s="1">
        <f t="shared" si="8"/>
        <v>0</v>
      </c>
      <c r="Q196" s="221"/>
      <c r="AC196">
        <v>2</v>
      </c>
      <c r="AD196">
        <v>2</v>
      </c>
      <c r="AE196">
        <v>2</v>
      </c>
      <c r="AH196" t="s">
        <v>1110</v>
      </c>
      <c r="AI196" t="str">
        <f t="shared" si="6"/>
        <v>MAQ252*</v>
      </c>
    </row>
    <row r="197" spans="1:35" ht="25" x14ac:dyDescent="0.3">
      <c r="A197"/>
      <c r="B197" s="16">
        <v>110</v>
      </c>
      <c r="C197" s="16" t="s">
        <v>2004</v>
      </c>
      <c r="D197" s="16" t="s">
        <v>1582</v>
      </c>
      <c r="E197" s="16" t="s">
        <v>2114</v>
      </c>
      <c r="F197" s="200" t="s">
        <v>1909</v>
      </c>
      <c r="G197" s="189" t="str">
        <f>IFERROR(VLOOKUP(C197,#REF!,4,FALSE),"")</f>
        <v/>
      </c>
      <c r="H197" s="248">
        <f>VLOOKUP(C197,Dados!B:AW,11,0)</f>
        <v>1.27</v>
      </c>
      <c r="I197" s="16" t="str">
        <f>(VLOOKUP(C197,Dados!B:AW,48,0))</f>
        <v>Fase de Degradação</v>
      </c>
      <c r="J197" s="189" t="s">
        <v>735</v>
      </c>
      <c r="K197" s="177">
        <f>IFERROR((VLOOKUP(C197,Dados!B:AW,44,0)),0)</f>
        <v>0</v>
      </c>
      <c r="L197" s="177">
        <f>IFERROR((VLOOKUP(C197,Dados!B:AW,45,0)),0)</f>
        <v>0</v>
      </c>
      <c r="M197" s="177">
        <f>IFERROR((VLOOKUP(C197,Dados!B:AW,43,0)),0)</f>
        <v>0</v>
      </c>
      <c r="N197" s="179">
        <f>IFERROR((VLOOKUP(C197,Dados!B:AW,47,0)),0)</f>
        <v>0</v>
      </c>
      <c r="O197" s="197">
        <f t="shared" si="7"/>
        <v>1</v>
      </c>
      <c r="P197" s="1">
        <f t="shared" si="8"/>
        <v>0</v>
      </c>
      <c r="Q197" s="221"/>
      <c r="AC197">
        <v>2</v>
      </c>
      <c r="AD197">
        <v>2</v>
      </c>
      <c r="AE197">
        <v>1</v>
      </c>
      <c r="AH197" t="s">
        <v>312</v>
      </c>
      <c r="AI197" t="str">
        <f t="shared" ref="AI197:AI260" si="9">CONCATENATE(AH197,"*")</f>
        <v>BRU004*</v>
      </c>
    </row>
    <row r="198" spans="1:35" ht="26.25" customHeight="1" x14ac:dyDescent="0.3">
      <c r="A198"/>
      <c r="B198" s="16">
        <v>467</v>
      </c>
      <c r="C198" s="16" t="s">
        <v>1116</v>
      </c>
      <c r="D198" s="16" t="s">
        <v>1582</v>
      </c>
      <c r="E198" s="16" t="s">
        <v>2114</v>
      </c>
      <c r="F198" s="200" t="s">
        <v>1117</v>
      </c>
      <c r="G198" s="189" t="str">
        <f>IFERROR(VLOOKUP(C198,#REF!,4,FALSE),"")</f>
        <v/>
      </c>
      <c r="H198" s="249">
        <f>VLOOKUP(C198,Dados!B:AW,11,0)</f>
        <v>0.78</v>
      </c>
      <c r="I198" s="16" t="str">
        <f>(VLOOKUP(C198,Dados!B:AW,48,0))</f>
        <v>Confiabilidade em Crescimento</v>
      </c>
      <c r="J198" s="189" t="s">
        <v>732</v>
      </c>
      <c r="K198" s="177">
        <f>IFERROR((VLOOKUP(C198,Dados!B:AW,44,0)),0)</f>
        <v>0</v>
      </c>
      <c r="L198" s="177">
        <f>IFERROR((VLOOKUP(C198,Dados!B:AW,45,0)),0)</f>
        <v>0</v>
      </c>
      <c r="M198" s="177">
        <f>IFERROR((VLOOKUP(C198,Dados!B:AW,43,0)),0)</f>
        <v>0</v>
      </c>
      <c r="N198" s="179">
        <f>IFERROR((VLOOKUP(C198,Dados!B:AW,47,0)),0)</f>
        <v>0</v>
      </c>
      <c r="O198" s="197">
        <f t="shared" ref="O198:O261" si="10">IF(AND(J198="Parcial",N198&gt;0,H198&gt;1),-1,IF(AND(J198="Parcial",N198&gt;0,H198&lt;1.1),1,IF(AND(J198="Parcial",N198&lt;0,H198&gt;1.09),-1,IF(J198="Total",-1,IF(H198&gt;1.09,1,2)))))</f>
        <v>2</v>
      </c>
      <c r="P198" s="1">
        <f t="shared" ref="P198:P261" si="11">IF(G198="",0,IF(H198&gt;G198,-1,1))</f>
        <v>0</v>
      </c>
      <c r="Q198" s="221"/>
      <c r="AC198">
        <v>2</v>
      </c>
      <c r="AD198">
        <v>2</v>
      </c>
      <c r="AE198">
        <v>2</v>
      </c>
      <c r="AH198" t="s">
        <v>418</v>
      </c>
      <c r="AI198" t="str">
        <f t="shared" si="9"/>
        <v>CEN068*</v>
      </c>
    </row>
    <row r="199" spans="1:35" ht="26.25" customHeight="1" x14ac:dyDescent="0.3">
      <c r="A199"/>
      <c r="B199" s="16">
        <v>468</v>
      </c>
      <c r="C199" s="16" t="s">
        <v>1118</v>
      </c>
      <c r="D199" s="16" t="s">
        <v>1582</v>
      </c>
      <c r="E199" s="16" t="s">
        <v>2114</v>
      </c>
      <c r="F199" s="200" t="s">
        <v>1119</v>
      </c>
      <c r="G199" s="189" t="str">
        <f>IFERROR(VLOOKUP(C199,#REF!,4,FALSE),"")</f>
        <v/>
      </c>
      <c r="H199" s="250">
        <f>VLOOKUP(C199,Dados!B:AW,11,0)</f>
        <v>1.35</v>
      </c>
      <c r="I199" s="16" t="str">
        <f>(VLOOKUP(C199,Dados!B:AW,48,0))</f>
        <v>Fase de Degradação</v>
      </c>
      <c r="J199" s="189" t="s">
        <v>732</v>
      </c>
      <c r="K199" s="177">
        <f>IFERROR((VLOOKUP(C199,Dados!B:AW,44,0)),0)</f>
        <v>0</v>
      </c>
      <c r="L199" s="177">
        <f>IFERROR((VLOOKUP(C199,Dados!B:AW,45,0)),0)</f>
        <v>0</v>
      </c>
      <c r="M199" s="177">
        <f>IFERROR((VLOOKUP(C199,Dados!B:AW,43,0)),0)</f>
        <v>0</v>
      </c>
      <c r="N199" s="179">
        <f>IFERROR((VLOOKUP(C199,Dados!B:AW,47,0)),0)</f>
        <v>0</v>
      </c>
      <c r="O199" s="197">
        <f t="shared" si="10"/>
        <v>1</v>
      </c>
      <c r="P199" s="1">
        <f t="shared" si="11"/>
        <v>0</v>
      </c>
      <c r="Q199" s="221"/>
      <c r="AC199">
        <v>2</v>
      </c>
      <c r="AD199">
        <v>2</v>
      </c>
      <c r="AE199">
        <v>2</v>
      </c>
      <c r="AH199" t="s">
        <v>405</v>
      </c>
      <c r="AI199" t="str">
        <f t="shared" si="9"/>
        <v>CEN073*</v>
      </c>
    </row>
    <row r="200" spans="1:35" ht="26.25" customHeight="1" x14ac:dyDescent="0.3">
      <c r="A200"/>
      <c r="B200" s="16">
        <v>111</v>
      </c>
      <c r="C200" s="16" t="s">
        <v>2005</v>
      </c>
      <c r="D200" s="16" t="s">
        <v>1582</v>
      </c>
      <c r="E200" s="16" t="s">
        <v>2115</v>
      </c>
      <c r="F200" s="200" t="s">
        <v>1910</v>
      </c>
      <c r="G200" s="189" t="str">
        <f>IFERROR(VLOOKUP(C200,#REF!,4,FALSE),"")</f>
        <v/>
      </c>
      <c r="H200" s="248">
        <f>VLOOKUP(C200,Dados!B:AW,11,0)</f>
        <v>1.28</v>
      </c>
      <c r="I200" s="16" t="str">
        <f>(VLOOKUP(C200,Dados!B:AW,48,0))</f>
        <v>Fase de Degradação</v>
      </c>
      <c r="J200" s="189" t="s">
        <v>735</v>
      </c>
      <c r="K200" s="177">
        <f>IFERROR((VLOOKUP(C200,Dados!B:AW,44,0)),0)</f>
        <v>0</v>
      </c>
      <c r="L200" s="177">
        <f>IFERROR((VLOOKUP(C200,Dados!B:AW,45,0)),0)</f>
        <v>0</v>
      </c>
      <c r="M200" s="177">
        <f>IFERROR((VLOOKUP(C200,Dados!B:AW,43,0)),0)</f>
        <v>0</v>
      </c>
      <c r="N200" s="179">
        <f>IFERROR((VLOOKUP(C200,Dados!B:AW,47,0)),0)</f>
        <v>0</v>
      </c>
      <c r="O200" s="197">
        <f t="shared" si="10"/>
        <v>1</v>
      </c>
      <c r="P200" s="1">
        <f t="shared" si="11"/>
        <v>0</v>
      </c>
      <c r="Q200" s="221"/>
      <c r="AC200">
        <v>2</v>
      </c>
      <c r="AD200">
        <v>2</v>
      </c>
      <c r="AE200">
        <v>2</v>
      </c>
      <c r="AH200" t="s">
        <v>329</v>
      </c>
      <c r="AI200" t="str">
        <f t="shared" si="9"/>
        <v>CEN086*</v>
      </c>
    </row>
    <row r="201" spans="1:35" ht="26.25" customHeight="1" x14ac:dyDescent="0.3">
      <c r="A201"/>
      <c r="B201" s="16">
        <v>112</v>
      </c>
      <c r="C201" s="16" t="s">
        <v>2006</v>
      </c>
      <c r="D201" s="16" t="s">
        <v>1582</v>
      </c>
      <c r="E201" s="16" t="s">
        <v>2115</v>
      </c>
      <c r="F201" s="200" t="s">
        <v>1911</v>
      </c>
      <c r="G201" s="189" t="str">
        <f>IFERROR(VLOOKUP(C201,#REF!,4,FALSE),"")</f>
        <v/>
      </c>
      <c r="H201" s="248">
        <f>VLOOKUP(C201,Dados!B:AW,11,0)</f>
        <v>1.06</v>
      </c>
      <c r="I201" s="16" t="str">
        <f>(VLOOKUP(C201,Dados!B:AW,48,0))</f>
        <v>Fase de Vida Útil</v>
      </c>
      <c r="J201" s="189" t="s">
        <v>735</v>
      </c>
      <c r="K201" s="177">
        <f>IFERROR((VLOOKUP(C201,Dados!B:AW,44,0)),0)</f>
        <v>0</v>
      </c>
      <c r="L201" s="177">
        <f>IFERROR((VLOOKUP(C201,Dados!B:AW,45,0)),0)</f>
        <v>0</v>
      </c>
      <c r="M201" s="177">
        <f>IFERROR((VLOOKUP(C201,Dados!B:AW,43,0)),0)</f>
        <v>0</v>
      </c>
      <c r="N201" s="179">
        <f>IFERROR((VLOOKUP(C201,Dados!B:AW,47,0)),0)</f>
        <v>0</v>
      </c>
      <c r="O201" s="197">
        <f t="shared" si="10"/>
        <v>2</v>
      </c>
      <c r="P201" s="1">
        <f t="shared" si="11"/>
        <v>0</v>
      </c>
      <c r="Q201" s="221"/>
      <c r="AC201">
        <v>2</v>
      </c>
      <c r="AD201">
        <v>2</v>
      </c>
      <c r="AE201">
        <v>2</v>
      </c>
      <c r="AH201" t="s">
        <v>667</v>
      </c>
      <c r="AI201" t="str">
        <f t="shared" si="9"/>
        <v>FOR063*</v>
      </c>
    </row>
    <row r="202" spans="1:35" ht="26.25" customHeight="1" x14ac:dyDescent="0.3">
      <c r="A202"/>
      <c r="B202" s="16">
        <v>113</v>
      </c>
      <c r="C202" s="16" t="s">
        <v>2007</v>
      </c>
      <c r="D202" s="16" t="s">
        <v>1582</v>
      </c>
      <c r="E202" s="16" t="s">
        <v>2115</v>
      </c>
      <c r="F202" s="200" t="s">
        <v>1912</v>
      </c>
      <c r="G202" s="189" t="str">
        <f>IFERROR(VLOOKUP(C202,#REF!,4,FALSE),"")</f>
        <v/>
      </c>
      <c r="H202" s="248">
        <f>VLOOKUP(C202,Dados!B:AW,11,0)</f>
        <v>1.5</v>
      </c>
      <c r="I202" s="16" t="str">
        <f>(VLOOKUP(C202,Dados!B:AW,48,0))</f>
        <v>Fase de Degradação</v>
      </c>
      <c r="J202" s="189" t="s">
        <v>735</v>
      </c>
      <c r="K202" s="177">
        <f>IFERROR((VLOOKUP(C202,Dados!B:AW,44,0)),0)</f>
        <v>0</v>
      </c>
      <c r="L202" s="177">
        <f>IFERROR((VLOOKUP(C202,Dados!B:AW,45,0)),0)</f>
        <v>0</v>
      </c>
      <c r="M202" s="177">
        <f>IFERROR((VLOOKUP(C202,Dados!B:AW,43,0)),0)</f>
        <v>0</v>
      </c>
      <c r="N202" s="179">
        <f>IFERROR((VLOOKUP(C202,Dados!B:AW,47,0)),0)</f>
        <v>0</v>
      </c>
      <c r="O202" s="197">
        <f t="shared" si="10"/>
        <v>1</v>
      </c>
      <c r="P202" s="1">
        <f t="shared" si="11"/>
        <v>0</v>
      </c>
      <c r="Q202" s="221"/>
      <c r="AC202">
        <v>2</v>
      </c>
      <c r="AD202">
        <v>2</v>
      </c>
      <c r="AE202">
        <v>2</v>
      </c>
      <c r="AH202" t="s">
        <v>1100</v>
      </c>
      <c r="AI202" t="str">
        <f t="shared" si="9"/>
        <v>MAG002*</v>
      </c>
    </row>
    <row r="203" spans="1:35" ht="26.25" customHeight="1" x14ac:dyDescent="0.3">
      <c r="A203"/>
      <c r="B203" s="16">
        <v>114</v>
      </c>
      <c r="C203" s="16" t="s">
        <v>2008</v>
      </c>
      <c r="D203" s="16" t="s">
        <v>1582</v>
      </c>
      <c r="E203" s="16" t="s">
        <v>2115</v>
      </c>
      <c r="F203" s="200" t="s">
        <v>1913</v>
      </c>
      <c r="G203" s="189" t="str">
        <f>IFERROR(VLOOKUP(C203,#REF!,4,FALSE),"")</f>
        <v/>
      </c>
      <c r="H203" s="248">
        <f>VLOOKUP(C203,Dados!B:AW,11,0)</f>
        <v>1.74</v>
      </c>
      <c r="I203" s="16" t="str">
        <f>(VLOOKUP(C203,Dados!B:AW,48,0))</f>
        <v>Fase de Degradação</v>
      </c>
      <c r="J203" s="189" t="s">
        <v>735</v>
      </c>
      <c r="K203" s="177">
        <f>IFERROR((VLOOKUP(C203,Dados!B:AW,44,0)),0)</f>
        <v>0</v>
      </c>
      <c r="L203" s="177">
        <f>IFERROR((VLOOKUP(C203,Dados!B:AW,45,0)),0)</f>
        <v>0</v>
      </c>
      <c r="M203" s="177">
        <f>IFERROR((VLOOKUP(C203,Dados!B:AW,43,0)),0)</f>
        <v>0</v>
      </c>
      <c r="N203" s="179">
        <f>IFERROR((VLOOKUP(C203,Dados!B:AW,47,0)),0)</f>
        <v>0</v>
      </c>
      <c r="O203" s="197">
        <f t="shared" si="10"/>
        <v>1</v>
      </c>
      <c r="P203" s="1">
        <f t="shared" si="11"/>
        <v>0</v>
      </c>
      <c r="Q203" s="221"/>
      <c r="AC203">
        <v>2</v>
      </c>
      <c r="AD203">
        <v>2</v>
      </c>
      <c r="AE203">
        <v>2</v>
      </c>
      <c r="AH203" t="s">
        <v>823</v>
      </c>
      <c r="AI203" t="str">
        <f t="shared" si="9"/>
        <v>REB008*</v>
      </c>
    </row>
    <row r="204" spans="1:35" ht="26.25" customHeight="1" x14ac:dyDescent="0.3">
      <c r="A204"/>
      <c r="B204" s="16">
        <v>115</v>
      </c>
      <c r="C204" s="16" t="s">
        <v>2009</v>
      </c>
      <c r="D204" s="16" t="s">
        <v>1582</v>
      </c>
      <c r="E204" s="16" t="s">
        <v>2115</v>
      </c>
      <c r="F204" s="200" t="s">
        <v>1914</v>
      </c>
      <c r="G204" s="189" t="str">
        <f>IFERROR(VLOOKUP(C204,#REF!,4,FALSE),"")</f>
        <v/>
      </c>
      <c r="H204" s="248">
        <f>VLOOKUP(C204,Dados!B:AW,11,0)</f>
        <v>1.37</v>
      </c>
      <c r="I204" s="16" t="str">
        <f>(VLOOKUP(C204,Dados!B:AW,48,0))</f>
        <v>Fase de Degradação</v>
      </c>
      <c r="J204" s="189" t="s">
        <v>735</v>
      </c>
      <c r="K204" s="177">
        <f>IFERROR((VLOOKUP(C204,Dados!B:AW,44,0)),0)</f>
        <v>0</v>
      </c>
      <c r="L204" s="177">
        <f>IFERROR((VLOOKUP(C204,Dados!B:AW,45,0)),0)</f>
        <v>0</v>
      </c>
      <c r="M204" s="177">
        <f>IFERROR((VLOOKUP(C204,Dados!B:AW,43,0)),0)</f>
        <v>0</v>
      </c>
      <c r="N204" s="179">
        <f>IFERROR((VLOOKUP(C204,Dados!B:AW,47,0)),0)</f>
        <v>0</v>
      </c>
      <c r="O204" s="197">
        <f t="shared" si="10"/>
        <v>1</v>
      </c>
      <c r="P204" s="1">
        <f t="shared" si="11"/>
        <v>0</v>
      </c>
      <c r="Q204" s="221"/>
      <c r="AC204">
        <v>2</v>
      </c>
      <c r="AD204">
        <v>2</v>
      </c>
      <c r="AE204">
        <v>2</v>
      </c>
      <c r="AH204" t="s">
        <v>1217</v>
      </c>
      <c r="AI204" t="str">
        <f t="shared" si="9"/>
        <v>TRO003*</v>
      </c>
    </row>
    <row r="205" spans="1:35" ht="26.25" customHeight="1" x14ac:dyDescent="0.3">
      <c r="A205"/>
      <c r="B205" s="16">
        <v>116</v>
      </c>
      <c r="C205" s="16" t="s">
        <v>2010</v>
      </c>
      <c r="D205" s="16" t="s">
        <v>1582</v>
      </c>
      <c r="E205" s="16" t="s">
        <v>2115</v>
      </c>
      <c r="F205" s="200" t="s">
        <v>1915</v>
      </c>
      <c r="G205" s="189" t="str">
        <f>IFERROR(VLOOKUP(C205,#REF!,4,FALSE),"")</f>
        <v/>
      </c>
      <c r="H205" s="248">
        <f>VLOOKUP(C205,Dados!B:AW,11,0)</f>
        <v>0.98</v>
      </c>
      <c r="I205" s="16" t="str">
        <f>(VLOOKUP(C205,Dados!B:AW,48,0))</f>
        <v>Confiabilidade em Crescimento</v>
      </c>
      <c r="J205" s="189" t="s">
        <v>735</v>
      </c>
      <c r="K205" s="177">
        <f>IFERROR((VLOOKUP(C205,Dados!B:AW,44,0)),0)</f>
        <v>0</v>
      </c>
      <c r="L205" s="177">
        <f>IFERROR((VLOOKUP(C205,Dados!B:AW,45,0)),0)</f>
        <v>0</v>
      </c>
      <c r="M205" s="177">
        <f>IFERROR((VLOOKUP(C205,Dados!B:AW,43,0)),0)</f>
        <v>0</v>
      </c>
      <c r="N205" s="179">
        <f>IFERROR((VLOOKUP(C205,Dados!B:AW,47,0)),0)</f>
        <v>0</v>
      </c>
      <c r="O205" s="197">
        <f t="shared" si="10"/>
        <v>2</v>
      </c>
      <c r="P205" s="1">
        <f t="shared" si="11"/>
        <v>0</v>
      </c>
      <c r="Q205" s="221"/>
      <c r="AC205">
        <v>2</v>
      </c>
      <c r="AD205">
        <v>2</v>
      </c>
      <c r="AE205">
        <v>2</v>
      </c>
      <c r="AH205" t="s">
        <v>389</v>
      </c>
      <c r="AI205" t="str">
        <f t="shared" si="9"/>
        <v>CEN044*</v>
      </c>
    </row>
    <row r="206" spans="1:35" ht="25" x14ac:dyDescent="0.3">
      <c r="B206" s="16">
        <v>117</v>
      </c>
      <c r="C206" s="16" t="s">
        <v>2011</v>
      </c>
      <c r="D206" s="16" t="s">
        <v>1582</v>
      </c>
      <c r="E206" s="16" t="s">
        <v>2115</v>
      </c>
      <c r="F206" s="200" t="s">
        <v>1916</v>
      </c>
      <c r="G206" s="189" t="str">
        <f>IFERROR(VLOOKUP(C206,#REF!,4,FALSE),"")</f>
        <v/>
      </c>
      <c r="H206" s="248">
        <f>VLOOKUP(C206,Dados!B:AW,11,0)</f>
        <v>0.82</v>
      </c>
      <c r="I206" s="16" t="str">
        <f>(VLOOKUP(C206,Dados!B:AW,48,0))</f>
        <v>Confiabilidade em Crescimento</v>
      </c>
      <c r="J206" s="189" t="s">
        <v>735</v>
      </c>
      <c r="K206" s="177">
        <f>IFERROR((VLOOKUP(C206,Dados!B:AW,44,0)),0)</f>
        <v>0</v>
      </c>
      <c r="L206" s="177">
        <f>IFERROR((VLOOKUP(C206,Dados!B:AW,45,0)),0)</f>
        <v>0</v>
      </c>
      <c r="M206" s="177">
        <f>IFERROR((VLOOKUP(C206,Dados!B:AW,43,0)),0)</f>
        <v>0</v>
      </c>
      <c r="N206" s="179">
        <f>IFERROR((VLOOKUP(C206,Dados!B:AW,47,0)),0)</f>
        <v>0</v>
      </c>
      <c r="O206" s="197">
        <f t="shared" si="10"/>
        <v>2</v>
      </c>
      <c r="P206" s="1">
        <f t="shared" si="11"/>
        <v>0</v>
      </c>
      <c r="Q206" s="221"/>
      <c r="AC206">
        <v>2</v>
      </c>
      <c r="AD206">
        <v>2</v>
      </c>
      <c r="AE206">
        <v>2</v>
      </c>
      <c r="AH206" t="s">
        <v>331</v>
      </c>
      <c r="AI206" t="str">
        <f t="shared" si="9"/>
        <v>INJ001*</v>
      </c>
    </row>
    <row r="207" spans="1:35" ht="25" x14ac:dyDescent="0.3">
      <c r="A207"/>
      <c r="B207" s="16">
        <v>118</v>
      </c>
      <c r="C207" s="16" t="s">
        <v>2012</v>
      </c>
      <c r="D207" s="16" t="s">
        <v>1582</v>
      </c>
      <c r="E207" s="16" t="s">
        <v>2115</v>
      </c>
      <c r="F207" s="200" t="s">
        <v>1917</v>
      </c>
      <c r="G207" s="189" t="str">
        <f>IFERROR(VLOOKUP(C207,#REF!,4,FALSE),"")</f>
        <v/>
      </c>
      <c r="H207" s="248">
        <f>VLOOKUP(C207,Dados!B:AW,11,0)</f>
        <v>1.27</v>
      </c>
      <c r="I207" s="16" t="str">
        <f>(VLOOKUP(C207,Dados!B:AW,48,0))</f>
        <v>Fase de Degradação</v>
      </c>
      <c r="J207" s="189" t="s">
        <v>735</v>
      </c>
      <c r="K207" s="177">
        <f>IFERROR((VLOOKUP(C207,Dados!B:AW,44,0)),0)</f>
        <v>0</v>
      </c>
      <c r="L207" s="177">
        <f>IFERROR((VLOOKUP(C207,Dados!B:AW,45,0)),0)</f>
        <v>0</v>
      </c>
      <c r="M207" s="177">
        <f>IFERROR((VLOOKUP(C207,Dados!B:AW,43,0)),0)</f>
        <v>0</v>
      </c>
      <c r="N207" s="179">
        <f>IFERROR((VLOOKUP(C207,Dados!B:AW,47,0)),0)</f>
        <v>0</v>
      </c>
      <c r="O207" s="197">
        <f t="shared" si="10"/>
        <v>1</v>
      </c>
      <c r="P207" s="1">
        <f t="shared" si="11"/>
        <v>0</v>
      </c>
      <c r="Q207" s="221"/>
      <c r="AC207">
        <v>-1</v>
      </c>
      <c r="AD207">
        <v>-1</v>
      </c>
      <c r="AE207">
        <v>-1</v>
      </c>
      <c r="AH207" t="s">
        <v>37</v>
      </c>
      <c r="AI207" t="str">
        <f t="shared" si="9"/>
        <v>INJ030*</v>
      </c>
    </row>
    <row r="208" spans="1:35" ht="26.25" customHeight="1" x14ac:dyDescent="0.3">
      <c r="A208"/>
      <c r="B208" s="16">
        <v>119</v>
      </c>
      <c r="C208" s="16" t="s">
        <v>2013</v>
      </c>
      <c r="D208" s="16" t="s">
        <v>1582</v>
      </c>
      <c r="E208" s="16" t="s">
        <v>2115</v>
      </c>
      <c r="F208" s="200" t="s">
        <v>1918</v>
      </c>
      <c r="G208" s="189" t="str">
        <f>IFERROR(VLOOKUP(C208,#REF!,4,FALSE),"")</f>
        <v/>
      </c>
      <c r="H208" s="250">
        <f>VLOOKUP(C208,Dados!B:AW,11,0)</f>
        <v>1.08</v>
      </c>
      <c r="I208" s="16" t="str">
        <f>(VLOOKUP(C208,Dados!B:AW,48,0))</f>
        <v>Fase de Vida Útil</v>
      </c>
      <c r="J208" s="189" t="s">
        <v>735</v>
      </c>
      <c r="K208" s="177">
        <f>IFERROR((VLOOKUP(C208,Dados!B:AW,44,0)),0)</f>
        <v>0</v>
      </c>
      <c r="L208" s="177">
        <f>IFERROR((VLOOKUP(C208,Dados!B:AW,45,0)),0)</f>
        <v>0</v>
      </c>
      <c r="M208" s="177">
        <f>IFERROR((VLOOKUP(C208,Dados!B:AW,43,0)),0)</f>
        <v>0</v>
      </c>
      <c r="N208" s="179">
        <f>IFERROR((VLOOKUP(C208,Dados!B:AW,47,0)),0)</f>
        <v>0</v>
      </c>
      <c r="O208" s="197">
        <f t="shared" si="10"/>
        <v>2</v>
      </c>
      <c r="P208" s="1">
        <f t="shared" si="11"/>
        <v>0</v>
      </c>
      <c r="Q208" s="221"/>
      <c r="AC208">
        <v>2</v>
      </c>
      <c r="AD208">
        <v>2</v>
      </c>
      <c r="AE208">
        <v>2</v>
      </c>
      <c r="AH208" t="s">
        <v>1074</v>
      </c>
      <c r="AI208" t="str">
        <f t="shared" si="9"/>
        <v>LAV040*</v>
      </c>
    </row>
    <row r="209" spans="1:35" ht="26.25" customHeight="1" x14ac:dyDescent="0.3">
      <c r="A209"/>
      <c r="B209" s="16">
        <v>120</v>
      </c>
      <c r="C209" s="16" t="s">
        <v>2014</v>
      </c>
      <c r="D209" s="16" t="s">
        <v>1582</v>
      </c>
      <c r="E209" s="16" t="s">
        <v>2115</v>
      </c>
      <c r="F209" s="200" t="s">
        <v>1919</v>
      </c>
      <c r="G209" s="189" t="str">
        <f>IFERROR(VLOOKUP(C209,#REF!,4,FALSE),"")</f>
        <v/>
      </c>
      <c r="H209" s="248">
        <f>VLOOKUP(C209,Dados!B:AW,11,0)</f>
        <v>1.51</v>
      </c>
      <c r="I209" s="16" t="str">
        <f>(VLOOKUP(C209,Dados!B:AW,48,0))</f>
        <v>Fase de Degradação</v>
      </c>
      <c r="J209" s="189" t="s">
        <v>735</v>
      </c>
      <c r="K209" s="177">
        <f>IFERROR((VLOOKUP(C209,Dados!B:AW,44,0)),0)</f>
        <v>0</v>
      </c>
      <c r="L209" s="177">
        <f>IFERROR((VLOOKUP(C209,Dados!B:AW,45,0)),0)</f>
        <v>0</v>
      </c>
      <c r="M209" s="177">
        <f>IFERROR((VLOOKUP(C209,Dados!B:AW,43,0)),0)</f>
        <v>0</v>
      </c>
      <c r="N209" s="179">
        <f>IFERROR((VLOOKUP(C209,Dados!B:AW,47,0)),0)</f>
        <v>0</v>
      </c>
      <c r="O209" s="197">
        <f t="shared" si="10"/>
        <v>1</v>
      </c>
      <c r="P209" s="1">
        <f t="shared" si="11"/>
        <v>0</v>
      </c>
      <c r="Q209" s="221"/>
      <c r="AC209">
        <v>2</v>
      </c>
      <c r="AD209">
        <v>2</v>
      </c>
      <c r="AE209">
        <v>2</v>
      </c>
      <c r="AH209" t="s">
        <v>621</v>
      </c>
      <c r="AI209" t="str">
        <f t="shared" si="9"/>
        <v>TOR024*</v>
      </c>
    </row>
    <row r="210" spans="1:35" ht="26.25" customHeight="1" x14ac:dyDescent="0.3">
      <c r="A210"/>
      <c r="B210" s="16">
        <v>121</v>
      </c>
      <c r="C210" s="16" t="s">
        <v>2015</v>
      </c>
      <c r="D210" s="16" t="s">
        <v>1582</v>
      </c>
      <c r="E210" s="16" t="s">
        <v>2115</v>
      </c>
      <c r="F210" s="200" t="s">
        <v>1920</v>
      </c>
      <c r="G210" s="189" t="str">
        <f>IFERROR(VLOOKUP(C210,#REF!,4,FALSE),"")</f>
        <v/>
      </c>
      <c r="H210" s="250">
        <f>VLOOKUP(C210,Dados!B:AW,11,0)</f>
        <v>1.82</v>
      </c>
      <c r="I210" s="16" t="str">
        <f>(VLOOKUP(C210,Dados!B:AW,48,0))</f>
        <v>Fase de Degradação</v>
      </c>
      <c r="J210" s="189" t="s">
        <v>735</v>
      </c>
      <c r="K210" s="177">
        <f>IFERROR((VLOOKUP(C210,Dados!B:AW,44,0)),0)</f>
        <v>0</v>
      </c>
      <c r="L210" s="177">
        <f>IFERROR((VLOOKUP(C210,Dados!B:AW,45,0)),0)</f>
        <v>0</v>
      </c>
      <c r="M210" s="177">
        <f>IFERROR((VLOOKUP(C210,Dados!B:AW,43,0)),0)</f>
        <v>0</v>
      </c>
      <c r="N210" s="179">
        <f>IFERROR((VLOOKUP(C210,Dados!B:AW,47,0)),0)</f>
        <v>0</v>
      </c>
      <c r="O210" s="197">
        <f t="shared" si="10"/>
        <v>1</v>
      </c>
      <c r="P210" s="1">
        <f t="shared" si="11"/>
        <v>0</v>
      </c>
      <c r="Q210" s="221"/>
      <c r="AC210">
        <v>2</v>
      </c>
      <c r="AD210">
        <v>2</v>
      </c>
      <c r="AE210">
        <v>2</v>
      </c>
      <c r="AH210" t="s">
        <v>268</v>
      </c>
      <c r="AI210" t="str">
        <f t="shared" si="9"/>
        <v>CEN069*</v>
      </c>
    </row>
    <row r="211" spans="1:35" ht="26.25" customHeight="1" x14ac:dyDescent="0.3">
      <c r="A211"/>
      <c r="B211" s="16">
        <v>122</v>
      </c>
      <c r="C211" s="16" t="s">
        <v>2016</v>
      </c>
      <c r="D211" s="16" t="s">
        <v>1582</v>
      </c>
      <c r="E211" s="16" t="s">
        <v>2115</v>
      </c>
      <c r="F211" s="200" t="s">
        <v>1921</v>
      </c>
      <c r="G211" s="189" t="str">
        <f>IFERROR(VLOOKUP(C211,#REF!,4,FALSE),"")</f>
        <v/>
      </c>
      <c r="H211" s="248">
        <f>VLOOKUP(C211,Dados!B:AW,11,0)</f>
        <v>1.43</v>
      </c>
      <c r="I211" s="16" t="str">
        <f>(VLOOKUP(C211,Dados!B:AW,48,0))</f>
        <v>Fase de Degradação</v>
      </c>
      <c r="J211" s="189" t="s">
        <v>735</v>
      </c>
      <c r="K211" s="177">
        <f>IFERROR((VLOOKUP(C211,Dados!B:AW,44,0)),0)</f>
        <v>0</v>
      </c>
      <c r="L211" s="177">
        <f>IFERROR((VLOOKUP(C211,Dados!B:AW,45,0)),0)</f>
        <v>0</v>
      </c>
      <c r="M211" s="177">
        <f>IFERROR((VLOOKUP(C211,Dados!B:AW,43,0)),0)</f>
        <v>0</v>
      </c>
      <c r="N211" s="179">
        <f>IFERROR((VLOOKUP(C211,Dados!B:AW,47,0)),0)</f>
        <v>0</v>
      </c>
      <c r="O211" s="197">
        <f t="shared" si="10"/>
        <v>1</v>
      </c>
      <c r="P211" s="1">
        <f t="shared" si="11"/>
        <v>0</v>
      </c>
      <c r="Q211" s="221"/>
      <c r="AC211">
        <v>2</v>
      </c>
      <c r="AD211">
        <v>2</v>
      </c>
      <c r="AE211">
        <v>2</v>
      </c>
      <c r="AH211" t="s">
        <v>247</v>
      </c>
      <c r="AI211" t="str">
        <f t="shared" si="9"/>
        <v>CEN071*</v>
      </c>
    </row>
    <row r="212" spans="1:35" ht="26.25" customHeight="1" x14ac:dyDescent="0.3">
      <c r="A212"/>
      <c r="B212" s="16">
        <v>123</v>
      </c>
      <c r="C212" s="16" t="s">
        <v>2017</v>
      </c>
      <c r="D212" s="16" t="s">
        <v>1582</v>
      </c>
      <c r="E212" s="16" t="s">
        <v>2115</v>
      </c>
      <c r="F212" s="200" t="s">
        <v>1922</v>
      </c>
      <c r="G212" s="189" t="str">
        <f>IFERROR(VLOOKUP(C212,#REF!,4,FALSE),"")</f>
        <v/>
      </c>
      <c r="H212" s="248">
        <f>VLOOKUP(C212,Dados!B:AW,11,0)</f>
        <v>3.58</v>
      </c>
      <c r="I212" s="16" t="str">
        <f>(VLOOKUP(C212,Dados!B:AW,48,0))</f>
        <v>Fase de Degradação</v>
      </c>
      <c r="J212" s="189" t="s">
        <v>735</v>
      </c>
      <c r="K212" s="177">
        <f>IFERROR((VLOOKUP(C212,Dados!B:AW,44,0)),0)</f>
        <v>0</v>
      </c>
      <c r="L212" s="177">
        <f>IFERROR((VLOOKUP(C212,Dados!B:AW,45,0)),0)</f>
        <v>0</v>
      </c>
      <c r="M212" s="177">
        <f>IFERROR((VLOOKUP(C212,Dados!B:AW,43,0)),0)</f>
        <v>0</v>
      </c>
      <c r="N212" s="179">
        <f>IFERROR((VLOOKUP(C212,Dados!B:AW,47,0)),0)</f>
        <v>0</v>
      </c>
      <c r="O212" s="197">
        <f t="shared" si="10"/>
        <v>1</v>
      </c>
      <c r="P212" s="1">
        <f t="shared" si="11"/>
        <v>0</v>
      </c>
      <c r="Q212" s="221"/>
      <c r="AC212">
        <v>2</v>
      </c>
      <c r="AD212">
        <v>2</v>
      </c>
      <c r="AE212">
        <v>2</v>
      </c>
      <c r="AH212" t="s">
        <v>327</v>
      </c>
      <c r="AI212" t="str">
        <f t="shared" si="9"/>
        <v>CEN084*</v>
      </c>
    </row>
    <row r="213" spans="1:35" ht="26.25" customHeight="1" x14ac:dyDescent="0.3">
      <c r="A213"/>
      <c r="B213" s="16">
        <v>124</v>
      </c>
      <c r="C213" s="16" t="s">
        <v>2018</v>
      </c>
      <c r="D213" s="16" t="s">
        <v>1582</v>
      </c>
      <c r="E213" s="16" t="s">
        <v>2115</v>
      </c>
      <c r="F213" s="200" t="s">
        <v>1923</v>
      </c>
      <c r="G213" s="189" t="str">
        <f>IFERROR(VLOOKUP(C213,#REF!,4,FALSE),"")</f>
        <v/>
      </c>
      <c r="H213" s="248">
        <f>VLOOKUP(C213,Dados!B:AW,11,0)</f>
        <v>1.25</v>
      </c>
      <c r="I213" s="16" t="str">
        <f>(VLOOKUP(C213,Dados!B:AW,48,0))</f>
        <v>Fase de Degradação</v>
      </c>
      <c r="J213" s="189" t="s">
        <v>735</v>
      </c>
      <c r="K213" s="177">
        <f>IFERROR((VLOOKUP(C213,Dados!B:AW,44,0)),0)</f>
        <v>0</v>
      </c>
      <c r="L213" s="177">
        <f>IFERROR((VLOOKUP(C213,Dados!B:AW,45,0)),0)</f>
        <v>0</v>
      </c>
      <c r="M213" s="177">
        <f>IFERROR((VLOOKUP(C213,Dados!B:AW,43,0)),0)</f>
        <v>0</v>
      </c>
      <c r="N213" s="179">
        <f>IFERROR((VLOOKUP(C213,Dados!B:AW,47,0)),0)</f>
        <v>0</v>
      </c>
      <c r="O213" s="197">
        <f t="shared" si="10"/>
        <v>1</v>
      </c>
      <c r="P213" s="1">
        <f t="shared" si="11"/>
        <v>0</v>
      </c>
      <c r="Q213" s="221"/>
      <c r="AC213">
        <v>2</v>
      </c>
      <c r="AD213">
        <v>2</v>
      </c>
      <c r="AE213">
        <v>2</v>
      </c>
      <c r="AH213" t="s">
        <v>763</v>
      </c>
      <c r="AI213" t="str">
        <f t="shared" si="9"/>
        <v>CEN098*</v>
      </c>
    </row>
    <row r="214" spans="1:35" ht="26.25" customHeight="1" x14ac:dyDescent="0.3">
      <c r="A214"/>
      <c r="B214" s="16">
        <v>125</v>
      </c>
      <c r="C214" s="16" t="s">
        <v>2019</v>
      </c>
      <c r="D214" s="16" t="s">
        <v>1582</v>
      </c>
      <c r="E214" s="16" t="s">
        <v>2115</v>
      </c>
      <c r="F214" s="200" t="s">
        <v>1924</v>
      </c>
      <c r="G214" s="189" t="str">
        <f>IFERROR(VLOOKUP(C214,#REF!,4,FALSE),"")</f>
        <v/>
      </c>
      <c r="H214" s="248">
        <f>VLOOKUP(C214,Dados!B:AW,11,0)</f>
        <v>1.1200000000000001</v>
      </c>
      <c r="I214" s="16" t="str">
        <f>(VLOOKUP(C214,Dados!B:AW,48,0))</f>
        <v>Fase de Degradação</v>
      </c>
      <c r="J214" s="189" t="s">
        <v>735</v>
      </c>
      <c r="K214" s="177">
        <f>IFERROR((VLOOKUP(C214,Dados!B:AW,44,0)),0)</f>
        <v>0</v>
      </c>
      <c r="L214" s="177">
        <f>IFERROR((VLOOKUP(C214,Dados!B:AW,45,0)),0)</f>
        <v>0</v>
      </c>
      <c r="M214" s="177">
        <f>IFERROR((VLOOKUP(C214,Dados!B:AW,43,0)),0)</f>
        <v>0</v>
      </c>
      <c r="N214" s="179">
        <f>IFERROR((VLOOKUP(C214,Dados!B:AW,47,0)),0)</f>
        <v>0</v>
      </c>
      <c r="O214" s="197">
        <f t="shared" si="10"/>
        <v>1</v>
      </c>
      <c r="P214" s="1">
        <f t="shared" si="11"/>
        <v>0</v>
      </c>
      <c r="Q214" s="221"/>
      <c r="AC214">
        <v>2</v>
      </c>
      <c r="AD214">
        <v>2</v>
      </c>
      <c r="AE214">
        <v>2</v>
      </c>
      <c r="AH214" t="s">
        <v>968</v>
      </c>
      <c r="AI214" t="str">
        <f t="shared" si="9"/>
        <v>CEN105*</v>
      </c>
    </row>
    <row r="215" spans="1:35" ht="26.25" customHeight="1" x14ac:dyDescent="0.3">
      <c r="A215"/>
      <c r="B215" s="16">
        <v>466</v>
      </c>
      <c r="C215" s="16" t="s">
        <v>1114</v>
      </c>
      <c r="D215" s="16" t="s">
        <v>1582</v>
      </c>
      <c r="E215" s="16" t="s">
        <v>2115</v>
      </c>
      <c r="F215" s="200" t="s">
        <v>1115</v>
      </c>
      <c r="G215" s="189" t="str">
        <f>IFERROR(VLOOKUP(C215,#REF!,4,FALSE),"")</f>
        <v/>
      </c>
      <c r="H215" s="248">
        <f>VLOOKUP(C215,Dados!B:AW,11,0)</f>
        <v>0.82</v>
      </c>
      <c r="I215" s="16" t="str">
        <f>(VLOOKUP(C215,Dados!B:AW,48,0))</f>
        <v>Confiabilidade em Crescimento</v>
      </c>
      <c r="J215" s="189" t="s">
        <v>732</v>
      </c>
      <c r="K215" s="177">
        <f>IFERROR((VLOOKUP(C215,Dados!B:AW,44,0)),0)</f>
        <v>0</v>
      </c>
      <c r="L215" s="177">
        <f>IFERROR((VLOOKUP(C215,Dados!B:AW,45,0)),0)</f>
        <v>0</v>
      </c>
      <c r="M215" s="177">
        <f>IFERROR((VLOOKUP(C215,Dados!B:AW,43,0)),0)</f>
        <v>0</v>
      </c>
      <c r="N215" s="179">
        <f>IFERROR((VLOOKUP(C215,Dados!B:AW,47,0)),0)</f>
        <v>0</v>
      </c>
      <c r="O215" s="197">
        <f t="shared" si="10"/>
        <v>2</v>
      </c>
      <c r="P215" s="1">
        <f t="shared" si="11"/>
        <v>0</v>
      </c>
      <c r="Q215" s="221"/>
      <c r="AC215">
        <v>2</v>
      </c>
      <c r="AD215">
        <v>2</v>
      </c>
      <c r="AE215">
        <v>2</v>
      </c>
      <c r="AH215" t="s">
        <v>829</v>
      </c>
      <c r="AI215" t="str">
        <f t="shared" si="9"/>
        <v>RET003*</v>
      </c>
    </row>
    <row r="216" spans="1:35" ht="26.25" customHeight="1" x14ac:dyDescent="0.3">
      <c r="A216"/>
      <c r="B216" s="16">
        <v>469</v>
      </c>
      <c r="C216" s="16" t="s">
        <v>1857</v>
      </c>
      <c r="D216" s="16" t="s">
        <v>1582</v>
      </c>
      <c r="E216" s="16" t="s">
        <v>2115</v>
      </c>
      <c r="F216" s="200" t="s">
        <v>1726</v>
      </c>
      <c r="G216" s="189" t="str">
        <f>IFERROR(VLOOKUP(C216,#REF!,4,FALSE),"")</f>
        <v/>
      </c>
      <c r="H216" s="250">
        <f>VLOOKUP(C216,Dados!B:AW,11,0)</f>
        <v>0</v>
      </c>
      <c r="I216" s="16">
        <f>(VLOOKUP(C216,Dados!B:AW,48,0))</f>
        <v>0</v>
      </c>
      <c r="J216" s="189" t="s">
        <v>732</v>
      </c>
      <c r="K216" s="177">
        <f>IFERROR((VLOOKUP(C216,Dados!B:AW,44,0)),0)</f>
        <v>0</v>
      </c>
      <c r="L216" s="177">
        <f>IFERROR((VLOOKUP(C216,Dados!B:AW,45,0)),0)</f>
        <v>0</v>
      </c>
      <c r="M216" s="177">
        <f>IFERROR((VLOOKUP(C216,Dados!B:AW,43,0)),0)</f>
        <v>0</v>
      </c>
      <c r="N216" s="179">
        <f>IFERROR((VLOOKUP(C216,Dados!B:AW,47,0)),0)</f>
        <v>0</v>
      </c>
      <c r="O216" s="197">
        <f t="shared" si="10"/>
        <v>2</v>
      </c>
      <c r="P216" s="1">
        <f t="shared" si="11"/>
        <v>0</v>
      </c>
      <c r="Q216" s="221"/>
      <c r="AC216">
        <v>2</v>
      </c>
      <c r="AD216">
        <v>2</v>
      </c>
      <c r="AE216">
        <v>2</v>
      </c>
      <c r="AH216" t="s">
        <v>851</v>
      </c>
      <c r="AI216" t="str">
        <f t="shared" si="9"/>
        <v>ROB085*</v>
      </c>
    </row>
    <row r="217" spans="1:35" ht="26.25" customHeight="1" x14ac:dyDescent="0.3">
      <c r="A217"/>
      <c r="B217" s="16">
        <v>303</v>
      </c>
      <c r="C217" s="16" t="s">
        <v>1022</v>
      </c>
      <c r="D217" s="16" t="s">
        <v>1593</v>
      </c>
      <c r="E217" s="16" t="s">
        <v>2137</v>
      </c>
      <c r="F217" s="200" t="s">
        <v>1023</v>
      </c>
      <c r="G217" s="189" t="str">
        <f>IFERROR(VLOOKUP(C217,#REF!,4,FALSE),"")</f>
        <v/>
      </c>
      <c r="H217" s="250">
        <f>VLOOKUP(C217,Dados!B:AW,11,0)</f>
        <v>2.08</v>
      </c>
      <c r="I217" s="16" t="str">
        <f>(VLOOKUP(C217,Dados!B:AW,48,0))</f>
        <v>Fase de Degradação</v>
      </c>
      <c r="J217" s="189" t="s">
        <v>735</v>
      </c>
      <c r="K217" s="177">
        <f>IFERROR((VLOOKUP(C217,Dados!B:AW,44,0)),0)</f>
        <v>0</v>
      </c>
      <c r="L217" s="177">
        <f>IFERROR((VLOOKUP(C217,Dados!B:AW,45,0)),0)</f>
        <v>0</v>
      </c>
      <c r="M217" s="177">
        <f>IFERROR((VLOOKUP(C217,Dados!B:AW,43,0)),0)</f>
        <v>0</v>
      </c>
      <c r="N217" s="179">
        <f>IFERROR((VLOOKUP(C217,Dados!B:AW,47,0)),0)</f>
        <v>0</v>
      </c>
      <c r="O217" s="197">
        <f t="shared" si="10"/>
        <v>1</v>
      </c>
      <c r="P217" s="1">
        <f t="shared" si="11"/>
        <v>0</v>
      </c>
      <c r="Q217" s="221"/>
      <c r="AC217">
        <v>2</v>
      </c>
      <c r="AD217">
        <v>2</v>
      </c>
      <c r="AE217">
        <v>2</v>
      </c>
      <c r="AH217" t="s">
        <v>410</v>
      </c>
      <c r="AI217" t="str">
        <f t="shared" si="9"/>
        <v>CEN049*</v>
      </c>
    </row>
    <row r="218" spans="1:35" ht="26.25" customHeight="1" x14ac:dyDescent="0.3">
      <c r="A218"/>
      <c r="B218" s="16">
        <v>465</v>
      </c>
      <c r="C218" s="16" t="s">
        <v>1856</v>
      </c>
      <c r="D218" s="16" t="s">
        <v>1593</v>
      </c>
      <c r="E218" s="16" t="s">
        <v>2137</v>
      </c>
      <c r="F218" s="200" t="s">
        <v>1725</v>
      </c>
      <c r="G218" s="189" t="str">
        <f>IFERROR(VLOOKUP(C218,#REF!,4,FALSE),"")</f>
        <v/>
      </c>
      <c r="H218" s="250">
        <f>VLOOKUP(C218,Dados!B:AW,11,0)</f>
        <v>1.54</v>
      </c>
      <c r="I218" s="16" t="str">
        <f>(VLOOKUP(C218,Dados!B:AW,48,0))</f>
        <v>Fase de Degradação</v>
      </c>
      <c r="J218" s="189" t="s">
        <v>735</v>
      </c>
      <c r="K218" s="177">
        <f>IFERROR((VLOOKUP(C218,Dados!B:AW,44,0)),0)</f>
        <v>0</v>
      </c>
      <c r="L218" s="177">
        <f>IFERROR((VLOOKUP(C218,Dados!B:AW,45,0)),0)</f>
        <v>0</v>
      </c>
      <c r="M218" s="177">
        <f>IFERROR((VLOOKUP(C218,Dados!B:AW,43,0)),0)</f>
        <v>0</v>
      </c>
      <c r="N218" s="179">
        <f>IFERROR((VLOOKUP(C218,Dados!B:AW,47,0)),0)</f>
        <v>0</v>
      </c>
      <c r="O218" s="197">
        <f t="shared" si="10"/>
        <v>1</v>
      </c>
      <c r="P218" s="1">
        <f t="shared" si="11"/>
        <v>0</v>
      </c>
      <c r="Q218" s="221"/>
      <c r="AC218">
        <v>2</v>
      </c>
      <c r="AD218">
        <v>2</v>
      </c>
      <c r="AE218">
        <v>2</v>
      </c>
      <c r="AH218" t="s">
        <v>395</v>
      </c>
      <c r="AI218" t="str">
        <f t="shared" si="9"/>
        <v>CEN054*</v>
      </c>
    </row>
    <row r="219" spans="1:35" ht="25" x14ac:dyDescent="0.3">
      <c r="B219" s="16">
        <v>484</v>
      </c>
      <c r="C219" s="16" t="s">
        <v>1859</v>
      </c>
      <c r="D219" s="16" t="s">
        <v>1593</v>
      </c>
      <c r="E219" s="16" t="s">
        <v>2137</v>
      </c>
      <c r="F219" s="200" t="s">
        <v>1728</v>
      </c>
      <c r="G219" s="189" t="str">
        <f>IFERROR(VLOOKUP(C219,#REF!,4,FALSE),"")</f>
        <v/>
      </c>
      <c r="H219" s="249">
        <f>VLOOKUP(C219,Dados!B:AW,11,0)</f>
        <v>1.81</v>
      </c>
      <c r="I219" s="16" t="str">
        <f>(VLOOKUP(C219,Dados!B:AW,48,0))</f>
        <v>Fase de Degradação</v>
      </c>
      <c r="J219" s="189" t="s">
        <v>735</v>
      </c>
      <c r="K219" s="177">
        <f>IFERROR((VLOOKUP(C219,Dados!B:AW,44,0)),0)</f>
        <v>0</v>
      </c>
      <c r="L219" s="177">
        <f>IFERROR((VLOOKUP(C219,Dados!B:AW,45,0)),0)</f>
        <v>0</v>
      </c>
      <c r="M219" s="177">
        <f>IFERROR((VLOOKUP(C219,Dados!B:AW,43,0)),0)</f>
        <v>0</v>
      </c>
      <c r="N219" s="179">
        <f>IFERROR((VLOOKUP(C219,Dados!B:AW,47,0)),0)</f>
        <v>0</v>
      </c>
      <c r="O219" s="197">
        <f t="shared" si="10"/>
        <v>1</v>
      </c>
      <c r="P219" s="1">
        <f t="shared" si="11"/>
        <v>0</v>
      </c>
      <c r="Q219" s="221"/>
      <c r="AC219">
        <v>2</v>
      </c>
      <c r="AD219">
        <v>2</v>
      </c>
      <c r="AE219">
        <v>1</v>
      </c>
      <c r="AH219" t="s">
        <v>353</v>
      </c>
      <c r="AI219" t="str">
        <f t="shared" si="9"/>
        <v>INJ010*</v>
      </c>
    </row>
    <row r="220" spans="1:35" ht="25" x14ac:dyDescent="0.3">
      <c r="A220"/>
      <c r="B220" s="16">
        <v>432</v>
      </c>
      <c r="C220" s="16" t="s">
        <v>1078</v>
      </c>
      <c r="D220" s="16" t="s">
        <v>1584</v>
      </c>
      <c r="E220" s="16" t="s">
        <v>2104</v>
      </c>
      <c r="F220" s="200" t="s">
        <v>1079</v>
      </c>
      <c r="G220" s="189" t="str">
        <f>IFERROR(VLOOKUP(C220,#REF!,4,FALSE),"")</f>
        <v/>
      </c>
      <c r="H220" s="248">
        <f>VLOOKUP(C220,Dados!B:AW,11,0)</f>
        <v>0.8</v>
      </c>
      <c r="I220" s="16" t="str">
        <f>(VLOOKUP(C220,Dados!B:AW,48,0))</f>
        <v>Confiabilidade em Crescimento</v>
      </c>
      <c r="J220" s="189" t="s">
        <v>734</v>
      </c>
      <c r="K220" s="177">
        <f>IFERROR((VLOOKUP(C220,Dados!B:AW,44,0)),0)</f>
        <v>0</v>
      </c>
      <c r="L220" s="177">
        <f>IFERROR((VLOOKUP(C220,Dados!B:AW,45,0)),0)</f>
        <v>0</v>
      </c>
      <c r="M220" s="177">
        <f>IFERROR((VLOOKUP(C220,Dados!B:AW,43,0)),0)</f>
        <v>0</v>
      </c>
      <c r="N220" s="179">
        <f>IFERROR((VLOOKUP(C220,Dados!B:AW,47,0)),0)</f>
        <v>0</v>
      </c>
      <c r="O220" s="197">
        <f t="shared" si="10"/>
        <v>2</v>
      </c>
      <c r="P220" s="1">
        <f t="shared" si="11"/>
        <v>0</v>
      </c>
      <c r="Q220" s="221"/>
      <c r="AC220">
        <v>-1</v>
      </c>
      <c r="AD220">
        <v>-1</v>
      </c>
      <c r="AE220">
        <v>-1</v>
      </c>
      <c r="AH220" t="s">
        <v>1094</v>
      </c>
      <c r="AI220" t="str">
        <f t="shared" si="9"/>
        <v>MAC008*</v>
      </c>
    </row>
    <row r="221" spans="1:35" ht="26.25" customHeight="1" x14ac:dyDescent="0.3">
      <c r="A221"/>
      <c r="B221" s="16">
        <v>441</v>
      </c>
      <c r="C221" s="16" t="s">
        <v>1080</v>
      </c>
      <c r="D221" s="16" t="s">
        <v>1584</v>
      </c>
      <c r="E221" s="16" t="s">
        <v>2104</v>
      </c>
      <c r="F221" s="200" t="s">
        <v>1081</v>
      </c>
      <c r="G221" s="189" t="str">
        <f>IFERROR(VLOOKUP(C221,#REF!,4,FALSE),"")</f>
        <v/>
      </c>
      <c r="H221" s="248">
        <f>VLOOKUP(C221,Dados!B:AW,11,0)</f>
        <v>2.11</v>
      </c>
      <c r="I221" s="16" t="str">
        <f>(VLOOKUP(C221,Dados!B:AW,48,0))</f>
        <v>Fase de Degradação</v>
      </c>
      <c r="J221" s="189" t="s">
        <v>735</v>
      </c>
      <c r="K221" s="177">
        <f>IFERROR((VLOOKUP(C221,Dados!B:AW,44,0)),0)</f>
        <v>0</v>
      </c>
      <c r="L221" s="177">
        <f>IFERROR((VLOOKUP(C221,Dados!B:AW,45,0)),0)</f>
        <v>0</v>
      </c>
      <c r="M221" s="177">
        <f>IFERROR((VLOOKUP(C221,Dados!B:AW,43,0)),0)</f>
        <v>0</v>
      </c>
      <c r="N221" s="179">
        <f>IFERROR((VLOOKUP(C221,Dados!B:AW,47,0)),0)</f>
        <v>0</v>
      </c>
      <c r="O221" s="197">
        <f t="shared" si="10"/>
        <v>1</v>
      </c>
      <c r="P221" s="1">
        <f t="shared" si="11"/>
        <v>0</v>
      </c>
      <c r="Q221" s="221"/>
      <c r="AC221">
        <v>-1</v>
      </c>
      <c r="AD221">
        <v>-1</v>
      </c>
      <c r="AE221">
        <v>-1</v>
      </c>
      <c r="AH221" t="s">
        <v>423</v>
      </c>
      <c r="AI221" t="str">
        <f t="shared" si="9"/>
        <v>MAG003*</v>
      </c>
    </row>
    <row r="222" spans="1:35" ht="26.25" customHeight="1" x14ac:dyDescent="0.3">
      <c r="A222"/>
      <c r="B222" s="16">
        <v>126</v>
      </c>
      <c r="C222" s="336" t="s">
        <v>414</v>
      </c>
      <c r="D222" s="336" t="s">
        <v>1584</v>
      </c>
      <c r="E222" s="336" t="s">
        <v>2067</v>
      </c>
      <c r="F222" s="337" t="s">
        <v>235</v>
      </c>
      <c r="G222" s="338" t="str">
        <f>IFERROR(VLOOKUP(C222,#REF!,4,FALSE),"")</f>
        <v/>
      </c>
      <c r="H222" s="339">
        <f>VLOOKUP(C222,Dados!B:AW,11,0)</f>
        <v>1.45</v>
      </c>
      <c r="I222" s="336" t="str">
        <f>(VLOOKUP(C222,Dados!B:AW,48,0))</f>
        <v>Fase de Degradação</v>
      </c>
      <c r="J222" s="338" t="s">
        <v>735</v>
      </c>
      <c r="K222" s="340">
        <f>IFERROR((VLOOKUP(C222,Dados!B:AW,44,0)),0)</f>
        <v>0</v>
      </c>
      <c r="L222" s="340">
        <f>IFERROR((VLOOKUP(C222,Dados!B:AW,45,0)),0)</f>
        <v>0</v>
      </c>
      <c r="M222" s="340">
        <f>IFERROR((VLOOKUP(C222,Dados!B:AW,43,0)),0)</f>
        <v>0</v>
      </c>
      <c r="N222" s="341">
        <f>IFERROR((VLOOKUP(C222,Dados!B:AW,47,0)),0)</f>
        <v>0</v>
      </c>
      <c r="O222" s="342">
        <f t="shared" si="10"/>
        <v>1</v>
      </c>
      <c r="P222" s="1">
        <f t="shared" si="11"/>
        <v>0</v>
      </c>
      <c r="Q222" s="221"/>
      <c r="AC222">
        <v>2</v>
      </c>
      <c r="AD222">
        <v>2</v>
      </c>
      <c r="AE222">
        <v>2</v>
      </c>
      <c r="AH222" t="s">
        <v>1112</v>
      </c>
      <c r="AI222" t="str">
        <f t="shared" si="9"/>
        <v>MAQ254*</v>
      </c>
    </row>
    <row r="223" spans="1:35" ht="26.25" customHeight="1" x14ac:dyDescent="0.3">
      <c r="A223"/>
      <c r="B223" s="16">
        <v>168</v>
      </c>
      <c r="C223" s="16" t="s">
        <v>363</v>
      </c>
      <c r="D223" s="16" t="s">
        <v>1584</v>
      </c>
      <c r="E223" s="16" t="s">
        <v>2067</v>
      </c>
      <c r="F223" s="200" t="s">
        <v>184</v>
      </c>
      <c r="G223" s="189" t="str">
        <f>IFERROR(VLOOKUP(C223,#REF!,4,FALSE),"")</f>
        <v/>
      </c>
      <c r="H223" s="248">
        <f>VLOOKUP(C223,Dados!B:AW,11,0)</f>
        <v>2</v>
      </c>
      <c r="I223" s="16" t="str">
        <f>(VLOOKUP(C223,Dados!B:AW,48,0))</f>
        <v>Fase de Degradação</v>
      </c>
      <c r="J223" s="189" t="s">
        <v>735</v>
      </c>
      <c r="K223" s="177">
        <f>IFERROR((VLOOKUP(C223,Dados!B:AW,44,0)),0)</f>
        <v>0</v>
      </c>
      <c r="L223" s="177">
        <f>IFERROR((VLOOKUP(C223,Dados!B:AW,45,0)),0)</f>
        <v>0</v>
      </c>
      <c r="M223" s="177">
        <f>IFERROR((VLOOKUP(C223,Dados!B:AW,43,0)),0)</f>
        <v>0</v>
      </c>
      <c r="N223" s="179">
        <f>IFERROR((VLOOKUP(C223,Dados!B:AW,47,0)),0)</f>
        <v>0</v>
      </c>
      <c r="O223" s="197">
        <f t="shared" si="10"/>
        <v>1</v>
      </c>
      <c r="P223" s="1">
        <f t="shared" si="11"/>
        <v>0</v>
      </c>
      <c r="Q223" s="221"/>
      <c r="AC223">
        <v>-1</v>
      </c>
      <c r="AD223">
        <v>-1</v>
      </c>
      <c r="AE223">
        <v>-1</v>
      </c>
      <c r="AH223" t="s">
        <v>627</v>
      </c>
      <c r="AI223" t="str">
        <f t="shared" si="9"/>
        <v>ROB046*</v>
      </c>
    </row>
    <row r="224" spans="1:35" ht="26.25" customHeight="1" x14ac:dyDescent="0.3">
      <c r="A224"/>
      <c r="B224" s="16">
        <v>170</v>
      </c>
      <c r="C224" s="336" t="s">
        <v>403</v>
      </c>
      <c r="D224" s="336" t="s">
        <v>1584</v>
      </c>
      <c r="E224" s="336" t="s">
        <v>2067</v>
      </c>
      <c r="F224" s="337" t="s">
        <v>224</v>
      </c>
      <c r="G224" s="338" t="str">
        <f>IFERROR(VLOOKUP(C224,#REF!,4,FALSE),"")</f>
        <v/>
      </c>
      <c r="H224" s="339">
        <f>VLOOKUP(C224,Dados!B:AW,11,0)</f>
        <v>1.18</v>
      </c>
      <c r="I224" s="336" t="str">
        <f>(VLOOKUP(C224,Dados!B:AW,48,0))</f>
        <v>Fase de Degradação</v>
      </c>
      <c r="J224" s="338" t="s">
        <v>732</v>
      </c>
      <c r="K224" s="340">
        <f>IFERROR((VLOOKUP(C224,Dados!B:AW,44,0)),0)</f>
        <v>0</v>
      </c>
      <c r="L224" s="340">
        <f>IFERROR((VLOOKUP(C224,Dados!B:AW,45,0)),0)</f>
        <v>0</v>
      </c>
      <c r="M224" s="340">
        <f>IFERROR((VLOOKUP(C224,Dados!B:AW,43,0)),0)</f>
        <v>0</v>
      </c>
      <c r="N224" s="341">
        <f>IFERROR((VLOOKUP(C224,Dados!B:AW,47,0)),0)</f>
        <v>0</v>
      </c>
      <c r="O224" s="342">
        <f t="shared" si="10"/>
        <v>1</v>
      </c>
      <c r="P224" s="1">
        <f t="shared" si="11"/>
        <v>0</v>
      </c>
      <c r="Q224" s="221"/>
      <c r="AC224">
        <v>2</v>
      </c>
      <c r="AD224">
        <v>2</v>
      </c>
      <c r="AE224">
        <v>1</v>
      </c>
      <c r="AH224" t="s">
        <v>415</v>
      </c>
      <c r="AI224" t="str">
        <f t="shared" si="9"/>
        <v>TOR026*</v>
      </c>
    </row>
    <row r="225" spans="1:35" ht="26.25" customHeight="1" x14ac:dyDescent="0.3">
      <c r="A225" s="219"/>
      <c r="B225" s="16">
        <v>199</v>
      </c>
      <c r="C225" s="16" t="s">
        <v>637</v>
      </c>
      <c r="D225" s="16" t="s">
        <v>1584</v>
      </c>
      <c r="E225" s="16" t="s">
        <v>2067</v>
      </c>
      <c r="F225" s="200" t="s">
        <v>638</v>
      </c>
      <c r="G225" s="189" t="str">
        <f>IFERROR(VLOOKUP(C225,#REF!,4,FALSE),"")</f>
        <v/>
      </c>
      <c r="H225" s="248">
        <f>VLOOKUP(C225,Dados!B:AW,11,0)</f>
        <v>1.1200000000000001</v>
      </c>
      <c r="I225" s="16" t="str">
        <f>(VLOOKUP(C225,Dados!B:AW,48,0))</f>
        <v>Fase de Degradação</v>
      </c>
      <c r="J225" s="189" t="s">
        <v>735</v>
      </c>
      <c r="K225" s="177">
        <f>IFERROR((VLOOKUP(C225,Dados!B:AW,44,0)),0)</f>
        <v>0</v>
      </c>
      <c r="L225" s="177">
        <f>IFERROR((VLOOKUP(C225,Dados!B:AW,45,0)),0)</f>
        <v>0</v>
      </c>
      <c r="M225" s="177">
        <f>IFERROR((VLOOKUP(C225,Dados!B:AW,43,0)),0)</f>
        <v>0</v>
      </c>
      <c r="N225" s="179">
        <f>IFERROR((VLOOKUP(C225,Dados!B:AW,47,0)),0)</f>
        <v>0</v>
      </c>
      <c r="O225" s="197">
        <f t="shared" si="10"/>
        <v>1</v>
      </c>
      <c r="P225" s="1">
        <f t="shared" si="11"/>
        <v>0</v>
      </c>
      <c r="Q225" s="221"/>
      <c r="AC225">
        <v>2</v>
      </c>
      <c r="AD225">
        <v>2</v>
      </c>
      <c r="AE225">
        <v>2</v>
      </c>
      <c r="AH225" t="s">
        <v>284</v>
      </c>
      <c r="AI225" t="str">
        <f t="shared" si="9"/>
        <v>BRU023*</v>
      </c>
    </row>
    <row r="226" spans="1:35" ht="25" x14ac:dyDescent="0.3">
      <c r="A226" s="219"/>
      <c r="B226" s="16">
        <v>201</v>
      </c>
      <c r="C226" s="16" t="s">
        <v>697</v>
      </c>
      <c r="D226" s="16" t="s">
        <v>1584</v>
      </c>
      <c r="E226" s="16" t="s">
        <v>2067</v>
      </c>
      <c r="F226" s="200" t="s">
        <v>698</v>
      </c>
      <c r="G226" s="189" t="str">
        <f>IFERROR(VLOOKUP(C226,#REF!,4,FALSE),"")</f>
        <v/>
      </c>
      <c r="H226" s="249">
        <f>VLOOKUP(C226,Dados!B:AW,11,0)</f>
        <v>1</v>
      </c>
      <c r="I226" s="16" t="str">
        <f>(VLOOKUP(C226,Dados!B:AW,48,0))</f>
        <v>Fase de Vida Útil</v>
      </c>
      <c r="J226" s="189" t="s">
        <v>735</v>
      </c>
      <c r="K226" s="177">
        <f>IFERROR((VLOOKUP(C226,Dados!B:AW,44,0)),0)</f>
        <v>0</v>
      </c>
      <c r="L226" s="177">
        <f>IFERROR((VLOOKUP(C226,Dados!B:AW,45,0)),0)</f>
        <v>0</v>
      </c>
      <c r="M226" s="177">
        <f>IFERROR((VLOOKUP(C226,Dados!B:AW,43,0)),0)</f>
        <v>0</v>
      </c>
      <c r="N226" s="179">
        <f>IFERROR((VLOOKUP(C226,Dados!B:AW,47,0)),0)</f>
        <v>0</v>
      </c>
      <c r="O226" s="197">
        <f t="shared" si="10"/>
        <v>2</v>
      </c>
      <c r="P226" s="1">
        <f t="shared" si="11"/>
        <v>0</v>
      </c>
      <c r="Q226" s="221"/>
      <c r="AC226">
        <v>-1</v>
      </c>
      <c r="AD226">
        <v>-1</v>
      </c>
      <c r="AE226">
        <v>-1</v>
      </c>
      <c r="AH226" t="s">
        <v>375</v>
      </c>
      <c r="AI226" t="str">
        <f t="shared" si="9"/>
        <v>CEN035*</v>
      </c>
    </row>
    <row r="227" spans="1:35" ht="25" x14ac:dyDescent="0.3">
      <c r="A227"/>
      <c r="B227" s="16">
        <v>234</v>
      </c>
      <c r="C227" s="16" t="s">
        <v>992</v>
      </c>
      <c r="D227" s="16" t="s">
        <v>1584</v>
      </c>
      <c r="E227" s="16" t="s">
        <v>2067</v>
      </c>
      <c r="F227" s="200" t="s">
        <v>993</v>
      </c>
      <c r="G227" s="189" t="str">
        <f>IFERROR(VLOOKUP(C227,#REF!,4,FALSE),"")</f>
        <v/>
      </c>
      <c r="H227" s="248">
        <f>VLOOKUP(C227,Dados!B:AW,11,0)</f>
        <v>5.7</v>
      </c>
      <c r="I227" s="16" t="str">
        <f>(VLOOKUP(C227,Dados!B:AW,48,0))</f>
        <v>Fase de Degradação</v>
      </c>
      <c r="J227" s="189" t="s">
        <v>735</v>
      </c>
      <c r="K227" s="177">
        <f>IFERROR((VLOOKUP(C227,Dados!B:AW,44,0)),0)</f>
        <v>0</v>
      </c>
      <c r="L227" s="177">
        <f>IFERROR((VLOOKUP(C227,Dados!B:AW,45,0)),0)</f>
        <v>0</v>
      </c>
      <c r="M227" s="177">
        <f>IFERROR((VLOOKUP(C227,Dados!B:AW,43,0)),0)</f>
        <v>0</v>
      </c>
      <c r="N227" s="179">
        <f>IFERROR((VLOOKUP(C227,Dados!B:AW,47,0)),0)</f>
        <v>0</v>
      </c>
      <c r="O227" s="197">
        <f t="shared" si="10"/>
        <v>1</v>
      </c>
      <c r="P227" s="1">
        <f t="shared" si="11"/>
        <v>0</v>
      </c>
      <c r="Q227" s="221"/>
      <c r="AC227">
        <v>-1</v>
      </c>
      <c r="AD227">
        <v>-1</v>
      </c>
      <c r="AE227">
        <v>-1</v>
      </c>
      <c r="AH227" t="s">
        <v>1008</v>
      </c>
      <c r="AI227" t="str">
        <f t="shared" si="9"/>
        <v>ELE016*</v>
      </c>
    </row>
    <row r="228" spans="1:35" ht="25" x14ac:dyDescent="0.3">
      <c r="A228"/>
      <c r="B228" s="16">
        <v>246</v>
      </c>
      <c r="C228" s="336" t="s">
        <v>1000</v>
      </c>
      <c r="D228" s="336" t="s">
        <v>1584</v>
      </c>
      <c r="E228" s="336" t="s">
        <v>2067</v>
      </c>
      <c r="F228" s="337" t="s">
        <v>1001</v>
      </c>
      <c r="G228" s="338" t="str">
        <f>IFERROR(VLOOKUP(C228,#REF!,4,FALSE),"")</f>
        <v/>
      </c>
      <c r="H228" s="343">
        <f>VLOOKUP(C228,Dados!B:AW,11,0)</f>
        <v>2.52</v>
      </c>
      <c r="I228" s="336" t="str">
        <f>(VLOOKUP(C228,Dados!B:AW,48,0))</f>
        <v>Fase de Degradação</v>
      </c>
      <c r="J228" s="338" t="s">
        <v>732</v>
      </c>
      <c r="K228" s="340">
        <f>IFERROR((VLOOKUP(C228,Dados!B:AW,44,0)),0)</f>
        <v>0</v>
      </c>
      <c r="L228" s="340">
        <f>IFERROR((VLOOKUP(C228,Dados!B:AW,45,0)),0)</f>
        <v>0</v>
      </c>
      <c r="M228" s="340">
        <f>IFERROR((VLOOKUP(C228,Dados!B:AW,43,0)),0)</f>
        <v>0</v>
      </c>
      <c r="N228" s="341">
        <f>IFERROR((VLOOKUP(C228,Dados!B:AW,47,0)),0)</f>
        <v>0</v>
      </c>
      <c r="O228" s="342">
        <f t="shared" si="10"/>
        <v>1</v>
      </c>
      <c r="P228" s="1">
        <f t="shared" si="11"/>
        <v>0</v>
      </c>
      <c r="Q228" s="221"/>
      <c r="AC228">
        <v>2</v>
      </c>
      <c r="AD228">
        <v>2</v>
      </c>
      <c r="AE228">
        <v>2</v>
      </c>
      <c r="AH228" t="s">
        <v>815</v>
      </c>
      <c r="AI228" t="str">
        <f t="shared" si="9"/>
        <v>MOD021*</v>
      </c>
    </row>
    <row r="229" spans="1:35" ht="25" x14ac:dyDescent="0.3">
      <c r="B229" s="16">
        <v>251</v>
      </c>
      <c r="C229" s="16" t="s">
        <v>1010</v>
      </c>
      <c r="D229" s="16" t="s">
        <v>1584</v>
      </c>
      <c r="E229" s="16" t="s">
        <v>2067</v>
      </c>
      <c r="F229" s="200" t="s">
        <v>1011</v>
      </c>
      <c r="G229" s="189" t="str">
        <f>IFERROR(VLOOKUP(C229,#REF!,4,FALSE),"")</f>
        <v/>
      </c>
      <c r="H229" s="250">
        <f>VLOOKUP(C229,Dados!B:AW,11,0)</f>
        <v>1.74</v>
      </c>
      <c r="I229" s="16" t="str">
        <f>(VLOOKUP(C229,Dados!B:AW,48,0))</f>
        <v>Fase de Degradação</v>
      </c>
      <c r="J229" s="189" t="s">
        <v>735</v>
      </c>
      <c r="K229" s="177">
        <f>IFERROR((VLOOKUP(C229,Dados!B:AW,44,0)),0)</f>
        <v>0</v>
      </c>
      <c r="L229" s="177">
        <f>IFERROR((VLOOKUP(C229,Dados!B:AW,45,0)),0)</f>
        <v>0</v>
      </c>
      <c r="M229" s="177">
        <f>IFERROR((VLOOKUP(C229,Dados!B:AW,43,0)),0)</f>
        <v>0</v>
      </c>
      <c r="N229" s="179">
        <f>IFERROR((VLOOKUP(C229,Dados!B:AW,47,0)),0)</f>
        <v>0</v>
      </c>
      <c r="O229" s="197">
        <f t="shared" si="10"/>
        <v>1</v>
      </c>
      <c r="P229" s="1">
        <f t="shared" si="11"/>
        <v>0</v>
      </c>
      <c r="Q229" s="221"/>
      <c r="AC229">
        <v>2</v>
      </c>
      <c r="AD229">
        <v>2</v>
      </c>
      <c r="AE229">
        <v>2</v>
      </c>
      <c r="AH229" t="s">
        <v>366</v>
      </c>
      <c r="AI229" t="str">
        <f t="shared" si="9"/>
        <v>BRU042*</v>
      </c>
    </row>
    <row r="230" spans="1:35" ht="25" x14ac:dyDescent="0.3">
      <c r="B230" s="16">
        <v>252</v>
      </c>
      <c r="C230" s="16" t="s">
        <v>1012</v>
      </c>
      <c r="D230" s="16" t="s">
        <v>1584</v>
      </c>
      <c r="E230" s="16" t="s">
        <v>2067</v>
      </c>
      <c r="F230" s="200" t="s">
        <v>1013</v>
      </c>
      <c r="G230" s="189" t="str">
        <f>IFERROR(VLOOKUP(C230,#REF!,4,FALSE),"")</f>
        <v/>
      </c>
      <c r="H230" s="248">
        <f>VLOOKUP(C230,Dados!B:AW,11,0)</f>
        <v>1.89</v>
      </c>
      <c r="I230" s="16" t="str">
        <f>(VLOOKUP(C230,Dados!B:AW,48,0))</f>
        <v>Fase de Degradação</v>
      </c>
      <c r="J230" s="189" t="s">
        <v>735</v>
      </c>
      <c r="K230" s="177">
        <f>IFERROR((VLOOKUP(C230,Dados!B:AW,44,0)),0)</f>
        <v>0</v>
      </c>
      <c r="L230" s="177">
        <f>IFERROR((VLOOKUP(C230,Dados!B:AW,45,0)),0)</f>
        <v>0</v>
      </c>
      <c r="M230" s="177">
        <f>IFERROR((VLOOKUP(C230,Dados!B:AW,43,0)),0)</f>
        <v>0</v>
      </c>
      <c r="N230" s="179">
        <f>IFERROR((VLOOKUP(C230,Dados!B:AW,47,0)),0)</f>
        <v>0</v>
      </c>
      <c r="O230" s="197">
        <f t="shared" si="10"/>
        <v>1</v>
      </c>
      <c r="P230" s="1">
        <f t="shared" si="11"/>
        <v>0</v>
      </c>
      <c r="Q230" s="221"/>
      <c r="AC230">
        <v>-1</v>
      </c>
      <c r="AD230">
        <v>-1</v>
      </c>
      <c r="AE230">
        <v>-1</v>
      </c>
      <c r="AH230" t="s">
        <v>1048</v>
      </c>
      <c r="AI230" t="str">
        <f t="shared" si="9"/>
        <v>GRV016*</v>
      </c>
    </row>
    <row r="231" spans="1:35" ht="25" x14ac:dyDescent="0.3">
      <c r="A231"/>
      <c r="B231" s="16">
        <v>424</v>
      </c>
      <c r="C231" s="16" t="s">
        <v>1841</v>
      </c>
      <c r="D231" s="16" t="s">
        <v>1584</v>
      </c>
      <c r="E231" s="16" t="s">
        <v>2067</v>
      </c>
      <c r="F231" s="200" t="s">
        <v>1710</v>
      </c>
      <c r="G231" s="189" t="str">
        <f>IFERROR(VLOOKUP(C231,#REF!,4,FALSE),"")</f>
        <v/>
      </c>
      <c r="H231" s="250">
        <f>VLOOKUP(C231,Dados!B:AW,11,0)</f>
        <v>1.41</v>
      </c>
      <c r="I231" s="16" t="str">
        <f>(VLOOKUP(C231,Dados!B:AW,48,0))</f>
        <v>Fase de Degradação</v>
      </c>
      <c r="J231" s="189" t="s">
        <v>735</v>
      </c>
      <c r="K231" s="177">
        <f>IFERROR((VLOOKUP(C231,Dados!B:AW,44,0)),0)</f>
        <v>0</v>
      </c>
      <c r="L231" s="177">
        <f>IFERROR((VLOOKUP(C231,Dados!B:AW,45,0)),0)</f>
        <v>0</v>
      </c>
      <c r="M231" s="177">
        <f>IFERROR((VLOOKUP(C231,Dados!B:AW,43,0)),0)</f>
        <v>0</v>
      </c>
      <c r="N231" s="179">
        <f>IFERROR((VLOOKUP(C231,Dados!B:AW,47,0)),0)</f>
        <v>0</v>
      </c>
      <c r="O231" s="197">
        <f t="shared" si="10"/>
        <v>1</v>
      </c>
      <c r="P231" s="1">
        <f t="shared" si="11"/>
        <v>0</v>
      </c>
      <c r="Q231" s="221"/>
      <c r="AC231">
        <v>-1</v>
      </c>
      <c r="AD231">
        <v>-1</v>
      </c>
      <c r="AE231">
        <v>-1</v>
      </c>
      <c r="AH231" t="s">
        <v>813</v>
      </c>
      <c r="AI231" t="str">
        <f t="shared" si="9"/>
        <v>MOD017*</v>
      </c>
    </row>
    <row r="232" spans="1:35" ht="25" x14ac:dyDescent="0.3">
      <c r="A232"/>
      <c r="B232" s="16">
        <v>491</v>
      </c>
      <c r="C232" s="16" t="s">
        <v>651</v>
      </c>
      <c r="D232" s="16" t="s">
        <v>1584</v>
      </c>
      <c r="E232" s="16" t="s">
        <v>2067</v>
      </c>
      <c r="F232" s="200" t="s">
        <v>652</v>
      </c>
      <c r="G232" s="189" t="str">
        <f>IFERROR(VLOOKUP(C232,#REF!,4,FALSE),"")</f>
        <v/>
      </c>
      <c r="H232" s="249">
        <f>VLOOKUP(C232,Dados!B:AW,11,0)</f>
        <v>1.85</v>
      </c>
      <c r="I232" s="16" t="str">
        <f>(VLOOKUP(C232,Dados!B:AW,48,0))</f>
        <v>Fase de Degradação</v>
      </c>
      <c r="J232" s="189" t="s">
        <v>734</v>
      </c>
      <c r="K232" s="177">
        <f>IFERROR((VLOOKUP(C232,Dados!B:AW,44,0)),0)</f>
        <v>0</v>
      </c>
      <c r="L232" s="177">
        <f>IFERROR((VLOOKUP(C232,Dados!B:AW,45,0)),0)</f>
        <v>0</v>
      </c>
      <c r="M232" s="177">
        <f>IFERROR((VLOOKUP(C232,Dados!B:AW,43,0)),0)</f>
        <v>0</v>
      </c>
      <c r="N232" s="179">
        <f>IFERROR((VLOOKUP(C232,Dados!B:AW,47,0)),0)</f>
        <v>0</v>
      </c>
      <c r="O232" s="197">
        <f t="shared" si="10"/>
        <v>1</v>
      </c>
      <c r="P232" s="1">
        <f t="shared" si="11"/>
        <v>0</v>
      </c>
      <c r="Q232" s="221"/>
      <c r="AC232">
        <v>2</v>
      </c>
      <c r="AD232">
        <v>2</v>
      </c>
      <c r="AE232">
        <v>2</v>
      </c>
      <c r="AH232" t="s">
        <v>539</v>
      </c>
      <c r="AI232" t="str">
        <f t="shared" si="9"/>
        <v>BRU033*</v>
      </c>
    </row>
    <row r="233" spans="1:35" ht="26.25" customHeight="1" x14ac:dyDescent="0.3">
      <c r="A233"/>
      <c r="B233" s="16">
        <v>502</v>
      </c>
      <c r="C233" s="16" t="s">
        <v>280</v>
      </c>
      <c r="D233" s="16" t="s">
        <v>1584</v>
      </c>
      <c r="E233" s="16" t="s">
        <v>2067</v>
      </c>
      <c r="F233" s="200" t="s">
        <v>281</v>
      </c>
      <c r="G233" s="189" t="str">
        <f>IFERROR(VLOOKUP(C233,#REF!,4,FALSE),"")</f>
        <v/>
      </c>
      <c r="H233" s="248">
        <f>VLOOKUP(C233,Dados!B:AW,11,0)</f>
        <v>1.91</v>
      </c>
      <c r="I233" s="16" t="str">
        <f>(VLOOKUP(C233,Dados!B:AW,48,0))</f>
        <v>Fase de Degradação</v>
      </c>
      <c r="J233" s="189" t="s">
        <v>734</v>
      </c>
      <c r="K233" s="177">
        <f>IFERROR((VLOOKUP(C233,Dados!B:AW,44,0)),0)</f>
        <v>0</v>
      </c>
      <c r="L233" s="177">
        <f>IFERROR((VLOOKUP(C233,Dados!B:AW,45,0)),0)</f>
        <v>0</v>
      </c>
      <c r="M233" s="177">
        <f>IFERROR((VLOOKUP(C233,Dados!B:AW,43,0)),0)</f>
        <v>0</v>
      </c>
      <c r="N233" s="179">
        <f>IFERROR((VLOOKUP(C233,Dados!B:AW,47,0)),0)</f>
        <v>0</v>
      </c>
      <c r="O233" s="197">
        <f t="shared" si="10"/>
        <v>1</v>
      </c>
      <c r="P233" s="1">
        <f t="shared" si="11"/>
        <v>0</v>
      </c>
      <c r="Q233" s="221"/>
      <c r="AC233">
        <v>2</v>
      </c>
      <c r="AD233">
        <v>2</v>
      </c>
      <c r="AE233">
        <v>1</v>
      </c>
      <c r="AH233" t="s">
        <v>886</v>
      </c>
      <c r="AI233" t="str">
        <f t="shared" si="9"/>
        <v>BRU056*</v>
      </c>
    </row>
    <row r="234" spans="1:35" ht="25" x14ac:dyDescent="0.3">
      <c r="A234"/>
      <c r="B234" s="16">
        <v>527</v>
      </c>
      <c r="C234" s="336" t="s">
        <v>705</v>
      </c>
      <c r="D234" s="336" t="s">
        <v>1584</v>
      </c>
      <c r="E234" s="336" t="s">
        <v>2067</v>
      </c>
      <c r="F234" s="337" t="s">
        <v>706</v>
      </c>
      <c r="G234" s="338" t="str">
        <f>IFERROR(VLOOKUP(C234,#REF!,4,FALSE),"")</f>
        <v/>
      </c>
      <c r="H234" s="343">
        <f>VLOOKUP(C234,Dados!B:AW,11,0)</f>
        <v>1.66</v>
      </c>
      <c r="I234" s="336" t="str">
        <f>(VLOOKUP(C234,Dados!B:AW,48,0))</f>
        <v>Fase de Degradação</v>
      </c>
      <c r="J234" s="338" t="s">
        <v>732</v>
      </c>
      <c r="K234" s="340">
        <f>IFERROR((VLOOKUP(C234,Dados!B:AW,44,0)),0)</f>
        <v>0</v>
      </c>
      <c r="L234" s="340">
        <f>IFERROR((VLOOKUP(C234,Dados!B:AW,45,0)),0)</f>
        <v>0</v>
      </c>
      <c r="M234" s="340">
        <f>IFERROR((VLOOKUP(C234,Dados!B:AW,43,0)),0)</f>
        <v>0</v>
      </c>
      <c r="N234" s="341">
        <f>IFERROR((VLOOKUP(C234,Dados!B:AW,47,0)),0)</f>
        <v>0</v>
      </c>
      <c r="O234" s="342">
        <f t="shared" si="10"/>
        <v>1</v>
      </c>
      <c r="P234" s="1">
        <f t="shared" si="11"/>
        <v>0</v>
      </c>
      <c r="Q234" s="221"/>
      <c r="AC234">
        <v>2</v>
      </c>
      <c r="AD234">
        <v>2</v>
      </c>
      <c r="AE234">
        <v>1</v>
      </c>
      <c r="AH234" t="s">
        <v>383</v>
      </c>
      <c r="AI234" t="str">
        <f t="shared" si="9"/>
        <v>CEN022*</v>
      </c>
    </row>
    <row r="235" spans="1:35" ht="25" x14ac:dyDescent="0.3">
      <c r="A235"/>
      <c r="B235" s="16">
        <v>536</v>
      </c>
      <c r="C235" s="16" t="s">
        <v>1142</v>
      </c>
      <c r="D235" s="16" t="s">
        <v>1584</v>
      </c>
      <c r="E235" s="16" t="s">
        <v>2067</v>
      </c>
      <c r="F235" s="200" t="s">
        <v>1143</v>
      </c>
      <c r="G235" s="189" t="str">
        <f>IFERROR(VLOOKUP(C235,#REF!,4,FALSE),"")</f>
        <v/>
      </c>
      <c r="H235" s="249">
        <f>VLOOKUP(C235,Dados!B:AW,11,0)</f>
        <v>1.29</v>
      </c>
      <c r="I235" s="16" t="str">
        <f>(VLOOKUP(C235,Dados!B:AW,48,0))</f>
        <v>Fase de Degradação</v>
      </c>
      <c r="J235" s="189" t="s">
        <v>735</v>
      </c>
      <c r="K235" s="177">
        <f>IFERROR((VLOOKUP(C235,Dados!B:AW,44,0)),0)</f>
        <v>0</v>
      </c>
      <c r="L235" s="177">
        <f>IFERROR((VLOOKUP(C235,Dados!B:AW,45,0)),0)</f>
        <v>0</v>
      </c>
      <c r="M235" s="177">
        <f>IFERROR((VLOOKUP(C235,Dados!B:AW,43,0)),0)</f>
        <v>0</v>
      </c>
      <c r="N235" s="179">
        <f>IFERROR((VLOOKUP(C235,Dados!B:AW,47,0)),0)</f>
        <v>0</v>
      </c>
      <c r="O235" s="197">
        <f t="shared" si="10"/>
        <v>1</v>
      </c>
      <c r="P235" s="1">
        <f t="shared" si="11"/>
        <v>0</v>
      </c>
      <c r="Q235" s="221"/>
      <c r="AC235">
        <v>2</v>
      </c>
      <c r="AD235">
        <v>2</v>
      </c>
      <c r="AE235">
        <v>2</v>
      </c>
      <c r="AH235" t="s">
        <v>355</v>
      </c>
      <c r="AI235" t="str">
        <f t="shared" si="9"/>
        <v>CEN033*</v>
      </c>
    </row>
    <row r="236" spans="1:35" ht="26.25" customHeight="1" x14ac:dyDescent="0.3">
      <c r="A236"/>
      <c r="B236" s="16">
        <v>657</v>
      </c>
      <c r="C236" s="16" t="s">
        <v>1205</v>
      </c>
      <c r="D236" s="16" t="s">
        <v>1584</v>
      </c>
      <c r="E236" s="16" t="s">
        <v>2067</v>
      </c>
      <c r="F236" s="200" t="s">
        <v>1206</v>
      </c>
      <c r="G236" s="189" t="str">
        <f>IFERROR(VLOOKUP(C236,#REF!,4,FALSE),"")</f>
        <v/>
      </c>
      <c r="H236" s="249">
        <f>VLOOKUP(C236,Dados!B:AW,11,0)</f>
        <v>0.81</v>
      </c>
      <c r="I236" s="16" t="str">
        <f>(VLOOKUP(C236,Dados!B:AW,48,0))</f>
        <v>Confiabilidade em Crescimento</v>
      </c>
      <c r="J236" s="189" t="s">
        <v>734</v>
      </c>
      <c r="K236" s="177">
        <f>IFERROR((VLOOKUP(C236,Dados!B:AW,44,0)),0)</f>
        <v>0</v>
      </c>
      <c r="L236" s="177">
        <f>IFERROR((VLOOKUP(C236,Dados!B:AW,45,0)),0)</f>
        <v>0</v>
      </c>
      <c r="M236" s="177">
        <f>IFERROR((VLOOKUP(C236,Dados!B:AW,43,0)),0)</f>
        <v>0</v>
      </c>
      <c r="N236" s="179">
        <f>IFERROR((VLOOKUP(C236,Dados!B:AW,47,0)),0)</f>
        <v>0</v>
      </c>
      <c r="O236" s="197">
        <f t="shared" si="10"/>
        <v>2</v>
      </c>
      <c r="P236" s="1">
        <f t="shared" si="11"/>
        <v>0</v>
      </c>
      <c r="Q236" s="221"/>
      <c r="AC236">
        <v>2</v>
      </c>
      <c r="AD236">
        <v>2</v>
      </c>
      <c r="AE236">
        <v>1</v>
      </c>
      <c r="AH236" t="s">
        <v>1052</v>
      </c>
      <c r="AI236" t="str">
        <f t="shared" si="9"/>
        <v>IMP001*</v>
      </c>
    </row>
    <row r="237" spans="1:35" ht="26.25" customHeight="1" x14ac:dyDescent="0.3">
      <c r="B237" s="16">
        <v>71</v>
      </c>
      <c r="C237" s="16" t="s">
        <v>920</v>
      </c>
      <c r="D237" s="16" t="s">
        <v>1592</v>
      </c>
      <c r="E237" s="16" t="s">
        <v>2131</v>
      </c>
      <c r="F237" s="200" t="s">
        <v>921</v>
      </c>
      <c r="G237" s="189" t="str">
        <f>IFERROR(VLOOKUP(C237,#REF!,4,FALSE),"")</f>
        <v/>
      </c>
      <c r="H237" s="248">
        <f>VLOOKUP(C237,Dados!B:AW,11,0)</f>
        <v>0.43</v>
      </c>
      <c r="I237" s="16" t="str">
        <f>(VLOOKUP(C237,Dados!B:AW,48,0))</f>
        <v>Confiabilidade em Crescimento</v>
      </c>
      <c r="J237" s="189" t="s">
        <v>735</v>
      </c>
      <c r="K237" s="177">
        <f>IFERROR((VLOOKUP(C237,Dados!B:AW,44,0)),0)</f>
        <v>0</v>
      </c>
      <c r="L237" s="177">
        <f>IFERROR((VLOOKUP(C237,Dados!B:AW,45,0)),0)</f>
        <v>0</v>
      </c>
      <c r="M237" s="177">
        <f>IFERROR((VLOOKUP(C237,Dados!B:AW,43,0)),0)</f>
        <v>0</v>
      </c>
      <c r="N237" s="179">
        <f>IFERROR((VLOOKUP(C237,Dados!B:AW,47,0)),0)</f>
        <v>0</v>
      </c>
      <c r="O237" s="197">
        <f t="shared" si="10"/>
        <v>2</v>
      </c>
      <c r="P237" s="1">
        <f t="shared" si="11"/>
        <v>0</v>
      </c>
      <c r="Q237" s="221"/>
      <c r="AC237">
        <v>2</v>
      </c>
      <c r="AD237">
        <v>2</v>
      </c>
      <c r="AE237">
        <v>1</v>
      </c>
      <c r="AH237" t="s">
        <v>346</v>
      </c>
      <c r="AI237" t="str">
        <f t="shared" si="9"/>
        <v>INJ003*</v>
      </c>
    </row>
    <row r="238" spans="1:35" ht="25" x14ac:dyDescent="0.3">
      <c r="A238"/>
      <c r="B238" s="16">
        <v>72</v>
      </c>
      <c r="C238" s="16" t="s">
        <v>749</v>
      </c>
      <c r="D238" s="16" t="s">
        <v>1592</v>
      </c>
      <c r="E238" s="16" t="s">
        <v>2131</v>
      </c>
      <c r="F238" s="200" t="s">
        <v>750</v>
      </c>
      <c r="G238" s="189" t="str">
        <f>IFERROR(VLOOKUP(C238,#REF!,4,FALSE),"")</f>
        <v/>
      </c>
      <c r="H238" s="250">
        <f>VLOOKUP(C238,Dados!B:AW,11,0)</f>
        <v>1.1299999999999999</v>
      </c>
      <c r="I238" s="16" t="str">
        <f>(VLOOKUP(C238,Dados!B:AW,48,0))</f>
        <v>Fase de Degradação</v>
      </c>
      <c r="J238" s="189" t="s">
        <v>735</v>
      </c>
      <c r="K238" s="177">
        <f>IFERROR((VLOOKUP(C238,Dados!B:AW,44,0)),0)</f>
        <v>0</v>
      </c>
      <c r="L238" s="177">
        <f>IFERROR((VLOOKUP(C238,Dados!B:AW,45,0)),0)</f>
        <v>0</v>
      </c>
      <c r="M238" s="177">
        <f>IFERROR((VLOOKUP(C238,Dados!B:AW,43,0)),0)</f>
        <v>0</v>
      </c>
      <c r="N238" s="179">
        <f>IFERROR((VLOOKUP(C238,Dados!B:AW,47,0)),0)</f>
        <v>0</v>
      </c>
      <c r="O238" s="197">
        <f t="shared" si="10"/>
        <v>1</v>
      </c>
      <c r="P238" s="1">
        <f t="shared" si="11"/>
        <v>0</v>
      </c>
      <c r="Q238" s="221"/>
      <c r="AC238">
        <v>-1</v>
      </c>
      <c r="AD238">
        <v>-1</v>
      </c>
      <c r="AE238">
        <v>-1</v>
      </c>
      <c r="AH238" t="s">
        <v>545</v>
      </c>
      <c r="AI238" t="str">
        <f t="shared" si="9"/>
        <v>BRU043*</v>
      </c>
    </row>
    <row r="239" spans="1:35" ht="26.25" customHeight="1" x14ac:dyDescent="0.3">
      <c r="A239"/>
      <c r="B239" s="16">
        <v>73</v>
      </c>
      <c r="C239" s="16" t="s">
        <v>751</v>
      </c>
      <c r="D239" s="16" t="s">
        <v>1592</v>
      </c>
      <c r="E239" s="16" t="s">
        <v>2131</v>
      </c>
      <c r="F239" s="200" t="s">
        <v>752</v>
      </c>
      <c r="G239" s="189" t="str">
        <f>IFERROR(VLOOKUP(C239,#REF!,4,FALSE),"")</f>
        <v/>
      </c>
      <c r="H239" s="248">
        <f>VLOOKUP(C239,Dados!B:AW,11,0)</f>
        <v>0.87</v>
      </c>
      <c r="I239" s="16" t="str">
        <f>(VLOOKUP(C239,Dados!B:AW,48,0))</f>
        <v>Confiabilidade em Crescimento</v>
      </c>
      <c r="J239" s="189" t="s">
        <v>734</v>
      </c>
      <c r="K239" s="177">
        <f>IFERROR((VLOOKUP(C239,Dados!B:AW,44,0)),0)</f>
        <v>0</v>
      </c>
      <c r="L239" s="177">
        <f>IFERROR((VLOOKUP(C239,Dados!B:AW,45,0)),0)</f>
        <v>0</v>
      </c>
      <c r="M239" s="177">
        <f>IFERROR((VLOOKUP(C239,Dados!B:AW,43,0)),0)</f>
        <v>0</v>
      </c>
      <c r="N239" s="179">
        <f>IFERROR((VLOOKUP(C239,Dados!B:AW,47,0)),0)</f>
        <v>0</v>
      </c>
      <c r="O239" s="197">
        <f t="shared" si="10"/>
        <v>2</v>
      </c>
      <c r="P239" s="1">
        <f t="shared" si="11"/>
        <v>0</v>
      </c>
      <c r="Q239" s="221"/>
      <c r="AC239">
        <v>2</v>
      </c>
      <c r="AD239">
        <v>2</v>
      </c>
      <c r="AE239">
        <v>1</v>
      </c>
      <c r="AH239" t="s">
        <v>637</v>
      </c>
      <c r="AI239" t="str">
        <f t="shared" si="9"/>
        <v>CEN091*</v>
      </c>
    </row>
    <row r="240" spans="1:35" ht="26.25" customHeight="1" x14ac:dyDescent="0.3">
      <c r="A240"/>
      <c r="B240" s="16">
        <v>74</v>
      </c>
      <c r="C240" s="16" t="s">
        <v>753</v>
      </c>
      <c r="D240" s="16" t="s">
        <v>1592</v>
      </c>
      <c r="E240" s="16" t="s">
        <v>2131</v>
      </c>
      <c r="F240" s="200" t="s">
        <v>754</v>
      </c>
      <c r="G240" s="189" t="str">
        <f>IFERROR(VLOOKUP(C240,#REF!,4,FALSE),"")</f>
        <v/>
      </c>
      <c r="H240" s="249">
        <f>VLOOKUP(C240,Dados!B:AW,11,0)</f>
        <v>0.97</v>
      </c>
      <c r="I240" s="16" t="str">
        <f>(VLOOKUP(C240,Dados!B:AW,48,0))</f>
        <v>Confiabilidade em Crescimento</v>
      </c>
      <c r="J240" s="189" t="s">
        <v>735</v>
      </c>
      <c r="K240" s="177">
        <f>IFERROR((VLOOKUP(C240,Dados!B:AW,44,0)),0)</f>
        <v>0</v>
      </c>
      <c r="L240" s="177">
        <f>IFERROR((VLOOKUP(C240,Dados!B:AW,45,0)),0)</f>
        <v>0</v>
      </c>
      <c r="M240" s="177">
        <f>IFERROR((VLOOKUP(C240,Dados!B:AW,43,0)),0)</f>
        <v>0</v>
      </c>
      <c r="N240" s="179">
        <f>IFERROR((VLOOKUP(C240,Dados!B:AW,47,0)),0)</f>
        <v>0</v>
      </c>
      <c r="O240" s="197">
        <f t="shared" si="10"/>
        <v>2</v>
      </c>
      <c r="P240" s="1">
        <f t="shared" si="11"/>
        <v>0</v>
      </c>
      <c r="Q240" s="221"/>
      <c r="AC240">
        <v>2</v>
      </c>
      <c r="AD240">
        <v>2</v>
      </c>
      <c r="AE240">
        <v>2</v>
      </c>
      <c r="AH240" t="s">
        <v>783</v>
      </c>
      <c r="AI240" t="str">
        <f t="shared" si="9"/>
        <v>FIL007*</v>
      </c>
    </row>
    <row r="241" spans="1:35" ht="26.25" customHeight="1" x14ac:dyDescent="0.3">
      <c r="A241"/>
      <c r="B241" s="16">
        <v>75</v>
      </c>
      <c r="C241" s="16" t="s">
        <v>361</v>
      </c>
      <c r="D241" s="16" t="s">
        <v>1592</v>
      </c>
      <c r="E241" s="16" t="s">
        <v>2131</v>
      </c>
      <c r="F241" s="200" t="s">
        <v>182</v>
      </c>
      <c r="G241" s="189" t="str">
        <f>IFERROR(VLOOKUP(C241,#REF!,4,FALSE),"")</f>
        <v/>
      </c>
      <c r="H241" s="249">
        <f>VLOOKUP(C241,Dados!B:AW,11,0)</f>
        <v>0.88</v>
      </c>
      <c r="I241" s="16" t="str">
        <f>(VLOOKUP(C241,Dados!B:AW,48,0))</f>
        <v>Confiabilidade em Crescimento</v>
      </c>
      <c r="J241" s="189" t="s">
        <v>734</v>
      </c>
      <c r="K241" s="177">
        <f>IFERROR((VLOOKUP(C241,Dados!B:AW,44,0)),0)</f>
        <v>0</v>
      </c>
      <c r="L241" s="177">
        <f>IFERROR((VLOOKUP(C241,Dados!B:AW,45,0)),0)</f>
        <v>0</v>
      </c>
      <c r="M241" s="177">
        <f>IFERROR((VLOOKUP(C241,Dados!B:AW,43,0)),0)</f>
        <v>0</v>
      </c>
      <c r="N241" s="179">
        <f>IFERROR((VLOOKUP(C241,Dados!B:AW,47,0)),0)</f>
        <v>0</v>
      </c>
      <c r="O241" s="197">
        <f t="shared" si="10"/>
        <v>2</v>
      </c>
      <c r="P241" s="1">
        <f t="shared" si="11"/>
        <v>0</v>
      </c>
      <c r="Q241" s="221"/>
      <c r="AC241">
        <v>2</v>
      </c>
      <c r="AD241">
        <v>2</v>
      </c>
      <c r="AE241">
        <v>1</v>
      </c>
      <c r="AH241" t="s">
        <v>319</v>
      </c>
      <c r="AI241" t="str">
        <f t="shared" si="9"/>
        <v>INJ018*</v>
      </c>
    </row>
    <row r="242" spans="1:35" ht="26.25" customHeight="1" x14ac:dyDescent="0.3">
      <c r="A242"/>
      <c r="B242" s="16">
        <v>76</v>
      </c>
      <c r="C242" s="16" t="s">
        <v>597</v>
      </c>
      <c r="D242" s="16" t="s">
        <v>1592</v>
      </c>
      <c r="E242" s="16" t="s">
        <v>2131</v>
      </c>
      <c r="F242" s="200" t="s">
        <v>598</v>
      </c>
      <c r="G242" s="189" t="str">
        <f>IFERROR(VLOOKUP(C242,#REF!,4,FALSE),"")</f>
        <v/>
      </c>
      <c r="H242" s="249">
        <f>VLOOKUP(C242,Dados!B:AW,11,0)</f>
        <v>0.86</v>
      </c>
      <c r="I242" s="16" t="str">
        <f>(VLOOKUP(C242,Dados!B:AW,48,0))</f>
        <v>Confiabilidade em Crescimento</v>
      </c>
      <c r="J242" s="189" t="s">
        <v>734</v>
      </c>
      <c r="K242" s="177">
        <f>IFERROR((VLOOKUP(C242,Dados!B:AW,44,0)),0)</f>
        <v>0</v>
      </c>
      <c r="L242" s="177">
        <f>IFERROR((VLOOKUP(C242,Dados!B:AW,45,0)),0)</f>
        <v>0</v>
      </c>
      <c r="M242" s="177">
        <f>IFERROR((VLOOKUP(C242,Dados!B:AW,43,0)),0)</f>
        <v>0</v>
      </c>
      <c r="N242" s="179">
        <f>IFERROR((VLOOKUP(C242,Dados!B:AW,47,0)),0)</f>
        <v>0</v>
      </c>
      <c r="O242" s="197">
        <f t="shared" si="10"/>
        <v>2</v>
      </c>
      <c r="P242" s="1">
        <f t="shared" si="11"/>
        <v>0</v>
      </c>
      <c r="Q242" s="221"/>
      <c r="AC242">
        <v>2</v>
      </c>
      <c r="AD242">
        <v>2</v>
      </c>
      <c r="AE242">
        <v>2</v>
      </c>
      <c r="AH242" t="s">
        <v>619</v>
      </c>
      <c r="AI242" t="str">
        <f t="shared" si="9"/>
        <v>PRE032*</v>
      </c>
    </row>
    <row r="243" spans="1:35" ht="25" x14ac:dyDescent="0.3">
      <c r="A243"/>
      <c r="B243" s="16">
        <v>162</v>
      </c>
      <c r="C243" s="16" t="s">
        <v>599</v>
      </c>
      <c r="D243" s="16" t="s">
        <v>1592</v>
      </c>
      <c r="E243" s="16" t="s">
        <v>2131</v>
      </c>
      <c r="F243" s="200" t="s">
        <v>600</v>
      </c>
      <c r="G243" s="189" t="str">
        <f>IFERROR(VLOOKUP(C243,#REF!,4,FALSE),"")</f>
        <v/>
      </c>
      <c r="H243" s="248">
        <f>VLOOKUP(C243,Dados!B:AW,11,0)</f>
        <v>0.86</v>
      </c>
      <c r="I243" s="16" t="str">
        <f>(VLOOKUP(C243,Dados!B:AW,48,0))</f>
        <v>Confiabilidade em Crescimento</v>
      </c>
      <c r="J243" s="189" t="s">
        <v>735</v>
      </c>
      <c r="K243" s="177">
        <f>IFERROR((VLOOKUP(C243,Dados!B:AW,44,0)),0)</f>
        <v>0</v>
      </c>
      <c r="L243" s="177">
        <f>IFERROR((VLOOKUP(C243,Dados!B:AW,45,0)),0)</f>
        <v>0</v>
      </c>
      <c r="M243" s="177">
        <f>IFERROR((VLOOKUP(C243,Dados!B:AW,43,0)),0)</f>
        <v>0</v>
      </c>
      <c r="N243" s="179">
        <f>IFERROR((VLOOKUP(C243,Dados!B:AW,47,0)),0)</f>
        <v>0</v>
      </c>
      <c r="O243" s="197">
        <f t="shared" si="10"/>
        <v>2</v>
      </c>
      <c r="P243" s="1">
        <f t="shared" si="11"/>
        <v>0</v>
      </c>
      <c r="Q243" s="221"/>
      <c r="AC243">
        <v>2</v>
      </c>
      <c r="AD243">
        <v>2</v>
      </c>
      <c r="AE243">
        <v>2</v>
      </c>
      <c r="AH243" t="s">
        <v>841</v>
      </c>
      <c r="AI243" t="str">
        <f t="shared" si="9"/>
        <v>ROB073*</v>
      </c>
    </row>
    <row r="244" spans="1:35" ht="26.25" customHeight="1" x14ac:dyDescent="0.3">
      <c r="A244"/>
      <c r="B244" s="16">
        <v>172</v>
      </c>
      <c r="C244" s="16" t="s">
        <v>605</v>
      </c>
      <c r="D244" s="16" t="s">
        <v>1592</v>
      </c>
      <c r="E244" s="16" t="s">
        <v>2131</v>
      </c>
      <c r="F244" s="200" t="s">
        <v>606</v>
      </c>
      <c r="G244" s="189" t="str">
        <f>IFERROR(VLOOKUP(C244,#REF!,4,FALSE),"")</f>
        <v/>
      </c>
      <c r="H244" s="248">
        <f>VLOOKUP(C244,Dados!B:AW,11,0)</f>
        <v>1.1399999999999999</v>
      </c>
      <c r="I244" s="16" t="str">
        <f>(VLOOKUP(C244,Dados!B:AW,48,0))</f>
        <v>Fase de Degradação</v>
      </c>
      <c r="J244" s="189" t="s">
        <v>735</v>
      </c>
      <c r="K244" s="177">
        <f>IFERROR((VLOOKUP(C244,Dados!B:AW,44,0)),0)</f>
        <v>0</v>
      </c>
      <c r="L244" s="177">
        <f>IFERROR((VLOOKUP(C244,Dados!B:AW,45,0)),0)</f>
        <v>0</v>
      </c>
      <c r="M244" s="177">
        <f>IFERROR((VLOOKUP(C244,Dados!B:AW,43,0)),0)</f>
        <v>0</v>
      </c>
      <c r="N244" s="179">
        <f>IFERROR((VLOOKUP(C244,Dados!B:AW,47,0)),0)</f>
        <v>0</v>
      </c>
      <c r="O244" s="197">
        <f t="shared" si="10"/>
        <v>1</v>
      </c>
      <c r="P244" s="1">
        <f t="shared" si="11"/>
        <v>0</v>
      </c>
      <c r="Q244" s="221"/>
      <c r="AC244">
        <v>2</v>
      </c>
      <c r="AD244">
        <v>2</v>
      </c>
      <c r="AE244">
        <v>2</v>
      </c>
      <c r="AH244" t="s">
        <v>741</v>
      </c>
      <c r="AI244" t="str">
        <f t="shared" si="9"/>
        <v>BAL004*</v>
      </c>
    </row>
    <row r="245" spans="1:35" ht="26.25" customHeight="1" x14ac:dyDescent="0.3">
      <c r="A245"/>
      <c r="B245" s="16">
        <v>235</v>
      </c>
      <c r="C245" s="16" t="s">
        <v>994</v>
      </c>
      <c r="D245" s="16" t="s">
        <v>1592</v>
      </c>
      <c r="E245" s="16" t="s">
        <v>2131</v>
      </c>
      <c r="F245" s="200" t="s">
        <v>995</v>
      </c>
      <c r="G245" s="189" t="str">
        <f>IFERROR(VLOOKUP(C245,#REF!,4,FALSE),"")</f>
        <v/>
      </c>
      <c r="H245" s="248">
        <f>VLOOKUP(C245,Dados!B:AW,11,0)</f>
        <v>1.08</v>
      </c>
      <c r="I245" s="16" t="str">
        <f>(VLOOKUP(C245,Dados!B:AW,48,0))</f>
        <v>Fase de Vida Útil</v>
      </c>
      <c r="J245" s="189" t="s">
        <v>735</v>
      </c>
      <c r="K245" s="177">
        <f>IFERROR((VLOOKUP(C245,Dados!B:AW,44,0)),0)</f>
        <v>0</v>
      </c>
      <c r="L245" s="177">
        <f>IFERROR((VLOOKUP(C245,Dados!B:AW,45,0)),0)</f>
        <v>0</v>
      </c>
      <c r="M245" s="177">
        <f>IFERROR((VLOOKUP(C245,Dados!B:AW,43,0)),0)</f>
        <v>0</v>
      </c>
      <c r="N245" s="179">
        <f>IFERROR((VLOOKUP(C245,Dados!B:AW,47,0)),0)</f>
        <v>0</v>
      </c>
      <c r="O245" s="197">
        <f t="shared" si="10"/>
        <v>2</v>
      </c>
      <c r="P245" s="1">
        <f t="shared" si="11"/>
        <v>0</v>
      </c>
      <c r="Q245" s="221"/>
      <c r="AC245">
        <v>2</v>
      </c>
      <c r="AD245">
        <v>2</v>
      </c>
      <c r="AE245">
        <v>1</v>
      </c>
      <c r="AH245" t="s">
        <v>956</v>
      </c>
      <c r="AI245" t="str">
        <f t="shared" si="9"/>
        <v>CAR006*</v>
      </c>
    </row>
    <row r="246" spans="1:35" ht="26.25" customHeight="1" x14ac:dyDescent="0.3">
      <c r="A246"/>
      <c r="B246" s="16">
        <v>347</v>
      </c>
      <c r="C246" s="16" t="s">
        <v>797</v>
      </c>
      <c r="D246" s="16" t="s">
        <v>1592</v>
      </c>
      <c r="E246" s="16" t="s">
        <v>2131</v>
      </c>
      <c r="F246" s="200" t="s">
        <v>798</v>
      </c>
      <c r="G246" s="189" t="str">
        <f>IFERROR(VLOOKUP(C246,#REF!,4,FALSE),"")</f>
        <v/>
      </c>
      <c r="H246" s="249">
        <f>VLOOKUP(C246,Dados!B:AW,11,0)</f>
        <v>1.0900000000000001</v>
      </c>
      <c r="I246" s="16" t="str">
        <f>(VLOOKUP(C246,Dados!B:AW,48,0))</f>
        <v>Fase de Vida Útil</v>
      </c>
      <c r="J246" s="189" t="s">
        <v>735</v>
      </c>
      <c r="K246" s="177">
        <f>IFERROR((VLOOKUP(C246,Dados!B:AW,44,0)),0)</f>
        <v>0</v>
      </c>
      <c r="L246" s="177">
        <f>IFERROR((VLOOKUP(C246,Dados!B:AW,45,0)),0)</f>
        <v>0</v>
      </c>
      <c r="M246" s="177">
        <f>IFERROR((VLOOKUP(C246,Dados!B:AW,43,0)),0)</f>
        <v>0</v>
      </c>
      <c r="N246" s="179">
        <f>IFERROR((VLOOKUP(C246,Dados!B:AW,47,0)),0)</f>
        <v>0</v>
      </c>
      <c r="O246" s="197">
        <f t="shared" si="10"/>
        <v>2</v>
      </c>
      <c r="P246" s="1">
        <f t="shared" si="11"/>
        <v>0</v>
      </c>
      <c r="Q246" s="221"/>
      <c r="AC246">
        <v>2</v>
      </c>
      <c r="AD246">
        <v>2</v>
      </c>
      <c r="AE246">
        <v>2</v>
      </c>
      <c r="AH246" t="s">
        <v>1044</v>
      </c>
      <c r="AI246" t="str">
        <f t="shared" si="9"/>
        <v>GRV014*</v>
      </c>
    </row>
    <row r="247" spans="1:35" ht="25" x14ac:dyDescent="0.3">
      <c r="A247"/>
      <c r="B247" s="16">
        <v>380</v>
      </c>
      <c r="C247" s="16" t="s">
        <v>390</v>
      </c>
      <c r="D247" s="16" t="s">
        <v>1592</v>
      </c>
      <c r="E247" s="16" t="s">
        <v>2131</v>
      </c>
      <c r="F247" s="200" t="str">
        <f>VLOOKUP(C247,[9]Dados!B:C,2,0)</f>
        <v>INJ035-INJETORA DE EMATIC</v>
      </c>
      <c r="G247" s="189" t="str">
        <f>IFERROR(VLOOKUP(C247,#REF!,4,FALSE),"")</f>
        <v/>
      </c>
      <c r="H247" s="248">
        <f>VLOOKUP(C247,Dados!B:AW,11,0)</f>
        <v>0.86</v>
      </c>
      <c r="I247" s="16" t="str">
        <f>(VLOOKUP(C247,Dados!B:AW,48,0))</f>
        <v>Confiabilidade em Crescimento</v>
      </c>
      <c r="J247" s="189" t="s">
        <v>734</v>
      </c>
      <c r="K247" s="177">
        <f>IFERROR((VLOOKUP(C247,Dados!B:AW,44,0)),0)</f>
        <v>0</v>
      </c>
      <c r="L247" s="177">
        <f>IFERROR((VLOOKUP(C247,Dados!B:AW,45,0)),0)</f>
        <v>0</v>
      </c>
      <c r="M247" s="177">
        <f>IFERROR((VLOOKUP(C247,Dados!B:AW,43,0)),0)</f>
        <v>0</v>
      </c>
      <c r="N247" s="179">
        <f>IFERROR((VLOOKUP(C247,Dados!B:AW,47,0)),0)</f>
        <v>0</v>
      </c>
      <c r="O247" s="197">
        <f t="shared" si="10"/>
        <v>2</v>
      </c>
      <c r="P247" s="1">
        <f t="shared" si="11"/>
        <v>0</v>
      </c>
      <c r="Q247" s="221"/>
      <c r="AC247">
        <v>2</v>
      </c>
      <c r="AD247">
        <v>2</v>
      </c>
      <c r="AE247">
        <v>2</v>
      </c>
      <c r="AH247" t="s">
        <v>803</v>
      </c>
      <c r="AI247" t="str">
        <f t="shared" si="9"/>
        <v>LAS009*</v>
      </c>
    </row>
    <row r="248" spans="1:35" ht="26.25" customHeight="1" x14ac:dyDescent="0.3">
      <c r="A248"/>
      <c r="B248" s="16">
        <v>423</v>
      </c>
      <c r="C248" s="16" t="s">
        <v>803</v>
      </c>
      <c r="D248" s="16" t="s">
        <v>1592</v>
      </c>
      <c r="E248" s="16" t="s">
        <v>2131</v>
      </c>
      <c r="F248" s="200" t="s">
        <v>804</v>
      </c>
      <c r="G248" s="189" t="str">
        <f>IFERROR(VLOOKUP(C248,#REF!,4,FALSE),"")</f>
        <v/>
      </c>
      <c r="H248" s="248">
        <f>VLOOKUP(C248,Dados!B:AW,11,0)</f>
        <v>1.1100000000000001</v>
      </c>
      <c r="I248" s="16" t="str">
        <f>(VLOOKUP(C248,Dados!B:AW,48,0))</f>
        <v>Fase de Degradação</v>
      </c>
      <c r="J248" s="189" t="s">
        <v>735</v>
      </c>
      <c r="K248" s="177">
        <f>IFERROR((VLOOKUP(C248,Dados!B:AW,44,0)),0)</f>
        <v>0</v>
      </c>
      <c r="L248" s="177">
        <f>IFERROR((VLOOKUP(C248,Dados!B:AW,45,0)),0)</f>
        <v>0</v>
      </c>
      <c r="M248" s="177">
        <f>IFERROR((VLOOKUP(C248,Dados!B:AW,43,0)),0)</f>
        <v>0</v>
      </c>
      <c r="N248" s="179">
        <f>IFERROR((VLOOKUP(C248,Dados!B:AW,47,0)),0)</f>
        <v>0</v>
      </c>
      <c r="O248" s="197">
        <f t="shared" si="10"/>
        <v>1</v>
      </c>
      <c r="P248" s="1">
        <f t="shared" si="11"/>
        <v>0</v>
      </c>
      <c r="Q248" s="221"/>
      <c r="AC248">
        <v>2</v>
      </c>
      <c r="AD248">
        <v>2</v>
      </c>
      <c r="AE248">
        <v>2</v>
      </c>
      <c r="AH248" t="s">
        <v>1070</v>
      </c>
      <c r="AI248" t="str">
        <f t="shared" si="9"/>
        <v>LAV018*</v>
      </c>
    </row>
    <row r="249" spans="1:35" ht="25" x14ac:dyDescent="0.3">
      <c r="A249"/>
      <c r="B249" s="16">
        <v>429</v>
      </c>
      <c r="C249" s="16" t="s">
        <v>1072</v>
      </c>
      <c r="D249" s="16" t="s">
        <v>1592</v>
      </c>
      <c r="E249" s="16" t="s">
        <v>2131</v>
      </c>
      <c r="F249" s="200" t="s">
        <v>1073</v>
      </c>
      <c r="G249" s="189" t="str">
        <f>IFERROR(VLOOKUP(C249,#REF!,4,FALSE),"")</f>
        <v/>
      </c>
      <c r="H249" s="250">
        <f>VLOOKUP(C249,Dados!B:AW,11,0)</f>
        <v>0.94</v>
      </c>
      <c r="I249" s="16" t="str">
        <f>(VLOOKUP(C249,Dados!B:AW,48,0))</f>
        <v>Confiabilidade em Crescimento</v>
      </c>
      <c r="J249" s="189" t="s">
        <v>735</v>
      </c>
      <c r="K249" s="177">
        <f>IFERROR((VLOOKUP(C249,Dados!B:AW,44,0)),0)</f>
        <v>0</v>
      </c>
      <c r="L249" s="177">
        <f>IFERROR((VLOOKUP(C249,Dados!B:AW,45,0)),0)</f>
        <v>0</v>
      </c>
      <c r="M249" s="177">
        <f>IFERROR((VLOOKUP(C249,Dados!B:AW,43,0)),0)</f>
        <v>0</v>
      </c>
      <c r="N249" s="179">
        <f>IFERROR((VLOOKUP(C249,Dados!B:AW,47,0)),0)</f>
        <v>0</v>
      </c>
      <c r="O249" s="197">
        <f t="shared" si="10"/>
        <v>2</v>
      </c>
      <c r="P249" s="1">
        <f t="shared" si="11"/>
        <v>0</v>
      </c>
      <c r="Q249" s="221"/>
      <c r="AC249">
        <v>2</v>
      </c>
      <c r="AD249">
        <v>2</v>
      </c>
      <c r="AE249">
        <v>2</v>
      </c>
      <c r="AH249" t="s">
        <v>549</v>
      </c>
      <c r="AI249" t="str">
        <f t="shared" si="9"/>
        <v>BRU051*</v>
      </c>
    </row>
    <row r="250" spans="1:35" ht="26.25" customHeight="1" x14ac:dyDescent="0.3">
      <c r="A250"/>
      <c r="B250" s="16">
        <v>443</v>
      </c>
      <c r="C250" s="16" t="s">
        <v>1084</v>
      </c>
      <c r="D250" s="16" t="s">
        <v>1592</v>
      </c>
      <c r="E250" s="16" t="s">
        <v>2131</v>
      </c>
      <c r="F250" s="200" t="s">
        <v>1085</v>
      </c>
      <c r="G250" s="189" t="str">
        <f>IFERROR(VLOOKUP(C250,#REF!,4,FALSE),"")</f>
        <v/>
      </c>
      <c r="H250" s="248">
        <f>VLOOKUP(C250,Dados!B:AW,11,0)</f>
        <v>1.02</v>
      </c>
      <c r="I250" s="16" t="str">
        <f>(VLOOKUP(C250,Dados!B:AW,48,0))</f>
        <v>Fase de Vida Útil</v>
      </c>
      <c r="J250" s="189" t="s">
        <v>735</v>
      </c>
      <c r="K250" s="177">
        <f>IFERROR((VLOOKUP(C250,Dados!B:AW,44,0)),0)</f>
        <v>0</v>
      </c>
      <c r="L250" s="177">
        <f>IFERROR((VLOOKUP(C250,Dados!B:AW,45,0)),0)</f>
        <v>0</v>
      </c>
      <c r="M250" s="177">
        <f>IFERROR((VLOOKUP(C250,Dados!B:AW,43,0)),0)</f>
        <v>0</v>
      </c>
      <c r="N250" s="179">
        <f>IFERROR((VLOOKUP(C250,Dados!B:AW,47,0)),0)</f>
        <v>0</v>
      </c>
      <c r="O250" s="197">
        <f t="shared" si="10"/>
        <v>2</v>
      </c>
      <c r="P250" s="1">
        <f t="shared" si="11"/>
        <v>0</v>
      </c>
      <c r="Q250" s="221"/>
      <c r="AC250">
        <v>2</v>
      </c>
      <c r="AD250">
        <v>2</v>
      </c>
      <c r="AE250">
        <v>1</v>
      </c>
      <c r="AH250" t="s">
        <v>254</v>
      </c>
      <c r="AI250" t="str">
        <f t="shared" si="9"/>
        <v>CEN090*</v>
      </c>
    </row>
    <row r="251" spans="1:35" ht="26.25" customHeight="1" x14ac:dyDescent="0.3">
      <c r="A251"/>
      <c r="B251" s="16">
        <v>505</v>
      </c>
      <c r="C251" s="16" t="s">
        <v>1136</v>
      </c>
      <c r="D251" s="16" t="s">
        <v>1592</v>
      </c>
      <c r="E251" s="16" t="s">
        <v>2131</v>
      </c>
      <c r="F251" s="200" t="s">
        <v>1137</v>
      </c>
      <c r="G251" s="189" t="str">
        <f>IFERROR(VLOOKUP(C251,#REF!,4,FALSE),"")</f>
        <v/>
      </c>
      <c r="H251" s="248">
        <f>VLOOKUP(C251,Dados!B:AW,11,0)</f>
        <v>1.17</v>
      </c>
      <c r="I251" s="16" t="str">
        <f>(VLOOKUP(C251,Dados!B:AW,48,0))</f>
        <v>Fase de Degradação</v>
      </c>
      <c r="J251" s="189" t="s">
        <v>735</v>
      </c>
      <c r="K251" s="177">
        <f>IFERROR((VLOOKUP(C251,Dados!B:AW,44,0)),0)</f>
        <v>0</v>
      </c>
      <c r="L251" s="177">
        <f>IFERROR((VLOOKUP(C251,Dados!B:AW,45,0)),0)</f>
        <v>0</v>
      </c>
      <c r="M251" s="177">
        <f>IFERROR((VLOOKUP(C251,Dados!B:AW,43,0)),0)</f>
        <v>0</v>
      </c>
      <c r="N251" s="179">
        <f>IFERROR((VLOOKUP(C251,Dados!B:AW,47,0)),0)</f>
        <v>0</v>
      </c>
      <c r="O251" s="197">
        <f t="shared" si="10"/>
        <v>1</v>
      </c>
      <c r="P251" s="1">
        <f t="shared" si="11"/>
        <v>0</v>
      </c>
      <c r="Q251" s="221"/>
      <c r="AC251">
        <v>2</v>
      </c>
      <c r="AD251">
        <v>2</v>
      </c>
      <c r="AE251">
        <v>2</v>
      </c>
      <c r="AH251" t="s">
        <v>28</v>
      </c>
      <c r="AI251" t="str">
        <f t="shared" si="9"/>
        <v>INJ028*</v>
      </c>
    </row>
    <row r="252" spans="1:35" ht="26.25" customHeight="1" x14ac:dyDescent="0.3">
      <c r="A252"/>
      <c r="B252" s="16">
        <v>570</v>
      </c>
      <c r="C252" s="16" t="s">
        <v>264</v>
      </c>
      <c r="D252" s="16" t="s">
        <v>1592</v>
      </c>
      <c r="E252" s="16" t="s">
        <v>2131</v>
      </c>
      <c r="F252" s="200" t="s">
        <v>265</v>
      </c>
      <c r="G252" s="189" t="str">
        <f>IFERROR(VLOOKUP(C252,#REF!,4,FALSE),"")</f>
        <v/>
      </c>
      <c r="H252" s="249">
        <f>VLOOKUP(C252,Dados!B:AW,11,0)</f>
        <v>0.84</v>
      </c>
      <c r="I252" s="16" t="str">
        <f>(VLOOKUP(C252,Dados!B:AW,48,0))</f>
        <v>Confiabilidade em Crescimento</v>
      </c>
      <c r="J252" s="189" t="s">
        <v>735</v>
      </c>
      <c r="K252" s="177">
        <f>IFERROR((VLOOKUP(C252,Dados!B:AW,44,0)),0)</f>
        <v>0</v>
      </c>
      <c r="L252" s="177">
        <f>IFERROR((VLOOKUP(C252,Dados!B:AW,45,0)),0)</f>
        <v>0</v>
      </c>
      <c r="M252" s="177">
        <f>IFERROR((VLOOKUP(C252,Dados!B:AW,43,0)),0)</f>
        <v>0</v>
      </c>
      <c r="N252" s="179">
        <f>IFERROR((VLOOKUP(C252,Dados!B:AW,47,0)),0)</f>
        <v>0</v>
      </c>
      <c r="O252" s="197">
        <f t="shared" si="10"/>
        <v>2</v>
      </c>
      <c r="P252" s="1">
        <f t="shared" si="11"/>
        <v>0</v>
      </c>
      <c r="Q252" s="221"/>
      <c r="AC252">
        <v>2</v>
      </c>
      <c r="AD252">
        <v>2</v>
      </c>
      <c r="AE252">
        <v>2</v>
      </c>
      <c r="AH252" t="s">
        <v>324</v>
      </c>
      <c r="AI252" t="str">
        <f t="shared" si="9"/>
        <v>INJ029*</v>
      </c>
    </row>
    <row r="253" spans="1:35" ht="25" x14ac:dyDescent="0.3">
      <c r="A253"/>
      <c r="B253" s="16">
        <v>652</v>
      </c>
      <c r="C253" s="16" t="s">
        <v>865</v>
      </c>
      <c r="D253" s="16" t="s">
        <v>1592</v>
      </c>
      <c r="E253" s="16" t="s">
        <v>2131</v>
      </c>
      <c r="F253" s="200" t="s">
        <v>866</v>
      </c>
      <c r="G253" s="189" t="str">
        <f>IFERROR(VLOOKUP(C253,#REF!,4,FALSE),"")</f>
        <v/>
      </c>
      <c r="H253" s="249">
        <f>VLOOKUP(C253,Dados!B:AW,11,0)</f>
        <v>0.81</v>
      </c>
      <c r="I253" s="16" t="str">
        <f>(VLOOKUP(C253,Dados!B:AW,48,0))</f>
        <v>Confiabilidade em Crescimento</v>
      </c>
      <c r="J253" s="189" t="s">
        <v>734</v>
      </c>
      <c r="K253" s="177">
        <f>IFERROR((VLOOKUP(C253,Dados!B:AW,44,0)),0)</f>
        <v>0</v>
      </c>
      <c r="L253" s="177">
        <f>IFERROR((VLOOKUP(C253,Dados!B:AW,45,0)),0)</f>
        <v>0</v>
      </c>
      <c r="M253" s="177">
        <f>IFERROR((VLOOKUP(C253,Dados!B:AW,43,0)),0)</f>
        <v>0</v>
      </c>
      <c r="N253" s="179">
        <f>IFERROR((VLOOKUP(C253,Dados!B:AW,47,0)),0)</f>
        <v>0</v>
      </c>
      <c r="O253" s="197">
        <f t="shared" si="10"/>
        <v>2</v>
      </c>
      <c r="P253" s="1">
        <f t="shared" si="11"/>
        <v>0</v>
      </c>
      <c r="Q253" s="221"/>
      <c r="AC253">
        <v>2</v>
      </c>
      <c r="AD253">
        <v>2</v>
      </c>
      <c r="AE253">
        <v>1</v>
      </c>
      <c r="AH253" t="s">
        <v>378</v>
      </c>
      <c r="AI253" t="str">
        <f t="shared" si="9"/>
        <v>INJ039*</v>
      </c>
    </row>
    <row r="254" spans="1:35" ht="26.25" customHeight="1" x14ac:dyDescent="0.3">
      <c r="A254"/>
      <c r="B254" s="16">
        <v>683</v>
      </c>
      <c r="C254" s="16" t="s">
        <v>1221</v>
      </c>
      <c r="D254" s="16" t="s">
        <v>1592</v>
      </c>
      <c r="E254" s="16" t="s">
        <v>2131</v>
      </c>
      <c r="F254" s="200" t="s">
        <v>1222</v>
      </c>
      <c r="G254" s="189" t="str">
        <f>IFERROR(VLOOKUP(C254,#REF!,4,FALSE),"")</f>
        <v/>
      </c>
      <c r="H254" s="249">
        <f>VLOOKUP(C254,Dados!B:AW,11,0)</f>
        <v>0.87</v>
      </c>
      <c r="I254" s="16" t="str">
        <f>(VLOOKUP(C254,Dados!B:AW,48,0))</f>
        <v>Confiabilidade em Crescimento</v>
      </c>
      <c r="J254" s="189" t="s">
        <v>735</v>
      </c>
      <c r="K254" s="177">
        <f>IFERROR((VLOOKUP(C254,Dados!B:AW,44,0)),0)</f>
        <v>0</v>
      </c>
      <c r="L254" s="177">
        <f>IFERROR((VLOOKUP(C254,Dados!B:AW,45,0)),0)</f>
        <v>0</v>
      </c>
      <c r="M254" s="177">
        <f>IFERROR((VLOOKUP(C254,Dados!B:AW,43,0)),0)</f>
        <v>0</v>
      </c>
      <c r="N254" s="179">
        <f>IFERROR((VLOOKUP(C254,Dados!B:AW,47,0)),0)</f>
        <v>0</v>
      </c>
      <c r="O254" s="197">
        <f t="shared" si="10"/>
        <v>2</v>
      </c>
      <c r="P254" s="1">
        <f t="shared" si="11"/>
        <v>0</v>
      </c>
      <c r="Q254" s="221"/>
      <c r="AC254">
        <v>2</v>
      </c>
      <c r="AD254">
        <v>2</v>
      </c>
      <c r="AE254">
        <v>2</v>
      </c>
      <c r="AH254" t="s">
        <v>307</v>
      </c>
      <c r="AI254" t="str">
        <f t="shared" si="9"/>
        <v>JAT024*</v>
      </c>
    </row>
    <row r="255" spans="1:35" ht="26.25" customHeight="1" x14ac:dyDescent="0.3">
      <c r="A255"/>
      <c r="B255" s="16">
        <v>254</v>
      </c>
      <c r="C255" s="16" t="s">
        <v>1016</v>
      </c>
      <c r="D255" s="16" t="s">
        <v>1583</v>
      </c>
      <c r="E255" s="16" t="s">
        <v>2109</v>
      </c>
      <c r="F255" s="200" t="s">
        <v>1017</v>
      </c>
      <c r="G255" s="189" t="str">
        <f>IFERROR(VLOOKUP(C255,#REF!,4,FALSE),"")</f>
        <v/>
      </c>
      <c r="H255" s="249">
        <f>VLOOKUP(C255,Dados!B:AW,11,0)</f>
        <v>0.99</v>
      </c>
      <c r="I255" s="16" t="str">
        <f>(VLOOKUP(C255,Dados!B:AW,48,0))</f>
        <v>Confiabilidade em Crescimento</v>
      </c>
      <c r="J255" s="189" t="s">
        <v>732</v>
      </c>
      <c r="K255" s="177">
        <f>IFERROR((VLOOKUP(C255,Dados!B:AW,44,0)),0)</f>
        <v>0</v>
      </c>
      <c r="L255" s="177">
        <f>IFERROR((VLOOKUP(C255,Dados!B:AW,45,0)),0)</f>
        <v>0</v>
      </c>
      <c r="M255" s="177">
        <f>IFERROR((VLOOKUP(C255,Dados!B:AW,43,0)),0)</f>
        <v>0</v>
      </c>
      <c r="N255" s="179">
        <f>IFERROR((VLOOKUP(C255,Dados!B:AW,47,0)),0)</f>
        <v>0</v>
      </c>
      <c r="O255" s="197">
        <f t="shared" si="10"/>
        <v>2</v>
      </c>
      <c r="P255" s="1">
        <f t="shared" si="11"/>
        <v>0</v>
      </c>
      <c r="Q255" s="221"/>
      <c r="AC255">
        <v>2</v>
      </c>
      <c r="AD255">
        <v>2</v>
      </c>
      <c r="AE255">
        <v>2</v>
      </c>
      <c r="AH255" t="s">
        <v>119</v>
      </c>
      <c r="AI255" t="str">
        <f t="shared" si="9"/>
        <v>MOD020*</v>
      </c>
    </row>
    <row r="256" spans="1:35" ht="26.25" customHeight="1" x14ac:dyDescent="0.3">
      <c r="A256"/>
      <c r="B256" s="16">
        <v>255</v>
      </c>
      <c r="C256" s="16" t="s">
        <v>2020</v>
      </c>
      <c r="D256" s="16" t="s">
        <v>1588</v>
      </c>
      <c r="E256" s="16" t="s">
        <v>2109</v>
      </c>
      <c r="F256" s="200" t="s">
        <v>1927</v>
      </c>
      <c r="G256" s="189" t="str">
        <f>IFERROR(VLOOKUP(C256,#REF!,4,FALSE),"")</f>
        <v/>
      </c>
      <c r="H256" s="249">
        <f>VLOOKUP(C256,Dados!B:AW,11,0)</f>
        <v>0</v>
      </c>
      <c r="I256" s="16" t="str">
        <f>(VLOOKUP(C256,Dados!B:AW,48,0))</f>
        <v>Confiabilidade em Crescimento</v>
      </c>
      <c r="J256" s="189" t="s">
        <v>732</v>
      </c>
      <c r="K256" s="177">
        <f>IFERROR((VLOOKUP(C256,Dados!B:AW,44,0)),0)</f>
        <v>0</v>
      </c>
      <c r="L256" s="177">
        <f>IFERROR((VLOOKUP(C256,Dados!B:AW,45,0)),0)</f>
        <v>0</v>
      </c>
      <c r="M256" s="177">
        <f>IFERROR((VLOOKUP(C256,Dados!B:AW,43,0)),0)</f>
        <v>0</v>
      </c>
      <c r="N256" s="179">
        <f>IFERROR((VLOOKUP(C256,Dados!B:AW,47,0)),0)</f>
        <v>0</v>
      </c>
      <c r="O256" s="197">
        <f t="shared" si="10"/>
        <v>2</v>
      </c>
      <c r="P256" s="1">
        <f t="shared" si="11"/>
        <v>0</v>
      </c>
      <c r="Q256" s="221"/>
      <c r="AC256">
        <v>1</v>
      </c>
      <c r="AD256">
        <v>1</v>
      </c>
      <c r="AE256">
        <v>1</v>
      </c>
      <c r="AH256" t="s">
        <v>817</v>
      </c>
      <c r="AI256" t="str">
        <f t="shared" si="9"/>
        <v>MOD023*</v>
      </c>
    </row>
    <row r="257" spans="1:35" ht="25" x14ac:dyDescent="0.3">
      <c r="A257"/>
      <c r="B257" s="16">
        <v>256</v>
      </c>
      <c r="C257" s="16" t="s">
        <v>2021</v>
      </c>
      <c r="D257" s="16" t="s">
        <v>1589</v>
      </c>
      <c r="E257" s="16" t="s">
        <v>2109</v>
      </c>
      <c r="F257" s="200" t="s">
        <v>1965</v>
      </c>
      <c r="G257" s="189" t="str">
        <f>IFERROR(VLOOKUP(C257,#REF!,4,FALSE),"")</f>
        <v/>
      </c>
      <c r="H257" s="249">
        <f>VLOOKUP(C257,Dados!B:AW,11,0)</f>
        <v>2.0099999999999998</v>
      </c>
      <c r="I257" s="16" t="str">
        <f>(VLOOKUP(C257,Dados!B:AW,48,0))</f>
        <v>Fase de Degradação</v>
      </c>
      <c r="J257" s="189" t="s">
        <v>732</v>
      </c>
      <c r="K257" s="177">
        <f>IFERROR((VLOOKUP(C257,Dados!B:AW,44,0)),0)</f>
        <v>0</v>
      </c>
      <c r="L257" s="177">
        <f>IFERROR((VLOOKUP(C257,Dados!B:AW,45,0)),0)</f>
        <v>0</v>
      </c>
      <c r="M257" s="177">
        <f>IFERROR((VLOOKUP(C257,Dados!B:AW,43,0)),0)</f>
        <v>0</v>
      </c>
      <c r="N257" s="179">
        <f>IFERROR((VLOOKUP(C257,Dados!B:AW,47,0)),0)</f>
        <v>0</v>
      </c>
      <c r="O257" s="197">
        <f t="shared" si="10"/>
        <v>1</v>
      </c>
      <c r="P257" s="1">
        <f t="shared" si="11"/>
        <v>0</v>
      </c>
      <c r="Q257" s="221"/>
      <c r="AC257">
        <v>2</v>
      </c>
      <c r="AD257">
        <v>2</v>
      </c>
      <c r="AE257">
        <v>2</v>
      </c>
      <c r="AH257" t="s">
        <v>474</v>
      </c>
      <c r="AI257" t="str">
        <f t="shared" si="9"/>
        <v>ROB057*</v>
      </c>
    </row>
    <row r="258" spans="1:35" ht="26.25" customHeight="1" x14ac:dyDescent="0.3">
      <c r="A258"/>
      <c r="B258" s="16">
        <v>257</v>
      </c>
      <c r="C258" s="16" t="s">
        <v>2022</v>
      </c>
      <c r="D258" s="16" t="s">
        <v>1585</v>
      </c>
      <c r="E258" s="16" t="s">
        <v>2109</v>
      </c>
      <c r="F258" s="200" t="s">
        <v>1968</v>
      </c>
      <c r="G258" s="189" t="str">
        <f>IFERROR(VLOOKUP(C258,#REF!,4,FALSE),"")</f>
        <v/>
      </c>
      <c r="H258" s="249">
        <f>VLOOKUP(C258,Dados!B:AW,11,0)</f>
        <v>2.5299999999999998</v>
      </c>
      <c r="I258" s="16" t="str">
        <f>(VLOOKUP(C258,Dados!B:AW,48,0))</f>
        <v>Fase de Degradação</v>
      </c>
      <c r="J258" s="189" t="s">
        <v>732</v>
      </c>
      <c r="K258" s="177">
        <f>IFERROR((VLOOKUP(C258,Dados!B:AW,44,0)),0)</f>
        <v>0</v>
      </c>
      <c r="L258" s="177">
        <f>IFERROR((VLOOKUP(C258,Dados!B:AW,45,0)),0)</f>
        <v>0</v>
      </c>
      <c r="M258" s="177">
        <f>IFERROR((VLOOKUP(C258,Dados!B:AW,43,0)),0)</f>
        <v>0</v>
      </c>
      <c r="N258" s="179">
        <f>IFERROR((VLOOKUP(C258,Dados!B:AW,47,0)),0)</f>
        <v>0</v>
      </c>
      <c r="O258" s="197">
        <f t="shared" si="10"/>
        <v>1</v>
      </c>
      <c r="P258" s="1">
        <f t="shared" si="11"/>
        <v>0</v>
      </c>
      <c r="Q258" s="221"/>
      <c r="AC258">
        <v>2</v>
      </c>
      <c r="AD258">
        <v>2</v>
      </c>
      <c r="AE258">
        <v>2</v>
      </c>
      <c r="AH258" t="s">
        <v>535</v>
      </c>
      <c r="AI258" t="str">
        <f t="shared" si="9"/>
        <v>BRU029*</v>
      </c>
    </row>
    <row r="259" spans="1:35" ht="25" x14ac:dyDescent="0.3">
      <c r="A259" s="219"/>
      <c r="B259" s="16">
        <v>258</v>
      </c>
      <c r="C259" s="16" t="s">
        <v>2023</v>
      </c>
      <c r="D259" s="16" t="s">
        <v>1588</v>
      </c>
      <c r="E259" s="16" t="s">
        <v>2109</v>
      </c>
      <c r="F259" s="200" t="s">
        <v>1928</v>
      </c>
      <c r="G259" s="189" t="str">
        <f>IFERROR(VLOOKUP(C259,#REF!,4,FALSE),"")</f>
        <v/>
      </c>
      <c r="H259" s="249">
        <f>VLOOKUP(C259,Dados!B:AW,11,0)</f>
        <v>0</v>
      </c>
      <c r="I259" s="16" t="str">
        <f>(VLOOKUP(C259,Dados!B:AW,48,0))</f>
        <v>Confiabilidade em Crescimento</v>
      </c>
      <c r="J259" s="189" t="s">
        <v>732</v>
      </c>
      <c r="K259" s="177">
        <f>IFERROR((VLOOKUP(C259,Dados!B:AW,44,0)),0)</f>
        <v>0</v>
      </c>
      <c r="L259" s="177">
        <f>IFERROR((VLOOKUP(C259,Dados!B:AW,45,0)),0)</f>
        <v>0</v>
      </c>
      <c r="M259" s="177">
        <f>IFERROR((VLOOKUP(C259,Dados!B:AW,43,0)),0)</f>
        <v>0</v>
      </c>
      <c r="N259" s="179">
        <f>IFERROR((VLOOKUP(C259,Dados!B:AW,47,0)),0)</f>
        <v>0</v>
      </c>
      <c r="O259" s="197">
        <f t="shared" si="10"/>
        <v>2</v>
      </c>
      <c r="P259" s="1">
        <f t="shared" si="11"/>
        <v>0</v>
      </c>
      <c r="Q259" s="221"/>
      <c r="AC259">
        <v>-1</v>
      </c>
      <c r="AD259">
        <v>2</v>
      </c>
      <c r="AE259">
        <v>2</v>
      </c>
      <c r="AH259" t="s">
        <v>333</v>
      </c>
      <c r="AI259" t="str">
        <f t="shared" si="9"/>
        <v>INJ027*</v>
      </c>
    </row>
    <row r="260" spans="1:35" ht="25" x14ac:dyDescent="0.3">
      <c r="A260" s="219"/>
      <c r="B260" s="16">
        <v>259</v>
      </c>
      <c r="C260" s="16" t="s">
        <v>1969</v>
      </c>
      <c r="D260" s="16" t="s">
        <v>1588</v>
      </c>
      <c r="E260" s="16" t="s">
        <v>2109</v>
      </c>
      <c r="F260" s="200" t="s">
        <v>1929</v>
      </c>
      <c r="G260" s="189" t="str">
        <f>IFERROR(VLOOKUP(C260,#REF!,4,FALSE),"")</f>
        <v/>
      </c>
      <c r="H260" s="249">
        <f>VLOOKUP(C260,Dados!B:AW,11,0)</f>
        <v>0</v>
      </c>
      <c r="I260" s="16" t="str">
        <f>(VLOOKUP(C260,Dados!B:AW,48,0))</f>
        <v>Confiabilidade em Crescimento</v>
      </c>
      <c r="J260" s="189" t="s">
        <v>732</v>
      </c>
      <c r="K260" s="177">
        <f>IFERROR((VLOOKUP(C260,Dados!B:AW,44,0)),0)</f>
        <v>0</v>
      </c>
      <c r="L260" s="177">
        <f>IFERROR((VLOOKUP(C260,Dados!B:AW,45,0)),0)</f>
        <v>0</v>
      </c>
      <c r="M260" s="177">
        <f>IFERROR((VLOOKUP(C260,Dados!B:AW,43,0)),0)</f>
        <v>0</v>
      </c>
      <c r="N260" s="179">
        <f>IFERROR((VLOOKUP(C260,Dados!B:AW,47,0)),0)</f>
        <v>0</v>
      </c>
      <c r="O260" s="197">
        <f t="shared" si="10"/>
        <v>2</v>
      </c>
      <c r="P260" s="1">
        <f t="shared" si="11"/>
        <v>0</v>
      </c>
      <c r="Q260" s="221"/>
      <c r="AC260">
        <v>-1</v>
      </c>
      <c r="AD260">
        <v>-1</v>
      </c>
      <c r="AE260">
        <v>-1</v>
      </c>
      <c r="AH260" t="s">
        <v>117</v>
      </c>
      <c r="AI260" t="str">
        <f t="shared" si="9"/>
        <v>REB002*</v>
      </c>
    </row>
    <row r="261" spans="1:35" ht="25" x14ac:dyDescent="0.3">
      <c r="A261" s="219"/>
      <c r="B261" s="16">
        <v>260</v>
      </c>
      <c r="C261" s="16" t="s">
        <v>1970</v>
      </c>
      <c r="D261" s="16" t="s">
        <v>1588</v>
      </c>
      <c r="E261" s="16" t="s">
        <v>2109</v>
      </c>
      <c r="F261" s="200" t="s">
        <v>1930</v>
      </c>
      <c r="G261" s="189" t="str">
        <f>IFERROR(VLOOKUP(C261,#REF!,4,FALSE),"")</f>
        <v/>
      </c>
      <c r="H261" s="249">
        <f>VLOOKUP(C261,Dados!B:AW,11,0)</f>
        <v>0</v>
      </c>
      <c r="I261" s="16" t="str">
        <f>(VLOOKUP(C261,Dados!B:AW,48,0))</f>
        <v>Confiabilidade em Crescimento</v>
      </c>
      <c r="J261" s="189" t="s">
        <v>732</v>
      </c>
      <c r="K261" s="177">
        <f>IFERROR((VLOOKUP(C261,Dados!B:AW,44,0)),0)</f>
        <v>0</v>
      </c>
      <c r="L261" s="177">
        <f>IFERROR((VLOOKUP(C261,Dados!B:AW,45,0)),0)</f>
        <v>0</v>
      </c>
      <c r="M261" s="177">
        <f>IFERROR((VLOOKUP(C261,Dados!B:AW,43,0)),0)</f>
        <v>0</v>
      </c>
      <c r="N261" s="179">
        <f>IFERROR((VLOOKUP(C261,Dados!B:AW,47,0)),0)</f>
        <v>0</v>
      </c>
      <c r="O261" s="197">
        <f t="shared" si="10"/>
        <v>2</v>
      </c>
      <c r="P261" s="1">
        <f t="shared" si="11"/>
        <v>0</v>
      </c>
      <c r="Q261" s="221"/>
      <c r="AC261">
        <v>-1</v>
      </c>
      <c r="AD261">
        <v>-1</v>
      </c>
      <c r="AE261">
        <v>-1</v>
      </c>
      <c r="AH261" t="s">
        <v>533</v>
      </c>
      <c r="AI261" t="str">
        <f t="shared" ref="AI261:AI324" si="12">CONCATENATE(AH261,"*")</f>
        <v>BRU026*</v>
      </c>
    </row>
    <row r="262" spans="1:35" ht="25" x14ac:dyDescent="0.3">
      <c r="A262"/>
      <c r="B262" s="16">
        <v>261</v>
      </c>
      <c r="C262" s="16" t="s">
        <v>2024</v>
      </c>
      <c r="D262" s="16" t="s">
        <v>1588</v>
      </c>
      <c r="E262" s="16" t="s">
        <v>2109</v>
      </c>
      <c r="F262" s="200" t="s">
        <v>1931</v>
      </c>
      <c r="G262" s="189" t="str">
        <f>IFERROR(VLOOKUP(C262,#REF!,4,FALSE),"")</f>
        <v/>
      </c>
      <c r="H262" s="249">
        <f>VLOOKUP(C262,Dados!B:AW,11,0)</f>
        <v>0</v>
      </c>
      <c r="I262" s="16" t="str">
        <f>(VLOOKUP(C262,Dados!B:AW,48,0))</f>
        <v>Confiabilidade em Crescimento</v>
      </c>
      <c r="J262" s="189" t="s">
        <v>732</v>
      </c>
      <c r="K262" s="177">
        <f>IFERROR((VLOOKUP(C262,Dados!B:AW,44,0)),0)</f>
        <v>0</v>
      </c>
      <c r="L262" s="177">
        <f>IFERROR((VLOOKUP(C262,Dados!B:AW,45,0)),0)</f>
        <v>0</v>
      </c>
      <c r="M262" s="177">
        <f>IFERROR((VLOOKUP(C262,Dados!B:AW,43,0)),0)</f>
        <v>0</v>
      </c>
      <c r="N262" s="179">
        <f>IFERROR((VLOOKUP(C262,Dados!B:AW,47,0)),0)</f>
        <v>0</v>
      </c>
      <c r="O262" s="197">
        <f t="shared" ref="O262:O325" si="13">IF(AND(J262="Parcial",N262&gt;0,H262&gt;1),-1,IF(AND(J262="Parcial",N262&gt;0,H262&lt;1.1),1,IF(AND(J262="Parcial",N262&lt;0,H262&gt;1.09),-1,IF(J262="Total",-1,IF(H262&gt;1.09,1,2)))))</f>
        <v>2</v>
      </c>
      <c r="P262" s="1">
        <f t="shared" ref="P262:P325" si="14">IF(G262="",0,IF(H262&gt;G262,-1,1))</f>
        <v>0</v>
      </c>
      <c r="Q262" s="221"/>
      <c r="AC262">
        <v>-1</v>
      </c>
      <c r="AD262">
        <v>-1</v>
      </c>
      <c r="AE262">
        <v>-1</v>
      </c>
      <c r="AH262" t="s">
        <v>605</v>
      </c>
      <c r="AI262" t="str">
        <f t="shared" si="12"/>
        <v>CEN062*</v>
      </c>
    </row>
    <row r="263" spans="1:35" ht="25" x14ac:dyDescent="0.3">
      <c r="A263"/>
      <c r="B263" s="16">
        <v>262</v>
      </c>
      <c r="C263" s="16" t="s">
        <v>1971</v>
      </c>
      <c r="D263" s="16" t="s">
        <v>1588</v>
      </c>
      <c r="E263" s="16" t="s">
        <v>2109</v>
      </c>
      <c r="F263" s="200" t="s">
        <v>1925</v>
      </c>
      <c r="G263" s="189" t="str">
        <f>IFERROR(VLOOKUP(C263,#REF!,4,FALSE),"")</f>
        <v/>
      </c>
      <c r="H263" s="250">
        <f>VLOOKUP(C263,Dados!B:AW,11,0)</f>
        <v>0</v>
      </c>
      <c r="I263" s="16" t="str">
        <f>(VLOOKUP(C263,Dados!B:AW,48,0))</f>
        <v>Confiabilidade em Crescimento</v>
      </c>
      <c r="J263" s="189" t="s">
        <v>732</v>
      </c>
      <c r="K263" s="177">
        <f>IFERROR((VLOOKUP(C263,Dados!B:AW,44,0)),0)</f>
        <v>0</v>
      </c>
      <c r="L263" s="177">
        <f>IFERROR((VLOOKUP(C263,Dados!B:AW,45,0)),0)</f>
        <v>0</v>
      </c>
      <c r="M263" s="177">
        <f>IFERROR((VLOOKUP(C263,Dados!B:AW,43,0)),0)</f>
        <v>0</v>
      </c>
      <c r="N263" s="179">
        <f>IFERROR((VLOOKUP(C263,Dados!B:AW,47,0)),0)</f>
        <v>0</v>
      </c>
      <c r="O263" s="197">
        <f t="shared" si="13"/>
        <v>2</v>
      </c>
      <c r="P263" s="1">
        <f t="shared" si="14"/>
        <v>0</v>
      </c>
      <c r="Q263" s="221"/>
      <c r="AC263">
        <v>2</v>
      </c>
      <c r="AD263">
        <v>2</v>
      </c>
      <c r="AE263">
        <v>2</v>
      </c>
      <c r="AH263" t="s">
        <v>757</v>
      </c>
      <c r="AI263" t="str">
        <f t="shared" si="12"/>
        <v>CEN095*</v>
      </c>
    </row>
    <row r="264" spans="1:35" ht="25" x14ac:dyDescent="0.3">
      <c r="A264"/>
      <c r="B264" s="16">
        <v>263</v>
      </c>
      <c r="C264" s="16" t="s">
        <v>2025</v>
      </c>
      <c r="D264" s="16" t="s">
        <v>1588</v>
      </c>
      <c r="E264" s="16" t="s">
        <v>2109</v>
      </c>
      <c r="F264" s="200" t="s">
        <v>1932</v>
      </c>
      <c r="G264" s="189" t="str">
        <f>IFERROR(VLOOKUP(C264,#REF!,4,FALSE),"")</f>
        <v/>
      </c>
      <c r="H264" s="248">
        <f>VLOOKUP(C264,Dados!B:AW,11,0)</f>
        <v>0</v>
      </c>
      <c r="I264" s="16" t="str">
        <f>(VLOOKUP(C264,Dados!B:AW,48,0))</f>
        <v>Confiabilidade em Crescimento</v>
      </c>
      <c r="J264" s="189" t="s">
        <v>732</v>
      </c>
      <c r="K264" s="177">
        <f>IFERROR((VLOOKUP(C264,Dados!B:AW,44,0)),0)</f>
        <v>0</v>
      </c>
      <c r="L264" s="177">
        <f>IFERROR((VLOOKUP(C264,Dados!B:AW,45,0)),0)</f>
        <v>0</v>
      </c>
      <c r="M264" s="177">
        <f>IFERROR((VLOOKUP(C264,Dados!B:AW,43,0)),0)</f>
        <v>0</v>
      </c>
      <c r="N264" s="179">
        <f>IFERROR((VLOOKUP(C264,Dados!B:AW,47,0)),0)</f>
        <v>0</v>
      </c>
      <c r="O264" s="197">
        <f t="shared" si="13"/>
        <v>2</v>
      </c>
      <c r="P264" s="1">
        <f t="shared" si="14"/>
        <v>0</v>
      </c>
      <c r="Q264" s="221"/>
      <c r="AC264">
        <v>2</v>
      </c>
      <c r="AD264">
        <v>2</v>
      </c>
      <c r="AE264">
        <v>1</v>
      </c>
      <c r="AH264" t="s">
        <v>966</v>
      </c>
      <c r="AI264" t="str">
        <f t="shared" si="12"/>
        <v>CEN104*</v>
      </c>
    </row>
    <row r="265" spans="1:35" ht="25" x14ac:dyDescent="0.3">
      <c r="A265" s="219"/>
      <c r="B265" s="16">
        <v>264</v>
      </c>
      <c r="C265" s="16" t="s">
        <v>2026</v>
      </c>
      <c r="D265" s="16" t="s">
        <v>1588</v>
      </c>
      <c r="E265" s="16" t="s">
        <v>2109</v>
      </c>
      <c r="F265" s="200" t="s">
        <v>1933</v>
      </c>
      <c r="G265" s="189" t="str">
        <f>IFERROR(VLOOKUP(C265,#REF!,4,FALSE),"")</f>
        <v/>
      </c>
      <c r="H265" s="248">
        <f>VLOOKUP(C265,Dados!B:AW,11,0)</f>
        <v>0</v>
      </c>
      <c r="I265" s="16" t="str">
        <f>(VLOOKUP(C265,Dados!B:AW,48,0))</f>
        <v>Confiabilidade em Crescimento</v>
      </c>
      <c r="J265" s="189" t="s">
        <v>732</v>
      </c>
      <c r="K265" s="177">
        <f>IFERROR((VLOOKUP(C265,Dados!B:AW,44,0)),0)</f>
        <v>0</v>
      </c>
      <c r="L265" s="177">
        <f>IFERROR((VLOOKUP(C265,Dados!B:AW,45,0)),0)</f>
        <v>0</v>
      </c>
      <c r="M265" s="177">
        <f>IFERROR((VLOOKUP(C265,Dados!B:AW,43,0)),0)</f>
        <v>0</v>
      </c>
      <c r="N265" s="179">
        <f>IFERROR((VLOOKUP(C265,Dados!B:AW,47,0)),0)</f>
        <v>0</v>
      </c>
      <c r="O265" s="197">
        <f t="shared" si="13"/>
        <v>2</v>
      </c>
      <c r="P265" s="1">
        <f t="shared" si="14"/>
        <v>0</v>
      </c>
      <c r="Q265" s="221"/>
      <c r="AC265">
        <v>2</v>
      </c>
      <c r="AD265">
        <v>2</v>
      </c>
      <c r="AE265">
        <v>1</v>
      </c>
      <c r="AH265" t="s">
        <v>1014</v>
      </c>
      <c r="AI265" t="str">
        <f t="shared" si="12"/>
        <v>ELE019*</v>
      </c>
    </row>
    <row r="266" spans="1:35" ht="25" x14ac:dyDescent="0.3">
      <c r="A266"/>
      <c r="B266" s="16">
        <v>265</v>
      </c>
      <c r="C266" s="16" t="s">
        <v>1972</v>
      </c>
      <c r="D266" s="16" t="s">
        <v>1588</v>
      </c>
      <c r="E266" s="16" t="s">
        <v>2109</v>
      </c>
      <c r="F266" s="200" t="s">
        <v>1934</v>
      </c>
      <c r="G266" s="189" t="str">
        <f>IFERROR(VLOOKUP(C266,#REF!,4,FALSE),"")</f>
        <v/>
      </c>
      <c r="H266" s="249">
        <f>VLOOKUP(C266,Dados!B:AW,11,0)</f>
        <v>0</v>
      </c>
      <c r="I266" s="16" t="str">
        <f>(VLOOKUP(C266,Dados!B:AW,48,0))</f>
        <v>Confiabilidade em Crescimento</v>
      </c>
      <c r="J266" s="189" t="s">
        <v>732</v>
      </c>
      <c r="K266" s="177">
        <f>IFERROR((VLOOKUP(C266,Dados!B:AW,44,0)),0)</f>
        <v>0</v>
      </c>
      <c r="L266" s="177">
        <f>IFERROR((VLOOKUP(C266,Dados!B:AW,45,0)),0)</f>
        <v>0</v>
      </c>
      <c r="M266" s="177">
        <f>IFERROR((VLOOKUP(C266,Dados!B:AW,43,0)),0)</f>
        <v>0</v>
      </c>
      <c r="N266" s="179">
        <f>IFERROR((VLOOKUP(C266,Dados!B:AW,47,0)),0)</f>
        <v>0</v>
      </c>
      <c r="O266" s="197">
        <f t="shared" si="13"/>
        <v>2</v>
      </c>
      <c r="P266" s="1">
        <f t="shared" si="14"/>
        <v>0</v>
      </c>
      <c r="Q266" s="221"/>
      <c r="AC266">
        <v>-1</v>
      </c>
      <c r="AD266">
        <v>-1</v>
      </c>
      <c r="AE266">
        <v>-1</v>
      </c>
      <c r="AH266" t="s">
        <v>115</v>
      </c>
      <c r="AI266" t="str">
        <f t="shared" si="12"/>
        <v>REB004*</v>
      </c>
    </row>
    <row r="267" spans="1:35" ht="25" x14ac:dyDescent="0.3">
      <c r="A267"/>
      <c r="B267" s="16">
        <v>266</v>
      </c>
      <c r="C267" s="16" t="s">
        <v>2027</v>
      </c>
      <c r="D267" s="16" t="s">
        <v>1588</v>
      </c>
      <c r="E267" s="16" t="s">
        <v>2109</v>
      </c>
      <c r="F267" s="200" t="s">
        <v>1953</v>
      </c>
      <c r="G267" s="189" t="str">
        <f>IFERROR(VLOOKUP(C267,#REF!,4,FALSE),"")</f>
        <v/>
      </c>
      <c r="H267" s="248">
        <f>VLOOKUP(C267,Dados!B:AW,11,0)</f>
        <v>0</v>
      </c>
      <c r="I267" s="16" t="str">
        <f>(VLOOKUP(C267,Dados!B:AW,48,0))</f>
        <v>Confiabilidade em Crescimento</v>
      </c>
      <c r="J267" s="189" t="s">
        <v>732</v>
      </c>
      <c r="K267" s="177">
        <f>IFERROR((VLOOKUP(C267,Dados!B:AW,44,0)),0)</f>
        <v>0</v>
      </c>
      <c r="L267" s="177">
        <f>IFERROR((VLOOKUP(C267,Dados!B:AW,45,0)),0)</f>
        <v>0</v>
      </c>
      <c r="M267" s="177">
        <f>IFERROR((VLOOKUP(C267,Dados!B:AW,43,0)),0)</f>
        <v>0</v>
      </c>
      <c r="N267" s="179">
        <f>IFERROR((VLOOKUP(C267,Dados!B:AW,47,0)),0)</f>
        <v>0</v>
      </c>
      <c r="O267" s="197">
        <f t="shared" si="13"/>
        <v>2</v>
      </c>
      <c r="P267" s="1">
        <f t="shared" si="14"/>
        <v>0</v>
      </c>
      <c r="Q267" s="221"/>
      <c r="AC267">
        <v>-1</v>
      </c>
      <c r="AD267">
        <v>-1</v>
      </c>
      <c r="AE267">
        <v>-1</v>
      </c>
      <c r="AH267" t="s">
        <v>639</v>
      </c>
      <c r="AI267" t="str">
        <f t="shared" si="12"/>
        <v>ROB045*</v>
      </c>
    </row>
    <row r="268" spans="1:35" ht="25" x14ac:dyDescent="0.3">
      <c r="A268"/>
      <c r="B268" s="16">
        <v>267</v>
      </c>
      <c r="C268" s="16" t="s">
        <v>1999</v>
      </c>
      <c r="D268" s="16" t="s">
        <v>1588</v>
      </c>
      <c r="E268" s="16" t="s">
        <v>2109</v>
      </c>
      <c r="F268" s="200" t="s">
        <v>1935</v>
      </c>
      <c r="G268" s="189" t="str">
        <f>IFERROR(VLOOKUP(C268,#REF!,4,FALSE),"")</f>
        <v/>
      </c>
      <c r="H268" s="248">
        <f>VLOOKUP(C268,Dados!B:AW,11,0)</f>
        <v>0</v>
      </c>
      <c r="I268" s="16" t="str">
        <f>(VLOOKUP(C268,Dados!B:AW,48,0))</f>
        <v>Confiabilidade em Crescimento</v>
      </c>
      <c r="J268" s="189" t="s">
        <v>732</v>
      </c>
      <c r="K268" s="177">
        <f>IFERROR((VLOOKUP(C268,Dados!B:AW,44,0)),0)</f>
        <v>0</v>
      </c>
      <c r="L268" s="177">
        <f>IFERROR((VLOOKUP(C268,Dados!B:AW,45,0)),0)</f>
        <v>0</v>
      </c>
      <c r="M268" s="177">
        <f>IFERROR((VLOOKUP(C268,Dados!B:AW,43,0)),0)</f>
        <v>0</v>
      </c>
      <c r="N268" s="179">
        <f>IFERROR((VLOOKUP(C268,Dados!B:AW,47,0)),0)</f>
        <v>0</v>
      </c>
      <c r="O268" s="197">
        <f t="shared" si="13"/>
        <v>2</v>
      </c>
      <c r="P268" s="1">
        <f t="shared" si="14"/>
        <v>0</v>
      </c>
      <c r="Q268" s="221"/>
      <c r="AC268">
        <v>-1</v>
      </c>
      <c r="AD268">
        <v>-1</v>
      </c>
      <c r="AE268">
        <v>-1</v>
      </c>
      <c r="AH268" t="s">
        <v>260</v>
      </c>
      <c r="AI268" t="str">
        <f t="shared" si="12"/>
        <v>CEN072*</v>
      </c>
    </row>
    <row r="269" spans="1:35" ht="25" x14ac:dyDescent="0.3">
      <c r="A269"/>
      <c r="B269" s="16">
        <v>268</v>
      </c>
      <c r="C269" s="16" t="s">
        <v>2028</v>
      </c>
      <c r="D269" s="16" t="s">
        <v>1588</v>
      </c>
      <c r="E269" s="16" t="s">
        <v>2109</v>
      </c>
      <c r="F269" s="200" t="s">
        <v>1936</v>
      </c>
      <c r="G269" s="189" t="str">
        <f>IFERROR(VLOOKUP(C269,#REF!,4,FALSE),"")</f>
        <v/>
      </c>
      <c r="H269" s="248">
        <f>VLOOKUP(C269,Dados!B:AW,11,0)</f>
        <v>0</v>
      </c>
      <c r="I269" s="16" t="str">
        <f>(VLOOKUP(C269,Dados!B:AW,48,0))</f>
        <v>Confiabilidade em Crescimento</v>
      </c>
      <c r="J269" s="189" t="s">
        <v>732</v>
      </c>
      <c r="K269" s="177">
        <f>IFERROR((VLOOKUP(C269,Dados!B:AW,44,0)),0)</f>
        <v>0</v>
      </c>
      <c r="L269" s="177">
        <f>IFERROR((VLOOKUP(C269,Dados!B:AW,45,0)),0)</f>
        <v>0</v>
      </c>
      <c r="M269" s="177">
        <f>IFERROR((VLOOKUP(C269,Dados!B:AW,43,0)),0)</f>
        <v>0</v>
      </c>
      <c r="N269" s="179">
        <f>IFERROR((VLOOKUP(C269,Dados!B:AW,47,0)),0)</f>
        <v>0</v>
      </c>
      <c r="O269" s="197">
        <f t="shared" si="13"/>
        <v>2</v>
      </c>
      <c r="P269" s="1">
        <f t="shared" si="14"/>
        <v>0</v>
      </c>
      <c r="Q269" s="221"/>
      <c r="AC269">
        <v>-1</v>
      </c>
      <c r="AD269">
        <v>-1</v>
      </c>
      <c r="AE269">
        <v>-1</v>
      </c>
      <c r="AH269" t="s">
        <v>262</v>
      </c>
      <c r="AI269" t="str">
        <f t="shared" si="12"/>
        <v>INJ019*</v>
      </c>
    </row>
    <row r="270" spans="1:35" ht="25" x14ac:dyDescent="0.3">
      <c r="A270"/>
      <c r="B270" s="16">
        <v>269</v>
      </c>
      <c r="C270" s="16" t="s">
        <v>2029</v>
      </c>
      <c r="D270" s="16" t="s">
        <v>1588</v>
      </c>
      <c r="E270" s="16" t="s">
        <v>2109</v>
      </c>
      <c r="F270" s="200" t="s">
        <v>1937</v>
      </c>
      <c r="G270" s="189" t="str">
        <f>IFERROR(VLOOKUP(C270,#REF!,4,FALSE),"")</f>
        <v/>
      </c>
      <c r="H270" s="248">
        <f>VLOOKUP(C270,Dados!B:AW,11,0)</f>
        <v>0</v>
      </c>
      <c r="I270" s="16" t="str">
        <f>(VLOOKUP(C270,Dados!B:AW,48,0))</f>
        <v>Confiabilidade em Crescimento</v>
      </c>
      <c r="J270" s="189" t="s">
        <v>732</v>
      </c>
      <c r="K270" s="177">
        <f>IFERROR((VLOOKUP(C270,Dados!B:AW,44,0)),0)</f>
        <v>0</v>
      </c>
      <c r="L270" s="177">
        <f>IFERROR((VLOOKUP(C270,Dados!B:AW,45,0)),0)</f>
        <v>0</v>
      </c>
      <c r="M270" s="177">
        <f>IFERROR((VLOOKUP(C270,Dados!B:AW,43,0)),0)</f>
        <v>0</v>
      </c>
      <c r="N270" s="179">
        <f>IFERROR((VLOOKUP(C270,Dados!B:AW,47,0)),0)</f>
        <v>0</v>
      </c>
      <c r="O270" s="197">
        <f t="shared" si="13"/>
        <v>2</v>
      </c>
      <c r="P270" s="1">
        <f t="shared" si="14"/>
        <v>0</v>
      </c>
      <c r="Q270" s="221"/>
      <c r="AC270">
        <v>2</v>
      </c>
      <c r="AD270">
        <v>2</v>
      </c>
      <c r="AE270">
        <v>1</v>
      </c>
      <c r="AH270" t="s">
        <v>1140</v>
      </c>
      <c r="AI270" t="str">
        <f t="shared" si="12"/>
        <v>RET019*</v>
      </c>
    </row>
    <row r="271" spans="1:35" ht="26.25" customHeight="1" x14ac:dyDescent="0.3">
      <c r="A271"/>
      <c r="B271" s="16">
        <v>270</v>
      </c>
      <c r="C271" s="16" t="s">
        <v>2030</v>
      </c>
      <c r="D271" s="16" t="s">
        <v>1588</v>
      </c>
      <c r="E271" s="16" t="s">
        <v>2109</v>
      </c>
      <c r="F271" s="200" t="s">
        <v>1938</v>
      </c>
      <c r="G271" s="189" t="str">
        <f>IFERROR(VLOOKUP(C271,#REF!,4,FALSE),"")</f>
        <v/>
      </c>
      <c r="H271" s="248">
        <f>VLOOKUP(C271,Dados!B:AW,11,0)</f>
        <v>0</v>
      </c>
      <c r="I271" s="16" t="str">
        <f>(VLOOKUP(C271,Dados!B:AW,48,0))</f>
        <v>Confiabilidade em Crescimento</v>
      </c>
      <c r="J271" s="189" t="s">
        <v>732</v>
      </c>
      <c r="K271" s="177">
        <f>IFERROR((VLOOKUP(C271,Dados!B:AW,44,0)),0)</f>
        <v>0</v>
      </c>
      <c r="L271" s="177">
        <f>IFERROR((VLOOKUP(C271,Dados!B:AW,45,0)),0)</f>
        <v>0</v>
      </c>
      <c r="M271" s="177">
        <f>IFERROR((VLOOKUP(C271,Dados!B:AW,43,0)),0)</f>
        <v>0</v>
      </c>
      <c r="N271" s="179">
        <f>IFERROR((VLOOKUP(C271,Dados!B:AW,47,0)),0)</f>
        <v>0</v>
      </c>
      <c r="O271" s="197">
        <f t="shared" si="13"/>
        <v>2</v>
      </c>
      <c r="P271" s="1">
        <f t="shared" si="14"/>
        <v>0</v>
      </c>
      <c r="Q271" s="221"/>
      <c r="AC271">
        <v>2</v>
      </c>
      <c r="AD271">
        <v>2</v>
      </c>
      <c r="AE271">
        <v>1</v>
      </c>
      <c r="AH271" t="s">
        <v>930</v>
      </c>
      <c r="AI271" t="str">
        <f t="shared" si="12"/>
        <v>CAB116*</v>
      </c>
    </row>
    <row r="272" spans="1:35" ht="25" x14ac:dyDescent="0.3">
      <c r="A272"/>
      <c r="B272" s="16">
        <v>271</v>
      </c>
      <c r="C272" s="16" t="s">
        <v>1973</v>
      </c>
      <c r="D272" s="16" t="s">
        <v>1588</v>
      </c>
      <c r="E272" s="16" t="s">
        <v>2109</v>
      </c>
      <c r="F272" s="200" t="s">
        <v>1939</v>
      </c>
      <c r="G272" s="189" t="str">
        <f>IFERROR(VLOOKUP(C272,#REF!,4,FALSE),"")</f>
        <v/>
      </c>
      <c r="H272" s="248">
        <f>VLOOKUP(C272,Dados!B:AW,11,0)</f>
        <v>0</v>
      </c>
      <c r="I272" s="16" t="str">
        <f>(VLOOKUP(C272,Dados!B:AW,48,0))</f>
        <v>Confiabilidade em Crescimento</v>
      </c>
      <c r="J272" s="189" t="s">
        <v>732</v>
      </c>
      <c r="K272" s="177">
        <f>IFERROR((VLOOKUP(C272,Dados!B:AW,44,0)),0)</f>
        <v>0</v>
      </c>
      <c r="L272" s="177">
        <f>IFERROR((VLOOKUP(C272,Dados!B:AW,45,0)),0)</f>
        <v>0</v>
      </c>
      <c r="M272" s="177">
        <f>IFERROR((VLOOKUP(C272,Dados!B:AW,43,0)),0)</f>
        <v>0</v>
      </c>
      <c r="N272" s="179">
        <f>IFERROR((VLOOKUP(C272,Dados!B:AW,47,0)),0)</f>
        <v>0</v>
      </c>
      <c r="O272" s="197">
        <f t="shared" si="13"/>
        <v>2</v>
      </c>
      <c r="P272" s="1">
        <f t="shared" si="14"/>
        <v>0</v>
      </c>
      <c r="Q272" s="221"/>
      <c r="AC272">
        <v>2</v>
      </c>
      <c r="AD272">
        <v>2</v>
      </c>
      <c r="AE272">
        <v>2</v>
      </c>
      <c r="AH272" t="s">
        <v>33</v>
      </c>
      <c r="AI272" t="str">
        <f t="shared" si="12"/>
        <v>CEN057*</v>
      </c>
    </row>
    <row r="273" spans="1:35" ht="25" x14ac:dyDescent="0.3">
      <c r="A273" s="219"/>
      <c r="B273" s="16">
        <v>272</v>
      </c>
      <c r="C273" s="16" t="s">
        <v>1974</v>
      </c>
      <c r="D273" s="16" t="s">
        <v>1588</v>
      </c>
      <c r="E273" s="16" t="s">
        <v>2109</v>
      </c>
      <c r="F273" s="200" t="s">
        <v>1940</v>
      </c>
      <c r="G273" s="189" t="str">
        <f>IFERROR(VLOOKUP(C273,#REF!,4,FALSE),"")</f>
        <v/>
      </c>
      <c r="H273" s="250">
        <f>VLOOKUP(C273,Dados!B:AW,11,0)</f>
        <v>0</v>
      </c>
      <c r="I273" s="16" t="str">
        <f>(VLOOKUP(C273,Dados!B:AW,48,0))</f>
        <v>Confiabilidade em Crescimento</v>
      </c>
      <c r="J273" s="189" t="s">
        <v>732</v>
      </c>
      <c r="K273" s="177">
        <f>IFERROR((VLOOKUP(C273,Dados!B:AW,44,0)),0)</f>
        <v>0</v>
      </c>
      <c r="L273" s="177">
        <f>IFERROR((VLOOKUP(C273,Dados!B:AW,45,0)),0)</f>
        <v>0</v>
      </c>
      <c r="M273" s="177">
        <f>IFERROR((VLOOKUP(C273,Dados!B:AW,43,0)),0)</f>
        <v>0</v>
      </c>
      <c r="N273" s="179">
        <f>IFERROR((VLOOKUP(C273,Dados!B:AW,47,0)),0)</f>
        <v>0</v>
      </c>
      <c r="O273" s="197">
        <f t="shared" si="13"/>
        <v>2</v>
      </c>
      <c r="P273" s="1">
        <f t="shared" si="14"/>
        <v>0</v>
      </c>
      <c r="Q273" s="221"/>
      <c r="AC273">
        <v>2</v>
      </c>
      <c r="AD273">
        <v>2</v>
      </c>
      <c r="AE273">
        <v>2</v>
      </c>
      <c r="AH273" t="s">
        <v>403</v>
      </c>
      <c r="AI273" t="str">
        <f t="shared" si="12"/>
        <v>CEN060*</v>
      </c>
    </row>
    <row r="274" spans="1:35" ht="25" x14ac:dyDescent="0.3">
      <c r="A274"/>
      <c r="B274" s="16">
        <v>273</v>
      </c>
      <c r="C274" s="16" t="s">
        <v>1975</v>
      </c>
      <c r="D274" s="16" t="s">
        <v>1588</v>
      </c>
      <c r="E274" s="16" t="s">
        <v>2109</v>
      </c>
      <c r="F274" s="200" t="s">
        <v>1941</v>
      </c>
      <c r="G274" s="189" t="str">
        <f>IFERROR(VLOOKUP(C274,#REF!,4,FALSE),"")</f>
        <v/>
      </c>
      <c r="H274" s="248">
        <f>VLOOKUP(C274,Dados!B:AW,11,0)</f>
        <v>0</v>
      </c>
      <c r="I274" s="16" t="str">
        <f>(VLOOKUP(C274,Dados!B:AW,48,0))</f>
        <v>Confiabilidade em Crescimento</v>
      </c>
      <c r="J274" s="189" t="s">
        <v>732</v>
      </c>
      <c r="K274" s="177">
        <f>IFERROR((VLOOKUP(C274,Dados!B:AW,44,0)),0)</f>
        <v>0</v>
      </c>
      <c r="L274" s="177">
        <f>IFERROR((VLOOKUP(C274,Dados!B:AW,45,0)),0)</f>
        <v>0</v>
      </c>
      <c r="M274" s="177">
        <f>IFERROR((VLOOKUP(C274,Dados!B:AW,43,0)),0)</f>
        <v>0</v>
      </c>
      <c r="N274" s="179">
        <f>IFERROR((VLOOKUP(C274,Dados!B:AW,47,0)),0)</f>
        <v>0</v>
      </c>
      <c r="O274" s="197">
        <f t="shared" si="13"/>
        <v>2</v>
      </c>
      <c r="P274" s="1">
        <f t="shared" si="14"/>
        <v>0</v>
      </c>
      <c r="Q274" s="221"/>
      <c r="AC274">
        <v>-1</v>
      </c>
      <c r="AD274">
        <v>-1</v>
      </c>
      <c r="AE274">
        <v>-1</v>
      </c>
      <c r="AH274" t="s">
        <v>328</v>
      </c>
      <c r="AI274" t="str">
        <f t="shared" si="12"/>
        <v>INJ011*</v>
      </c>
    </row>
    <row r="275" spans="1:35" ht="26.25" customHeight="1" x14ac:dyDescent="0.3">
      <c r="A275"/>
      <c r="B275" s="16">
        <v>274</v>
      </c>
      <c r="C275" s="16" t="s">
        <v>1976</v>
      </c>
      <c r="D275" s="16" t="s">
        <v>1588</v>
      </c>
      <c r="E275" s="16" t="s">
        <v>2109</v>
      </c>
      <c r="F275" s="200" t="s">
        <v>1942</v>
      </c>
      <c r="G275" s="189" t="str">
        <f>IFERROR(VLOOKUP(C275,#REF!,4,FALSE),"")</f>
        <v/>
      </c>
      <c r="H275" s="250">
        <f>VLOOKUP(C275,Dados!B:AW,11,0)</f>
        <v>0</v>
      </c>
      <c r="I275" s="16" t="str">
        <f>(VLOOKUP(C275,Dados!B:AW,48,0))</f>
        <v>Confiabilidade em Crescimento</v>
      </c>
      <c r="J275" s="189" t="s">
        <v>732</v>
      </c>
      <c r="K275" s="177">
        <f>IFERROR((VLOOKUP(C275,Dados!B:AW,44,0)),0)</f>
        <v>0</v>
      </c>
      <c r="L275" s="177">
        <f>IFERROR((VLOOKUP(C275,Dados!B:AW,45,0)),0)</f>
        <v>0</v>
      </c>
      <c r="M275" s="177">
        <f>IFERROR((VLOOKUP(C275,Dados!B:AW,43,0)),0)</f>
        <v>0</v>
      </c>
      <c r="N275" s="179">
        <f>IFERROR((VLOOKUP(C275,Dados!B:AW,47,0)),0)</f>
        <v>0</v>
      </c>
      <c r="O275" s="197">
        <f t="shared" si="13"/>
        <v>2</v>
      </c>
      <c r="P275" s="1">
        <f t="shared" si="14"/>
        <v>0</v>
      </c>
      <c r="Q275" s="221"/>
      <c r="AC275">
        <v>-1</v>
      </c>
      <c r="AD275">
        <v>-1</v>
      </c>
      <c r="AE275">
        <v>-1</v>
      </c>
      <c r="AH275" t="s">
        <v>631</v>
      </c>
      <c r="AI275" t="str">
        <f t="shared" si="12"/>
        <v>JAT023*</v>
      </c>
    </row>
    <row r="276" spans="1:35" ht="26.25" customHeight="1" x14ac:dyDescent="0.3">
      <c r="A276"/>
      <c r="B276" s="16">
        <v>275</v>
      </c>
      <c r="C276" s="16" t="s">
        <v>1977</v>
      </c>
      <c r="D276" s="16" t="s">
        <v>1588</v>
      </c>
      <c r="E276" s="16" t="s">
        <v>2109</v>
      </c>
      <c r="F276" s="200" t="s">
        <v>1943</v>
      </c>
      <c r="G276" s="189" t="str">
        <f>IFERROR(VLOOKUP(C276,#REF!,4,FALSE),"")</f>
        <v/>
      </c>
      <c r="H276" s="248">
        <f>VLOOKUP(C276,Dados!B:AW,11,0)</f>
        <v>0</v>
      </c>
      <c r="I276" s="16" t="str">
        <f>(VLOOKUP(C276,Dados!B:AW,48,0))</f>
        <v>Confiabilidade em Crescimento</v>
      </c>
      <c r="J276" s="189" t="s">
        <v>732</v>
      </c>
      <c r="K276" s="177">
        <f>IFERROR((VLOOKUP(C276,Dados!B:AW,44,0)),0)</f>
        <v>0</v>
      </c>
      <c r="L276" s="177">
        <f>IFERROR((VLOOKUP(C276,Dados!B:AW,45,0)),0)</f>
        <v>0</v>
      </c>
      <c r="M276" s="177">
        <f>IFERROR((VLOOKUP(C276,Dados!B:AW,43,0)),0)</f>
        <v>0</v>
      </c>
      <c r="N276" s="179">
        <f>IFERROR((VLOOKUP(C276,Dados!B:AW,47,0)),0)</f>
        <v>0</v>
      </c>
      <c r="O276" s="197">
        <f t="shared" si="13"/>
        <v>2</v>
      </c>
      <c r="P276" s="1">
        <f t="shared" si="14"/>
        <v>0</v>
      </c>
      <c r="Q276" s="221"/>
      <c r="AC276">
        <v>-1</v>
      </c>
      <c r="AD276">
        <v>-1</v>
      </c>
      <c r="AE276">
        <v>-1</v>
      </c>
      <c r="AH276" t="s">
        <v>629</v>
      </c>
      <c r="AI276" t="str">
        <f t="shared" si="12"/>
        <v>PRE054*</v>
      </c>
    </row>
    <row r="277" spans="1:35" ht="26.25" customHeight="1" x14ac:dyDescent="0.3">
      <c r="A277" s="219"/>
      <c r="B277" s="16">
        <v>276</v>
      </c>
      <c r="C277" s="16" t="s">
        <v>1978</v>
      </c>
      <c r="D277" s="16" t="s">
        <v>1588</v>
      </c>
      <c r="E277" s="16" t="s">
        <v>2109</v>
      </c>
      <c r="F277" s="200" t="s">
        <v>1954</v>
      </c>
      <c r="G277" s="189" t="str">
        <f>IFERROR(VLOOKUP(C277,#REF!,4,FALSE),"")</f>
        <v/>
      </c>
      <c r="H277" s="250">
        <f>VLOOKUP(C277,Dados!B:AW,11,0)</f>
        <v>0</v>
      </c>
      <c r="I277" s="16" t="str">
        <f>(VLOOKUP(C277,Dados!B:AW,48,0))</f>
        <v>Confiabilidade em Crescimento</v>
      </c>
      <c r="J277" s="189" t="s">
        <v>732</v>
      </c>
      <c r="K277" s="177">
        <f>IFERROR((VLOOKUP(C277,Dados!B:AW,44,0)),0)</f>
        <v>0</v>
      </c>
      <c r="L277" s="177">
        <f>IFERROR((VLOOKUP(C277,Dados!B:AW,45,0)),0)</f>
        <v>0</v>
      </c>
      <c r="M277" s="177">
        <f>IFERROR((VLOOKUP(C277,Dados!B:AW,43,0)),0)</f>
        <v>0</v>
      </c>
      <c r="N277" s="179">
        <f>IFERROR((VLOOKUP(C277,Dados!B:AW,47,0)),0)</f>
        <v>0</v>
      </c>
      <c r="O277" s="197">
        <f t="shared" si="13"/>
        <v>2</v>
      </c>
      <c r="P277" s="1">
        <f t="shared" si="14"/>
        <v>0</v>
      </c>
      <c r="Q277" s="221"/>
      <c r="AC277">
        <v>-1</v>
      </c>
      <c r="AD277">
        <v>-1</v>
      </c>
      <c r="AE277">
        <v>-1</v>
      </c>
      <c r="AH277" t="s">
        <v>998</v>
      </c>
      <c r="AI277" t="str">
        <f t="shared" si="12"/>
        <v>DES002*</v>
      </c>
    </row>
    <row r="278" spans="1:35" ht="25" x14ac:dyDescent="0.3">
      <c r="A278" s="219"/>
      <c r="B278" s="16">
        <v>277</v>
      </c>
      <c r="C278" s="16" t="s">
        <v>1979</v>
      </c>
      <c r="D278" s="16" t="s">
        <v>1588</v>
      </c>
      <c r="E278" s="16" t="s">
        <v>2109</v>
      </c>
      <c r="F278" s="200" t="s">
        <v>1955</v>
      </c>
      <c r="G278" s="189" t="str">
        <f>IFERROR(VLOOKUP(C278,#REF!,4,FALSE),"")</f>
        <v/>
      </c>
      <c r="H278" s="250">
        <f>VLOOKUP(C278,Dados!B:AW,11,0)</f>
        <v>0</v>
      </c>
      <c r="I278" s="16" t="str">
        <f>(VLOOKUP(C278,Dados!B:AW,48,0))</f>
        <v>Confiabilidade em Crescimento</v>
      </c>
      <c r="J278" s="189" t="s">
        <v>732</v>
      </c>
      <c r="K278" s="177">
        <f>IFERROR((VLOOKUP(C278,Dados!B:AW,44,0)),0)</f>
        <v>0</v>
      </c>
      <c r="L278" s="177">
        <f>IFERROR((VLOOKUP(C278,Dados!B:AW,45,0)),0)</f>
        <v>0</v>
      </c>
      <c r="M278" s="177">
        <f>IFERROR((VLOOKUP(C278,Dados!B:AW,43,0)),0)</f>
        <v>0</v>
      </c>
      <c r="N278" s="179">
        <f>IFERROR((VLOOKUP(C278,Dados!B:AW,47,0)),0)</f>
        <v>0</v>
      </c>
      <c r="O278" s="197">
        <f t="shared" si="13"/>
        <v>2</v>
      </c>
      <c r="P278" s="1">
        <f t="shared" si="14"/>
        <v>0</v>
      </c>
      <c r="Q278" s="221"/>
      <c r="AC278">
        <v>-1</v>
      </c>
      <c r="AD278">
        <v>-1</v>
      </c>
      <c r="AE278">
        <v>-1</v>
      </c>
      <c r="AH278" t="s">
        <v>683</v>
      </c>
      <c r="AI278" t="str">
        <f t="shared" si="12"/>
        <v>FOR090*</v>
      </c>
    </row>
    <row r="279" spans="1:35" ht="25" x14ac:dyDescent="0.3">
      <c r="A279"/>
      <c r="B279" s="16">
        <v>278</v>
      </c>
      <c r="C279" s="16" t="s">
        <v>1980</v>
      </c>
      <c r="D279" s="16" t="s">
        <v>1588</v>
      </c>
      <c r="E279" s="16" t="s">
        <v>2109</v>
      </c>
      <c r="F279" s="200" t="s">
        <v>1944</v>
      </c>
      <c r="G279" s="189" t="str">
        <f>IFERROR(VLOOKUP(C279,#REF!,4,FALSE),"")</f>
        <v/>
      </c>
      <c r="H279" s="250">
        <f>VLOOKUP(C279,Dados!B:AW,11,0)</f>
        <v>0</v>
      </c>
      <c r="I279" s="16" t="str">
        <f>(VLOOKUP(C279,Dados!B:AW,48,0))</f>
        <v>Confiabilidade em Crescimento</v>
      </c>
      <c r="J279" s="189" t="s">
        <v>732</v>
      </c>
      <c r="K279" s="177">
        <f>IFERROR((VLOOKUP(C279,Dados!B:AW,44,0)),0)</f>
        <v>0</v>
      </c>
      <c r="L279" s="177">
        <f>IFERROR((VLOOKUP(C279,Dados!B:AW,45,0)),0)</f>
        <v>0</v>
      </c>
      <c r="M279" s="177">
        <f>IFERROR((VLOOKUP(C279,Dados!B:AW,43,0)),0)</f>
        <v>0</v>
      </c>
      <c r="N279" s="179">
        <f>IFERROR((VLOOKUP(C279,Dados!B:AW,47,0)),0)</f>
        <v>0</v>
      </c>
      <c r="O279" s="197">
        <f t="shared" si="13"/>
        <v>2</v>
      </c>
      <c r="P279" s="1">
        <f t="shared" si="14"/>
        <v>0</v>
      </c>
      <c r="Q279" s="221"/>
      <c r="AC279">
        <v>-1</v>
      </c>
      <c r="AD279">
        <v>-1</v>
      </c>
      <c r="AE279">
        <v>-1</v>
      </c>
      <c r="AH279" t="s">
        <v>258</v>
      </c>
      <c r="AI279" t="str">
        <f t="shared" si="12"/>
        <v>JAT014*</v>
      </c>
    </row>
    <row r="280" spans="1:35" ht="26.25" customHeight="1" x14ac:dyDescent="0.3">
      <c r="A280" s="219"/>
      <c r="B280" s="16">
        <v>279</v>
      </c>
      <c r="C280" s="16" t="s">
        <v>1981</v>
      </c>
      <c r="D280" s="16" t="s">
        <v>1590</v>
      </c>
      <c r="E280" s="16" t="s">
        <v>2109</v>
      </c>
      <c r="F280" s="200" t="s">
        <v>1964</v>
      </c>
      <c r="G280" s="189" t="str">
        <f>IFERROR(VLOOKUP(C280,#REF!,4,FALSE),"")</f>
        <v/>
      </c>
      <c r="H280" s="250">
        <f>VLOOKUP(C280,Dados!B:AW,11,0)</f>
        <v>0</v>
      </c>
      <c r="I280" s="16" t="str">
        <f>(VLOOKUP(C280,Dados!B:AW,48,0))</f>
        <v>Confiabilidade em Crescimento</v>
      </c>
      <c r="J280" s="189" t="s">
        <v>732</v>
      </c>
      <c r="K280" s="177">
        <f>IFERROR((VLOOKUP(C280,Dados!B:AW,44,0)),0)</f>
        <v>0</v>
      </c>
      <c r="L280" s="177">
        <f>IFERROR((VLOOKUP(C280,Dados!B:AW,45,0)),0)</f>
        <v>0</v>
      </c>
      <c r="M280" s="177">
        <f>IFERROR((VLOOKUP(C280,Dados!B:AW,43,0)),0)</f>
        <v>0</v>
      </c>
      <c r="N280" s="179">
        <f>IFERROR((VLOOKUP(C280,Dados!B:AW,47,0)),0)</f>
        <v>0</v>
      </c>
      <c r="O280" s="197">
        <f t="shared" si="13"/>
        <v>2</v>
      </c>
      <c r="P280" s="1">
        <f t="shared" si="14"/>
        <v>0</v>
      </c>
      <c r="Q280" s="221"/>
      <c r="AC280">
        <v>2</v>
      </c>
      <c r="AD280">
        <v>2</v>
      </c>
      <c r="AE280">
        <v>1</v>
      </c>
      <c r="AH280" t="s">
        <v>345</v>
      </c>
      <c r="AI280" t="str">
        <f t="shared" si="12"/>
        <v>LAS005*</v>
      </c>
    </row>
    <row r="281" spans="1:35" ht="25" x14ac:dyDescent="0.3">
      <c r="A281"/>
      <c r="B281" s="16">
        <v>280</v>
      </c>
      <c r="C281" s="16" t="s">
        <v>1018</v>
      </c>
      <c r="D281" s="16" t="s">
        <v>1583</v>
      </c>
      <c r="E281" s="16" t="s">
        <v>2109</v>
      </c>
      <c r="F281" s="200" t="s">
        <v>1019</v>
      </c>
      <c r="G281" s="189" t="str">
        <f>IFERROR(VLOOKUP(C281,#REF!,4,FALSE),"")</f>
        <v/>
      </c>
      <c r="H281" s="248">
        <f>VLOOKUP(C281,Dados!B:AW,11,0)</f>
        <v>1.48</v>
      </c>
      <c r="I281" s="16" t="str">
        <f>(VLOOKUP(C281,Dados!B:AW,48,0))</f>
        <v>Fase de Degradação</v>
      </c>
      <c r="J281" s="189" t="s">
        <v>732</v>
      </c>
      <c r="K281" s="177">
        <f>IFERROR((VLOOKUP(C281,Dados!B:AW,44,0)),0)</f>
        <v>0</v>
      </c>
      <c r="L281" s="177">
        <f>IFERROR((VLOOKUP(C281,Dados!B:AW,45,0)),0)</f>
        <v>0</v>
      </c>
      <c r="M281" s="177">
        <f>IFERROR((VLOOKUP(C281,Dados!B:AW,43,0)),0)</f>
        <v>0</v>
      </c>
      <c r="N281" s="179">
        <f>IFERROR((VLOOKUP(C281,Dados!B:AW,47,0)),0)</f>
        <v>0</v>
      </c>
      <c r="O281" s="197">
        <f t="shared" si="13"/>
        <v>1</v>
      </c>
      <c r="P281" s="1">
        <f t="shared" si="14"/>
        <v>0</v>
      </c>
      <c r="Q281" s="221"/>
      <c r="AC281">
        <v>-1</v>
      </c>
      <c r="AD281">
        <v>-1</v>
      </c>
      <c r="AE281">
        <v>-1</v>
      </c>
      <c r="AH281" t="s">
        <v>880</v>
      </c>
      <c r="AI281" t="str">
        <f t="shared" si="12"/>
        <v>APL001*</v>
      </c>
    </row>
    <row r="282" spans="1:35" ht="26.25" customHeight="1" x14ac:dyDescent="0.3">
      <c r="A282"/>
      <c r="B282" s="16">
        <v>281</v>
      </c>
      <c r="C282" s="16" t="s">
        <v>1982</v>
      </c>
      <c r="D282" s="16" t="s">
        <v>1588</v>
      </c>
      <c r="E282" s="16" t="s">
        <v>2109</v>
      </c>
      <c r="F282" s="200" t="s">
        <v>1956</v>
      </c>
      <c r="G282" s="189" t="str">
        <f>IFERROR(VLOOKUP(C282,#REF!,4,FALSE),"")</f>
        <v/>
      </c>
      <c r="H282" s="250">
        <f>VLOOKUP(C282,Dados!B:AW,11,0)</f>
        <v>0</v>
      </c>
      <c r="I282" s="16" t="str">
        <f>(VLOOKUP(C282,Dados!B:AW,48,0))</f>
        <v>Confiabilidade em Crescimento</v>
      </c>
      <c r="J282" s="189" t="s">
        <v>732</v>
      </c>
      <c r="K282" s="177">
        <f>IFERROR((VLOOKUP(C282,Dados!B:AW,44,0)),0)</f>
        <v>0</v>
      </c>
      <c r="L282" s="177">
        <f>IFERROR((VLOOKUP(C282,Dados!B:AW,45,0)),0)</f>
        <v>0</v>
      </c>
      <c r="M282" s="177">
        <f>IFERROR((VLOOKUP(C282,Dados!B:AW,43,0)),0)</f>
        <v>0</v>
      </c>
      <c r="N282" s="179">
        <f>IFERROR((VLOOKUP(C282,Dados!B:AW,47,0)),0)</f>
        <v>0</v>
      </c>
      <c r="O282" s="197">
        <f t="shared" si="13"/>
        <v>2</v>
      </c>
      <c r="P282" s="1">
        <f t="shared" si="14"/>
        <v>0</v>
      </c>
      <c r="Q282" s="221"/>
      <c r="AC282">
        <v>2</v>
      </c>
      <c r="AD282">
        <v>2</v>
      </c>
      <c r="AE282">
        <v>1</v>
      </c>
      <c r="AH282" t="s">
        <v>595</v>
      </c>
      <c r="AI282" t="str">
        <f t="shared" si="12"/>
        <v>BRU002*</v>
      </c>
    </row>
    <row r="283" spans="1:35" ht="26.25" customHeight="1" x14ac:dyDescent="0.3">
      <c r="A283"/>
      <c r="B283" s="16">
        <v>282</v>
      </c>
      <c r="C283" s="16" t="s">
        <v>1983</v>
      </c>
      <c r="D283" s="16" t="s">
        <v>1588</v>
      </c>
      <c r="E283" s="16" t="s">
        <v>2109</v>
      </c>
      <c r="F283" s="200" t="s">
        <v>1957</v>
      </c>
      <c r="G283" s="189" t="str">
        <f>IFERROR(VLOOKUP(C283,#REF!,4,FALSE),"")</f>
        <v/>
      </c>
      <c r="H283" s="250">
        <f>VLOOKUP(C283,Dados!B:AW,11,0)</f>
        <v>0</v>
      </c>
      <c r="I283" s="16" t="str">
        <f>(VLOOKUP(C283,Dados!B:AW,48,0))</f>
        <v>Confiabilidade em Crescimento</v>
      </c>
      <c r="J283" s="189" t="s">
        <v>732</v>
      </c>
      <c r="K283" s="177">
        <f>IFERROR((VLOOKUP(C283,Dados!B:AW,44,0)),0)</f>
        <v>0</v>
      </c>
      <c r="L283" s="177">
        <f>IFERROR((VLOOKUP(C283,Dados!B:AW,45,0)),0)</f>
        <v>0</v>
      </c>
      <c r="M283" s="177">
        <f>IFERROR((VLOOKUP(C283,Dados!B:AW,43,0)),0)</f>
        <v>0</v>
      </c>
      <c r="N283" s="179">
        <f>IFERROR((VLOOKUP(C283,Dados!B:AW,47,0)),0)</f>
        <v>0</v>
      </c>
      <c r="O283" s="197">
        <f t="shared" si="13"/>
        <v>2</v>
      </c>
      <c r="P283" s="1">
        <f t="shared" si="14"/>
        <v>0</v>
      </c>
      <c r="Q283" s="221"/>
      <c r="AC283">
        <v>2</v>
      </c>
      <c r="AD283">
        <v>2</v>
      </c>
      <c r="AE283">
        <v>1</v>
      </c>
      <c r="AH283" t="s">
        <v>291</v>
      </c>
      <c r="AI283" t="str">
        <f t="shared" si="12"/>
        <v>BRU049*</v>
      </c>
    </row>
    <row r="284" spans="1:35" ht="26.25" customHeight="1" x14ac:dyDescent="0.3">
      <c r="A284"/>
      <c r="B284" s="16">
        <v>283</v>
      </c>
      <c r="C284" s="16" t="s">
        <v>1984</v>
      </c>
      <c r="D284" s="16" t="s">
        <v>1588</v>
      </c>
      <c r="E284" s="16" t="s">
        <v>2109</v>
      </c>
      <c r="F284" s="200" t="s">
        <v>1958</v>
      </c>
      <c r="G284" s="189" t="str">
        <f>IFERROR(VLOOKUP(C284,#REF!,4,FALSE),"")</f>
        <v/>
      </c>
      <c r="H284" s="250">
        <f>VLOOKUP(C284,Dados!B:AW,11,0)</f>
        <v>0</v>
      </c>
      <c r="I284" s="16" t="str">
        <f>(VLOOKUP(C284,Dados!B:AW,48,0))</f>
        <v>Confiabilidade em Crescimento</v>
      </c>
      <c r="J284" s="189" t="s">
        <v>732</v>
      </c>
      <c r="K284" s="177">
        <f>IFERROR((VLOOKUP(C284,Dados!B:AW,44,0)),0)</f>
        <v>0</v>
      </c>
      <c r="L284" s="177">
        <f>IFERROR((VLOOKUP(C284,Dados!B:AW,45,0)),0)</f>
        <v>0</v>
      </c>
      <c r="M284" s="177">
        <f>IFERROR((VLOOKUP(C284,Dados!B:AW,43,0)),0)</f>
        <v>0</v>
      </c>
      <c r="N284" s="179">
        <f>IFERROR((VLOOKUP(C284,Dados!B:AW,47,0)),0)</f>
        <v>0</v>
      </c>
      <c r="O284" s="197">
        <f t="shared" si="13"/>
        <v>2</v>
      </c>
      <c r="P284" s="1">
        <f t="shared" si="14"/>
        <v>0</v>
      </c>
      <c r="Q284" s="221"/>
      <c r="AC284">
        <v>-1</v>
      </c>
      <c r="AD284">
        <v>-1</v>
      </c>
      <c r="AE284">
        <v>-1</v>
      </c>
      <c r="AH284" t="s">
        <v>274</v>
      </c>
      <c r="AI284" t="str">
        <f t="shared" si="12"/>
        <v>CEN085*</v>
      </c>
    </row>
    <row r="285" spans="1:35" ht="26.25" customHeight="1" x14ac:dyDescent="0.3">
      <c r="A285"/>
      <c r="B285" s="16">
        <v>284</v>
      </c>
      <c r="C285" s="16" t="s">
        <v>1985</v>
      </c>
      <c r="D285" s="16" t="s">
        <v>1588</v>
      </c>
      <c r="E285" s="16" t="s">
        <v>2109</v>
      </c>
      <c r="F285" s="200" t="s">
        <v>1959</v>
      </c>
      <c r="G285" s="189" t="str">
        <f>IFERROR(VLOOKUP(C285,#REF!,4,FALSE),"")</f>
        <v/>
      </c>
      <c r="H285" s="250">
        <f>VLOOKUP(C285,Dados!B:AW,11,0)</f>
        <v>0</v>
      </c>
      <c r="I285" s="16" t="str">
        <f>(VLOOKUP(C285,Dados!B:AW,48,0))</f>
        <v>Confiabilidade em Crescimento</v>
      </c>
      <c r="J285" s="189" t="s">
        <v>732</v>
      </c>
      <c r="K285" s="177">
        <f>IFERROR((VLOOKUP(C285,Dados!B:AW,44,0)),0)</f>
        <v>0</v>
      </c>
      <c r="L285" s="177">
        <f>IFERROR((VLOOKUP(C285,Dados!B:AW,45,0)),0)</f>
        <v>0</v>
      </c>
      <c r="M285" s="177">
        <f>IFERROR((VLOOKUP(C285,Dados!B:AW,43,0)),0)</f>
        <v>0</v>
      </c>
      <c r="N285" s="179">
        <f>IFERROR((VLOOKUP(C285,Dados!B:AW,47,0)),0)</f>
        <v>0</v>
      </c>
      <c r="O285" s="197">
        <f t="shared" si="13"/>
        <v>2</v>
      </c>
      <c r="P285" s="1">
        <f t="shared" si="14"/>
        <v>0</v>
      </c>
      <c r="Q285" s="221"/>
      <c r="AC285">
        <v>2</v>
      </c>
      <c r="AD285">
        <v>2</v>
      </c>
      <c r="AE285">
        <v>1</v>
      </c>
      <c r="AH285" t="s">
        <v>1106</v>
      </c>
      <c r="AI285" t="str">
        <f t="shared" si="12"/>
        <v>MAQ240*</v>
      </c>
    </row>
    <row r="286" spans="1:35" ht="25" x14ac:dyDescent="0.3">
      <c r="A286"/>
      <c r="B286" s="16">
        <v>285</v>
      </c>
      <c r="C286" s="16" t="s">
        <v>1986</v>
      </c>
      <c r="D286" s="16" t="s">
        <v>1588</v>
      </c>
      <c r="E286" s="16" t="s">
        <v>2109</v>
      </c>
      <c r="F286" s="200" t="s">
        <v>1945</v>
      </c>
      <c r="G286" s="189" t="str">
        <f>IFERROR(VLOOKUP(C286,#REF!,4,FALSE),"")</f>
        <v/>
      </c>
      <c r="H286" s="248">
        <f>VLOOKUP(C286,Dados!B:AW,11,0)</f>
        <v>0</v>
      </c>
      <c r="I286" s="16" t="str">
        <f>(VLOOKUP(C286,Dados!B:AW,48,0))</f>
        <v>Confiabilidade em Crescimento</v>
      </c>
      <c r="J286" s="189" t="s">
        <v>732</v>
      </c>
      <c r="K286" s="177">
        <f>IFERROR((VLOOKUP(C286,Dados!B:AW,44,0)),0)</f>
        <v>0</v>
      </c>
      <c r="L286" s="177">
        <f>IFERROR((VLOOKUP(C286,Dados!B:AW,45,0)),0)</f>
        <v>0</v>
      </c>
      <c r="M286" s="177">
        <f>IFERROR((VLOOKUP(C286,Dados!B:AW,43,0)),0)</f>
        <v>0</v>
      </c>
      <c r="N286" s="179">
        <f>IFERROR((VLOOKUP(C286,Dados!B:AW,47,0)),0)</f>
        <v>0</v>
      </c>
      <c r="O286" s="197">
        <f t="shared" si="13"/>
        <v>2</v>
      </c>
      <c r="P286" s="1">
        <f t="shared" si="14"/>
        <v>0</v>
      </c>
      <c r="Q286" s="221"/>
      <c r="AC286">
        <v>2</v>
      </c>
      <c r="AD286">
        <v>2</v>
      </c>
      <c r="AE286">
        <v>2</v>
      </c>
      <c r="AH286" t="s">
        <v>373</v>
      </c>
      <c r="AI286" t="str">
        <f t="shared" si="12"/>
        <v>RET030*</v>
      </c>
    </row>
    <row r="287" spans="1:35" ht="25" x14ac:dyDescent="0.3">
      <c r="A287"/>
      <c r="B287" s="16">
        <v>286</v>
      </c>
      <c r="C287" s="16" t="s">
        <v>1987</v>
      </c>
      <c r="D287" s="16" t="s">
        <v>1588</v>
      </c>
      <c r="E287" s="16" t="s">
        <v>2109</v>
      </c>
      <c r="F287" s="200" t="s">
        <v>1946</v>
      </c>
      <c r="G287" s="189" t="str">
        <f>IFERROR(VLOOKUP(C287,#REF!,4,FALSE),"")</f>
        <v/>
      </c>
      <c r="H287" s="250">
        <f>VLOOKUP(C287,Dados!B:AW,11,0)</f>
        <v>0</v>
      </c>
      <c r="I287" s="16" t="str">
        <f>(VLOOKUP(C287,Dados!B:AW,48,0))</f>
        <v>Confiabilidade em Crescimento</v>
      </c>
      <c r="J287" s="189" t="s">
        <v>732</v>
      </c>
      <c r="K287" s="177">
        <f>IFERROR((VLOOKUP(C287,Dados!B:AW,44,0)),0)</f>
        <v>0</v>
      </c>
      <c r="L287" s="177">
        <f>IFERROR((VLOOKUP(C287,Dados!B:AW,45,0)),0)</f>
        <v>0</v>
      </c>
      <c r="M287" s="177">
        <f>IFERROR((VLOOKUP(C287,Dados!B:AW,43,0)),0)</f>
        <v>0</v>
      </c>
      <c r="N287" s="179">
        <f>IFERROR((VLOOKUP(C287,Dados!B:AW,47,0)),0)</f>
        <v>0</v>
      </c>
      <c r="O287" s="197">
        <f t="shared" si="13"/>
        <v>2</v>
      </c>
      <c r="P287" s="1">
        <f t="shared" si="14"/>
        <v>0</v>
      </c>
      <c r="Q287" s="221"/>
      <c r="AC287">
        <v>2</v>
      </c>
      <c r="AD287">
        <v>2</v>
      </c>
      <c r="AE287">
        <v>2</v>
      </c>
      <c r="AH287" t="s">
        <v>1160</v>
      </c>
      <c r="AI287" t="str">
        <f t="shared" si="12"/>
        <v>ROB084*</v>
      </c>
    </row>
    <row r="288" spans="1:35" ht="26.25" customHeight="1" x14ac:dyDescent="0.3">
      <c r="A288"/>
      <c r="B288" s="16">
        <v>287</v>
      </c>
      <c r="C288" s="16" t="s">
        <v>1988</v>
      </c>
      <c r="D288" s="16" t="s">
        <v>1588</v>
      </c>
      <c r="E288" s="16" t="s">
        <v>2109</v>
      </c>
      <c r="F288" s="200" t="s">
        <v>1947</v>
      </c>
      <c r="G288" s="189" t="str">
        <f>IFERROR(VLOOKUP(C288,#REF!,4,FALSE),"")</f>
        <v/>
      </c>
      <c r="H288" s="250">
        <f>VLOOKUP(C288,Dados!B:AW,11,0)</f>
        <v>0</v>
      </c>
      <c r="I288" s="16" t="str">
        <f>(VLOOKUP(C288,Dados!B:AW,48,0))</f>
        <v>Confiabilidade em Crescimento</v>
      </c>
      <c r="J288" s="189" t="s">
        <v>732</v>
      </c>
      <c r="K288" s="177">
        <f>IFERROR((VLOOKUP(C288,Dados!B:AW,44,0)),0)</f>
        <v>0</v>
      </c>
      <c r="L288" s="177">
        <f>IFERROR((VLOOKUP(C288,Dados!B:AW,45,0)),0)</f>
        <v>0</v>
      </c>
      <c r="M288" s="177">
        <f>IFERROR((VLOOKUP(C288,Dados!B:AW,43,0)),0)</f>
        <v>0</v>
      </c>
      <c r="N288" s="179">
        <f>IFERROR((VLOOKUP(C288,Dados!B:AW,47,0)),0)</f>
        <v>0</v>
      </c>
      <c r="O288" s="197">
        <f t="shared" si="13"/>
        <v>2</v>
      </c>
      <c r="P288" s="1">
        <f t="shared" si="14"/>
        <v>0</v>
      </c>
      <c r="Q288" s="221"/>
      <c r="AC288">
        <v>2</v>
      </c>
      <c r="AD288">
        <v>2</v>
      </c>
      <c r="AE288">
        <v>1</v>
      </c>
      <c r="AH288" t="s">
        <v>659</v>
      </c>
      <c r="AI288" t="str">
        <f t="shared" si="12"/>
        <v>FOR042*</v>
      </c>
    </row>
    <row r="289" spans="1:35" ht="25" x14ac:dyDescent="0.3">
      <c r="A289"/>
      <c r="B289" s="16">
        <v>288</v>
      </c>
      <c r="C289" s="16" t="s">
        <v>1989</v>
      </c>
      <c r="D289" s="16" t="s">
        <v>1588</v>
      </c>
      <c r="E289" s="16" t="s">
        <v>2109</v>
      </c>
      <c r="F289" s="200" t="s">
        <v>1948</v>
      </c>
      <c r="G289" s="189" t="str">
        <f>IFERROR(VLOOKUP(C289,#REF!,4,FALSE),"")</f>
        <v/>
      </c>
      <c r="H289" s="250">
        <f>VLOOKUP(C289,Dados!B:AW,11,0)</f>
        <v>0</v>
      </c>
      <c r="I289" s="16" t="str">
        <f>(VLOOKUP(C289,Dados!B:AW,48,0))</f>
        <v>Confiabilidade em Crescimento</v>
      </c>
      <c r="J289" s="189" t="s">
        <v>732</v>
      </c>
      <c r="K289" s="177">
        <f>IFERROR((VLOOKUP(C289,Dados!B:AW,44,0)),0)</f>
        <v>0</v>
      </c>
      <c r="L289" s="177">
        <f>IFERROR((VLOOKUP(C289,Dados!B:AW,45,0)),0)</f>
        <v>0</v>
      </c>
      <c r="M289" s="177">
        <f>IFERROR((VLOOKUP(C289,Dados!B:AW,43,0)),0)</f>
        <v>0</v>
      </c>
      <c r="N289" s="179">
        <f>IFERROR((VLOOKUP(C289,Dados!B:AW,47,0)),0)</f>
        <v>0</v>
      </c>
      <c r="O289" s="197">
        <f t="shared" si="13"/>
        <v>2</v>
      </c>
      <c r="P289" s="1">
        <f t="shared" si="14"/>
        <v>0</v>
      </c>
      <c r="Q289" s="221"/>
      <c r="AC289">
        <v>2</v>
      </c>
      <c r="AD289">
        <v>2</v>
      </c>
      <c r="AE289">
        <v>1</v>
      </c>
      <c r="AH289" t="s">
        <v>1092</v>
      </c>
      <c r="AI289" t="str">
        <f t="shared" si="12"/>
        <v>MAC007*</v>
      </c>
    </row>
    <row r="290" spans="1:35" ht="25" x14ac:dyDescent="0.3">
      <c r="A290"/>
      <c r="B290" s="16">
        <v>289</v>
      </c>
      <c r="C290" s="16" t="s">
        <v>1990</v>
      </c>
      <c r="D290" s="16" t="s">
        <v>1588</v>
      </c>
      <c r="E290" s="16" t="s">
        <v>2109</v>
      </c>
      <c r="F290" s="200" t="s">
        <v>1926</v>
      </c>
      <c r="G290" s="189" t="str">
        <f>IFERROR(VLOOKUP(C290,#REF!,4,FALSE),"")</f>
        <v/>
      </c>
      <c r="H290" s="250">
        <f>VLOOKUP(C290,Dados!B:AW,11,0)</f>
        <v>0</v>
      </c>
      <c r="I290" s="16" t="str">
        <f>(VLOOKUP(C290,Dados!B:AW,48,0))</f>
        <v>Confiabilidade em Crescimento</v>
      </c>
      <c r="J290" s="189" t="s">
        <v>732</v>
      </c>
      <c r="K290" s="177">
        <f>IFERROR((VLOOKUP(C290,Dados!B:AW,44,0)),0)</f>
        <v>0</v>
      </c>
      <c r="L290" s="177">
        <f>IFERROR((VLOOKUP(C290,Dados!B:AW,45,0)),0)</f>
        <v>0</v>
      </c>
      <c r="M290" s="177">
        <f>IFERROR((VLOOKUP(C290,Dados!B:AW,43,0)),0)</f>
        <v>0</v>
      </c>
      <c r="N290" s="179">
        <f>IFERROR((VLOOKUP(C290,Dados!B:AW,47,0)),0)</f>
        <v>0</v>
      </c>
      <c r="O290" s="197">
        <f t="shared" si="13"/>
        <v>2</v>
      </c>
      <c r="P290" s="1">
        <f t="shared" si="14"/>
        <v>0</v>
      </c>
      <c r="Q290" s="221"/>
      <c r="AC290">
        <v>2</v>
      </c>
      <c r="AD290">
        <v>2</v>
      </c>
      <c r="AE290">
        <v>2</v>
      </c>
      <c r="AH290" t="s">
        <v>1098</v>
      </c>
      <c r="AI290" t="str">
        <f t="shared" si="12"/>
        <v>MAC011*</v>
      </c>
    </row>
    <row r="291" spans="1:35" ht="25" x14ac:dyDescent="0.3">
      <c r="A291"/>
      <c r="B291" s="16">
        <v>290</v>
      </c>
      <c r="C291" s="16" t="s">
        <v>1991</v>
      </c>
      <c r="D291" s="16" t="s">
        <v>1588</v>
      </c>
      <c r="E291" s="16" t="s">
        <v>2109</v>
      </c>
      <c r="F291" s="200" t="s">
        <v>1960</v>
      </c>
      <c r="G291" s="189" t="str">
        <f>IFERROR(VLOOKUP(C291,#REF!,4,FALSE),"")</f>
        <v/>
      </c>
      <c r="H291" s="248">
        <f>VLOOKUP(C291,Dados!B:AW,11,0)</f>
        <v>0</v>
      </c>
      <c r="I291" s="16" t="str">
        <f>(VLOOKUP(C291,Dados!B:AW,48,0))</f>
        <v>Confiabilidade em Crescimento</v>
      </c>
      <c r="J291" s="189" t="s">
        <v>732</v>
      </c>
      <c r="K291" s="177">
        <f>IFERROR((VLOOKUP(C291,Dados!B:AW,44,0)),0)</f>
        <v>0</v>
      </c>
      <c r="L291" s="177">
        <f>IFERROR((VLOOKUP(C291,Dados!B:AW,45,0)),0)</f>
        <v>0</v>
      </c>
      <c r="M291" s="177">
        <f>IFERROR((VLOOKUP(C291,Dados!B:AW,43,0)),0)</f>
        <v>0</v>
      </c>
      <c r="N291" s="179">
        <f>IFERROR((VLOOKUP(C291,Dados!B:AW,47,0)),0)</f>
        <v>0</v>
      </c>
      <c r="O291" s="197">
        <f t="shared" si="13"/>
        <v>2</v>
      </c>
      <c r="P291" s="1">
        <f t="shared" si="14"/>
        <v>0</v>
      </c>
      <c r="Q291" s="221"/>
      <c r="AC291">
        <v>2</v>
      </c>
      <c r="AD291">
        <v>2</v>
      </c>
      <c r="AE291">
        <v>1</v>
      </c>
      <c r="AH291" t="s">
        <v>1136</v>
      </c>
      <c r="AI291" t="str">
        <f t="shared" si="12"/>
        <v>REB001*</v>
      </c>
    </row>
    <row r="292" spans="1:35" ht="25" x14ac:dyDescent="0.3">
      <c r="A292"/>
      <c r="B292" s="16">
        <v>291</v>
      </c>
      <c r="C292" s="16" t="s">
        <v>1992</v>
      </c>
      <c r="D292" s="16" t="s">
        <v>1588</v>
      </c>
      <c r="E292" s="16" t="s">
        <v>2109</v>
      </c>
      <c r="F292" s="200" t="s">
        <v>1949</v>
      </c>
      <c r="G292" s="189" t="str">
        <f>IFERROR(VLOOKUP(C292,#REF!,4,FALSE),"")</f>
        <v/>
      </c>
      <c r="H292" s="248">
        <f>VLOOKUP(C292,Dados!B:AW,11,0)</f>
        <v>0</v>
      </c>
      <c r="I292" s="16" t="str">
        <f>(VLOOKUP(C292,Dados!B:AW,48,0))</f>
        <v>Confiabilidade em Crescimento</v>
      </c>
      <c r="J292" s="189" t="s">
        <v>732</v>
      </c>
      <c r="K292" s="177">
        <f>IFERROR((VLOOKUP(C292,Dados!B:AW,44,0)),0)</f>
        <v>0</v>
      </c>
      <c r="L292" s="177">
        <f>IFERROR((VLOOKUP(C292,Dados!B:AW,45,0)),0)</f>
        <v>0</v>
      </c>
      <c r="M292" s="177">
        <f>IFERROR((VLOOKUP(C292,Dados!B:AW,43,0)),0)</f>
        <v>0</v>
      </c>
      <c r="N292" s="179">
        <f>IFERROR((VLOOKUP(C292,Dados!B:AW,47,0)),0)</f>
        <v>0</v>
      </c>
      <c r="O292" s="197">
        <f t="shared" si="13"/>
        <v>2</v>
      </c>
      <c r="P292" s="1">
        <f t="shared" si="14"/>
        <v>0</v>
      </c>
      <c r="Q292" s="221"/>
      <c r="AC292">
        <v>2</v>
      </c>
      <c r="AD292">
        <v>2</v>
      </c>
      <c r="AE292">
        <v>2</v>
      </c>
      <c r="AH292" t="s">
        <v>455</v>
      </c>
      <c r="AI292" t="str">
        <f t="shared" si="12"/>
        <v>ROB014*</v>
      </c>
    </row>
    <row r="293" spans="1:35" ht="25" x14ac:dyDescent="0.3">
      <c r="A293"/>
      <c r="B293" s="16">
        <v>292</v>
      </c>
      <c r="C293" s="16" t="s">
        <v>1020</v>
      </c>
      <c r="D293" s="16" t="s">
        <v>1583</v>
      </c>
      <c r="E293" s="16" t="s">
        <v>2109</v>
      </c>
      <c r="F293" s="200" t="s">
        <v>1021</v>
      </c>
      <c r="G293" s="189" t="str">
        <f>IFERROR(VLOOKUP(C293,#REF!,4,FALSE),"")</f>
        <v/>
      </c>
      <c r="H293" s="250">
        <f>VLOOKUP(C293,Dados!B:AW,11,0)</f>
        <v>1.21</v>
      </c>
      <c r="I293" s="16" t="str">
        <f>(VLOOKUP(C293,Dados!B:AW,48,0))</f>
        <v>Fase de Degradação</v>
      </c>
      <c r="J293" s="189" t="s">
        <v>732</v>
      </c>
      <c r="K293" s="177">
        <f>IFERROR((VLOOKUP(C293,Dados!B:AW,44,0)),0)</f>
        <v>0</v>
      </c>
      <c r="L293" s="177">
        <f>IFERROR((VLOOKUP(C293,Dados!B:AW,45,0)),0)</f>
        <v>0</v>
      </c>
      <c r="M293" s="177">
        <f>IFERROR((VLOOKUP(C293,Dados!B:AW,43,0)),0)</f>
        <v>0</v>
      </c>
      <c r="N293" s="179">
        <f>IFERROR((VLOOKUP(C293,Dados!B:AW,47,0)),0)</f>
        <v>0</v>
      </c>
      <c r="O293" s="197">
        <f t="shared" si="13"/>
        <v>1</v>
      </c>
      <c r="P293" s="1">
        <f t="shared" si="14"/>
        <v>0</v>
      </c>
      <c r="Q293" s="221"/>
      <c r="AC293">
        <v>2</v>
      </c>
      <c r="AD293">
        <v>2</v>
      </c>
      <c r="AE293">
        <v>2</v>
      </c>
      <c r="AH293" t="s">
        <v>994</v>
      </c>
      <c r="AI293" t="str">
        <f t="shared" si="12"/>
        <v>COL003*</v>
      </c>
    </row>
    <row r="294" spans="1:35" ht="25" x14ac:dyDescent="0.3">
      <c r="A294"/>
      <c r="B294" s="16">
        <v>294</v>
      </c>
      <c r="C294" s="16" t="s">
        <v>1994</v>
      </c>
      <c r="D294" s="16" t="s">
        <v>1588</v>
      </c>
      <c r="E294" s="16" t="s">
        <v>2109</v>
      </c>
      <c r="F294" s="200" t="s">
        <v>1950</v>
      </c>
      <c r="G294" s="189" t="str">
        <f>IFERROR(VLOOKUP(C294,#REF!,4,FALSE),"")</f>
        <v/>
      </c>
      <c r="H294" s="249">
        <f>VLOOKUP(C294,Dados!B:AW,11,0)</f>
        <v>0</v>
      </c>
      <c r="I294" s="16" t="str">
        <f>(VLOOKUP(C294,Dados!B:AW,48,0))</f>
        <v>Confiabilidade em Crescimento</v>
      </c>
      <c r="J294" s="189" t="s">
        <v>732</v>
      </c>
      <c r="K294" s="177">
        <f>IFERROR((VLOOKUP(C294,Dados!B:AW,44,0)),0)</f>
        <v>0</v>
      </c>
      <c r="L294" s="177">
        <f>IFERROR((VLOOKUP(C294,Dados!B:AW,45,0)),0)</f>
        <v>0</v>
      </c>
      <c r="M294" s="177">
        <f>IFERROR((VLOOKUP(C294,Dados!B:AW,43,0)),0)</f>
        <v>0</v>
      </c>
      <c r="N294" s="179">
        <f>IFERROR((VLOOKUP(C294,Dados!B:AW,47,0)),0)</f>
        <v>0</v>
      </c>
      <c r="O294" s="197">
        <f t="shared" si="13"/>
        <v>2</v>
      </c>
      <c r="P294" s="1">
        <f t="shared" si="14"/>
        <v>0</v>
      </c>
      <c r="Q294" s="221"/>
      <c r="AC294">
        <v>2</v>
      </c>
      <c r="AD294">
        <v>2</v>
      </c>
      <c r="AE294">
        <v>1</v>
      </c>
      <c r="AH294" t="s">
        <v>1006</v>
      </c>
      <c r="AI294" t="str">
        <f t="shared" si="12"/>
        <v>ELE015*</v>
      </c>
    </row>
    <row r="295" spans="1:35" ht="25" x14ac:dyDescent="0.3">
      <c r="A295"/>
      <c r="B295" s="16">
        <v>295</v>
      </c>
      <c r="C295" s="16" t="s">
        <v>1995</v>
      </c>
      <c r="D295" s="16" t="s">
        <v>1588</v>
      </c>
      <c r="E295" s="16" t="s">
        <v>2109</v>
      </c>
      <c r="F295" s="200" t="s">
        <v>1961</v>
      </c>
      <c r="G295" s="189" t="str">
        <f>IFERROR(VLOOKUP(C295,#REF!,4,FALSE),"")</f>
        <v/>
      </c>
      <c r="H295" s="249">
        <f>VLOOKUP(C295,Dados!B:AW,11,0)</f>
        <v>0</v>
      </c>
      <c r="I295" s="16" t="str">
        <f>(VLOOKUP(C295,Dados!B:AW,48,0))</f>
        <v>Confiabilidade em Crescimento</v>
      </c>
      <c r="J295" s="189" t="s">
        <v>732</v>
      </c>
      <c r="K295" s="177">
        <f>IFERROR((VLOOKUP(C295,Dados!B:AW,44,0)),0)</f>
        <v>0</v>
      </c>
      <c r="L295" s="177">
        <f>IFERROR((VLOOKUP(C295,Dados!B:AW,45,0)),0)</f>
        <v>0</v>
      </c>
      <c r="M295" s="177">
        <f>IFERROR((VLOOKUP(C295,Dados!B:AW,43,0)),0)</f>
        <v>0</v>
      </c>
      <c r="N295" s="179">
        <f>IFERROR((VLOOKUP(C295,Dados!B:AW,47,0)),0)</f>
        <v>0</v>
      </c>
      <c r="O295" s="197">
        <f t="shared" si="13"/>
        <v>2</v>
      </c>
      <c r="P295" s="1">
        <f t="shared" si="14"/>
        <v>0</v>
      </c>
      <c r="Q295" s="221"/>
      <c r="AC295">
        <v>2</v>
      </c>
      <c r="AD295">
        <v>2</v>
      </c>
      <c r="AE295">
        <v>2</v>
      </c>
      <c r="AH295" t="s">
        <v>1024</v>
      </c>
      <c r="AI295" t="str">
        <f t="shared" si="12"/>
        <v>FOR002*</v>
      </c>
    </row>
    <row r="296" spans="1:35" ht="25" x14ac:dyDescent="0.3">
      <c r="A296"/>
      <c r="B296" s="16">
        <v>296</v>
      </c>
      <c r="C296" s="16" t="s">
        <v>1996</v>
      </c>
      <c r="D296" s="16" t="s">
        <v>1588</v>
      </c>
      <c r="E296" s="16" t="s">
        <v>2109</v>
      </c>
      <c r="F296" s="200" t="s">
        <v>1951</v>
      </c>
      <c r="G296" s="189" t="str">
        <f>IFERROR(VLOOKUP(C296,#REF!,4,FALSE),"")</f>
        <v/>
      </c>
      <c r="H296" s="248">
        <f>VLOOKUP(C296,Dados!B:AW,11,0)</f>
        <v>0</v>
      </c>
      <c r="I296" s="16" t="str">
        <f>(VLOOKUP(C296,Dados!B:AW,48,0))</f>
        <v>Confiabilidade em Crescimento</v>
      </c>
      <c r="J296" s="189" t="s">
        <v>732</v>
      </c>
      <c r="K296" s="177">
        <f>IFERROR((VLOOKUP(C296,Dados!B:AW,44,0)),0)</f>
        <v>0</v>
      </c>
      <c r="L296" s="177">
        <f>IFERROR((VLOOKUP(C296,Dados!B:AW,45,0)),0)</f>
        <v>0</v>
      </c>
      <c r="M296" s="177">
        <f>IFERROR((VLOOKUP(C296,Dados!B:AW,43,0)),0)</f>
        <v>0</v>
      </c>
      <c r="N296" s="179">
        <f>IFERROR((VLOOKUP(C296,Dados!B:AW,47,0)),0)</f>
        <v>0</v>
      </c>
      <c r="O296" s="197">
        <f t="shared" si="13"/>
        <v>2</v>
      </c>
      <c r="P296" s="1">
        <f t="shared" si="14"/>
        <v>0</v>
      </c>
      <c r="Q296" s="221"/>
      <c r="AC296">
        <v>2</v>
      </c>
      <c r="AD296">
        <v>2</v>
      </c>
      <c r="AE296">
        <v>2</v>
      </c>
      <c r="AH296" t="s">
        <v>859</v>
      </c>
      <c r="AI296" t="str">
        <f t="shared" si="12"/>
        <v>SOP005*</v>
      </c>
    </row>
    <row r="297" spans="1:35" ht="25" x14ac:dyDescent="0.3">
      <c r="A297"/>
      <c r="B297" s="16">
        <v>297</v>
      </c>
      <c r="C297" s="16" t="s">
        <v>1829</v>
      </c>
      <c r="D297" s="16" t="s">
        <v>1588</v>
      </c>
      <c r="E297" s="16" t="s">
        <v>2109</v>
      </c>
      <c r="F297" s="200" t="s">
        <v>1698</v>
      </c>
      <c r="G297" s="189" t="str">
        <f>IFERROR(VLOOKUP(C297,#REF!,4,FALSE),"")</f>
        <v/>
      </c>
      <c r="H297" s="248">
        <f>VLOOKUP(C297,Dados!B:AW,11,0)</f>
        <v>0</v>
      </c>
      <c r="I297" s="16">
        <f>(VLOOKUP(C297,Dados!B:AW,48,0))</f>
        <v>0</v>
      </c>
      <c r="J297" s="189" t="s">
        <v>732</v>
      </c>
      <c r="K297" s="177">
        <f>IFERROR((VLOOKUP(C297,Dados!B:AW,44,0)),0)</f>
        <v>0</v>
      </c>
      <c r="L297" s="177">
        <f>IFERROR((VLOOKUP(C297,Dados!B:AW,45,0)),0)</f>
        <v>0</v>
      </c>
      <c r="M297" s="177">
        <f>IFERROR((VLOOKUP(C297,Dados!B:AW,43,0)),0)</f>
        <v>0</v>
      </c>
      <c r="N297" s="179">
        <f>IFERROR((VLOOKUP(C297,Dados!B:AW,47,0)),0)</f>
        <v>0</v>
      </c>
      <c r="O297" s="197">
        <f t="shared" si="13"/>
        <v>2</v>
      </c>
      <c r="P297" s="1">
        <f t="shared" si="14"/>
        <v>0</v>
      </c>
      <c r="Q297" s="221"/>
      <c r="AC297">
        <v>2</v>
      </c>
      <c r="AD297">
        <v>2</v>
      </c>
      <c r="AE297">
        <v>2</v>
      </c>
      <c r="AH297" t="s">
        <v>695</v>
      </c>
      <c r="AI297" t="str">
        <f t="shared" si="12"/>
        <v>FOR067*</v>
      </c>
    </row>
    <row r="298" spans="1:35" ht="25" x14ac:dyDescent="0.3">
      <c r="A298"/>
      <c r="B298" s="16">
        <v>298</v>
      </c>
      <c r="C298" s="16" t="s">
        <v>2031</v>
      </c>
      <c r="D298" s="16" t="s">
        <v>1588</v>
      </c>
      <c r="E298" s="16" t="s">
        <v>2109</v>
      </c>
      <c r="F298" s="200" t="s">
        <v>1962</v>
      </c>
      <c r="G298" s="189" t="str">
        <f>IFERROR(VLOOKUP(C298,#REF!,4,FALSE),"")</f>
        <v/>
      </c>
      <c r="H298" s="250">
        <f>VLOOKUP(C298,Dados!B:AW,11,0)</f>
        <v>0</v>
      </c>
      <c r="I298" s="16" t="str">
        <f>(VLOOKUP(C298,Dados!B:AW,48,0))</f>
        <v>Confiabilidade em Crescimento</v>
      </c>
      <c r="J298" s="189" t="s">
        <v>732</v>
      </c>
      <c r="K298" s="177">
        <f>IFERROR((VLOOKUP(C298,Dados!B:AW,44,0)),0)</f>
        <v>0</v>
      </c>
      <c r="L298" s="177">
        <f>IFERROR((VLOOKUP(C298,Dados!B:AW,45,0)),0)</f>
        <v>0</v>
      </c>
      <c r="M298" s="177">
        <f>IFERROR((VLOOKUP(C298,Dados!B:AW,43,0)),0)</f>
        <v>0</v>
      </c>
      <c r="N298" s="179">
        <f>IFERROR((VLOOKUP(C298,Dados!B:AW,47,0)),0)</f>
        <v>0</v>
      </c>
      <c r="O298" s="197">
        <f t="shared" si="13"/>
        <v>2</v>
      </c>
      <c r="P298" s="1">
        <f t="shared" si="14"/>
        <v>0</v>
      </c>
      <c r="Q298" s="221"/>
      <c r="AC298">
        <v>2</v>
      </c>
      <c r="AD298">
        <v>2</v>
      </c>
      <c r="AE298">
        <v>2</v>
      </c>
      <c r="AH298" t="s">
        <v>323</v>
      </c>
      <c r="AI298" t="str">
        <f t="shared" si="12"/>
        <v>INJ033*</v>
      </c>
    </row>
    <row r="299" spans="1:35" ht="25" x14ac:dyDescent="0.3">
      <c r="A299"/>
      <c r="B299" s="16">
        <v>299</v>
      </c>
      <c r="C299" s="16" t="s">
        <v>2032</v>
      </c>
      <c r="D299" s="16" t="s">
        <v>1588</v>
      </c>
      <c r="E299" s="16" t="s">
        <v>2109</v>
      </c>
      <c r="F299" s="200" t="s">
        <v>1963</v>
      </c>
      <c r="G299" s="189" t="str">
        <f>IFERROR(VLOOKUP(C299,#REF!,4,FALSE),"")</f>
        <v/>
      </c>
      <c r="H299" s="248">
        <f>VLOOKUP(C299,Dados!B:AW,11,0)</f>
        <v>0</v>
      </c>
      <c r="I299" s="16" t="str">
        <f>(VLOOKUP(C299,Dados!B:AW,48,0))</f>
        <v>Confiabilidade em Crescimento</v>
      </c>
      <c r="J299" s="189" t="s">
        <v>732</v>
      </c>
      <c r="K299" s="177">
        <f>IFERROR((VLOOKUP(C299,Dados!B:AW,44,0)),0)</f>
        <v>0</v>
      </c>
      <c r="L299" s="177">
        <f>IFERROR((VLOOKUP(C299,Dados!B:AW,45,0)),0)</f>
        <v>0</v>
      </c>
      <c r="M299" s="177">
        <f>IFERROR((VLOOKUP(C299,Dados!B:AW,43,0)),0)</f>
        <v>0</v>
      </c>
      <c r="N299" s="179">
        <f>IFERROR((VLOOKUP(C299,Dados!B:AW,47,0)),0)</f>
        <v>0</v>
      </c>
      <c r="O299" s="197">
        <f t="shared" si="13"/>
        <v>2</v>
      </c>
      <c r="P299" s="1">
        <f t="shared" si="14"/>
        <v>0</v>
      </c>
      <c r="Q299" s="221"/>
      <c r="AC299">
        <v>2</v>
      </c>
      <c r="AD299">
        <v>2</v>
      </c>
      <c r="AE299">
        <v>2</v>
      </c>
      <c r="AH299" t="s">
        <v>344</v>
      </c>
      <c r="AI299" t="str">
        <f t="shared" si="12"/>
        <v>INJ067*</v>
      </c>
    </row>
    <row r="300" spans="1:35" ht="25" x14ac:dyDescent="0.3">
      <c r="A300"/>
      <c r="B300" s="16">
        <v>300</v>
      </c>
      <c r="C300" s="16" t="s">
        <v>1997</v>
      </c>
      <c r="D300" s="16" t="s">
        <v>1588</v>
      </c>
      <c r="E300" s="16" t="s">
        <v>2109</v>
      </c>
      <c r="F300" s="200" t="s">
        <v>1952</v>
      </c>
      <c r="G300" s="189" t="str">
        <f>IFERROR(VLOOKUP(C300,#REF!,4,FALSE),"")</f>
        <v/>
      </c>
      <c r="H300" s="248">
        <f>VLOOKUP(C300,Dados!B:AW,11,0)</f>
        <v>0</v>
      </c>
      <c r="I300" s="16" t="str">
        <f>(VLOOKUP(C300,Dados!B:AW,48,0))</f>
        <v>Confiabilidade em Crescimento</v>
      </c>
      <c r="J300" s="189" t="s">
        <v>732</v>
      </c>
      <c r="K300" s="177">
        <f>IFERROR((VLOOKUP(C300,Dados!B:AW,44,0)),0)</f>
        <v>0</v>
      </c>
      <c r="L300" s="177">
        <f>IFERROR((VLOOKUP(C300,Dados!B:AW,45,0)),0)</f>
        <v>0</v>
      </c>
      <c r="M300" s="177">
        <f>IFERROR((VLOOKUP(C300,Dados!B:AW,43,0)),0)</f>
        <v>0</v>
      </c>
      <c r="N300" s="179">
        <f>IFERROR((VLOOKUP(C300,Dados!B:AW,47,0)),0)</f>
        <v>0</v>
      </c>
      <c r="O300" s="197">
        <f t="shared" si="13"/>
        <v>2</v>
      </c>
      <c r="P300" s="1">
        <f t="shared" si="14"/>
        <v>0</v>
      </c>
      <c r="Q300" s="221"/>
      <c r="AC300">
        <v>2</v>
      </c>
      <c r="AD300">
        <v>2</v>
      </c>
      <c r="AE300">
        <v>2</v>
      </c>
      <c r="AH300" t="s">
        <v>835</v>
      </c>
      <c r="AI300" t="str">
        <f t="shared" si="12"/>
        <v>ROB069*</v>
      </c>
    </row>
    <row r="301" spans="1:35" ht="26.25" customHeight="1" x14ac:dyDescent="0.3">
      <c r="A301"/>
      <c r="B301" s="16">
        <v>301</v>
      </c>
      <c r="C301" s="16" t="s">
        <v>1830</v>
      </c>
      <c r="D301" s="16" t="s">
        <v>1588</v>
      </c>
      <c r="E301" s="16" t="s">
        <v>2109</v>
      </c>
      <c r="F301" s="200" t="s">
        <v>1699</v>
      </c>
      <c r="G301" s="189" t="str">
        <f>IFERROR(VLOOKUP(C301,#REF!,4,FALSE),"")</f>
        <v/>
      </c>
      <c r="H301" s="248">
        <f>VLOOKUP(C301,Dados!B:AW,11,0)</f>
        <v>0</v>
      </c>
      <c r="I301" s="16">
        <f>(VLOOKUP(C301,Dados!B:AW,48,0))</f>
        <v>0</v>
      </c>
      <c r="J301" s="189" t="s">
        <v>732</v>
      </c>
      <c r="K301" s="177">
        <f>IFERROR((VLOOKUP(C301,Dados!B:AW,44,0)),0)</f>
        <v>0</v>
      </c>
      <c r="L301" s="177">
        <f>IFERROR((VLOOKUP(C301,Dados!B:AW,45,0)),0)</f>
        <v>0</v>
      </c>
      <c r="M301" s="177">
        <f>IFERROR((VLOOKUP(C301,Dados!B:AW,43,0)),0)</f>
        <v>0</v>
      </c>
      <c r="N301" s="179">
        <f>IFERROR((VLOOKUP(C301,Dados!B:AW,47,0)),0)</f>
        <v>0</v>
      </c>
      <c r="O301" s="197">
        <f t="shared" si="13"/>
        <v>2</v>
      </c>
      <c r="P301" s="1">
        <f t="shared" si="14"/>
        <v>0</v>
      </c>
      <c r="Q301" s="221"/>
      <c r="AC301">
        <v>2</v>
      </c>
      <c r="AD301">
        <v>2</v>
      </c>
      <c r="AE301">
        <v>2</v>
      </c>
      <c r="AH301" t="s">
        <v>743</v>
      </c>
      <c r="AI301" t="str">
        <f t="shared" si="12"/>
        <v>BAL006*</v>
      </c>
    </row>
    <row r="302" spans="1:35" ht="26.25" customHeight="1" x14ac:dyDescent="0.3">
      <c r="A302"/>
      <c r="B302" s="16">
        <v>302</v>
      </c>
      <c r="C302" s="16" t="s">
        <v>1998</v>
      </c>
      <c r="D302" s="16" t="s">
        <v>1583</v>
      </c>
      <c r="E302" s="16" t="s">
        <v>2109</v>
      </c>
      <c r="F302" s="200" t="s">
        <v>1967</v>
      </c>
      <c r="G302" s="189" t="str">
        <f>IFERROR(VLOOKUP(C302,#REF!,4,FALSE),"")</f>
        <v/>
      </c>
      <c r="H302" s="248">
        <f>VLOOKUP(C302,Dados!B:AW,11,0)</f>
        <v>0</v>
      </c>
      <c r="I302" s="16" t="str">
        <f>(VLOOKUP(C302,Dados!B:AW,48,0))</f>
        <v>Confiabilidade em Crescimento</v>
      </c>
      <c r="J302" s="189" t="s">
        <v>732</v>
      </c>
      <c r="K302" s="177">
        <f>IFERROR((VLOOKUP(C302,Dados!B:AW,44,0)),0)</f>
        <v>0</v>
      </c>
      <c r="L302" s="177">
        <f>IFERROR((VLOOKUP(C302,Dados!B:AW,45,0)),0)</f>
        <v>0</v>
      </c>
      <c r="M302" s="177">
        <f>IFERROR((VLOOKUP(C302,Dados!B:AW,43,0)),0)</f>
        <v>0</v>
      </c>
      <c r="N302" s="179">
        <f>IFERROR((VLOOKUP(C302,Dados!B:AW,47,0)),0)</f>
        <v>0</v>
      </c>
      <c r="O302" s="197">
        <f t="shared" si="13"/>
        <v>2</v>
      </c>
      <c r="P302" s="1">
        <f t="shared" si="14"/>
        <v>0</v>
      </c>
      <c r="Q302" s="221"/>
      <c r="AC302">
        <v>2</v>
      </c>
      <c r="AD302">
        <v>2</v>
      </c>
      <c r="AE302">
        <v>2</v>
      </c>
      <c r="AH302" t="s">
        <v>385</v>
      </c>
      <c r="AI302" t="str">
        <f t="shared" si="12"/>
        <v>CEN037*</v>
      </c>
    </row>
    <row r="303" spans="1:35" ht="26.25" customHeight="1" x14ac:dyDescent="0.3">
      <c r="A303"/>
      <c r="B303" s="16">
        <v>637</v>
      </c>
      <c r="C303" s="16" t="s">
        <v>1883</v>
      </c>
      <c r="D303" s="16" t="s">
        <v>1588</v>
      </c>
      <c r="E303" s="16" t="s">
        <v>2109</v>
      </c>
      <c r="F303" s="200" t="s">
        <v>1752</v>
      </c>
      <c r="G303" s="189" t="str">
        <f>IFERROR(VLOOKUP(C303,#REF!,4,FALSE),"")</f>
        <v/>
      </c>
      <c r="H303" s="249">
        <f>VLOOKUP(C303,Dados!B:AW,11,0)</f>
        <v>0</v>
      </c>
      <c r="I303" s="16">
        <f>(VLOOKUP(C303,Dados!B:AW,48,0))</f>
        <v>0</v>
      </c>
      <c r="J303" s="189" t="s">
        <v>735</v>
      </c>
      <c r="K303" s="177">
        <f>IFERROR((VLOOKUP(C303,Dados!B:AW,44,0)),0)</f>
        <v>0</v>
      </c>
      <c r="L303" s="177">
        <f>IFERROR((VLOOKUP(C303,Dados!B:AW,45,0)),0)</f>
        <v>0</v>
      </c>
      <c r="M303" s="177">
        <f>IFERROR((VLOOKUP(C303,Dados!B:AW,43,0)),0)</f>
        <v>0</v>
      </c>
      <c r="N303" s="179">
        <f>IFERROR((VLOOKUP(C303,Dados!B:AW,47,0)),0)</f>
        <v>0</v>
      </c>
      <c r="O303" s="197">
        <f t="shared" si="13"/>
        <v>2</v>
      </c>
      <c r="P303" s="1">
        <f t="shared" si="14"/>
        <v>0</v>
      </c>
      <c r="Q303" s="221"/>
      <c r="AC303">
        <v>2</v>
      </c>
      <c r="AD303">
        <v>2</v>
      </c>
      <c r="AE303">
        <v>2</v>
      </c>
      <c r="AH303" t="s">
        <v>677</v>
      </c>
      <c r="AI303" t="str">
        <f t="shared" si="12"/>
        <v>LAS006*</v>
      </c>
    </row>
    <row r="304" spans="1:35" ht="26.25" customHeight="1" x14ac:dyDescent="0.3">
      <c r="A304"/>
      <c r="B304" s="16">
        <v>638</v>
      </c>
      <c r="C304" s="16" t="s">
        <v>1884</v>
      </c>
      <c r="D304" s="16" t="s">
        <v>1588</v>
      </c>
      <c r="E304" s="16" t="s">
        <v>2109</v>
      </c>
      <c r="F304" s="200" t="s">
        <v>1753</v>
      </c>
      <c r="G304" s="189" t="str">
        <f>IFERROR(VLOOKUP(C304,#REF!,4,FALSE),"")</f>
        <v/>
      </c>
      <c r="H304" s="249">
        <f>VLOOKUP(C304,Dados!B:AW,11,0)</f>
        <v>0</v>
      </c>
      <c r="I304" s="16">
        <f>(VLOOKUP(C304,Dados!B:AW,48,0))</f>
        <v>0</v>
      </c>
      <c r="J304" s="189" t="s">
        <v>735</v>
      </c>
      <c r="K304" s="177">
        <f>IFERROR((VLOOKUP(C304,Dados!B:AW,44,0)),0)</f>
        <v>0</v>
      </c>
      <c r="L304" s="177">
        <f>IFERROR((VLOOKUP(C304,Dados!B:AW,45,0)),0)</f>
        <v>0</v>
      </c>
      <c r="M304" s="177">
        <f>IFERROR((VLOOKUP(C304,Dados!B:AW,43,0)),0)</f>
        <v>0</v>
      </c>
      <c r="N304" s="179">
        <f>IFERROR((VLOOKUP(C304,Dados!B:AW,47,0)),0)</f>
        <v>0</v>
      </c>
      <c r="O304" s="197">
        <f t="shared" si="13"/>
        <v>2</v>
      </c>
      <c r="P304" s="1">
        <f t="shared" si="14"/>
        <v>0</v>
      </c>
      <c r="Q304" s="221"/>
      <c r="AC304">
        <v>2</v>
      </c>
      <c r="AD304">
        <v>2</v>
      </c>
      <c r="AE304">
        <v>2</v>
      </c>
      <c r="AH304" t="s">
        <v>839</v>
      </c>
      <c r="AI304" t="str">
        <f t="shared" si="12"/>
        <v>ROB072*</v>
      </c>
    </row>
    <row r="305" spans="1:35" ht="26.25" customHeight="1" x14ac:dyDescent="0.3">
      <c r="A305"/>
      <c r="B305" s="16">
        <v>357</v>
      </c>
      <c r="C305" s="16" t="s">
        <v>1052</v>
      </c>
      <c r="D305" s="16" t="s">
        <v>1589</v>
      </c>
      <c r="E305" s="16" t="s">
        <v>2146</v>
      </c>
      <c r="F305" s="200" t="s">
        <v>1053</v>
      </c>
      <c r="G305" s="189" t="str">
        <f>IFERROR(VLOOKUP(C305,#REF!,4,FALSE),"")</f>
        <v/>
      </c>
      <c r="H305" s="248">
        <f>VLOOKUP(C305,Dados!B:AW,11,0)</f>
        <v>1.25</v>
      </c>
      <c r="I305" s="16" t="str">
        <f>(VLOOKUP(C305,Dados!B:AW,48,0))</f>
        <v>Fase de Degradação</v>
      </c>
      <c r="J305" s="189" t="s">
        <v>734</v>
      </c>
      <c r="K305" s="177">
        <f>IFERROR((VLOOKUP(C305,Dados!B:AW,44,0)),0)</f>
        <v>0</v>
      </c>
      <c r="L305" s="177">
        <f>IFERROR((VLOOKUP(C305,Dados!B:AW,45,0)),0)</f>
        <v>0</v>
      </c>
      <c r="M305" s="177">
        <f>IFERROR((VLOOKUP(C305,Dados!B:AW,43,0)),0)</f>
        <v>0</v>
      </c>
      <c r="N305" s="179">
        <f>IFERROR((VLOOKUP(C305,Dados!B:AW,47,0)),0)</f>
        <v>0</v>
      </c>
      <c r="O305" s="197">
        <f t="shared" si="13"/>
        <v>1</v>
      </c>
      <c r="P305" s="1">
        <f t="shared" si="14"/>
        <v>0</v>
      </c>
      <c r="Q305" s="221"/>
      <c r="AC305">
        <v>2</v>
      </c>
      <c r="AD305">
        <v>2</v>
      </c>
      <c r="AE305">
        <v>2</v>
      </c>
      <c r="AH305" t="s">
        <v>127</v>
      </c>
      <c r="AI305" t="str">
        <f t="shared" si="12"/>
        <v>BRU048*</v>
      </c>
    </row>
    <row r="306" spans="1:35" ht="26.25" customHeight="1" x14ac:dyDescent="0.3">
      <c r="A306"/>
      <c r="B306" s="16">
        <v>358</v>
      </c>
      <c r="C306" s="16" t="s">
        <v>331</v>
      </c>
      <c r="D306" s="16" t="s">
        <v>1590</v>
      </c>
      <c r="E306" s="16" t="s">
        <v>331</v>
      </c>
      <c r="F306" s="252" t="str">
        <f>VLOOKUP(C306,[9]Dados!B:C,2,0)</f>
        <v>INJ001-INJETORA DE MAGNÉSIO</v>
      </c>
      <c r="G306" s="189" t="str">
        <f>IFERROR(VLOOKUP(C306,#REF!,4,FALSE),"")</f>
        <v/>
      </c>
      <c r="H306" s="248">
        <f>VLOOKUP(C306,Dados!B:AW,11,0)</f>
        <v>1.32</v>
      </c>
      <c r="I306" s="16" t="str">
        <f>(VLOOKUP(C306,Dados!B:AW,48,0))</f>
        <v>Fase de Degradação</v>
      </c>
      <c r="J306" s="189" t="s">
        <v>735</v>
      </c>
      <c r="K306" s="177">
        <f>IFERROR((VLOOKUP(C306,Dados!B:AW,44,0)),0)</f>
        <v>0</v>
      </c>
      <c r="L306" s="177">
        <f>IFERROR((VLOOKUP(C306,Dados!B:AW,45,0)),0)</f>
        <v>0</v>
      </c>
      <c r="M306" s="177">
        <f>IFERROR((VLOOKUP(C306,Dados!B:AW,43,0)),0)</f>
        <v>0</v>
      </c>
      <c r="N306" s="179">
        <f>IFERROR((VLOOKUP(C306,Dados!B:AW,47,0)),0)</f>
        <v>0</v>
      </c>
      <c r="O306" s="197">
        <f t="shared" si="13"/>
        <v>1</v>
      </c>
      <c r="P306" s="1">
        <f t="shared" si="14"/>
        <v>0</v>
      </c>
      <c r="Q306" s="221"/>
      <c r="AC306">
        <v>2</v>
      </c>
      <c r="AD306">
        <v>2</v>
      </c>
      <c r="AE306">
        <v>2</v>
      </c>
      <c r="AH306" t="s">
        <v>928</v>
      </c>
      <c r="AI306" t="str">
        <f t="shared" si="12"/>
        <v>CAB115*</v>
      </c>
    </row>
    <row r="307" spans="1:35" ht="26.25" customHeight="1" x14ac:dyDescent="0.3">
      <c r="A307"/>
      <c r="B307" s="16">
        <v>579</v>
      </c>
      <c r="C307" s="16" t="s">
        <v>1144</v>
      </c>
      <c r="D307" s="16" t="s">
        <v>1590</v>
      </c>
      <c r="E307" s="16" t="s">
        <v>331</v>
      </c>
      <c r="F307" s="200" t="s">
        <v>1145</v>
      </c>
      <c r="G307" s="189" t="str">
        <f>IFERROR(VLOOKUP(C307,#REF!,4,FALSE),"")</f>
        <v/>
      </c>
      <c r="H307" s="249">
        <f>VLOOKUP(C307,Dados!B:AW,11,0)</f>
        <v>1.88</v>
      </c>
      <c r="I307" s="16" t="str">
        <f>(VLOOKUP(C307,Dados!B:AW,48,0))</f>
        <v>Fase de Degradação</v>
      </c>
      <c r="J307" s="189" t="s">
        <v>735</v>
      </c>
      <c r="K307" s="177">
        <f>IFERROR((VLOOKUP(C307,Dados!B:AW,44,0)),0)</f>
        <v>0</v>
      </c>
      <c r="L307" s="177">
        <f>IFERROR((VLOOKUP(C307,Dados!B:AW,45,0)),0)</f>
        <v>0</v>
      </c>
      <c r="M307" s="177">
        <f>IFERROR((VLOOKUP(C307,Dados!B:AW,43,0)),0)</f>
        <v>0</v>
      </c>
      <c r="N307" s="179">
        <f>IFERROR((VLOOKUP(C307,Dados!B:AW,47,0)),0)</f>
        <v>0</v>
      </c>
      <c r="O307" s="197">
        <f t="shared" si="13"/>
        <v>1</v>
      </c>
      <c r="P307" s="1">
        <f t="shared" si="14"/>
        <v>0</v>
      </c>
      <c r="Q307" s="221"/>
      <c r="AC307">
        <v>2</v>
      </c>
      <c r="AD307">
        <v>2</v>
      </c>
      <c r="AE307">
        <v>2</v>
      </c>
      <c r="AH307" t="s">
        <v>342</v>
      </c>
      <c r="AI307" t="str">
        <f t="shared" si="12"/>
        <v>INJ036*</v>
      </c>
    </row>
    <row r="308" spans="1:35" ht="26.25" customHeight="1" x14ac:dyDescent="0.3">
      <c r="A308"/>
      <c r="B308" s="16">
        <v>359</v>
      </c>
      <c r="C308" s="16" t="s">
        <v>334</v>
      </c>
      <c r="D308" s="16" t="s">
        <v>1590</v>
      </c>
      <c r="E308" s="16" t="s">
        <v>334</v>
      </c>
      <c r="F308" s="252" t="str">
        <f>VLOOKUP(C308,[9]Dados!B:C,2,0)</f>
        <v>INJ002-INJETORA DE MAGNÉSIO</v>
      </c>
      <c r="G308" s="189" t="str">
        <f>IFERROR(VLOOKUP(C308,#REF!,4,FALSE),"")</f>
        <v/>
      </c>
      <c r="H308" s="248">
        <f>VLOOKUP(C308,Dados!B:AW,11,0)</f>
        <v>1.62</v>
      </c>
      <c r="I308" s="16" t="str">
        <f>(VLOOKUP(C308,Dados!B:AW,48,0))</f>
        <v>Fase de Degradação</v>
      </c>
      <c r="J308" s="189" t="s">
        <v>735</v>
      </c>
      <c r="K308" s="177">
        <f>IFERROR((VLOOKUP(C308,Dados!B:AW,44,0)),0)</f>
        <v>0</v>
      </c>
      <c r="L308" s="177">
        <f>IFERROR((VLOOKUP(C308,Dados!B:AW,45,0)),0)</f>
        <v>0</v>
      </c>
      <c r="M308" s="177">
        <f>IFERROR((VLOOKUP(C308,Dados!B:AW,43,0)),0)</f>
        <v>0</v>
      </c>
      <c r="N308" s="179">
        <f>IFERROR((VLOOKUP(C308,Dados!B:AW,47,0)),0)</f>
        <v>0</v>
      </c>
      <c r="O308" s="197">
        <f t="shared" si="13"/>
        <v>1</v>
      </c>
      <c r="P308" s="1">
        <f t="shared" si="14"/>
        <v>0</v>
      </c>
      <c r="Q308" s="221"/>
      <c r="AC308">
        <v>2</v>
      </c>
      <c r="AD308">
        <v>2</v>
      </c>
      <c r="AE308">
        <v>1</v>
      </c>
      <c r="AH308" t="s">
        <v>932</v>
      </c>
      <c r="AI308" t="str">
        <f t="shared" si="12"/>
        <v>CAB117*</v>
      </c>
    </row>
    <row r="309" spans="1:35" ht="26.25" customHeight="1" x14ac:dyDescent="0.3">
      <c r="A309"/>
      <c r="B309" s="16">
        <v>360</v>
      </c>
      <c r="C309" s="16" t="s">
        <v>346</v>
      </c>
      <c r="D309" s="16" t="s">
        <v>1590</v>
      </c>
      <c r="E309" s="16" t="s">
        <v>346</v>
      </c>
      <c r="F309" s="200" t="s">
        <v>167</v>
      </c>
      <c r="G309" s="189" t="str">
        <f>IFERROR(VLOOKUP(C309,#REF!,4,FALSE),"")</f>
        <v/>
      </c>
      <c r="H309" s="250">
        <f>VLOOKUP(C309,Dados!B:AW,11,0)</f>
        <v>1.33</v>
      </c>
      <c r="I309" s="16" t="str">
        <f>(VLOOKUP(C309,Dados!B:AW,48,0))</f>
        <v>Fase de Degradação</v>
      </c>
      <c r="J309" s="189" t="s">
        <v>735</v>
      </c>
      <c r="K309" s="177">
        <f>IFERROR((VLOOKUP(C309,Dados!B:AW,44,0)),0)</f>
        <v>0</v>
      </c>
      <c r="L309" s="177">
        <f>IFERROR((VLOOKUP(C309,Dados!B:AW,45,0)),0)</f>
        <v>0</v>
      </c>
      <c r="M309" s="177">
        <f>IFERROR((VLOOKUP(C309,Dados!B:AW,43,0)),0)</f>
        <v>0</v>
      </c>
      <c r="N309" s="179">
        <f>IFERROR((VLOOKUP(C309,Dados!B:AW,47,0)),0)</f>
        <v>0</v>
      </c>
      <c r="O309" s="197">
        <f t="shared" si="13"/>
        <v>1</v>
      </c>
      <c r="P309" s="1">
        <f t="shared" si="14"/>
        <v>0</v>
      </c>
      <c r="Q309" s="221"/>
      <c r="AC309">
        <v>2</v>
      </c>
      <c r="AD309">
        <v>2</v>
      </c>
      <c r="AE309">
        <v>2</v>
      </c>
      <c r="AH309" t="s">
        <v>365</v>
      </c>
      <c r="AI309" t="str">
        <f t="shared" si="12"/>
        <v>CEN019*</v>
      </c>
    </row>
    <row r="310" spans="1:35" ht="26.25" customHeight="1" x14ac:dyDescent="0.3">
      <c r="A310" s="219"/>
      <c r="B310" s="16">
        <v>361</v>
      </c>
      <c r="C310" s="16" t="s">
        <v>877</v>
      </c>
      <c r="D310" s="16" t="s">
        <v>1590</v>
      </c>
      <c r="E310" s="16" t="s">
        <v>877</v>
      </c>
      <c r="F310" s="200" t="s">
        <v>878</v>
      </c>
      <c r="G310" s="189" t="str">
        <f>IFERROR(VLOOKUP(C310,#REF!,4,FALSE),"")</f>
        <v/>
      </c>
      <c r="H310" s="248">
        <f>VLOOKUP(C310,Dados!B:AW,11,0)</f>
        <v>1.31</v>
      </c>
      <c r="I310" s="16" t="str">
        <f>(VLOOKUP(C310,Dados!B:AW,48,0))</f>
        <v>Fase de Degradação</v>
      </c>
      <c r="J310" s="189" t="s">
        <v>735</v>
      </c>
      <c r="K310" s="177">
        <f>IFERROR((VLOOKUP(C310,Dados!B:AW,44,0)),0)</f>
        <v>0</v>
      </c>
      <c r="L310" s="177">
        <f>IFERROR((VLOOKUP(C310,Dados!B:AW,45,0)),0)</f>
        <v>0</v>
      </c>
      <c r="M310" s="177">
        <f>IFERROR((VLOOKUP(C310,Dados!B:AW,43,0)),0)</f>
        <v>0</v>
      </c>
      <c r="N310" s="179">
        <f>IFERROR((VLOOKUP(C310,Dados!B:AW,47,0)),0)</f>
        <v>0</v>
      </c>
      <c r="O310" s="197">
        <f t="shared" si="13"/>
        <v>1</v>
      </c>
      <c r="P310" s="1">
        <f t="shared" si="14"/>
        <v>0</v>
      </c>
      <c r="Q310" s="221"/>
      <c r="AC310">
        <v>2</v>
      </c>
      <c r="AD310">
        <v>2</v>
      </c>
      <c r="AE310">
        <v>2</v>
      </c>
      <c r="AH310" t="s">
        <v>387</v>
      </c>
      <c r="AI310" t="str">
        <f t="shared" si="12"/>
        <v>CEN055*</v>
      </c>
    </row>
    <row r="311" spans="1:35" ht="25" x14ac:dyDescent="0.3">
      <c r="A311"/>
      <c r="B311" s="16">
        <v>362</v>
      </c>
      <c r="C311" s="16" t="s">
        <v>315</v>
      </c>
      <c r="D311" s="16" t="s">
        <v>1590</v>
      </c>
      <c r="E311" s="16" t="s">
        <v>315</v>
      </c>
      <c r="F311" s="252" t="str">
        <f>VLOOKUP(C311,[9]Dados!B:C,2,0)</f>
        <v>INJ005-INJETORA DE ALUMÍNIO</v>
      </c>
      <c r="G311" s="189" t="str">
        <f>IFERROR(VLOOKUP(C311,#REF!,4,FALSE),"")</f>
        <v/>
      </c>
      <c r="H311" s="248">
        <f>VLOOKUP(C311,Dados!B:AW,11,0)</f>
        <v>1.35</v>
      </c>
      <c r="I311" s="16" t="str">
        <f>(VLOOKUP(C311,Dados!B:AW,48,0))</f>
        <v>Fase de Degradação</v>
      </c>
      <c r="J311" s="189" t="s">
        <v>735</v>
      </c>
      <c r="K311" s="177">
        <f>IFERROR((VLOOKUP(C311,Dados!B:AW,44,0)),0)</f>
        <v>0</v>
      </c>
      <c r="L311" s="177">
        <f>IFERROR((VLOOKUP(C311,Dados!B:AW,45,0)),0)</f>
        <v>0</v>
      </c>
      <c r="M311" s="177">
        <f>IFERROR((VLOOKUP(C311,Dados!B:AW,43,0)),0)</f>
        <v>0</v>
      </c>
      <c r="N311" s="179">
        <f>IFERROR((VLOOKUP(C311,Dados!B:AW,47,0)),0)</f>
        <v>0</v>
      </c>
      <c r="O311" s="197">
        <f t="shared" si="13"/>
        <v>1</v>
      </c>
      <c r="P311" s="1">
        <f t="shared" si="14"/>
        <v>0</v>
      </c>
      <c r="Q311" s="221"/>
      <c r="AC311">
        <v>-1</v>
      </c>
      <c r="AD311">
        <v>-1</v>
      </c>
      <c r="AE311">
        <v>-1</v>
      </c>
      <c r="AH311" t="s">
        <v>1076</v>
      </c>
      <c r="AI311" t="str">
        <f t="shared" si="12"/>
        <v>LAV041*</v>
      </c>
    </row>
    <row r="312" spans="1:35" ht="26.25" customHeight="1" x14ac:dyDescent="0.3">
      <c r="A312"/>
      <c r="B312" s="16">
        <v>363</v>
      </c>
      <c r="C312" s="16" t="s">
        <v>325</v>
      </c>
      <c r="D312" s="16" t="s">
        <v>1590</v>
      </c>
      <c r="E312" s="16" t="s">
        <v>325</v>
      </c>
      <c r="F312" s="200" t="s">
        <v>146</v>
      </c>
      <c r="G312" s="189" t="str">
        <f>IFERROR(VLOOKUP(C312,#REF!,4,FALSE),"")</f>
        <v/>
      </c>
      <c r="H312" s="248">
        <f>VLOOKUP(C312,Dados!B:AW,11,0)</f>
        <v>1.08</v>
      </c>
      <c r="I312" s="16" t="str">
        <f>(VLOOKUP(C312,Dados!B:AW,48,0))</f>
        <v>Fase de Vida Útil</v>
      </c>
      <c r="J312" s="189" t="s">
        <v>735</v>
      </c>
      <c r="K312" s="177">
        <f>IFERROR((VLOOKUP(C312,Dados!B:AW,44,0)),0)</f>
        <v>0</v>
      </c>
      <c r="L312" s="177">
        <f>IFERROR((VLOOKUP(C312,Dados!B:AW,45,0)),0)</f>
        <v>0</v>
      </c>
      <c r="M312" s="177">
        <f>IFERROR((VLOOKUP(C312,Dados!B:AW,43,0)),0)</f>
        <v>0</v>
      </c>
      <c r="N312" s="179">
        <f>IFERROR((VLOOKUP(C312,Dados!B:AW,47,0)),0)</f>
        <v>0</v>
      </c>
      <c r="O312" s="197">
        <f t="shared" si="13"/>
        <v>2</v>
      </c>
      <c r="P312" s="1">
        <f t="shared" si="14"/>
        <v>0</v>
      </c>
      <c r="Q312" s="221"/>
      <c r="AC312">
        <v>-1</v>
      </c>
      <c r="AD312">
        <v>-1</v>
      </c>
      <c r="AE312">
        <v>-1</v>
      </c>
      <c r="AH312" t="s">
        <v>811</v>
      </c>
      <c r="AI312" t="str">
        <f t="shared" si="12"/>
        <v>MOD015*</v>
      </c>
    </row>
    <row r="313" spans="1:35" ht="26.25" customHeight="1" x14ac:dyDescent="0.3">
      <c r="A313"/>
      <c r="B313" s="16">
        <v>551</v>
      </c>
      <c r="C313" s="16" t="s">
        <v>456</v>
      </c>
      <c r="D313" s="16" t="s">
        <v>1590</v>
      </c>
      <c r="E313" s="16" t="s">
        <v>325</v>
      </c>
      <c r="F313" s="252" t="str">
        <f>VLOOKUP(C313,[9]Dados!B:C,2,0)</f>
        <v>ROB015-ROBÔ</v>
      </c>
      <c r="G313" s="189" t="str">
        <f>IFERROR(VLOOKUP(C313,#REF!,4,FALSE),"")</f>
        <v/>
      </c>
      <c r="H313" s="249">
        <f>VLOOKUP(C313,Dados!B:AW,11,0)</f>
        <v>2.04</v>
      </c>
      <c r="I313" s="16" t="str">
        <f>(VLOOKUP(C313,Dados!B:AW,48,0))</f>
        <v>Fase de Degradação</v>
      </c>
      <c r="J313" s="189" t="s">
        <v>733</v>
      </c>
      <c r="K313" s="177">
        <f>IFERROR((VLOOKUP(C313,Dados!B:AW,44,0)),0)</f>
        <v>0</v>
      </c>
      <c r="L313" s="177">
        <f>IFERROR((VLOOKUP(C313,Dados!B:AW,45,0)),0)</f>
        <v>0</v>
      </c>
      <c r="M313" s="177">
        <f>IFERROR((VLOOKUP(C313,Dados!B:AW,43,0)),0)</f>
        <v>0</v>
      </c>
      <c r="N313" s="179">
        <f>IFERROR((VLOOKUP(C313,Dados!B:AW,47,0)),0)</f>
        <v>0</v>
      </c>
      <c r="O313" s="197">
        <f t="shared" si="13"/>
        <v>-1</v>
      </c>
      <c r="P313" s="1">
        <f t="shared" si="14"/>
        <v>0</v>
      </c>
      <c r="Q313" s="221"/>
      <c r="AC313">
        <v>-1</v>
      </c>
      <c r="AD313">
        <v>2</v>
      </c>
      <c r="AE313">
        <v>2</v>
      </c>
      <c r="AH313" t="s">
        <v>44</v>
      </c>
      <c r="AI313" t="str">
        <f t="shared" si="12"/>
        <v>RET017*</v>
      </c>
    </row>
    <row r="314" spans="1:35" ht="26.25" customHeight="1" x14ac:dyDescent="0.3">
      <c r="A314"/>
      <c r="B314" s="16">
        <v>364</v>
      </c>
      <c r="C314" s="16" t="s">
        <v>340</v>
      </c>
      <c r="D314" s="16" t="s">
        <v>1590</v>
      </c>
      <c r="E314" s="16" t="s">
        <v>340</v>
      </c>
      <c r="F314" s="200" t="s">
        <v>161</v>
      </c>
      <c r="G314" s="189" t="str">
        <f>IFERROR(VLOOKUP(C314,#REF!,4,FALSE),"")</f>
        <v/>
      </c>
      <c r="H314" s="248">
        <f>VLOOKUP(C314,Dados!B:AW,11,0)</f>
        <v>1.1100000000000001</v>
      </c>
      <c r="I314" s="16" t="str">
        <f>(VLOOKUP(C314,Dados!B:AW,48,0))</f>
        <v>Fase de Degradação</v>
      </c>
      <c r="J314" s="189" t="s">
        <v>735</v>
      </c>
      <c r="K314" s="177">
        <f>IFERROR((VLOOKUP(C314,Dados!B:AW,44,0)),0)</f>
        <v>0</v>
      </c>
      <c r="L314" s="177">
        <f>IFERROR((VLOOKUP(C314,Dados!B:AW,45,0)),0)</f>
        <v>0</v>
      </c>
      <c r="M314" s="177">
        <f>IFERROR((VLOOKUP(C314,Dados!B:AW,43,0)),0)</f>
        <v>0</v>
      </c>
      <c r="N314" s="179">
        <f>IFERROR((VLOOKUP(C314,Dados!B:AW,47,0)),0)</f>
        <v>0</v>
      </c>
      <c r="O314" s="197">
        <f t="shared" si="13"/>
        <v>1</v>
      </c>
      <c r="P314" s="1">
        <f t="shared" si="14"/>
        <v>0</v>
      </c>
      <c r="Q314" s="221"/>
      <c r="AC314">
        <v>2</v>
      </c>
      <c r="AD314">
        <v>2</v>
      </c>
      <c r="AE314">
        <v>2</v>
      </c>
      <c r="AH314" t="s">
        <v>586</v>
      </c>
      <c r="AI314" t="str">
        <f t="shared" si="12"/>
        <v>SOL009*</v>
      </c>
    </row>
    <row r="315" spans="1:35" ht="26.25" customHeight="1" x14ac:dyDescent="0.3">
      <c r="A315"/>
      <c r="B315" s="16">
        <v>563</v>
      </c>
      <c r="C315" s="16" t="s">
        <v>466</v>
      </c>
      <c r="D315" s="16" t="s">
        <v>1590</v>
      </c>
      <c r="E315" s="16" t="s">
        <v>340</v>
      </c>
      <c r="F315" s="200" t="s">
        <v>494</v>
      </c>
      <c r="G315" s="189" t="str">
        <f>IFERROR(VLOOKUP(C315,#REF!,4,FALSE),"")</f>
        <v/>
      </c>
      <c r="H315" s="249">
        <f>VLOOKUP(C315,Dados!B:AW,11,0)</f>
        <v>1.7</v>
      </c>
      <c r="I315" s="16" t="str">
        <f>(VLOOKUP(C315,Dados!B:AW,48,0))</f>
        <v>Fase de Degradação</v>
      </c>
      <c r="J315" s="189" t="s">
        <v>735</v>
      </c>
      <c r="K315" s="177">
        <f>IFERROR((VLOOKUP(C315,Dados!B:AW,44,0)),0)</f>
        <v>0</v>
      </c>
      <c r="L315" s="177">
        <f>IFERROR((VLOOKUP(C315,Dados!B:AW,45,0)),0)</f>
        <v>0</v>
      </c>
      <c r="M315" s="177">
        <f>IFERROR((VLOOKUP(C315,Dados!B:AW,43,0)),0)</f>
        <v>0</v>
      </c>
      <c r="N315" s="179">
        <f>IFERROR((VLOOKUP(C315,Dados!B:AW,47,0)),0)</f>
        <v>0</v>
      </c>
      <c r="O315" s="197">
        <f t="shared" si="13"/>
        <v>1</v>
      </c>
      <c r="P315" s="1">
        <f t="shared" si="14"/>
        <v>0</v>
      </c>
      <c r="Q315" s="221"/>
      <c r="AC315">
        <v>2</v>
      </c>
      <c r="AD315">
        <v>2</v>
      </c>
      <c r="AE315">
        <v>2</v>
      </c>
      <c r="AH315" t="s">
        <v>643</v>
      </c>
      <c r="AI315" t="str">
        <f t="shared" si="12"/>
        <v>BRU003*</v>
      </c>
    </row>
    <row r="316" spans="1:35" ht="26.25" customHeight="1" x14ac:dyDescent="0.3">
      <c r="A316"/>
      <c r="B316" s="16">
        <v>636</v>
      </c>
      <c r="C316" s="16" t="s">
        <v>1882</v>
      </c>
      <c r="D316" s="16" t="s">
        <v>1590</v>
      </c>
      <c r="E316" s="16" t="s">
        <v>340</v>
      </c>
      <c r="F316" s="200" t="s">
        <v>1751</v>
      </c>
      <c r="G316" s="189" t="str">
        <f>IFERROR(VLOOKUP(C316,#REF!,4,FALSE),"")</f>
        <v/>
      </c>
      <c r="H316" s="249">
        <f>VLOOKUP(C316,Dados!B:AW,11,0)</f>
        <v>0.8</v>
      </c>
      <c r="I316" s="16" t="str">
        <f>(VLOOKUP(C316,Dados!B:AW,48,0))</f>
        <v>Confiabilidade em Crescimento</v>
      </c>
      <c r="J316" s="189" t="s">
        <v>735</v>
      </c>
      <c r="K316" s="177">
        <f>IFERROR((VLOOKUP(C316,Dados!B:AW,44,0)),0)</f>
        <v>0</v>
      </c>
      <c r="L316" s="177">
        <f>IFERROR((VLOOKUP(C316,Dados!B:AW,45,0)),0)</f>
        <v>0</v>
      </c>
      <c r="M316" s="177">
        <f>IFERROR((VLOOKUP(C316,Dados!B:AW,43,0)),0)</f>
        <v>0</v>
      </c>
      <c r="N316" s="179">
        <f>IFERROR((VLOOKUP(C316,Dados!B:AW,47,0)),0)</f>
        <v>0</v>
      </c>
      <c r="O316" s="197">
        <f t="shared" si="13"/>
        <v>2</v>
      </c>
      <c r="P316" s="1">
        <f t="shared" si="14"/>
        <v>0</v>
      </c>
      <c r="Q316" s="221"/>
      <c r="AC316">
        <v>2</v>
      </c>
      <c r="AD316">
        <v>2</v>
      </c>
      <c r="AE316">
        <v>2</v>
      </c>
      <c r="AH316" t="s">
        <v>1020</v>
      </c>
      <c r="AI316" t="str">
        <f t="shared" si="12"/>
        <v>EMP122*</v>
      </c>
    </row>
    <row r="317" spans="1:35" ht="26.25" customHeight="1" x14ac:dyDescent="0.3">
      <c r="A317"/>
      <c r="B317" s="16">
        <v>365</v>
      </c>
      <c r="C317" s="16" t="s">
        <v>353</v>
      </c>
      <c r="D317" s="16" t="s">
        <v>1591</v>
      </c>
      <c r="E317" s="16" t="s">
        <v>353</v>
      </c>
      <c r="F317" s="200" t="s">
        <v>174</v>
      </c>
      <c r="G317" s="189" t="str">
        <f>IFERROR(VLOOKUP(C317,#REF!,4,FALSE),"")</f>
        <v/>
      </c>
      <c r="H317" s="249">
        <f>VLOOKUP(C317,Dados!B:AW,11,0)</f>
        <v>1.3</v>
      </c>
      <c r="I317" s="16" t="str">
        <f>(VLOOKUP(C317,Dados!B:AW,48,0))</f>
        <v>Fase de Degradação</v>
      </c>
      <c r="J317" s="189" t="s">
        <v>734</v>
      </c>
      <c r="K317" s="177">
        <f>IFERROR((VLOOKUP(C317,Dados!B:AW,44,0)),0)</f>
        <v>0</v>
      </c>
      <c r="L317" s="177">
        <f>IFERROR((VLOOKUP(C317,Dados!B:AW,45,0)),0)</f>
        <v>0</v>
      </c>
      <c r="M317" s="177">
        <f>IFERROR((VLOOKUP(C317,Dados!B:AW,43,0)),0)</f>
        <v>0</v>
      </c>
      <c r="N317" s="179">
        <f>IFERROR((VLOOKUP(C317,Dados!B:AW,47,0)),0)</f>
        <v>0</v>
      </c>
      <c r="O317" s="197">
        <f t="shared" si="13"/>
        <v>1</v>
      </c>
      <c r="P317" s="1">
        <f t="shared" si="14"/>
        <v>0</v>
      </c>
      <c r="Q317" s="221"/>
      <c r="AC317">
        <v>2</v>
      </c>
      <c r="AD317">
        <v>2</v>
      </c>
      <c r="AE317">
        <v>2</v>
      </c>
      <c r="AH317" t="s">
        <v>797</v>
      </c>
      <c r="AI317" t="str">
        <f t="shared" si="12"/>
        <v>FRE021*</v>
      </c>
    </row>
    <row r="318" spans="1:35" ht="26.25" customHeight="1" x14ac:dyDescent="0.3">
      <c r="A318"/>
      <c r="B318" s="16">
        <v>366</v>
      </c>
      <c r="C318" s="16" t="s">
        <v>328</v>
      </c>
      <c r="D318" s="16" t="s">
        <v>1583</v>
      </c>
      <c r="E318" s="16" t="s">
        <v>328</v>
      </c>
      <c r="F318" s="200" t="s">
        <v>149</v>
      </c>
      <c r="G318" s="189" t="str">
        <f>IFERROR(VLOOKUP(C318,#REF!,4,FALSE),"")</f>
        <v/>
      </c>
      <c r="H318" s="248">
        <f>VLOOKUP(C318,Dados!B:AW,11,0)</f>
        <v>1.18</v>
      </c>
      <c r="I318" s="16" t="str">
        <f>(VLOOKUP(C318,Dados!B:AW,48,0))</f>
        <v>Fase de Degradação</v>
      </c>
      <c r="J318" s="189" t="s">
        <v>735</v>
      </c>
      <c r="K318" s="177">
        <f>IFERROR((VLOOKUP(C318,Dados!B:AW,44,0)),0)</f>
        <v>0</v>
      </c>
      <c r="L318" s="177">
        <f>IFERROR((VLOOKUP(C318,Dados!B:AW,45,0)),0)</f>
        <v>0</v>
      </c>
      <c r="M318" s="177">
        <f>IFERROR((VLOOKUP(C318,Dados!B:AW,43,0)),0)</f>
        <v>0</v>
      </c>
      <c r="N318" s="179">
        <f>IFERROR((VLOOKUP(C318,Dados!B:AW,47,0)),0)</f>
        <v>0</v>
      </c>
      <c r="O318" s="197">
        <f t="shared" si="13"/>
        <v>1</v>
      </c>
      <c r="P318" s="1">
        <f t="shared" si="14"/>
        <v>0</v>
      </c>
      <c r="Q318" s="221"/>
      <c r="AC318">
        <v>2</v>
      </c>
      <c r="AD318">
        <v>2</v>
      </c>
      <c r="AE318">
        <v>1</v>
      </c>
      <c r="AH318" t="s">
        <v>412</v>
      </c>
      <c r="AI318" t="str">
        <f t="shared" si="12"/>
        <v>RET012*</v>
      </c>
    </row>
    <row r="319" spans="1:35" ht="26.25" customHeight="1" x14ac:dyDescent="0.3">
      <c r="A319"/>
      <c r="B319" s="16">
        <v>562</v>
      </c>
      <c r="C319" s="16" t="s">
        <v>465</v>
      </c>
      <c r="D319" s="16" t="s">
        <v>1583</v>
      </c>
      <c r="E319" s="16" t="s">
        <v>328</v>
      </c>
      <c r="F319" s="200" t="s">
        <v>493</v>
      </c>
      <c r="G319" s="189" t="str">
        <f>IFERROR(VLOOKUP(C319,#REF!,4,FALSE),"")</f>
        <v/>
      </c>
      <c r="H319" s="249">
        <f>VLOOKUP(C319,Dados!B:AW,11,0)</f>
        <v>1.1299999999999999</v>
      </c>
      <c r="I319" s="16" t="str">
        <f>(VLOOKUP(C319,Dados!B:AW,48,0))</f>
        <v>Fase de Degradação</v>
      </c>
      <c r="J319" s="189" t="s">
        <v>733</v>
      </c>
      <c r="K319" s="177">
        <f>IFERROR((VLOOKUP(C319,Dados!B:AW,44,0)),0)</f>
        <v>0</v>
      </c>
      <c r="L319" s="177">
        <f>IFERROR((VLOOKUP(C319,Dados!B:AW,45,0)),0)</f>
        <v>0</v>
      </c>
      <c r="M319" s="177">
        <f>IFERROR((VLOOKUP(C319,Dados!B:AW,43,0)),0)</f>
        <v>0</v>
      </c>
      <c r="N319" s="179">
        <f>IFERROR((VLOOKUP(C319,Dados!B:AW,47,0)),0)</f>
        <v>0</v>
      </c>
      <c r="O319" s="197">
        <f t="shared" si="13"/>
        <v>-1</v>
      </c>
      <c r="P319" s="1">
        <f t="shared" si="14"/>
        <v>0</v>
      </c>
      <c r="Q319" s="221"/>
      <c r="AC319">
        <v>2</v>
      </c>
      <c r="AD319">
        <v>2</v>
      </c>
      <c r="AE319">
        <v>2</v>
      </c>
      <c r="AH319" t="s">
        <v>1036</v>
      </c>
      <c r="AI319" t="str">
        <f t="shared" si="12"/>
        <v>FRE025*</v>
      </c>
    </row>
    <row r="320" spans="1:35" ht="26.25" customHeight="1" x14ac:dyDescent="0.3">
      <c r="A320"/>
      <c r="B320" s="16">
        <v>367</v>
      </c>
      <c r="C320" s="336" t="s">
        <v>35</v>
      </c>
      <c r="D320" s="336" t="s">
        <v>1583</v>
      </c>
      <c r="E320" s="336" t="s">
        <v>35</v>
      </c>
      <c r="F320" s="337" t="str">
        <f>VLOOKUP(C320,[9]Dados!B:C,2,0)</f>
        <v>INJ012-INJETORA DE ALUMÍNIO</v>
      </c>
      <c r="G320" s="338" t="str">
        <f>IFERROR(VLOOKUP(C320,#REF!,4,FALSE),"")</f>
        <v/>
      </c>
      <c r="H320" s="343">
        <f>VLOOKUP(C320,Dados!B:AW,11,0)</f>
        <v>1.36</v>
      </c>
      <c r="I320" s="336" t="str">
        <f>(VLOOKUP(C320,Dados!B:AW,48,0))</f>
        <v>Fase de Degradação</v>
      </c>
      <c r="J320" s="338" t="s">
        <v>735</v>
      </c>
      <c r="K320" s="340">
        <f>IFERROR((VLOOKUP(C320,Dados!B:AW,44,0)),0)</f>
        <v>0</v>
      </c>
      <c r="L320" s="340">
        <f>IFERROR((VLOOKUP(C320,Dados!B:AW,45,0)),0)</f>
        <v>0</v>
      </c>
      <c r="M320" s="340">
        <f>IFERROR((VLOOKUP(C320,Dados!B:AW,43,0)),0)</f>
        <v>0</v>
      </c>
      <c r="N320" s="341">
        <f>IFERROR((VLOOKUP(C320,Dados!B:AW,47,0)),0)</f>
        <v>0</v>
      </c>
      <c r="O320" s="342">
        <f t="shared" si="13"/>
        <v>1</v>
      </c>
      <c r="P320" s="1">
        <f t="shared" si="14"/>
        <v>0</v>
      </c>
      <c r="Q320" s="221"/>
      <c r="AC320">
        <v>-1</v>
      </c>
      <c r="AD320">
        <v>-1</v>
      </c>
      <c r="AE320">
        <v>-1</v>
      </c>
      <c r="AH320" t="s">
        <v>419</v>
      </c>
      <c r="AI320" t="str">
        <f t="shared" si="12"/>
        <v>INJ042*</v>
      </c>
    </row>
    <row r="321" spans="1:35" ht="25" x14ac:dyDescent="0.3">
      <c r="A321"/>
      <c r="B321" s="16">
        <v>548</v>
      </c>
      <c r="C321" s="336" t="s">
        <v>454</v>
      </c>
      <c r="D321" s="336" t="s">
        <v>1583</v>
      </c>
      <c r="E321" s="336" t="s">
        <v>35</v>
      </c>
      <c r="F321" s="337" t="s">
        <v>482</v>
      </c>
      <c r="G321" s="338" t="str">
        <f>IFERROR(VLOOKUP(C321,#REF!,4,FALSE),"")</f>
        <v/>
      </c>
      <c r="H321" s="343">
        <f>VLOOKUP(C321,Dados!B:AW,11,0)</f>
        <v>1.51</v>
      </c>
      <c r="I321" s="336" t="str">
        <f>(VLOOKUP(C321,Dados!B:AW,48,0))</f>
        <v>Fase de Degradação</v>
      </c>
      <c r="J321" s="338" t="s">
        <v>733</v>
      </c>
      <c r="K321" s="340">
        <f>IFERROR((VLOOKUP(C321,Dados!B:AW,44,0)),0)</f>
        <v>0</v>
      </c>
      <c r="L321" s="340">
        <f>IFERROR((VLOOKUP(C321,Dados!B:AW,45,0)),0)</f>
        <v>0</v>
      </c>
      <c r="M321" s="340">
        <f>IFERROR((VLOOKUP(C321,Dados!B:AW,43,0)),0)</f>
        <v>0</v>
      </c>
      <c r="N321" s="341">
        <f>IFERROR((VLOOKUP(C321,Dados!B:AW,47,0)),0)</f>
        <v>0</v>
      </c>
      <c r="O321" s="342">
        <f t="shared" si="13"/>
        <v>-1</v>
      </c>
      <c r="P321" s="1">
        <f t="shared" si="14"/>
        <v>0</v>
      </c>
      <c r="Q321" s="221"/>
      <c r="AC321">
        <v>2</v>
      </c>
      <c r="AD321">
        <v>2</v>
      </c>
      <c r="AE321">
        <v>1</v>
      </c>
      <c r="AH321" t="s">
        <v>615</v>
      </c>
      <c r="AI321" t="str">
        <f t="shared" si="12"/>
        <v>RET026*</v>
      </c>
    </row>
    <row r="322" spans="1:35" ht="26.25" customHeight="1" x14ac:dyDescent="0.3">
      <c r="B322" s="16">
        <v>368</v>
      </c>
      <c r="C322" s="16" t="s">
        <v>36</v>
      </c>
      <c r="D322" s="16" t="s">
        <v>1583</v>
      </c>
      <c r="E322" s="16" t="s">
        <v>36</v>
      </c>
      <c r="F322" s="252" t="str">
        <f>VLOOKUP(C322,[9]Dados!B:C,2,0)</f>
        <v>INJ015-INJETORA DE ALUMÍNIO</v>
      </c>
      <c r="G322" s="189" t="str">
        <f>IFERROR(VLOOKUP(C322,#REF!,4,FALSE),"")</f>
        <v/>
      </c>
      <c r="H322" s="249">
        <f>VLOOKUP(C322,Dados!B:AW,11,0)</f>
        <v>1.38</v>
      </c>
      <c r="I322" s="16" t="str">
        <f>(VLOOKUP(C322,Dados!B:AW,48,0))</f>
        <v>Fase de Degradação</v>
      </c>
      <c r="J322" s="189" t="s">
        <v>735</v>
      </c>
      <c r="K322" s="177">
        <f>IFERROR((VLOOKUP(C322,Dados!B:AW,44,0)),0)</f>
        <v>0</v>
      </c>
      <c r="L322" s="177">
        <f>IFERROR((VLOOKUP(C322,Dados!B:AW,45,0)),0)</f>
        <v>0</v>
      </c>
      <c r="M322" s="177">
        <f>IFERROR((VLOOKUP(C322,Dados!B:AW,43,0)),0)</f>
        <v>0</v>
      </c>
      <c r="N322" s="179">
        <f>IFERROR((VLOOKUP(C322,Dados!B:AW,47,0)),0)</f>
        <v>0</v>
      </c>
      <c r="O322" s="197">
        <f t="shared" si="13"/>
        <v>1</v>
      </c>
      <c r="P322" s="1">
        <f t="shared" si="14"/>
        <v>0</v>
      </c>
      <c r="Q322" s="221"/>
      <c r="AC322">
        <v>-1</v>
      </c>
      <c r="AD322">
        <v>-1</v>
      </c>
      <c r="AE322">
        <v>-1</v>
      </c>
      <c r="AH322" t="s">
        <v>311</v>
      </c>
      <c r="AI322" t="str">
        <f t="shared" si="12"/>
        <v>RET032*</v>
      </c>
    </row>
    <row r="323" spans="1:35" ht="25" x14ac:dyDescent="0.3">
      <c r="B323" s="16">
        <v>545</v>
      </c>
      <c r="C323" s="16" t="s">
        <v>309</v>
      </c>
      <c r="D323" s="16" t="s">
        <v>1583</v>
      </c>
      <c r="E323" s="16" t="s">
        <v>36</v>
      </c>
      <c r="F323" s="200" t="s">
        <v>310</v>
      </c>
      <c r="G323" s="189" t="str">
        <f>IFERROR(VLOOKUP(C323,#REF!,4,FALSE),"")</f>
        <v/>
      </c>
      <c r="H323" s="249">
        <f>VLOOKUP(C323,Dados!B:AW,11,0)</f>
        <v>0.95</v>
      </c>
      <c r="I323" s="16" t="str">
        <f>(VLOOKUP(C323,Dados!B:AW,48,0))</f>
        <v>Confiabilidade em Crescimento</v>
      </c>
      <c r="J323" s="189" t="s">
        <v>733</v>
      </c>
      <c r="K323" s="177">
        <f>IFERROR((VLOOKUP(C323,Dados!B:AW,44,0)),0)</f>
        <v>0</v>
      </c>
      <c r="L323" s="177">
        <f>IFERROR((VLOOKUP(C323,Dados!B:AW,45,0)),0)</f>
        <v>0</v>
      </c>
      <c r="M323" s="177">
        <f>IFERROR((VLOOKUP(C323,Dados!B:AW,43,0)),0)</f>
        <v>0</v>
      </c>
      <c r="N323" s="179">
        <f>IFERROR((VLOOKUP(C323,Dados!B:AW,47,0)),0)</f>
        <v>0</v>
      </c>
      <c r="O323" s="197">
        <f t="shared" si="13"/>
        <v>-1</v>
      </c>
      <c r="P323" s="1">
        <f t="shared" si="14"/>
        <v>0</v>
      </c>
      <c r="Q323" s="221"/>
      <c r="AC323">
        <v>-1</v>
      </c>
      <c r="AD323">
        <v>-1</v>
      </c>
      <c r="AE323">
        <v>-1</v>
      </c>
      <c r="AH323" t="s">
        <v>657</v>
      </c>
      <c r="AI323" t="str">
        <f t="shared" si="12"/>
        <v>RET038*</v>
      </c>
    </row>
    <row r="324" spans="1:35" ht="25" x14ac:dyDescent="0.3">
      <c r="A324"/>
      <c r="B324" s="16">
        <v>369</v>
      </c>
      <c r="C324" s="16" t="s">
        <v>417</v>
      </c>
      <c r="D324" s="16" t="s">
        <v>1591</v>
      </c>
      <c r="E324" s="16" t="s">
        <v>417</v>
      </c>
      <c r="F324" s="200" t="s">
        <v>238</v>
      </c>
      <c r="G324" s="189" t="str">
        <f>IFERROR(VLOOKUP(C324,#REF!,4,FALSE),"")</f>
        <v/>
      </c>
      <c r="H324" s="249">
        <f>VLOOKUP(C324,Dados!B:AW,11,0)</f>
        <v>1.47</v>
      </c>
      <c r="I324" s="16" t="str">
        <f>(VLOOKUP(C324,Dados!B:AW,48,0))</f>
        <v>Fase de Degradação</v>
      </c>
      <c r="J324" s="189" t="s">
        <v>733</v>
      </c>
      <c r="K324" s="177">
        <f>IFERROR((VLOOKUP(C324,Dados!B:AW,44,0)),0)</f>
        <v>0</v>
      </c>
      <c r="L324" s="177">
        <f>IFERROR((VLOOKUP(C324,Dados!B:AW,45,0)),0)</f>
        <v>0</v>
      </c>
      <c r="M324" s="177">
        <f>IFERROR((VLOOKUP(C324,Dados!B:AW,43,0)),0)</f>
        <v>0</v>
      </c>
      <c r="N324" s="179">
        <f>IFERROR((VLOOKUP(C324,Dados!B:AW,47,0)),0)</f>
        <v>0</v>
      </c>
      <c r="O324" s="197">
        <f t="shared" si="13"/>
        <v>-1</v>
      </c>
      <c r="P324" s="1">
        <f t="shared" si="14"/>
        <v>0</v>
      </c>
      <c r="Q324" s="221"/>
      <c r="AC324">
        <v>-1</v>
      </c>
      <c r="AD324">
        <v>-1</v>
      </c>
      <c r="AE324">
        <v>-1</v>
      </c>
      <c r="AH324" t="s">
        <v>465</v>
      </c>
      <c r="AI324" t="str">
        <f t="shared" si="12"/>
        <v>ROB031*</v>
      </c>
    </row>
    <row r="325" spans="1:35" ht="25" x14ac:dyDescent="0.3">
      <c r="A325"/>
      <c r="B325" s="16">
        <v>370</v>
      </c>
      <c r="C325" s="16" t="s">
        <v>52</v>
      </c>
      <c r="D325" s="16" t="s">
        <v>1591</v>
      </c>
      <c r="E325" s="16" t="s">
        <v>52</v>
      </c>
      <c r="F325" s="200" t="s">
        <v>51</v>
      </c>
      <c r="G325" s="189" t="str">
        <f>IFERROR(VLOOKUP(C325,#REF!,4,FALSE),"")</f>
        <v/>
      </c>
      <c r="H325" s="249">
        <f>VLOOKUP(C325,Dados!B:AW,11,0)</f>
        <v>1.62</v>
      </c>
      <c r="I325" s="16" t="str">
        <f>(VLOOKUP(C325,Dados!B:AW,48,0))</f>
        <v>Fase de Degradação</v>
      </c>
      <c r="J325" s="189" t="s">
        <v>734</v>
      </c>
      <c r="K325" s="177">
        <f>IFERROR((VLOOKUP(C325,Dados!B:AW,44,0)),0)</f>
        <v>0</v>
      </c>
      <c r="L325" s="177">
        <f>IFERROR((VLOOKUP(C325,Dados!B:AW,45,0)),0)</f>
        <v>0</v>
      </c>
      <c r="M325" s="177">
        <f>IFERROR((VLOOKUP(C325,Dados!B:AW,43,0)),0)</f>
        <v>0</v>
      </c>
      <c r="N325" s="179">
        <f>IFERROR((VLOOKUP(C325,Dados!B:AW,47,0)),0)</f>
        <v>0</v>
      </c>
      <c r="O325" s="197">
        <f t="shared" si="13"/>
        <v>1</v>
      </c>
      <c r="P325" s="1">
        <f t="shared" si="14"/>
        <v>0</v>
      </c>
      <c r="Q325" s="221"/>
      <c r="AC325">
        <v>2</v>
      </c>
      <c r="AD325">
        <v>2</v>
      </c>
      <c r="AE325">
        <v>1</v>
      </c>
      <c r="AH325" t="s">
        <v>749</v>
      </c>
      <c r="AI325" t="str">
        <f t="shared" ref="AI325:AI388" si="15">CONCATENATE(AH325,"*")</f>
        <v>CAB029*</v>
      </c>
    </row>
    <row r="326" spans="1:35" ht="25" x14ac:dyDescent="0.3">
      <c r="A326"/>
      <c r="B326" s="16">
        <v>371</v>
      </c>
      <c r="C326" s="16" t="s">
        <v>319</v>
      </c>
      <c r="D326" s="16" t="s">
        <v>1583</v>
      </c>
      <c r="E326" s="16" t="s">
        <v>319</v>
      </c>
      <c r="F326" s="200" t="s">
        <v>140</v>
      </c>
      <c r="G326" s="189" t="str">
        <f>IFERROR(VLOOKUP(C326,#REF!,4,FALSE),"")</f>
        <v/>
      </c>
      <c r="H326" s="249">
        <f>VLOOKUP(C326,Dados!B:AW,11,0)</f>
        <v>1.24</v>
      </c>
      <c r="I326" s="16" t="str">
        <f>(VLOOKUP(C326,Dados!B:AW,48,0))</f>
        <v>Fase de Degradação</v>
      </c>
      <c r="J326" s="189" t="s">
        <v>735</v>
      </c>
      <c r="K326" s="177">
        <f>IFERROR((VLOOKUP(C326,Dados!B:AW,44,0)),0)</f>
        <v>0</v>
      </c>
      <c r="L326" s="177">
        <f>IFERROR((VLOOKUP(C326,Dados!B:AW,45,0)),0)</f>
        <v>0</v>
      </c>
      <c r="M326" s="177">
        <f>IFERROR((VLOOKUP(C326,Dados!B:AW,43,0)),0)</f>
        <v>0</v>
      </c>
      <c r="N326" s="179">
        <f>IFERROR((VLOOKUP(C326,Dados!B:AW,47,0)),0)</f>
        <v>0</v>
      </c>
      <c r="O326" s="197">
        <f t="shared" ref="O326:O389" si="16">IF(AND(J326="Parcial",N326&gt;0,H326&gt;1),-1,IF(AND(J326="Parcial",N326&gt;0,H326&lt;1.1),1,IF(AND(J326="Parcial",N326&lt;0,H326&gt;1.09),-1,IF(J326="Total",-1,IF(H326&gt;1.09,1,2)))))</f>
        <v>1</v>
      </c>
      <c r="P326" s="1">
        <f t="shared" ref="P326:P389" si="17">IF(G326="",0,IF(H326&gt;G326,-1,1))</f>
        <v>0</v>
      </c>
      <c r="Q326" s="221"/>
      <c r="AC326">
        <v>2</v>
      </c>
      <c r="AD326">
        <v>2</v>
      </c>
      <c r="AE326">
        <v>1</v>
      </c>
      <c r="AH326" t="s">
        <v>689</v>
      </c>
      <c r="AI326" t="str">
        <f t="shared" si="15"/>
        <v>CEN092*</v>
      </c>
    </row>
    <row r="327" spans="1:35" ht="25" x14ac:dyDescent="0.3">
      <c r="A327"/>
      <c r="B327" s="16">
        <v>552</v>
      </c>
      <c r="C327" s="16" t="s">
        <v>457</v>
      </c>
      <c r="D327" s="16" t="s">
        <v>1583</v>
      </c>
      <c r="E327" s="16" t="s">
        <v>319</v>
      </c>
      <c r="F327" s="200" t="s">
        <v>485</v>
      </c>
      <c r="G327" s="189" t="str">
        <f>IFERROR(VLOOKUP(C327,#REF!,4,FALSE),"")</f>
        <v/>
      </c>
      <c r="H327" s="249">
        <f>VLOOKUP(C327,Dados!B:AW,11,0)</f>
        <v>1.56</v>
      </c>
      <c r="I327" s="16" t="str">
        <f>(VLOOKUP(C327,Dados!B:AW,48,0))</f>
        <v>Fase de Degradação</v>
      </c>
      <c r="J327" s="189" t="s">
        <v>733</v>
      </c>
      <c r="K327" s="177">
        <f>IFERROR((VLOOKUP(C327,Dados!B:AW,44,0)),0)</f>
        <v>0</v>
      </c>
      <c r="L327" s="177">
        <f>IFERROR((VLOOKUP(C327,Dados!B:AW,45,0)),0)</f>
        <v>0</v>
      </c>
      <c r="M327" s="177">
        <f>IFERROR((VLOOKUP(C327,Dados!B:AW,43,0)),0)</f>
        <v>0</v>
      </c>
      <c r="N327" s="179">
        <f>IFERROR((VLOOKUP(C327,Dados!B:AW,47,0)),0)</f>
        <v>0</v>
      </c>
      <c r="O327" s="197">
        <f t="shared" si="16"/>
        <v>-1</v>
      </c>
      <c r="P327" s="1">
        <f t="shared" si="17"/>
        <v>0</v>
      </c>
      <c r="Q327" s="221"/>
      <c r="AC327">
        <v>2</v>
      </c>
      <c r="AD327">
        <v>2</v>
      </c>
      <c r="AE327">
        <v>1</v>
      </c>
      <c r="AH327" t="s">
        <v>34</v>
      </c>
      <c r="AI327" t="str">
        <f t="shared" si="15"/>
        <v>FIL001*</v>
      </c>
    </row>
    <row r="328" spans="1:35" ht="25" x14ac:dyDescent="0.3">
      <c r="A328"/>
      <c r="B328" s="16">
        <v>372</v>
      </c>
      <c r="C328" s="16" t="s">
        <v>262</v>
      </c>
      <c r="D328" s="16" t="s">
        <v>1591</v>
      </c>
      <c r="E328" s="16" t="s">
        <v>262</v>
      </c>
      <c r="F328" s="200" t="s">
        <v>263</v>
      </c>
      <c r="G328" s="189" t="str">
        <f>IFERROR(VLOOKUP(C328,#REF!,4,FALSE),"")</f>
        <v/>
      </c>
      <c r="H328" s="248">
        <f>VLOOKUP(C328,Dados!B:AW,11,0)</f>
        <v>1.19</v>
      </c>
      <c r="I328" s="16" t="str">
        <f>(VLOOKUP(C328,Dados!B:AW,48,0))</f>
        <v>Fase de Degradação</v>
      </c>
      <c r="J328" s="189" t="s">
        <v>734</v>
      </c>
      <c r="K328" s="177">
        <f>IFERROR((VLOOKUP(C328,Dados!B:AW,44,0)),0)</f>
        <v>0</v>
      </c>
      <c r="L328" s="177">
        <f>IFERROR((VLOOKUP(C328,Dados!B:AW,45,0)),0)</f>
        <v>0</v>
      </c>
      <c r="M328" s="177">
        <f>IFERROR((VLOOKUP(C328,Dados!B:AW,43,0)),0)</f>
        <v>0</v>
      </c>
      <c r="N328" s="179">
        <f>IFERROR((VLOOKUP(C328,Dados!B:AW,47,0)),0)</f>
        <v>0</v>
      </c>
      <c r="O328" s="197">
        <f t="shared" si="16"/>
        <v>1</v>
      </c>
      <c r="P328" s="1">
        <f t="shared" si="17"/>
        <v>0</v>
      </c>
      <c r="Q328" s="221"/>
      <c r="AC328">
        <v>2</v>
      </c>
      <c r="AD328">
        <v>2</v>
      </c>
      <c r="AE328">
        <v>2</v>
      </c>
      <c r="AH328" t="s">
        <v>367</v>
      </c>
      <c r="AI328" t="str">
        <f t="shared" si="15"/>
        <v>FIL023*</v>
      </c>
    </row>
    <row r="329" spans="1:35" ht="25" x14ac:dyDescent="0.3">
      <c r="A329" s="219"/>
      <c r="B329" s="16">
        <v>373</v>
      </c>
      <c r="C329" s="16" t="s">
        <v>333</v>
      </c>
      <c r="D329" s="16" t="s">
        <v>1583</v>
      </c>
      <c r="E329" s="16" t="s">
        <v>333</v>
      </c>
      <c r="F329" s="200" t="s">
        <v>154</v>
      </c>
      <c r="G329" s="189" t="str">
        <f>IFERROR(VLOOKUP(C329,#REF!,4,FALSE),"")</f>
        <v/>
      </c>
      <c r="H329" s="248">
        <f>VLOOKUP(C329,Dados!B:AW,11,0)</f>
        <v>1.2</v>
      </c>
      <c r="I329" s="16" t="str">
        <f>(VLOOKUP(C329,Dados!B:AW,48,0))</f>
        <v>Fase de Degradação</v>
      </c>
      <c r="J329" s="189" t="s">
        <v>735</v>
      </c>
      <c r="K329" s="177">
        <f>IFERROR((VLOOKUP(C329,Dados!B:AW,44,0)),0)</f>
        <v>0</v>
      </c>
      <c r="L329" s="177">
        <f>IFERROR((VLOOKUP(C329,Dados!B:AW,45,0)),0)</f>
        <v>0</v>
      </c>
      <c r="M329" s="177">
        <f>IFERROR((VLOOKUP(C329,Dados!B:AW,43,0)),0)</f>
        <v>0</v>
      </c>
      <c r="N329" s="179">
        <f>IFERROR((VLOOKUP(C329,Dados!B:AW,47,0)),0)</f>
        <v>0</v>
      </c>
      <c r="O329" s="197">
        <f t="shared" si="16"/>
        <v>1</v>
      </c>
      <c r="P329" s="1">
        <f t="shared" si="17"/>
        <v>0</v>
      </c>
      <c r="Q329" s="221"/>
      <c r="AC329">
        <v>2</v>
      </c>
      <c r="AD329">
        <v>2</v>
      </c>
      <c r="AE329">
        <v>1</v>
      </c>
      <c r="AH329" t="s">
        <v>325</v>
      </c>
      <c r="AI329" t="str">
        <f t="shared" si="15"/>
        <v>INJ006*</v>
      </c>
    </row>
    <row r="330" spans="1:35" ht="25" x14ac:dyDescent="0.3">
      <c r="A330"/>
      <c r="B330" s="16">
        <v>553</v>
      </c>
      <c r="C330" s="16" t="s">
        <v>299</v>
      </c>
      <c r="D330" s="16" t="s">
        <v>1583</v>
      </c>
      <c r="E330" s="16" t="s">
        <v>333</v>
      </c>
      <c r="F330" s="200" t="s">
        <v>300</v>
      </c>
      <c r="G330" s="189" t="str">
        <f>IFERROR(VLOOKUP(C330,#REF!,4,FALSE),"")</f>
        <v/>
      </c>
      <c r="H330" s="249">
        <f>VLOOKUP(C330,Dados!B:AW,11,0)</f>
        <v>2.13</v>
      </c>
      <c r="I330" s="16" t="str">
        <f>(VLOOKUP(C330,Dados!B:AW,48,0))</f>
        <v>Fase de Degradação</v>
      </c>
      <c r="J330" s="189" t="s">
        <v>733</v>
      </c>
      <c r="K330" s="177">
        <f>IFERROR((VLOOKUP(C330,Dados!B:AW,44,0)),0)</f>
        <v>0</v>
      </c>
      <c r="L330" s="177">
        <f>IFERROR((VLOOKUP(C330,Dados!B:AW,45,0)),0)</f>
        <v>0</v>
      </c>
      <c r="M330" s="177">
        <f>IFERROR((VLOOKUP(C330,Dados!B:AW,43,0)),0)</f>
        <v>0</v>
      </c>
      <c r="N330" s="179">
        <f>IFERROR((VLOOKUP(C330,Dados!B:AW,47,0)),0)</f>
        <v>0</v>
      </c>
      <c r="O330" s="197">
        <f t="shared" si="16"/>
        <v>-1</v>
      </c>
      <c r="P330" s="1">
        <f t="shared" si="17"/>
        <v>0</v>
      </c>
      <c r="Q330" s="221"/>
      <c r="AC330">
        <v>-1</v>
      </c>
      <c r="AD330">
        <v>-1</v>
      </c>
      <c r="AE330">
        <v>-1</v>
      </c>
      <c r="AH330" t="s">
        <v>340</v>
      </c>
      <c r="AI330" t="str">
        <f t="shared" si="15"/>
        <v>INJ007*</v>
      </c>
    </row>
    <row r="331" spans="1:35" ht="25" x14ac:dyDescent="0.3">
      <c r="A331"/>
      <c r="B331" s="16">
        <v>374</v>
      </c>
      <c r="C331" s="16" t="s">
        <v>324</v>
      </c>
      <c r="D331" s="16" t="s">
        <v>1583</v>
      </c>
      <c r="E331" s="16" t="s">
        <v>324</v>
      </c>
      <c r="F331" s="200" t="s">
        <v>145</v>
      </c>
      <c r="G331" s="189" t="str">
        <f>IFERROR(VLOOKUP(C331,#REF!,4,FALSE),"")</f>
        <v/>
      </c>
      <c r="H331" s="248">
        <f>VLOOKUP(C331,Dados!B:AW,11,0)</f>
        <v>1.2</v>
      </c>
      <c r="I331" s="16" t="str">
        <f>(VLOOKUP(C331,Dados!B:AW,48,0))</f>
        <v>Fase de Degradação</v>
      </c>
      <c r="J331" s="189" t="s">
        <v>735</v>
      </c>
      <c r="K331" s="177">
        <f>IFERROR((VLOOKUP(C331,Dados!B:AW,44,0)),0)</f>
        <v>0</v>
      </c>
      <c r="L331" s="177">
        <f>IFERROR((VLOOKUP(C331,Dados!B:AW,45,0)),0)</f>
        <v>0</v>
      </c>
      <c r="M331" s="177">
        <f>IFERROR((VLOOKUP(C331,Dados!B:AW,43,0)),0)</f>
        <v>0</v>
      </c>
      <c r="N331" s="179">
        <f>IFERROR((VLOOKUP(C331,Dados!B:AW,47,0)),0)</f>
        <v>0</v>
      </c>
      <c r="O331" s="197">
        <f t="shared" si="16"/>
        <v>1</v>
      </c>
      <c r="P331" s="1">
        <f t="shared" si="17"/>
        <v>0</v>
      </c>
      <c r="Q331" s="221"/>
      <c r="AC331">
        <v>2</v>
      </c>
      <c r="AD331">
        <v>2</v>
      </c>
      <c r="AE331">
        <v>1</v>
      </c>
      <c r="AH331" t="s">
        <v>669</v>
      </c>
      <c r="AI331" t="str">
        <f t="shared" si="15"/>
        <v>RET020*</v>
      </c>
    </row>
    <row r="332" spans="1:35" ht="25" x14ac:dyDescent="0.3">
      <c r="A332"/>
      <c r="B332" s="16">
        <v>543</v>
      </c>
      <c r="C332" s="16" t="s">
        <v>125</v>
      </c>
      <c r="D332" s="16" t="s">
        <v>1583</v>
      </c>
      <c r="E332" s="16" t="s">
        <v>324</v>
      </c>
      <c r="F332" s="200" t="s">
        <v>126</v>
      </c>
      <c r="G332" s="189" t="str">
        <f>IFERROR(VLOOKUP(C332,#REF!,4,FALSE),"")</f>
        <v/>
      </c>
      <c r="H332" s="249">
        <f>VLOOKUP(C332,Dados!B:AW,11,0)</f>
        <v>2.17</v>
      </c>
      <c r="I332" s="16" t="str">
        <f>(VLOOKUP(C332,Dados!B:AW,48,0))</f>
        <v>Fase de Degradação</v>
      </c>
      <c r="J332" s="189" t="s">
        <v>733</v>
      </c>
      <c r="K332" s="177">
        <f>IFERROR((VLOOKUP(C332,Dados!B:AW,44,0)),0)</f>
        <v>0</v>
      </c>
      <c r="L332" s="177">
        <f>IFERROR((VLOOKUP(C332,Dados!B:AW,45,0)),0)</f>
        <v>0</v>
      </c>
      <c r="M332" s="177">
        <f>IFERROR((VLOOKUP(C332,Dados!B:AW,43,0)),0)</f>
        <v>0</v>
      </c>
      <c r="N332" s="179">
        <f>IFERROR((VLOOKUP(C332,Dados!B:AW,47,0)),0)</f>
        <v>0</v>
      </c>
      <c r="O332" s="197">
        <f t="shared" si="16"/>
        <v>-1</v>
      </c>
      <c r="P332" s="1">
        <f t="shared" si="17"/>
        <v>0</v>
      </c>
      <c r="Q332" s="221"/>
      <c r="AC332">
        <v>2</v>
      </c>
      <c r="AD332">
        <v>2</v>
      </c>
      <c r="AE332">
        <v>2</v>
      </c>
      <c r="AH332" t="s">
        <v>547</v>
      </c>
      <c r="AI332" t="str">
        <f t="shared" si="15"/>
        <v>BRU047*</v>
      </c>
    </row>
    <row r="333" spans="1:35" ht="25" x14ac:dyDescent="0.3">
      <c r="A333"/>
      <c r="B333" s="16">
        <v>375</v>
      </c>
      <c r="C333" s="336" t="s">
        <v>37</v>
      </c>
      <c r="D333" s="336" t="s">
        <v>1583</v>
      </c>
      <c r="E333" s="336" t="s">
        <v>37</v>
      </c>
      <c r="F333" s="337" t="s">
        <v>3</v>
      </c>
      <c r="G333" s="338" t="str">
        <f>IFERROR(VLOOKUP(C333,#REF!,4,FALSE),"")</f>
        <v/>
      </c>
      <c r="H333" s="344">
        <f>VLOOKUP(C333,Dados!B:AW,11,0)</f>
        <v>1.27</v>
      </c>
      <c r="I333" s="336" t="str">
        <f>(VLOOKUP(C333,Dados!B:AW,48,0))</f>
        <v>Fase de Degradação</v>
      </c>
      <c r="J333" s="338" t="s">
        <v>735</v>
      </c>
      <c r="K333" s="340">
        <f>IFERROR((VLOOKUP(C333,Dados!B:AW,44,0)),0)</f>
        <v>0</v>
      </c>
      <c r="L333" s="340">
        <f>IFERROR((VLOOKUP(C333,Dados!B:AW,45,0)),0)</f>
        <v>0</v>
      </c>
      <c r="M333" s="340">
        <f>IFERROR((VLOOKUP(C333,Dados!B:AW,43,0)),0)</f>
        <v>0</v>
      </c>
      <c r="N333" s="341">
        <f>IFERROR((VLOOKUP(C333,Dados!B:AW,47,0)),0)</f>
        <v>0</v>
      </c>
      <c r="O333" s="342">
        <f t="shared" si="16"/>
        <v>1</v>
      </c>
      <c r="P333" s="1">
        <f t="shared" si="17"/>
        <v>0</v>
      </c>
      <c r="Q333" s="221"/>
      <c r="AC333">
        <v>2</v>
      </c>
      <c r="AD333">
        <v>2</v>
      </c>
      <c r="AE333">
        <v>1</v>
      </c>
      <c r="AH333" t="s">
        <v>617</v>
      </c>
      <c r="AI333" t="str">
        <f t="shared" si="15"/>
        <v>FOR044*</v>
      </c>
    </row>
    <row r="334" spans="1:35" ht="25" x14ac:dyDescent="0.3">
      <c r="A334"/>
      <c r="B334" s="16">
        <v>544</v>
      </c>
      <c r="C334" s="336" t="s">
        <v>452</v>
      </c>
      <c r="D334" s="336" t="s">
        <v>1583</v>
      </c>
      <c r="E334" s="336" t="s">
        <v>37</v>
      </c>
      <c r="F334" s="337" t="s">
        <v>480</v>
      </c>
      <c r="G334" s="338" t="str">
        <f>IFERROR(VLOOKUP(C334,#REF!,4,FALSE),"")</f>
        <v/>
      </c>
      <c r="H334" s="343">
        <f>VLOOKUP(C334,Dados!B:AW,11,0)</f>
        <v>2.83</v>
      </c>
      <c r="I334" s="336" t="str">
        <f>(VLOOKUP(C334,Dados!B:AW,48,0))</f>
        <v>Fase de Degradação</v>
      </c>
      <c r="J334" s="338" t="s">
        <v>733</v>
      </c>
      <c r="K334" s="340">
        <f>IFERROR((VLOOKUP(C334,Dados!B:AW,44,0)),0)</f>
        <v>0</v>
      </c>
      <c r="L334" s="340">
        <f>IFERROR((VLOOKUP(C334,Dados!B:AW,45,0)),0)</f>
        <v>0</v>
      </c>
      <c r="M334" s="340">
        <f>IFERROR((VLOOKUP(C334,Dados!B:AW,43,0)),0)</f>
        <v>0</v>
      </c>
      <c r="N334" s="341">
        <f>IFERROR((VLOOKUP(C334,Dados!B:AW,47,0)),0)</f>
        <v>0</v>
      </c>
      <c r="O334" s="342">
        <f t="shared" si="16"/>
        <v>-1</v>
      </c>
      <c r="P334" s="1">
        <f t="shared" si="17"/>
        <v>0</v>
      </c>
      <c r="Q334" s="221"/>
      <c r="AC334">
        <v>2</v>
      </c>
      <c r="AD334">
        <v>2</v>
      </c>
      <c r="AE334">
        <v>1</v>
      </c>
      <c r="AH334" t="s">
        <v>393</v>
      </c>
      <c r="AI334" t="str">
        <f t="shared" si="15"/>
        <v>INJ038*</v>
      </c>
    </row>
    <row r="335" spans="1:35" ht="26.25" customHeight="1" x14ac:dyDescent="0.3">
      <c r="A335"/>
      <c r="B335" s="16">
        <v>549</v>
      </c>
      <c r="C335" s="336" t="s">
        <v>303</v>
      </c>
      <c r="D335" s="336" t="s">
        <v>1583</v>
      </c>
      <c r="E335" s="336" t="s">
        <v>37</v>
      </c>
      <c r="F335" s="337" t="s">
        <v>304</v>
      </c>
      <c r="G335" s="338" t="str">
        <f>IFERROR(VLOOKUP(C335,#REF!,4,FALSE),"")</f>
        <v/>
      </c>
      <c r="H335" s="343">
        <f>VLOOKUP(C335,Dados!B:AW,11,0)</f>
        <v>0.65</v>
      </c>
      <c r="I335" s="336" t="str">
        <f>(VLOOKUP(C335,Dados!B:AW,48,0))</f>
        <v>Confiabilidade em Crescimento</v>
      </c>
      <c r="J335" s="338" t="s">
        <v>733</v>
      </c>
      <c r="K335" s="340">
        <f>IFERROR((VLOOKUP(C335,Dados!B:AW,44,0)),0)</f>
        <v>0</v>
      </c>
      <c r="L335" s="340">
        <f>IFERROR((VLOOKUP(C335,Dados!B:AW,45,0)),0)</f>
        <v>0</v>
      </c>
      <c r="M335" s="340">
        <f>IFERROR((VLOOKUP(C335,Dados!B:AW,43,0)),0)</f>
        <v>0</v>
      </c>
      <c r="N335" s="341">
        <f>IFERROR((VLOOKUP(C335,Dados!B:AW,47,0)),0)</f>
        <v>0</v>
      </c>
      <c r="O335" s="342">
        <f t="shared" si="16"/>
        <v>-1</v>
      </c>
      <c r="P335" s="1">
        <f t="shared" si="17"/>
        <v>0</v>
      </c>
      <c r="Q335" s="221"/>
      <c r="AC335">
        <v>2</v>
      </c>
      <c r="AD335">
        <v>2</v>
      </c>
      <c r="AE335">
        <v>2</v>
      </c>
      <c r="AH335" t="s">
        <v>39</v>
      </c>
      <c r="AI335" t="str">
        <f t="shared" si="15"/>
        <v>LAS003*</v>
      </c>
    </row>
    <row r="336" spans="1:35" ht="26.25" customHeight="1" x14ac:dyDescent="0.3">
      <c r="A336"/>
      <c r="B336" s="16">
        <v>376</v>
      </c>
      <c r="C336" s="16" t="s">
        <v>256</v>
      </c>
      <c r="D336" s="16" t="s">
        <v>1591</v>
      </c>
      <c r="E336" s="16" t="s">
        <v>256</v>
      </c>
      <c r="F336" s="200" t="s">
        <v>257</v>
      </c>
      <c r="G336" s="189" t="str">
        <f>IFERROR(VLOOKUP(C336,#REF!,4,FALSE),"")</f>
        <v/>
      </c>
      <c r="H336" s="250">
        <f>VLOOKUP(C336,Dados!B:AW,11,0)</f>
        <v>0.96</v>
      </c>
      <c r="I336" s="16" t="str">
        <f>(VLOOKUP(C336,Dados!B:AW,48,0))</f>
        <v>Confiabilidade em Crescimento</v>
      </c>
      <c r="J336" s="189" t="s">
        <v>735</v>
      </c>
      <c r="K336" s="177">
        <f>IFERROR((VLOOKUP(C336,Dados!B:AW,44,0)),0)</f>
        <v>0</v>
      </c>
      <c r="L336" s="177">
        <f>IFERROR((VLOOKUP(C336,Dados!B:AW,45,0)),0)</f>
        <v>0</v>
      </c>
      <c r="M336" s="177">
        <f>IFERROR((VLOOKUP(C336,Dados!B:AW,43,0)),0)</f>
        <v>0</v>
      </c>
      <c r="N336" s="179">
        <f>IFERROR((VLOOKUP(C336,Dados!B:AW,47,0)),0)</f>
        <v>0</v>
      </c>
      <c r="O336" s="197">
        <f t="shared" si="16"/>
        <v>2</v>
      </c>
      <c r="P336" s="1">
        <f t="shared" si="17"/>
        <v>0</v>
      </c>
      <c r="Q336" s="221"/>
      <c r="AC336">
        <v>2</v>
      </c>
      <c r="AD336">
        <v>2</v>
      </c>
      <c r="AE336">
        <v>2</v>
      </c>
      <c r="AH336" t="s">
        <v>1084</v>
      </c>
      <c r="AI336" t="str">
        <f t="shared" si="15"/>
        <v>LUB006*</v>
      </c>
    </row>
    <row r="337" spans="1:35" ht="25" x14ac:dyDescent="0.3">
      <c r="A337"/>
      <c r="B337" s="16">
        <v>377</v>
      </c>
      <c r="C337" s="16" t="s">
        <v>341</v>
      </c>
      <c r="D337" s="16" t="s">
        <v>1591</v>
      </c>
      <c r="E337" s="16" t="s">
        <v>341</v>
      </c>
      <c r="F337" s="200" t="s">
        <v>162</v>
      </c>
      <c r="G337" s="189" t="str">
        <f>IFERROR(VLOOKUP(C337,#REF!,4,FALSE),"")</f>
        <v/>
      </c>
      <c r="H337" s="248">
        <f>VLOOKUP(C337,Dados!B:AW,11,0)</f>
        <v>1.04</v>
      </c>
      <c r="I337" s="16" t="str">
        <f>(VLOOKUP(C337,Dados!B:AW,48,0))</f>
        <v>Fase de Vida Útil</v>
      </c>
      <c r="J337" s="189" t="s">
        <v>735</v>
      </c>
      <c r="K337" s="177">
        <f>IFERROR((VLOOKUP(C337,Dados!B:AW,44,0)),0)</f>
        <v>0</v>
      </c>
      <c r="L337" s="177">
        <f>IFERROR((VLOOKUP(C337,Dados!B:AW,45,0)),0)</f>
        <v>0</v>
      </c>
      <c r="M337" s="177">
        <f>IFERROR((VLOOKUP(C337,Dados!B:AW,43,0)),0)</f>
        <v>0</v>
      </c>
      <c r="N337" s="179">
        <f>IFERROR((VLOOKUP(C337,Dados!B:AW,47,0)),0)</f>
        <v>0</v>
      </c>
      <c r="O337" s="197">
        <f t="shared" si="16"/>
        <v>2</v>
      </c>
      <c r="P337" s="1">
        <f t="shared" si="17"/>
        <v>0</v>
      </c>
      <c r="Q337" s="221"/>
      <c r="AC337">
        <v>2</v>
      </c>
      <c r="AD337">
        <v>2</v>
      </c>
      <c r="AE337">
        <v>2</v>
      </c>
      <c r="AH337" t="s">
        <v>1130</v>
      </c>
      <c r="AI337" t="str">
        <f t="shared" si="15"/>
        <v>PON016*</v>
      </c>
    </row>
    <row r="338" spans="1:35" ht="25" x14ac:dyDescent="0.3">
      <c r="A338"/>
      <c r="B338" s="16">
        <v>378</v>
      </c>
      <c r="C338" s="336" t="s">
        <v>323</v>
      </c>
      <c r="D338" s="336" t="s">
        <v>1583</v>
      </c>
      <c r="E338" s="336" t="s">
        <v>323</v>
      </c>
      <c r="F338" s="337" t="s">
        <v>144</v>
      </c>
      <c r="G338" s="338" t="str">
        <f>IFERROR(VLOOKUP(C338,#REF!,4,FALSE),"")</f>
        <v/>
      </c>
      <c r="H338" s="339">
        <f>VLOOKUP(C338,Dados!B:AW,11,0)</f>
        <v>1.1299999999999999</v>
      </c>
      <c r="I338" s="336" t="str">
        <f>(VLOOKUP(C338,Dados!B:AW,48,0))</f>
        <v>Fase de Degradação</v>
      </c>
      <c r="J338" s="338" t="s">
        <v>735</v>
      </c>
      <c r="K338" s="340">
        <f>IFERROR((VLOOKUP(C338,Dados!B:AW,44,0)),0)</f>
        <v>0</v>
      </c>
      <c r="L338" s="340">
        <f>IFERROR((VLOOKUP(C338,Dados!B:AW,45,0)),0)</f>
        <v>0</v>
      </c>
      <c r="M338" s="340">
        <f>IFERROR((VLOOKUP(C338,Dados!B:AW,43,0)),0)</f>
        <v>0</v>
      </c>
      <c r="N338" s="341">
        <f>IFERROR((VLOOKUP(C338,Dados!B:AW,47,0)),0)</f>
        <v>0</v>
      </c>
      <c r="O338" s="342">
        <f t="shared" si="16"/>
        <v>1</v>
      </c>
      <c r="P338" s="1">
        <f t="shared" si="17"/>
        <v>0</v>
      </c>
      <c r="Q338" s="221"/>
      <c r="AC338">
        <v>2</v>
      </c>
      <c r="AD338">
        <v>2</v>
      </c>
      <c r="AE338">
        <v>2</v>
      </c>
      <c r="AH338" t="s">
        <v>675</v>
      </c>
      <c r="AI338" t="str">
        <f t="shared" si="15"/>
        <v>RET039*</v>
      </c>
    </row>
    <row r="339" spans="1:35" ht="26.25" customHeight="1" x14ac:dyDescent="0.3">
      <c r="A339"/>
      <c r="B339" s="16">
        <v>555</v>
      </c>
      <c r="C339" s="336" t="s">
        <v>459</v>
      </c>
      <c r="D339" s="336" t="s">
        <v>1583</v>
      </c>
      <c r="E339" s="336" t="s">
        <v>323</v>
      </c>
      <c r="F339" s="337" t="s">
        <v>487</v>
      </c>
      <c r="G339" s="338" t="str">
        <f>IFERROR(VLOOKUP(C339,#REF!,4,FALSE),"")</f>
        <v/>
      </c>
      <c r="H339" s="343">
        <f>VLOOKUP(C339,Dados!B:AW,11,0)</f>
        <v>0.92</v>
      </c>
      <c r="I339" s="336" t="str">
        <f>(VLOOKUP(C339,Dados!B:AW,48,0))</f>
        <v>Confiabilidade em Crescimento</v>
      </c>
      <c r="J339" s="338" t="s">
        <v>735</v>
      </c>
      <c r="K339" s="340">
        <f>IFERROR((VLOOKUP(C339,Dados!B:AW,44,0)),0)</f>
        <v>0</v>
      </c>
      <c r="L339" s="340">
        <f>IFERROR((VLOOKUP(C339,Dados!B:AW,45,0)),0)</f>
        <v>0</v>
      </c>
      <c r="M339" s="340">
        <f>IFERROR((VLOOKUP(C339,Dados!B:AW,43,0)),0)</f>
        <v>0</v>
      </c>
      <c r="N339" s="341">
        <f>IFERROR((VLOOKUP(C339,Dados!B:AW,47,0)),0)</f>
        <v>0</v>
      </c>
      <c r="O339" s="342">
        <f t="shared" si="16"/>
        <v>2</v>
      </c>
      <c r="P339" s="1">
        <f t="shared" si="17"/>
        <v>0</v>
      </c>
      <c r="Q339" s="221"/>
      <c r="AC339">
        <v>2</v>
      </c>
      <c r="AD339">
        <v>2</v>
      </c>
      <c r="AE339">
        <v>2</v>
      </c>
      <c r="AH339" t="s">
        <v>409</v>
      </c>
      <c r="AI339" t="str">
        <f t="shared" si="15"/>
        <v>CEN021*</v>
      </c>
    </row>
    <row r="340" spans="1:35" ht="26.25" customHeight="1" x14ac:dyDescent="0.3">
      <c r="A340"/>
      <c r="B340" s="16">
        <v>558</v>
      </c>
      <c r="C340" s="336" t="s">
        <v>462</v>
      </c>
      <c r="D340" s="336" t="s">
        <v>1583</v>
      </c>
      <c r="E340" s="336" t="s">
        <v>323</v>
      </c>
      <c r="F340" s="337" t="s">
        <v>490</v>
      </c>
      <c r="G340" s="338" t="str">
        <f>IFERROR(VLOOKUP(C340,#REF!,4,FALSE),"")</f>
        <v/>
      </c>
      <c r="H340" s="343">
        <f>VLOOKUP(C340,Dados!B:AW,11,0)</f>
        <v>0.8</v>
      </c>
      <c r="I340" s="336" t="str">
        <f>(VLOOKUP(C340,Dados!B:AW,48,0))</f>
        <v>Confiabilidade em Crescimento</v>
      </c>
      <c r="J340" s="338" t="s">
        <v>735</v>
      </c>
      <c r="K340" s="340">
        <f>IFERROR((VLOOKUP(C340,Dados!B:AW,44,0)),0)</f>
        <v>0</v>
      </c>
      <c r="L340" s="340">
        <f>IFERROR((VLOOKUP(C340,Dados!B:AW,45,0)),0)</f>
        <v>0</v>
      </c>
      <c r="M340" s="340">
        <f>IFERROR((VLOOKUP(C340,Dados!B:AW,43,0)),0)</f>
        <v>0</v>
      </c>
      <c r="N340" s="341">
        <f>IFERROR((VLOOKUP(C340,Dados!B:AW,47,0)),0)</f>
        <v>0</v>
      </c>
      <c r="O340" s="342">
        <f t="shared" si="16"/>
        <v>2</v>
      </c>
      <c r="P340" s="1">
        <f t="shared" si="17"/>
        <v>0</v>
      </c>
      <c r="Q340" s="221"/>
      <c r="AC340">
        <v>2</v>
      </c>
      <c r="AD340">
        <v>2</v>
      </c>
      <c r="AE340">
        <v>2</v>
      </c>
      <c r="AH340" t="s">
        <v>32</v>
      </c>
      <c r="AI340" t="str">
        <f t="shared" si="15"/>
        <v>CEN056*</v>
      </c>
    </row>
    <row r="341" spans="1:35" ht="25" x14ac:dyDescent="0.3">
      <c r="A341"/>
      <c r="B341" s="16">
        <v>379</v>
      </c>
      <c r="C341" s="16" t="s">
        <v>343</v>
      </c>
      <c r="D341" s="16" t="s">
        <v>1591</v>
      </c>
      <c r="E341" s="16" t="s">
        <v>343</v>
      </c>
      <c r="F341" s="200" t="s">
        <v>164</v>
      </c>
      <c r="G341" s="189" t="str">
        <f>IFERROR(VLOOKUP(C341,#REF!,4,FALSE),"")</f>
        <v/>
      </c>
      <c r="H341" s="250">
        <f>VLOOKUP(C341,Dados!B:AW,11,0)</f>
        <v>1.62</v>
      </c>
      <c r="I341" s="16" t="str">
        <f>(VLOOKUP(C341,Dados!B:AW,48,0))</f>
        <v>Fase de Degradação</v>
      </c>
      <c r="J341" s="189" t="s">
        <v>735</v>
      </c>
      <c r="K341" s="177">
        <f>IFERROR((VLOOKUP(C341,Dados!B:AW,44,0)),0)</f>
        <v>0</v>
      </c>
      <c r="L341" s="177">
        <f>IFERROR((VLOOKUP(C341,Dados!B:AW,45,0)),0)</f>
        <v>0</v>
      </c>
      <c r="M341" s="177">
        <f>IFERROR((VLOOKUP(C341,Dados!B:AW,43,0)),0)</f>
        <v>0</v>
      </c>
      <c r="N341" s="179">
        <f>IFERROR((VLOOKUP(C341,Dados!B:AW,47,0)),0)</f>
        <v>0</v>
      </c>
      <c r="O341" s="197">
        <f t="shared" si="16"/>
        <v>1</v>
      </c>
      <c r="P341" s="1">
        <f t="shared" si="17"/>
        <v>0</v>
      </c>
      <c r="Q341" s="221"/>
      <c r="AC341">
        <v>2</v>
      </c>
      <c r="AD341">
        <v>2</v>
      </c>
      <c r="AE341">
        <v>2</v>
      </c>
      <c r="AH341" t="s">
        <v>697</v>
      </c>
      <c r="AI341" t="str">
        <f t="shared" si="15"/>
        <v>CEN093*</v>
      </c>
    </row>
    <row r="342" spans="1:35" ht="26.25" customHeight="1" x14ac:dyDescent="0.3">
      <c r="A342"/>
      <c r="B342" s="16">
        <v>573</v>
      </c>
      <c r="C342" s="16" t="s">
        <v>671</v>
      </c>
      <c r="D342" s="16" t="s">
        <v>1591</v>
      </c>
      <c r="E342" s="16" t="s">
        <v>343</v>
      </c>
      <c r="F342" s="200" t="s">
        <v>672</v>
      </c>
      <c r="G342" s="189" t="str">
        <f>IFERROR(VLOOKUP(C342,#REF!,4,FALSE),"")</f>
        <v/>
      </c>
      <c r="H342" s="249">
        <f>VLOOKUP(C342,Dados!B:AW,11,0)</f>
        <v>1.57</v>
      </c>
      <c r="I342" s="16" t="str">
        <f>(VLOOKUP(C342,Dados!B:AW,48,0))</f>
        <v>Fase de Degradação</v>
      </c>
      <c r="J342" s="189" t="s">
        <v>735</v>
      </c>
      <c r="K342" s="177">
        <f>IFERROR((VLOOKUP(C342,Dados!B:AW,44,0)),0)</f>
        <v>0</v>
      </c>
      <c r="L342" s="177">
        <f>IFERROR((VLOOKUP(C342,Dados!B:AW,45,0)),0)</f>
        <v>0</v>
      </c>
      <c r="M342" s="177">
        <f>IFERROR((VLOOKUP(C342,Dados!B:AW,43,0)),0)</f>
        <v>0</v>
      </c>
      <c r="N342" s="179">
        <f>IFERROR((VLOOKUP(C342,Dados!B:AW,47,0)),0)</f>
        <v>0</v>
      </c>
      <c r="O342" s="197">
        <f t="shared" si="16"/>
        <v>1</v>
      </c>
      <c r="P342" s="1">
        <f t="shared" si="17"/>
        <v>0</v>
      </c>
      <c r="Q342" s="221"/>
      <c r="AC342">
        <v>2</v>
      </c>
      <c r="AD342">
        <v>2</v>
      </c>
      <c r="AE342">
        <v>2</v>
      </c>
      <c r="AH342" t="s">
        <v>1016</v>
      </c>
      <c r="AI342" t="str">
        <f t="shared" si="15"/>
        <v>EMP019*</v>
      </c>
    </row>
    <row r="343" spans="1:35" ht="26.25" customHeight="1" x14ac:dyDescent="0.3">
      <c r="A343"/>
      <c r="B343" s="16">
        <v>381</v>
      </c>
      <c r="C343" s="16" t="s">
        <v>342</v>
      </c>
      <c r="D343" s="16" t="s">
        <v>1591</v>
      </c>
      <c r="E343" s="16" t="s">
        <v>342</v>
      </c>
      <c r="F343" s="200" t="s">
        <v>163</v>
      </c>
      <c r="G343" s="189" t="str">
        <f>IFERROR(VLOOKUP(C343,#REF!,4,FALSE),"")</f>
        <v/>
      </c>
      <c r="H343" s="250">
        <f>VLOOKUP(C343,Dados!B:AW,11,0)</f>
        <v>1.05</v>
      </c>
      <c r="I343" s="16" t="str">
        <f>(VLOOKUP(C343,Dados!B:AW,48,0))</f>
        <v>Fase de Vida Útil</v>
      </c>
      <c r="J343" s="189" t="s">
        <v>735</v>
      </c>
      <c r="K343" s="177">
        <f>IFERROR((VLOOKUP(C343,Dados!B:AW,44,0)),0)</f>
        <v>0</v>
      </c>
      <c r="L343" s="177">
        <f>IFERROR((VLOOKUP(C343,Dados!B:AW,45,0)),0)</f>
        <v>0</v>
      </c>
      <c r="M343" s="177">
        <f>IFERROR((VLOOKUP(C343,Dados!B:AW,43,0)),0)</f>
        <v>0</v>
      </c>
      <c r="N343" s="179">
        <f>IFERROR((VLOOKUP(C343,Dados!B:AW,47,0)),0)</f>
        <v>0</v>
      </c>
      <c r="O343" s="197">
        <f t="shared" si="16"/>
        <v>2</v>
      </c>
      <c r="P343" s="1">
        <f t="shared" si="17"/>
        <v>0</v>
      </c>
      <c r="Q343" s="221"/>
      <c r="AC343">
        <v>2</v>
      </c>
      <c r="AD343">
        <v>2</v>
      </c>
      <c r="AE343">
        <v>2</v>
      </c>
      <c r="AH343" t="s">
        <v>1018</v>
      </c>
      <c r="AI343" t="str">
        <f t="shared" si="15"/>
        <v>EMP109*</v>
      </c>
    </row>
    <row r="344" spans="1:35" ht="26.25" customHeight="1" x14ac:dyDescent="0.3">
      <c r="A344"/>
      <c r="B344" s="16">
        <v>382</v>
      </c>
      <c r="C344" s="16" t="s">
        <v>396</v>
      </c>
      <c r="D344" s="16" t="s">
        <v>1591</v>
      </c>
      <c r="E344" s="16" t="s">
        <v>396</v>
      </c>
      <c r="F344" s="200" t="s">
        <v>217</v>
      </c>
      <c r="G344" s="189" t="str">
        <f>IFERROR(VLOOKUP(C344,#REF!,4,FALSE),"")</f>
        <v/>
      </c>
      <c r="H344" s="248">
        <f>VLOOKUP(C344,Dados!B:AW,11,0)</f>
        <v>1.02</v>
      </c>
      <c r="I344" s="16" t="str">
        <f>(VLOOKUP(C344,Dados!B:AW,48,0))</f>
        <v>Fase de Vida Útil</v>
      </c>
      <c r="J344" s="189" t="s">
        <v>735</v>
      </c>
      <c r="K344" s="177">
        <f>IFERROR((VLOOKUP(C344,Dados!B:AW,44,0)),0)</f>
        <v>0</v>
      </c>
      <c r="L344" s="177">
        <f>IFERROR((VLOOKUP(C344,Dados!B:AW,45,0)),0)</f>
        <v>0</v>
      </c>
      <c r="M344" s="177">
        <f>IFERROR((VLOOKUP(C344,Dados!B:AW,43,0)),0)</f>
        <v>0</v>
      </c>
      <c r="N344" s="179">
        <f>IFERROR((VLOOKUP(C344,Dados!B:AW,47,0)),0)</f>
        <v>0</v>
      </c>
      <c r="O344" s="197">
        <f t="shared" si="16"/>
        <v>2</v>
      </c>
      <c r="P344" s="1">
        <f t="shared" si="17"/>
        <v>0</v>
      </c>
      <c r="Q344" s="221"/>
      <c r="AC344">
        <v>2</v>
      </c>
      <c r="AD344">
        <v>2</v>
      </c>
      <c r="AE344">
        <v>2</v>
      </c>
      <c r="AH344" t="s">
        <v>335</v>
      </c>
      <c r="AI344" t="str">
        <f t="shared" si="15"/>
        <v>INJ066*</v>
      </c>
    </row>
    <row r="345" spans="1:35" ht="26.25" customHeight="1" x14ac:dyDescent="0.3">
      <c r="A345"/>
      <c r="B345" s="16">
        <v>383</v>
      </c>
      <c r="C345" s="16" t="s">
        <v>393</v>
      </c>
      <c r="D345" s="16" t="s">
        <v>1591</v>
      </c>
      <c r="E345" s="16" t="s">
        <v>393</v>
      </c>
      <c r="F345" s="200" t="s">
        <v>214</v>
      </c>
      <c r="G345" s="189" t="str">
        <f>IFERROR(VLOOKUP(C345,#REF!,4,FALSE),"")</f>
        <v/>
      </c>
      <c r="H345" s="248">
        <f>VLOOKUP(C345,Dados!B:AW,11,0)</f>
        <v>1.0900000000000001</v>
      </c>
      <c r="I345" s="16" t="str">
        <f>(VLOOKUP(C345,Dados!B:AW,48,0))</f>
        <v>Fase de Vida Útil</v>
      </c>
      <c r="J345" s="189" t="s">
        <v>735</v>
      </c>
      <c r="K345" s="177">
        <f>IFERROR((VLOOKUP(C345,Dados!B:AW,44,0)),0)</f>
        <v>0</v>
      </c>
      <c r="L345" s="177">
        <f>IFERROR((VLOOKUP(C345,Dados!B:AW,45,0)),0)</f>
        <v>0</v>
      </c>
      <c r="M345" s="177">
        <f>IFERROR((VLOOKUP(C345,Dados!B:AW,43,0)),0)</f>
        <v>0</v>
      </c>
      <c r="N345" s="179">
        <f>IFERROR((VLOOKUP(C345,Dados!B:AW,47,0)),0)</f>
        <v>0</v>
      </c>
      <c r="O345" s="197">
        <f t="shared" si="16"/>
        <v>2</v>
      </c>
      <c r="P345" s="1">
        <f t="shared" si="17"/>
        <v>0</v>
      </c>
      <c r="Q345" s="221"/>
      <c r="AC345">
        <v>2</v>
      </c>
      <c r="AD345">
        <v>2</v>
      </c>
      <c r="AE345">
        <v>2</v>
      </c>
      <c r="AH345" t="s">
        <v>703</v>
      </c>
      <c r="AI345" t="str">
        <f t="shared" si="15"/>
        <v>LAS008*</v>
      </c>
    </row>
    <row r="346" spans="1:35" ht="26.25" customHeight="1" x14ac:dyDescent="0.3">
      <c r="A346"/>
      <c r="B346" s="16">
        <v>384</v>
      </c>
      <c r="C346" s="16" t="s">
        <v>378</v>
      </c>
      <c r="D346" s="16" t="s">
        <v>1591</v>
      </c>
      <c r="E346" s="16" t="s">
        <v>378</v>
      </c>
      <c r="F346" s="200" t="s">
        <v>199</v>
      </c>
      <c r="G346" s="189" t="str">
        <f>IFERROR(VLOOKUP(C346,#REF!,4,FALSE),"")</f>
        <v/>
      </c>
      <c r="H346" s="249">
        <f>VLOOKUP(C346,Dados!B:AW,11,0)</f>
        <v>1.21</v>
      </c>
      <c r="I346" s="16" t="str">
        <f>(VLOOKUP(C346,Dados!B:AW,48,0))</f>
        <v>Fase de Degradação</v>
      </c>
      <c r="J346" s="189" t="s">
        <v>735</v>
      </c>
      <c r="K346" s="177">
        <f>IFERROR((VLOOKUP(C346,Dados!B:AW,44,0)),0)</f>
        <v>0</v>
      </c>
      <c r="L346" s="177">
        <f>IFERROR((VLOOKUP(C346,Dados!B:AW,45,0)),0)</f>
        <v>0</v>
      </c>
      <c r="M346" s="177">
        <f>IFERROR((VLOOKUP(C346,Dados!B:AW,43,0)),0)</f>
        <v>0</v>
      </c>
      <c r="N346" s="179">
        <f>IFERROR((VLOOKUP(C346,Dados!B:AW,47,0)),0)</f>
        <v>0</v>
      </c>
      <c r="O346" s="197">
        <f t="shared" si="16"/>
        <v>1</v>
      </c>
      <c r="P346" s="1">
        <f t="shared" si="17"/>
        <v>0</v>
      </c>
      <c r="Q346" s="221"/>
      <c r="AC346">
        <v>2</v>
      </c>
      <c r="AD346">
        <v>2</v>
      </c>
      <c r="AE346">
        <v>2</v>
      </c>
      <c r="AH346" t="s">
        <v>821</v>
      </c>
      <c r="AI346" t="str">
        <f t="shared" si="15"/>
        <v>REB007*</v>
      </c>
    </row>
    <row r="347" spans="1:35" ht="26.25" customHeight="1" x14ac:dyDescent="0.3">
      <c r="A347"/>
      <c r="B347" s="16">
        <v>590</v>
      </c>
      <c r="C347" s="16" t="s">
        <v>1146</v>
      </c>
      <c r="D347" s="16" t="s">
        <v>1591</v>
      </c>
      <c r="E347" s="16" t="s">
        <v>378</v>
      </c>
      <c r="F347" s="200" t="s">
        <v>1147</v>
      </c>
      <c r="G347" s="189" t="str">
        <f>IFERROR(VLOOKUP(C347,#REF!,4,FALSE),"")</f>
        <v/>
      </c>
      <c r="H347" s="249">
        <f>VLOOKUP(C347,Dados!B:AW,11,0)</f>
        <v>1.86</v>
      </c>
      <c r="I347" s="16" t="str">
        <f>(VLOOKUP(C347,Dados!B:AW,48,0))</f>
        <v>Fase de Degradação</v>
      </c>
      <c r="J347" s="189" t="s">
        <v>735</v>
      </c>
      <c r="K347" s="177">
        <f>IFERROR((VLOOKUP(C347,Dados!B:AW,44,0)),0)</f>
        <v>0</v>
      </c>
      <c r="L347" s="177">
        <f>IFERROR((VLOOKUP(C347,Dados!B:AW,45,0)),0)</f>
        <v>0</v>
      </c>
      <c r="M347" s="177">
        <f>IFERROR((VLOOKUP(C347,Dados!B:AW,43,0)),0)</f>
        <v>0</v>
      </c>
      <c r="N347" s="179">
        <f>IFERROR((VLOOKUP(C347,Dados!B:AW,47,0)),0)</f>
        <v>0</v>
      </c>
      <c r="O347" s="197">
        <f t="shared" si="16"/>
        <v>1</v>
      </c>
      <c r="P347" s="1">
        <f t="shared" si="17"/>
        <v>0</v>
      </c>
      <c r="Q347" s="221"/>
      <c r="AC347">
        <v>-1</v>
      </c>
      <c r="AD347">
        <v>-1</v>
      </c>
      <c r="AE347">
        <v>-1</v>
      </c>
      <c r="AH347" t="s">
        <v>532</v>
      </c>
      <c r="AI347" t="str">
        <f t="shared" si="15"/>
        <v>BRU025*</v>
      </c>
    </row>
    <row r="348" spans="1:35" ht="26.25" customHeight="1" x14ac:dyDescent="0.3">
      <c r="A348"/>
      <c r="B348" s="16">
        <v>385</v>
      </c>
      <c r="C348" s="16" t="s">
        <v>611</v>
      </c>
      <c r="D348" s="16" t="s">
        <v>1591</v>
      </c>
      <c r="E348" s="16" t="s">
        <v>611</v>
      </c>
      <c r="F348" s="200" t="s">
        <v>612</v>
      </c>
      <c r="G348" s="189" t="str">
        <f>IFERROR(VLOOKUP(C348,#REF!,4,FALSE),"")</f>
        <v/>
      </c>
      <c r="H348" s="249">
        <f>VLOOKUP(C348,Dados!B:AW,11,0)</f>
        <v>0.86</v>
      </c>
      <c r="I348" s="16" t="str">
        <f>(VLOOKUP(C348,Dados!B:AW,48,0))</f>
        <v>Confiabilidade em Crescimento</v>
      </c>
      <c r="J348" s="189" t="s">
        <v>735</v>
      </c>
      <c r="K348" s="177">
        <f>IFERROR((VLOOKUP(C348,Dados!B:AW,44,0)),0)</f>
        <v>0</v>
      </c>
      <c r="L348" s="177">
        <f>IFERROR((VLOOKUP(C348,Dados!B:AW,45,0)),0)</f>
        <v>0</v>
      </c>
      <c r="M348" s="177">
        <f>IFERROR((VLOOKUP(C348,Dados!B:AW,43,0)),0)</f>
        <v>0</v>
      </c>
      <c r="N348" s="179">
        <f>IFERROR((VLOOKUP(C348,Dados!B:AW,47,0)),0)</f>
        <v>0</v>
      </c>
      <c r="O348" s="197">
        <f t="shared" si="16"/>
        <v>2</v>
      </c>
      <c r="P348" s="1">
        <f t="shared" si="17"/>
        <v>0</v>
      </c>
      <c r="Q348" s="221"/>
      <c r="AC348">
        <v>2</v>
      </c>
      <c r="AD348">
        <v>2</v>
      </c>
      <c r="AE348">
        <v>2</v>
      </c>
      <c r="AH348" t="s">
        <v>341</v>
      </c>
      <c r="AI348" t="str">
        <f t="shared" si="15"/>
        <v>INJ032*</v>
      </c>
    </row>
    <row r="349" spans="1:35" ht="26.25" customHeight="1" x14ac:dyDescent="0.3">
      <c r="A349"/>
      <c r="B349" s="16">
        <v>580</v>
      </c>
      <c r="C349" s="16" t="s">
        <v>693</v>
      </c>
      <c r="D349" s="16" t="s">
        <v>1591</v>
      </c>
      <c r="E349" s="16" t="s">
        <v>611</v>
      </c>
      <c r="F349" s="200" t="s">
        <v>694</v>
      </c>
      <c r="G349" s="189" t="str">
        <f>IFERROR(VLOOKUP(C349,#REF!,4,FALSE),"")</f>
        <v/>
      </c>
      <c r="H349" s="249">
        <f>VLOOKUP(C349,Dados!B:AW,11,0)</f>
        <v>0.85</v>
      </c>
      <c r="I349" s="16" t="str">
        <f>(VLOOKUP(C349,Dados!B:AW,48,0))</f>
        <v>Confiabilidade em Crescimento</v>
      </c>
      <c r="J349" s="189" t="s">
        <v>735</v>
      </c>
      <c r="K349" s="177">
        <f>IFERROR((VLOOKUP(C349,Dados!B:AW,44,0)),0)</f>
        <v>0</v>
      </c>
      <c r="L349" s="177">
        <f>IFERROR((VLOOKUP(C349,Dados!B:AW,45,0)),0)</f>
        <v>0</v>
      </c>
      <c r="M349" s="177">
        <f>IFERROR((VLOOKUP(C349,Dados!B:AW,43,0)),0)</f>
        <v>0</v>
      </c>
      <c r="N349" s="179">
        <f>IFERROR((VLOOKUP(C349,Dados!B:AW,47,0)),0)</f>
        <v>0</v>
      </c>
      <c r="O349" s="197">
        <f t="shared" si="16"/>
        <v>2</v>
      </c>
      <c r="P349" s="1">
        <f t="shared" si="17"/>
        <v>0</v>
      </c>
      <c r="Q349" s="221"/>
      <c r="AC349">
        <v>-1</v>
      </c>
      <c r="AD349">
        <v>-1</v>
      </c>
      <c r="AE349">
        <v>-1</v>
      </c>
      <c r="AH349" t="s">
        <v>679</v>
      </c>
      <c r="AI349" t="str">
        <f t="shared" si="15"/>
        <v>JAT025*</v>
      </c>
    </row>
    <row r="350" spans="1:35" ht="25" x14ac:dyDescent="0.3">
      <c r="A350"/>
      <c r="B350" s="16">
        <v>386</v>
      </c>
      <c r="C350" s="16" t="s">
        <v>609</v>
      </c>
      <c r="D350" s="16" t="s">
        <v>1591</v>
      </c>
      <c r="E350" s="16" t="s">
        <v>609</v>
      </c>
      <c r="F350" s="200" t="s">
        <v>610</v>
      </c>
      <c r="G350" s="189" t="str">
        <f>IFERROR(VLOOKUP(C350,#REF!,4,FALSE),"")</f>
        <v/>
      </c>
      <c r="H350" s="249">
        <f>VLOOKUP(C350,Dados!B:AW,11,0)</f>
        <v>0.98</v>
      </c>
      <c r="I350" s="16" t="str">
        <f>(VLOOKUP(C350,Dados!B:AW,48,0))</f>
        <v>Confiabilidade em Crescimento</v>
      </c>
      <c r="J350" s="189" t="s">
        <v>735</v>
      </c>
      <c r="K350" s="177">
        <f>IFERROR((VLOOKUP(C350,Dados!B:AW,44,0)),0)</f>
        <v>0</v>
      </c>
      <c r="L350" s="177">
        <f>IFERROR((VLOOKUP(C350,Dados!B:AW,45,0)),0)</f>
        <v>0</v>
      </c>
      <c r="M350" s="177">
        <f>IFERROR((VLOOKUP(C350,Dados!B:AW,43,0)),0)</f>
        <v>0</v>
      </c>
      <c r="N350" s="179">
        <f>IFERROR((VLOOKUP(C350,Dados!B:AW,47,0)),0)</f>
        <v>0</v>
      </c>
      <c r="O350" s="197">
        <f t="shared" si="16"/>
        <v>2</v>
      </c>
      <c r="P350" s="1">
        <f t="shared" si="17"/>
        <v>0</v>
      </c>
      <c r="Q350" s="221"/>
      <c r="AC350">
        <v>2</v>
      </c>
      <c r="AD350">
        <v>2</v>
      </c>
      <c r="AE350">
        <v>2</v>
      </c>
      <c r="AH350" t="s">
        <v>633</v>
      </c>
      <c r="AI350" t="str">
        <f t="shared" si="15"/>
        <v>CEN087*</v>
      </c>
    </row>
    <row r="351" spans="1:35" ht="25" x14ac:dyDescent="0.3">
      <c r="A351"/>
      <c r="B351" s="16">
        <v>387</v>
      </c>
      <c r="C351" s="16" t="s">
        <v>419</v>
      </c>
      <c r="D351" s="16" t="s">
        <v>1591</v>
      </c>
      <c r="E351" s="16" t="s">
        <v>419</v>
      </c>
      <c r="F351" s="200" t="s">
        <v>240</v>
      </c>
      <c r="G351" s="189" t="str">
        <f>IFERROR(VLOOKUP(C351,#REF!,4,FALSE),"")</f>
        <v/>
      </c>
      <c r="H351" s="248">
        <f>VLOOKUP(C351,Dados!B:AW,11,0)</f>
        <v>1</v>
      </c>
      <c r="I351" s="16" t="str">
        <f>(VLOOKUP(C351,Dados!B:AW,48,0))</f>
        <v>Fase de Vida Útil</v>
      </c>
      <c r="J351" s="189" t="s">
        <v>735</v>
      </c>
      <c r="K351" s="177">
        <f>IFERROR((VLOOKUP(C351,Dados!B:AW,44,0)),0)</f>
        <v>0</v>
      </c>
      <c r="L351" s="177">
        <f>IFERROR((VLOOKUP(C351,Dados!B:AW,45,0)),0)</f>
        <v>0</v>
      </c>
      <c r="M351" s="177">
        <f>IFERROR((VLOOKUP(C351,Dados!B:AW,43,0)),0)</f>
        <v>0</v>
      </c>
      <c r="N351" s="179">
        <f>IFERROR((VLOOKUP(C351,Dados!B:AW,47,0)),0)</f>
        <v>0</v>
      </c>
      <c r="O351" s="197">
        <f t="shared" si="16"/>
        <v>2</v>
      </c>
      <c r="P351" s="1">
        <f t="shared" si="17"/>
        <v>0</v>
      </c>
      <c r="Q351" s="221"/>
      <c r="AC351">
        <v>2</v>
      </c>
      <c r="AD351">
        <v>2</v>
      </c>
      <c r="AE351">
        <v>1</v>
      </c>
      <c r="AH351" t="s">
        <v>1038</v>
      </c>
      <c r="AI351" t="str">
        <f t="shared" si="15"/>
        <v>GRV008*</v>
      </c>
    </row>
    <row r="352" spans="1:35" ht="26.25" customHeight="1" x14ac:dyDescent="0.3">
      <c r="A352"/>
      <c r="B352" s="16">
        <v>603</v>
      </c>
      <c r="C352" s="16" t="s">
        <v>1160</v>
      </c>
      <c r="D352" s="16" t="s">
        <v>1591</v>
      </c>
      <c r="E352" s="16" t="s">
        <v>419</v>
      </c>
      <c r="F352" s="200" t="s">
        <v>1161</v>
      </c>
      <c r="G352" s="189" t="str">
        <f>IFERROR(VLOOKUP(C352,#REF!,4,FALSE),"")</f>
        <v/>
      </c>
      <c r="H352" s="249">
        <f>VLOOKUP(C352,Dados!B:AW,11,0)</f>
        <v>0.91</v>
      </c>
      <c r="I352" s="16" t="str">
        <f>(VLOOKUP(C352,Dados!B:AW,48,0))</f>
        <v>Confiabilidade em Crescimento</v>
      </c>
      <c r="J352" s="189" t="s">
        <v>735</v>
      </c>
      <c r="K352" s="177">
        <f>IFERROR((VLOOKUP(C352,Dados!B:AW,44,0)),0)</f>
        <v>0</v>
      </c>
      <c r="L352" s="177">
        <f>IFERROR((VLOOKUP(C352,Dados!B:AW,45,0)),0)</f>
        <v>0</v>
      </c>
      <c r="M352" s="177">
        <f>IFERROR((VLOOKUP(C352,Dados!B:AW,43,0)),0)</f>
        <v>0</v>
      </c>
      <c r="N352" s="179">
        <f>IFERROR((VLOOKUP(C352,Dados!B:AW,47,0)),0)</f>
        <v>0</v>
      </c>
      <c r="O352" s="197">
        <f t="shared" si="16"/>
        <v>2</v>
      </c>
      <c r="P352" s="1">
        <f t="shared" si="17"/>
        <v>0</v>
      </c>
      <c r="Q352" s="221"/>
      <c r="AC352">
        <v>2</v>
      </c>
      <c r="AD352">
        <v>2</v>
      </c>
      <c r="AE352">
        <v>2</v>
      </c>
      <c r="AH352" t="s">
        <v>320</v>
      </c>
      <c r="AI352" t="str">
        <f t="shared" si="15"/>
        <v>INJ061*</v>
      </c>
    </row>
    <row r="353" spans="1:35" ht="26.25" customHeight="1" x14ac:dyDescent="0.3">
      <c r="A353"/>
      <c r="B353" s="16">
        <v>388</v>
      </c>
      <c r="C353" s="16" t="s">
        <v>1054</v>
      </c>
      <c r="D353" s="16" t="s">
        <v>1591</v>
      </c>
      <c r="E353" s="16" t="s">
        <v>1054</v>
      </c>
      <c r="F353" s="200" t="s">
        <v>1055</v>
      </c>
      <c r="G353" s="189" t="str">
        <f>IFERROR(VLOOKUP(C353,#REF!,4,FALSE),"")</f>
        <v/>
      </c>
      <c r="H353" s="250">
        <f>VLOOKUP(C353,Dados!B:AW,11,0)</f>
        <v>2.0099999999999998</v>
      </c>
      <c r="I353" s="16" t="str">
        <f>(VLOOKUP(C353,Dados!B:AW,48,0))</f>
        <v>Fase de Degradação</v>
      </c>
      <c r="J353" s="189" t="s">
        <v>735</v>
      </c>
      <c r="K353" s="177">
        <f>IFERROR((VLOOKUP(C353,Dados!B:AW,44,0)),0)</f>
        <v>0</v>
      </c>
      <c r="L353" s="177">
        <f>IFERROR((VLOOKUP(C353,Dados!B:AW,45,0)),0)</f>
        <v>0</v>
      </c>
      <c r="M353" s="177">
        <f>IFERROR((VLOOKUP(C353,Dados!B:AW,43,0)),0)</f>
        <v>0</v>
      </c>
      <c r="N353" s="179">
        <f>IFERROR((VLOOKUP(C353,Dados!B:AW,47,0)),0)</f>
        <v>0</v>
      </c>
      <c r="O353" s="197">
        <f t="shared" si="16"/>
        <v>1</v>
      </c>
      <c r="P353" s="1">
        <f t="shared" si="17"/>
        <v>0</v>
      </c>
      <c r="Q353" s="221"/>
      <c r="AC353">
        <v>2</v>
      </c>
      <c r="AD353">
        <v>2</v>
      </c>
      <c r="AE353">
        <v>2</v>
      </c>
      <c r="AH353" t="s">
        <v>309</v>
      </c>
      <c r="AI353" t="str">
        <f t="shared" si="15"/>
        <v>ROB009*</v>
      </c>
    </row>
    <row r="354" spans="1:35" ht="26.25" customHeight="1" x14ac:dyDescent="0.3">
      <c r="A354"/>
      <c r="B354" s="16">
        <v>616</v>
      </c>
      <c r="C354" s="16" t="s">
        <v>1184</v>
      </c>
      <c r="D354" s="16" t="s">
        <v>1591</v>
      </c>
      <c r="E354" s="16" t="s">
        <v>1054</v>
      </c>
      <c r="F354" s="200" t="s">
        <v>1185</v>
      </c>
      <c r="G354" s="189" t="str">
        <f>IFERROR(VLOOKUP(C354,#REF!,4,FALSE),"")</f>
        <v/>
      </c>
      <c r="H354" s="249">
        <f>VLOOKUP(C354,Dados!B:AW,11,0)</f>
        <v>0.8</v>
      </c>
      <c r="I354" s="16" t="str">
        <f>(VLOOKUP(C354,Dados!B:AW,48,0))</f>
        <v>Confiabilidade em Crescimento</v>
      </c>
      <c r="J354" s="189" t="s">
        <v>735</v>
      </c>
      <c r="K354" s="177">
        <f>IFERROR((VLOOKUP(C354,Dados!B:AW,44,0)),0)</f>
        <v>0</v>
      </c>
      <c r="L354" s="177">
        <f>IFERROR((VLOOKUP(C354,Dados!B:AW,45,0)),0)</f>
        <v>0</v>
      </c>
      <c r="M354" s="177">
        <f>IFERROR((VLOOKUP(C354,Dados!B:AW,43,0)),0)</f>
        <v>0</v>
      </c>
      <c r="N354" s="179">
        <f>IFERROR((VLOOKUP(C354,Dados!B:AW,47,0)),0)</f>
        <v>0</v>
      </c>
      <c r="O354" s="197">
        <f t="shared" si="16"/>
        <v>2</v>
      </c>
      <c r="P354" s="1">
        <f t="shared" si="17"/>
        <v>0</v>
      </c>
      <c r="Q354" s="221"/>
      <c r="AC354">
        <v>2</v>
      </c>
      <c r="AD354">
        <v>2</v>
      </c>
      <c r="AE354">
        <v>2</v>
      </c>
      <c r="AH354" t="s">
        <v>1190</v>
      </c>
      <c r="AI354" t="str">
        <f t="shared" si="15"/>
        <v>ROL001*</v>
      </c>
    </row>
    <row r="355" spans="1:35" ht="26.25" customHeight="1" x14ac:dyDescent="0.3">
      <c r="A355"/>
      <c r="B355" s="16">
        <v>389</v>
      </c>
      <c r="C355" s="16" t="s">
        <v>1056</v>
      </c>
      <c r="D355" s="16" t="s">
        <v>1591</v>
      </c>
      <c r="E355" s="16" t="s">
        <v>1056</v>
      </c>
      <c r="F355" s="200" t="s">
        <v>1057</v>
      </c>
      <c r="G355" s="189" t="str">
        <f>IFERROR(VLOOKUP(C355,#REF!,4,FALSE),"")</f>
        <v/>
      </c>
      <c r="H355" s="250">
        <f>VLOOKUP(C355,Dados!B:AW,11,0)</f>
        <v>1.27</v>
      </c>
      <c r="I355" s="16" t="str">
        <f>(VLOOKUP(C355,Dados!B:AW,48,0))</f>
        <v>Fase de Degradação</v>
      </c>
      <c r="J355" s="189" t="s">
        <v>735</v>
      </c>
      <c r="K355" s="177">
        <f>IFERROR((VLOOKUP(C355,Dados!B:AW,44,0)),0)</f>
        <v>0</v>
      </c>
      <c r="L355" s="177">
        <f>IFERROR((VLOOKUP(C355,Dados!B:AW,45,0)),0)</f>
        <v>0</v>
      </c>
      <c r="M355" s="177">
        <f>IFERROR((VLOOKUP(C355,Dados!B:AW,43,0)),0)</f>
        <v>0</v>
      </c>
      <c r="N355" s="179">
        <f>IFERROR((VLOOKUP(C355,Dados!B:AW,47,0)),0)</f>
        <v>0</v>
      </c>
      <c r="O355" s="197">
        <f t="shared" si="16"/>
        <v>1</v>
      </c>
      <c r="P355" s="1">
        <f t="shared" si="17"/>
        <v>0</v>
      </c>
      <c r="Q355" s="221"/>
      <c r="AC355">
        <v>2</v>
      </c>
      <c r="AD355">
        <v>2</v>
      </c>
      <c r="AE355">
        <v>2</v>
      </c>
      <c r="AH355" t="s">
        <v>551</v>
      </c>
      <c r="AI355" t="str">
        <f t="shared" si="15"/>
        <v>BRU053*</v>
      </c>
    </row>
    <row r="356" spans="1:35" ht="26.25" customHeight="1" x14ac:dyDescent="0.3">
      <c r="A356"/>
      <c r="B356" s="16">
        <v>618</v>
      </c>
      <c r="C356" s="16" t="s">
        <v>1188</v>
      </c>
      <c r="D356" s="16" t="s">
        <v>1591</v>
      </c>
      <c r="E356" s="16" t="s">
        <v>1056</v>
      </c>
      <c r="F356" s="200" t="s">
        <v>1189</v>
      </c>
      <c r="G356" s="189" t="str">
        <f>IFERROR(VLOOKUP(C356,#REF!,4,FALSE),"")</f>
        <v/>
      </c>
      <c r="H356" s="249">
        <f>VLOOKUP(C356,Dados!B:AW,11,0)</f>
        <v>1.07</v>
      </c>
      <c r="I356" s="16" t="str">
        <f>(VLOOKUP(C356,Dados!B:AW,48,0))</f>
        <v>Fase de Vida Útil</v>
      </c>
      <c r="J356" s="189" t="s">
        <v>735</v>
      </c>
      <c r="K356" s="177">
        <f>IFERROR((VLOOKUP(C356,Dados!B:AW,44,0)),0)</f>
        <v>0</v>
      </c>
      <c r="L356" s="177">
        <f>IFERROR((VLOOKUP(C356,Dados!B:AW,45,0)),0)</f>
        <v>0</v>
      </c>
      <c r="M356" s="177">
        <f>IFERROR((VLOOKUP(C356,Dados!B:AW,43,0)),0)</f>
        <v>0</v>
      </c>
      <c r="N356" s="179">
        <f>IFERROR((VLOOKUP(C356,Dados!B:AW,47,0)),0)</f>
        <v>0</v>
      </c>
      <c r="O356" s="197">
        <f t="shared" si="16"/>
        <v>2</v>
      </c>
      <c r="P356" s="1">
        <f t="shared" si="17"/>
        <v>0</v>
      </c>
      <c r="Q356" s="221"/>
      <c r="AC356">
        <v>2</v>
      </c>
      <c r="AD356">
        <v>2</v>
      </c>
      <c r="AE356">
        <v>2</v>
      </c>
      <c r="AH356" t="s">
        <v>934</v>
      </c>
      <c r="AI356" t="str">
        <f t="shared" si="15"/>
        <v>CAB118*</v>
      </c>
    </row>
    <row r="357" spans="1:35" ht="26.25" customHeight="1" x14ac:dyDescent="0.3">
      <c r="A357"/>
      <c r="B357" s="16">
        <v>390</v>
      </c>
      <c r="C357" s="16" t="s">
        <v>1058</v>
      </c>
      <c r="D357" s="16" t="s">
        <v>1591</v>
      </c>
      <c r="E357" s="16" t="s">
        <v>1058</v>
      </c>
      <c r="F357" s="200" t="s">
        <v>1059</v>
      </c>
      <c r="G357" s="189" t="str">
        <f>IFERROR(VLOOKUP(C357,#REF!,4,FALSE),"")</f>
        <v/>
      </c>
      <c r="H357" s="250">
        <f>VLOOKUP(C357,Dados!B:AW,11,0)</f>
        <v>1.43</v>
      </c>
      <c r="I357" s="16" t="str">
        <f>(VLOOKUP(C357,Dados!B:AW,48,0))</f>
        <v>Fase de Degradação</v>
      </c>
      <c r="J357" s="189" t="s">
        <v>735</v>
      </c>
      <c r="K357" s="177">
        <f>IFERROR((VLOOKUP(C357,Dados!B:AW,44,0)),0)</f>
        <v>0</v>
      </c>
      <c r="L357" s="177">
        <f>IFERROR((VLOOKUP(C357,Dados!B:AW,45,0)),0)</f>
        <v>0</v>
      </c>
      <c r="M357" s="177">
        <f>IFERROR((VLOOKUP(C357,Dados!B:AW,43,0)),0)</f>
        <v>0</v>
      </c>
      <c r="N357" s="179">
        <f>IFERROR((VLOOKUP(C357,Dados!B:AW,47,0)),0)</f>
        <v>0</v>
      </c>
      <c r="O357" s="197">
        <f t="shared" si="16"/>
        <v>1</v>
      </c>
      <c r="P357" s="1">
        <f t="shared" si="17"/>
        <v>0</v>
      </c>
      <c r="Q357" s="221"/>
      <c r="AC357">
        <v>2</v>
      </c>
      <c r="AD357">
        <v>2</v>
      </c>
      <c r="AE357">
        <v>2</v>
      </c>
      <c r="AH357" t="s">
        <v>396</v>
      </c>
      <c r="AI357" t="str">
        <f t="shared" si="15"/>
        <v>INJ037*</v>
      </c>
    </row>
    <row r="358" spans="1:35" ht="26.25" customHeight="1" x14ac:dyDescent="0.3">
      <c r="A358"/>
      <c r="B358" s="16">
        <v>617</v>
      </c>
      <c r="C358" s="16" t="s">
        <v>1186</v>
      </c>
      <c r="D358" s="16" t="s">
        <v>1591</v>
      </c>
      <c r="E358" s="16" t="s">
        <v>1058</v>
      </c>
      <c r="F358" s="200" t="s">
        <v>1187</v>
      </c>
      <c r="G358" s="189" t="str">
        <f>IFERROR(VLOOKUP(C358,#REF!,4,FALSE),"")</f>
        <v/>
      </c>
      <c r="H358" s="249">
        <f>VLOOKUP(C358,Dados!B:AW,11,0)</f>
        <v>3.05</v>
      </c>
      <c r="I358" s="16" t="str">
        <f>(VLOOKUP(C358,Dados!B:AW,48,0))</f>
        <v>Fase de Degradação</v>
      </c>
      <c r="J358" s="189" t="s">
        <v>735</v>
      </c>
      <c r="K358" s="177">
        <f>IFERROR((VLOOKUP(C358,Dados!B:AW,44,0)),0)</f>
        <v>0</v>
      </c>
      <c r="L358" s="177">
        <f>IFERROR((VLOOKUP(C358,Dados!B:AW,45,0)),0)</f>
        <v>0</v>
      </c>
      <c r="M358" s="177">
        <f>IFERROR((VLOOKUP(C358,Dados!B:AW,43,0)),0)</f>
        <v>0</v>
      </c>
      <c r="N358" s="179">
        <f>IFERROR((VLOOKUP(C358,Dados!B:AW,47,0)),0)</f>
        <v>0</v>
      </c>
      <c r="O358" s="197">
        <f t="shared" si="16"/>
        <v>1</v>
      </c>
      <c r="P358" s="1">
        <f t="shared" si="17"/>
        <v>0</v>
      </c>
      <c r="Q358" s="221"/>
      <c r="AC358">
        <v>2</v>
      </c>
      <c r="AD358">
        <v>2</v>
      </c>
      <c r="AE358">
        <v>2</v>
      </c>
      <c r="AH358" t="s">
        <v>831</v>
      </c>
      <c r="AI358" t="str">
        <f t="shared" si="15"/>
        <v>RET031*</v>
      </c>
    </row>
    <row r="359" spans="1:35" ht="26.25" customHeight="1" x14ac:dyDescent="0.3">
      <c r="A359"/>
      <c r="B359" s="16">
        <v>391</v>
      </c>
      <c r="C359" s="16" t="s">
        <v>320</v>
      </c>
      <c r="D359" s="16" t="s">
        <v>1583</v>
      </c>
      <c r="E359" s="16" t="s">
        <v>320</v>
      </c>
      <c r="F359" s="200" t="s">
        <v>141</v>
      </c>
      <c r="G359" s="189" t="str">
        <f>IFERROR(VLOOKUP(C359,#REF!,4,FALSE),"")</f>
        <v/>
      </c>
      <c r="H359" s="250">
        <f>VLOOKUP(C359,Dados!B:AW,11,0)</f>
        <v>1.03</v>
      </c>
      <c r="I359" s="16" t="str">
        <f>(VLOOKUP(C359,Dados!B:AW,48,0))</f>
        <v>Fase de Vida Útil</v>
      </c>
      <c r="J359" s="189" t="s">
        <v>735</v>
      </c>
      <c r="K359" s="177">
        <f>IFERROR((VLOOKUP(C359,Dados!B:AW,44,0)),0)</f>
        <v>0</v>
      </c>
      <c r="L359" s="177">
        <f>IFERROR((VLOOKUP(C359,Dados!B:AW,45,0)),0)</f>
        <v>0</v>
      </c>
      <c r="M359" s="177">
        <f>IFERROR((VLOOKUP(C359,Dados!B:AW,43,0)),0)</f>
        <v>0</v>
      </c>
      <c r="N359" s="179">
        <f>IFERROR((VLOOKUP(C359,Dados!B:AW,47,0)),0)</f>
        <v>0</v>
      </c>
      <c r="O359" s="197">
        <f t="shared" si="16"/>
        <v>2</v>
      </c>
      <c r="P359" s="1">
        <f t="shared" si="17"/>
        <v>0</v>
      </c>
      <c r="Q359" s="221"/>
      <c r="AC359">
        <v>2</v>
      </c>
      <c r="AD359">
        <v>2</v>
      </c>
      <c r="AE359">
        <v>2</v>
      </c>
      <c r="AH359" t="s">
        <v>753</v>
      </c>
      <c r="AI359" t="str">
        <f t="shared" si="15"/>
        <v>CAB031*</v>
      </c>
    </row>
    <row r="360" spans="1:35" ht="26.25" customHeight="1" x14ac:dyDescent="0.3">
      <c r="A360"/>
      <c r="B360" s="16">
        <v>557</v>
      </c>
      <c r="C360" s="16" t="s">
        <v>461</v>
      </c>
      <c r="D360" s="16" t="s">
        <v>1583</v>
      </c>
      <c r="E360" s="16" t="s">
        <v>320</v>
      </c>
      <c r="F360" s="200" t="s">
        <v>489</v>
      </c>
      <c r="G360" s="189" t="str">
        <f>IFERROR(VLOOKUP(C360,#REF!,4,FALSE),"")</f>
        <v/>
      </c>
      <c r="H360" s="249">
        <f>VLOOKUP(C360,Dados!B:AW,11,0)</f>
        <v>1.55</v>
      </c>
      <c r="I360" s="16" t="str">
        <f>(VLOOKUP(C360,Dados!B:AW,48,0))</f>
        <v>Fase de Degradação</v>
      </c>
      <c r="J360" s="189" t="s">
        <v>735</v>
      </c>
      <c r="K360" s="177">
        <f>IFERROR((VLOOKUP(C360,Dados!B:AW,44,0)),0)</f>
        <v>0</v>
      </c>
      <c r="L360" s="177">
        <f>IFERROR((VLOOKUP(C360,Dados!B:AW,45,0)),0)</f>
        <v>0</v>
      </c>
      <c r="M360" s="177">
        <f>IFERROR((VLOOKUP(C360,Dados!B:AW,43,0)),0)</f>
        <v>0</v>
      </c>
      <c r="N360" s="179">
        <f>IFERROR((VLOOKUP(C360,Dados!B:AW,47,0)),0)</f>
        <v>0</v>
      </c>
      <c r="O360" s="197">
        <f t="shared" si="16"/>
        <v>1</v>
      </c>
      <c r="P360" s="1">
        <f t="shared" si="17"/>
        <v>0</v>
      </c>
      <c r="Q360" s="221"/>
      <c r="AC360">
        <v>1</v>
      </c>
      <c r="AD360">
        <v>1</v>
      </c>
      <c r="AE360">
        <v>1</v>
      </c>
      <c r="AH360" t="s">
        <v>936</v>
      </c>
      <c r="AI360" t="str">
        <f t="shared" si="15"/>
        <v>CAB119*</v>
      </c>
    </row>
    <row r="361" spans="1:35" ht="26.25" customHeight="1" x14ac:dyDescent="0.3">
      <c r="A361"/>
      <c r="B361" s="16">
        <v>593</v>
      </c>
      <c r="C361" s="16" t="s">
        <v>843</v>
      </c>
      <c r="D361" s="16" t="s">
        <v>1583</v>
      </c>
      <c r="E361" s="16" t="s">
        <v>320</v>
      </c>
      <c r="F361" s="200" t="s">
        <v>844</v>
      </c>
      <c r="G361" s="189" t="str">
        <f>IFERROR(VLOOKUP(C361,#REF!,4,FALSE),"")</f>
        <v/>
      </c>
      <c r="H361" s="249">
        <f>VLOOKUP(C361,Dados!B:AW,11,0)</f>
        <v>1.42</v>
      </c>
      <c r="I361" s="16" t="str">
        <f>(VLOOKUP(C361,Dados!B:AW,48,0))</f>
        <v>Fase de Degradação</v>
      </c>
      <c r="J361" s="189" t="s">
        <v>735</v>
      </c>
      <c r="K361" s="177">
        <f>IFERROR((VLOOKUP(C361,Dados!B:AW,44,0)),0)</f>
        <v>0</v>
      </c>
      <c r="L361" s="177">
        <f>IFERROR((VLOOKUP(C361,Dados!B:AW,45,0)),0)</f>
        <v>0</v>
      </c>
      <c r="M361" s="177">
        <f>IFERROR((VLOOKUP(C361,Dados!B:AW,43,0)),0)</f>
        <v>0</v>
      </c>
      <c r="N361" s="179">
        <f>IFERROR((VLOOKUP(C361,Dados!B:AW,47,0)),0)</f>
        <v>0</v>
      </c>
      <c r="O361" s="197">
        <f t="shared" si="16"/>
        <v>1</v>
      </c>
      <c r="P361" s="1">
        <f t="shared" si="17"/>
        <v>0</v>
      </c>
      <c r="Q361" s="221"/>
      <c r="AC361">
        <v>-1</v>
      </c>
      <c r="AD361">
        <v>2</v>
      </c>
      <c r="AE361">
        <v>2</v>
      </c>
      <c r="AH361" t="s">
        <v>855</v>
      </c>
      <c r="AI361" t="str">
        <f t="shared" si="15"/>
        <v>SOP003*</v>
      </c>
    </row>
    <row r="362" spans="1:35" ht="26.25" customHeight="1" x14ac:dyDescent="0.3">
      <c r="A362"/>
      <c r="B362" s="16">
        <v>356</v>
      </c>
      <c r="C362" s="16" t="s">
        <v>1836</v>
      </c>
      <c r="D362" s="16" t="s">
        <v>1583</v>
      </c>
      <c r="E362" s="16" t="s">
        <v>317</v>
      </c>
      <c r="F362" s="200" t="s">
        <v>1705</v>
      </c>
      <c r="G362" s="189" t="str">
        <f>IFERROR(VLOOKUP(C362,#REF!,4,FALSE),"")</f>
        <v/>
      </c>
      <c r="H362" s="248">
        <f>VLOOKUP(C362,Dados!B:AW,11,0)</f>
        <v>1</v>
      </c>
      <c r="I362" s="16" t="str">
        <f>(VLOOKUP(C362,Dados!B:AW,48,0))</f>
        <v>Fase de Vida Útil</v>
      </c>
      <c r="J362" s="189" t="s">
        <v>735</v>
      </c>
      <c r="K362" s="177">
        <f>IFERROR((VLOOKUP(C362,Dados!B:AW,44,0)),0)</f>
        <v>0</v>
      </c>
      <c r="L362" s="177">
        <f>IFERROR((VLOOKUP(C362,Dados!B:AW,45,0)),0)</f>
        <v>0</v>
      </c>
      <c r="M362" s="177">
        <f>IFERROR((VLOOKUP(C362,Dados!B:AW,43,0)),0)</f>
        <v>0</v>
      </c>
      <c r="N362" s="179">
        <f>IFERROR((VLOOKUP(C362,Dados!B:AW,47,0)),0)</f>
        <v>0</v>
      </c>
      <c r="O362" s="197">
        <f t="shared" si="16"/>
        <v>2</v>
      </c>
      <c r="P362" s="1">
        <f t="shared" si="17"/>
        <v>0</v>
      </c>
      <c r="Q362" s="221"/>
      <c r="AC362">
        <v>2</v>
      </c>
      <c r="AD362">
        <v>2</v>
      </c>
      <c r="AE362">
        <v>1</v>
      </c>
      <c r="AH362" t="s">
        <v>1062</v>
      </c>
      <c r="AI362" t="str">
        <f t="shared" si="15"/>
        <v>INJ072*</v>
      </c>
    </row>
    <row r="363" spans="1:35" ht="26.25" customHeight="1" x14ac:dyDescent="0.3">
      <c r="A363"/>
      <c r="B363" s="16">
        <v>392</v>
      </c>
      <c r="C363" s="16" t="s">
        <v>317</v>
      </c>
      <c r="D363" s="16" t="s">
        <v>1583</v>
      </c>
      <c r="E363" s="16" t="s">
        <v>317</v>
      </c>
      <c r="F363" s="200" t="s">
        <v>138</v>
      </c>
      <c r="G363" s="189" t="str">
        <f>IFERROR(VLOOKUP(C363,#REF!,4,FALSE),"")</f>
        <v/>
      </c>
      <c r="H363" s="248">
        <f>VLOOKUP(C363,Dados!B:AW,11,0)</f>
        <v>0.95</v>
      </c>
      <c r="I363" s="16" t="str">
        <f>(VLOOKUP(C363,Dados!B:AW,48,0))</f>
        <v>Confiabilidade em Crescimento</v>
      </c>
      <c r="J363" s="189" t="s">
        <v>735</v>
      </c>
      <c r="K363" s="177">
        <f>IFERROR((VLOOKUP(C363,Dados!B:AW,44,0)),0)</f>
        <v>0</v>
      </c>
      <c r="L363" s="177">
        <f>IFERROR((VLOOKUP(C363,Dados!B:AW,45,0)),0)</f>
        <v>0</v>
      </c>
      <c r="M363" s="177">
        <f>IFERROR((VLOOKUP(C363,Dados!B:AW,43,0)),0)</f>
        <v>0</v>
      </c>
      <c r="N363" s="179">
        <f>IFERROR((VLOOKUP(C363,Dados!B:AW,47,0)),0)</f>
        <v>0</v>
      </c>
      <c r="O363" s="197">
        <f t="shared" si="16"/>
        <v>2</v>
      </c>
      <c r="P363" s="1">
        <f t="shared" si="17"/>
        <v>0</v>
      </c>
      <c r="Q363" s="221"/>
      <c r="AC363">
        <v>-1</v>
      </c>
      <c r="AD363">
        <v>-1</v>
      </c>
      <c r="AE363">
        <v>-1</v>
      </c>
      <c r="AH363" t="s">
        <v>38</v>
      </c>
      <c r="AI363" t="str">
        <f t="shared" si="15"/>
        <v>LAS001*</v>
      </c>
    </row>
    <row r="364" spans="1:35" ht="26.25" customHeight="1" x14ac:dyDescent="0.3">
      <c r="A364"/>
      <c r="B364" s="16">
        <v>567</v>
      </c>
      <c r="C364" s="16" t="s">
        <v>470</v>
      </c>
      <c r="D364" s="16" t="s">
        <v>1583</v>
      </c>
      <c r="E364" s="16" t="s">
        <v>317</v>
      </c>
      <c r="F364" s="200" t="s">
        <v>498</v>
      </c>
      <c r="G364" s="189" t="str">
        <f>IFERROR(VLOOKUP(C364,#REF!,4,FALSE),"")</f>
        <v/>
      </c>
      <c r="H364" s="249">
        <f>VLOOKUP(C364,Dados!B:AW,11,0)</f>
        <v>3.95</v>
      </c>
      <c r="I364" s="16" t="str">
        <f>(VLOOKUP(C364,Dados!B:AW,48,0))</f>
        <v>Fase de Degradação</v>
      </c>
      <c r="J364" s="189" t="s">
        <v>735</v>
      </c>
      <c r="K364" s="177">
        <f>IFERROR((VLOOKUP(C364,Dados!B:AW,44,0)),0)</f>
        <v>0</v>
      </c>
      <c r="L364" s="177">
        <f>IFERROR((VLOOKUP(C364,Dados!B:AW,45,0)),0)</f>
        <v>0</v>
      </c>
      <c r="M364" s="177">
        <f>IFERROR((VLOOKUP(C364,Dados!B:AW,43,0)),0)</f>
        <v>0</v>
      </c>
      <c r="N364" s="179">
        <f>IFERROR((VLOOKUP(C364,Dados!B:AW,47,0)),0)</f>
        <v>0</v>
      </c>
      <c r="O364" s="197">
        <f t="shared" si="16"/>
        <v>1</v>
      </c>
      <c r="P364" s="1">
        <f t="shared" si="17"/>
        <v>0</v>
      </c>
      <c r="Q364" s="221"/>
      <c r="AC364">
        <v>-1</v>
      </c>
      <c r="AD364">
        <v>2</v>
      </c>
      <c r="AE364">
        <v>2</v>
      </c>
      <c r="AH364" t="s">
        <v>523</v>
      </c>
      <c r="AI364" t="str">
        <f t="shared" si="15"/>
        <v>BRU008*</v>
      </c>
    </row>
    <row r="365" spans="1:35" ht="26.25" customHeight="1" x14ac:dyDescent="0.3">
      <c r="A365"/>
      <c r="B365" s="16">
        <v>614</v>
      </c>
      <c r="C365" s="16" t="s">
        <v>1180</v>
      </c>
      <c r="D365" s="16" t="s">
        <v>1583</v>
      </c>
      <c r="E365" s="16" t="s">
        <v>317</v>
      </c>
      <c r="F365" s="200" t="s">
        <v>1181</v>
      </c>
      <c r="G365" s="189" t="str">
        <f>IFERROR(VLOOKUP(C365,#REF!,4,FALSE),"")</f>
        <v/>
      </c>
      <c r="H365" s="249">
        <f>VLOOKUP(C365,Dados!B:AW,11,0)</f>
        <v>1</v>
      </c>
      <c r="I365" s="16" t="str">
        <f>(VLOOKUP(C365,Dados!B:AW,48,0))</f>
        <v>Fase de Vida Útil</v>
      </c>
      <c r="J365" s="189" t="s">
        <v>735</v>
      </c>
      <c r="K365" s="177">
        <f>IFERROR((VLOOKUP(C365,Dados!B:AW,44,0)),0)</f>
        <v>0</v>
      </c>
      <c r="L365" s="177">
        <f>IFERROR((VLOOKUP(C365,Dados!B:AW,45,0)),0)</f>
        <v>0</v>
      </c>
      <c r="M365" s="177">
        <f>IFERROR((VLOOKUP(C365,Dados!B:AW,43,0)),0)</f>
        <v>0</v>
      </c>
      <c r="N365" s="179">
        <f>IFERROR((VLOOKUP(C365,Dados!B:AW,47,0)),0)</f>
        <v>0</v>
      </c>
      <c r="O365" s="197">
        <f t="shared" si="16"/>
        <v>2</v>
      </c>
      <c r="P365" s="1">
        <f t="shared" si="17"/>
        <v>0</v>
      </c>
      <c r="Q365" s="221"/>
      <c r="AC365">
        <v>-1</v>
      </c>
      <c r="AD365">
        <v>-1</v>
      </c>
      <c r="AE365">
        <v>-1</v>
      </c>
      <c r="AH365" t="s">
        <v>948</v>
      </c>
      <c r="AI365" t="str">
        <f t="shared" si="15"/>
        <v>CAB126*</v>
      </c>
    </row>
    <row r="366" spans="1:35" ht="26.25" customHeight="1" x14ac:dyDescent="0.3">
      <c r="A366"/>
      <c r="B366" s="16">
        <v>632</v>
      </c>
      <c r="C366" s="16" t="s">
        <v>1878</v>
      </c>
      <c r="D366" s="16" t="s">
        <v>1583</v>
      </c>
      <c r="E366" s="16" t="s">
        <v>317</v>
      </c>
      <c r="F366" s="200" t="s">
        <v>1747</v>
      </c>
      <c r="G366" s="189" t="str">
        <f>IFERROR(VLOOKUP(C366,#REF!,4,FALSE),"")</f>
        <v/>
      </c>
      <c r="H366" s="249">
        <f>VLOOKUP(C366,Dados!B:AW,11,0)</f>
        <v>0</v>
      </c>
      <c r="I366" s="16">
        <f>(VLOOKUP(C366,Dados!B:AW,48,0))</f>
        <v>0</v>
      </c>
      <c r="J366" s="189" t="s">
        <v>735</v>
      </c>
      <c r="K366" s="177">
        <f>IFERROR((VLOOKUP(C366,Dados!B:AW,44,0)),0)</f>
        <v>0</v>
      </c>
      <c r="L366" s="177">
        <f>IFERROR((VLOOKUP(C366,Dados!B:AW,45,0)),0)</f>
        <v>0</v>
      </c>
      <c r="M366" s="177">
        <f>IFERROR((VLOOKUP(C366,Dados!B:AW,43,0)),0)</f>
        <v>0</v>
      </c>
      <c r="N366" s="179">
        <f>IFERROR((VLOOKUP(C366,Dados!B:AW,47,0)),0)</f>
        <v>0</v>
      </c>
      <c r="O366" s="197">
        <f t="shared" si="16"/>
        <v>2</v>
      </c>
      <c r="P366" s="1">
        <f t="shared" si="17"/>
        <v>0</v>
      </c>
      <c r="Q366" s="221"/>
      <c r="AC366">
        <v>2</v>
      </c>
      <c r="AD366">
        <v>2</v>
      </c>
      <c r="AE366">
        <v>1</v>
      </c>
      <c r="AH366" t="s">
        <v>789</v>
      </c>
      <c r="AI366" t="str">
        <f t="shared" si="15"/>
        <v>FIL058*</v>
      </c>
    </row>
    <row r="367" spans="1:35" ht="26.25" customHeight="1" x14ac:dyDescent="0.3">
      <c r="A367"/>
      <c r="B367" s="16">
        <v>393</v>
      </c>
      <c r="C367" s="16" t="s">
        <v>321</v>
      </c>
      <c r="D367" s="16" t="s">
        <v>1583</v>
      </c>
      <c r="E367" s="16" t="s">
        <v>321</v>
      </c>
      <c r="F367" s="200" t="s">
        <v>142</v>
      </c>
      <c r="G367" s="189" t="str">
        <f>IFERROR(VLOOKUP(C367,#REF!,4,FALSE),"")</f>
        <v/>
      </c>
      <c r="H367" s="249">
        <f>VLOOKUP(C367,Dados!B:AW,11,0)</f>
        <v>0.99</v>
      </c>
      <c r="I367" s="16" t="str">
        <f>(VLOOKUP(C367,Dados!B:AW,48,0))</f>
        <v>Confiabilidade em Crescimento</v>
      </c>
      <c r="J367" s="189" t="s">
        <v>735</v>
      </c>
      <c r="K367" s="177">
        <f>IFERROR((VLOOKUP(C367,Dados!B:AW,44,0)),0)</f>
        <v>0</v>
      </c>
      <c r="L367" s="177">
        <f>IFERROR((VLOOKUP(C367,Dados!B:AW,45,0)),0)</f>
        <v>0</v>
      </c>
      <c r="M367" s="177">
        <f>IFERROR((VLOOKUP(C367,Dados!B:AW,43,0)),0)</f>
        <v>0</v>
      </c>
      <c r="N367" s="179">
        <f>IFERROR((VLOOKUP(C367,Dados!B:AW,47,0)),0)</f>
        <v>0</v>
      </c>
      <c r="O367" s="197">
        <f t="shared" si="16"/>
        <v>2</v>
      </c>
      <c r="P367" s="1">
        <f t="shared" si="17"/>
        <v>0</v>
      </c>
      <c r="Q367" s="221"/>
      <c r="AC367">
        <v>-1</v>
      </c>
      <c r="AD367">
        <v>-1</v>
      </c>
      <c r="AE367">
        <v>-1</v>
      </c>
      <c r="AH367" t="s">
        <v>113</v>
      </c>
      <c r="AI367" t="str">
        <f t="shared" si="15"/>
        <v>FOR016*</v>
      </c>
    </row>
    <row r="368" spans="1:35" ht="26.25" customHeight="1" x14ac:dyDescent="0.3">
      <c r="A368"/>
      <c r="B368" s="16">
        <v>559</v>
      </c>
      <c r="C368" s="16" t="s">
        <v>463</v>
      </c>
      <c r="D368" s="16" t="s">
        <v>1583</v>
      </c>
      <c r="E368" s="16" t="s">
        <v>321</v>
      </c>
      <c r="F368" s="200" t="s">
        <v>491</v>
      </c>
      <c r="G368" s="189" t="str">
        <f>IFERROR(VLOOKUP(C368,#REF!,4,FALSE),"")</f>
        <v/>
      </c>
      <c r="H368" s="249">
        <f>VLOOKUP(C368,Dados!B:AW,11,0)</f>
        <v>1.39</v>
      </c>
      <c r="I368" s="16" t="str">
        <f>(VLOOKUP(C368,Dados!B:AW,48,0))</f>
        <v>Fase de Degradação</v>
      </c>
      <c r="J368" s="189" t="s">
        <v>735</v>
      </c>
      <c r="K368" s="177">
        <f>IFERROR((VLOOKUP(C368,Dados!B:AW,44,0)),0)</f>
        <v>0</v>
      </c>
      <c r="L368" s="177">
        <f>IFERROR((VLOOKUP(C368,Dados!B:AW,45,0)),0)</f>
        <v>0</v>
      </c>
      <c r="M368" s="177">
        <f>IFERROR((VLOOKUP(C368,Dados!B:AW,43,0)),0)</f>
        <v>0</v>
      </c>
      <c r="N368" s="179">
        <f>IFERROR((VLOOKUP(C368,Dados!B:AW,47,0)),0)</f>
        <v>0</v>
      </c>
      <c r="O368" s="197">
        <f t="shared" si="16"/>
        <v>1</v>
      </c>
      <c r="P368" s="1">
        <f t="shared" si="17"/>
        <v>0</v>
      </c>
      <c r="Q368" s="221"/>
      <c r="AC368">
        <v>2</v>
      </c>
      <c r="AD368">
        <v>2</v>
      </c>
      <c r="AE368">
        <v>1</v>
      </c>
      <c r="AH368" t="s">
        <v>795</v>
      </c>
      <c r="AI368" t="str">
        <f t="shared" si="15"/>
        <v>FRE020*</v>
      </c>
    </row>
    <row r="369" spans="1:35" ht="26.25" customHeight="1" x14ac:dyDescent="0.3">
      <c r="A369"/>
      <c r="B369" s="16">
        <v>560</v>
      </c>
      <c r="C369" s="16" t="s">
        <v>464</v>
      </c>
      <c r="D369" s="16" t="s">
        <v>1583</v>
      </c>
      <c r="E369" s="16" t="s">
        <v>321</v>
      </c>
      <c r="F369" s="200" t="s">
        <v>492</v>
      </c>
      <c r="G369" s="189" t="str">
        <f>IFERROR(VLOOKUP(C369,#REF!,4,FALSE),"")</f>
        <v/>
      </c>
      <c r="H369" s="249">
        <f>VLOOKUP(C369,Dados!B:AW,11,0)</f>
        <v>1.59</v>
      </c>
      <c r="I369" s="16" t="str">
        <f>(VLOOKUP(C369,Dados!B:AW,48,0))</f>
        <v>Fase de Degradação</v>
      </c>
      <c r="J369" s="189" t="s">
        <v>735</v>
      </c>
      <c r="K369" s="177">
        <f>IFERROR((VLOOKUP(C369,Dados!B:AW,44,0)),0)</f>
        <v>0</v>
      </c>
      <c r="L369" s="177">
        <f>IFERROR((VLOOKUP(C369,Dados!B:AW,45,0)),0)</f>
        <v>0</v>
      </c>
      <c r="M369" s="177">
        <f>IFERROR((VLOOKUP(C369,Dados!B:AW,43,0)),0)</f>
        <v>0</v>
      </c>
      <c r="N369" s="179">
        <f>IFERROR((VLOOKUP(C369,Dados!B:AW,47,0)),0)</f>
        <v>0</v>
      </c>
      <c r="O369" s="197">
        <f t="shared" si="16"/>
        <v>1</v>
      </c>
      <c r="P369" s="1">
        <f t="shared" si="17"/>
        <v>0</v>
      </c>
      <c r="Q369" s="221"/>
      <c r="AC369">
        <v>-1</v>
      </c>
      <c r="AD369">
        <v>2</v>
      </c>
      <c r="AE369">
        <v>2</v>
      </c>
      <c r="AH369" t="s">
        <v>266</v>
      </c>
      <c r="AI369" t="str">
        <f t="shared" si="15"/>
        <v>MAQ021*</v>
      </c>
    </row>
    <row r="370" spans="1:35" ht="26.25" customHeight="1" x14ac:dyDescent="0.3">
      <c r="B370" s="16">
        <v>394</v>
      </c>
      <c r="C370" s="16" t="s">
        <v>316</v>
      </c>
      <c r="D370" s="16" t="s">
        <v>1583</v>
      </c>
      <c r="E370" s="16" t="s">
        <v>316</v>
      </c>
      <c r="F370" s="200" t="s">
        <v>137</v>
      </c>
      <c r="G370" s="189" t="str">
        <f>IFERROR(VLOOKUP(C370,#REF!,4,FALSE),"")</f>
        <v/>
      </c>
      <c r="H370" s="248">
        <f>VLOOKUP(C370,Dados!B:AW,11,0)</f>
        <v>0.96</v>
      </c>
      <c r="I370" s="16" t="str">
        <f>(VLOOKUP(C370,Dados!B:AW,48,0))</f>
        <v>Confiabilidade em Crescimento</v>
      </c>
      <c r="J370" s="189" t="s">
        <v>735</v>
      </c>
      <c r="K370" s="177">
        <f>IFERROR((VLOOKUP(C370,Dados!B:AW,44,0)),0)</f>
        <v>0</v>
      </c>
      <c r="L370" s="177">
        <f>IFERROR((VLOOKUP(C370,Dados!B:AW,45,0)),0)</f>
        <v>0</v>
      </c>
      <c r="M370" s="177">
        <f>IFERROR((VLOOKUP(C370,Dados!B:AW,43,0)),0)</f>
        <v>0</v>
      </c>
      <c r="N370" s="179">
        <f>IFERROR((VLOOKUP(C370,Dados!B:AW,47,0)),0)</f>
        <v>0</v>
      </c>
      <c r="O370" s="197">
        <f t="shared" si="16"/>
        <v>2</v>
      </c>
      <c r="P370" s="1">
        <f t="shared" si="17"/>
        <v>0</v>
      </c>
      <c r="Q370" s="221"/>
      <c r="AC370">
        <v>2</v>
      </c>
      <c r="AD370">
        <v>2</v>
      </c>
      <c r="AE370">
        <v>2</v>
      </c>
      <c r="AH370" t="s">
        <v>747</v>
      </c>
      <c r="AI370" t="str">
        <f t="shared" si="15"/>
        <v>CAB018*</v>
      </c>
    </row>
    <row r="371" spans="1:35" ht="25" x14ac:dyDescent="0.3">
      <c r="A371"/>
      <c r="B371" s="16">
        <v>564</v>
      </c>
      <c r="C371" s="16" t="s">
        <v>467</v>
      </c>
      <c r="D371" s="16" t="s">
        <v>1583</v>
      </c>
      <c r="E371" s="16" t="s">
        <v>316</v>
      </c>
      <c r="F371" s="200" t="s">
        <v>495</v>
      </c>
      <c r="G371" s="189" t="str">
        <f>IFERROR(VLOOKUP(C371,#REF!,4,FALSE),"")</f>
        <v/>
      </c>
      <c r="H371" s="249">
        <f>VLOOKUP(C371,Dados!B:AW,11,0)</f>
        <v>1.79</v>
      </c>
      <c r="I371" s="16" t="str">
        <f>(VLOOKUP(C371,Dados!B:AW,48,0))</f>
        <v>Fase de Degradação</v>
      </c>
      <c r="J371" s="189" t="s">
        <v>735</v>
      </c>
      <c r="K371" s="177">
        <f>IFERROR((VLOOKUP(C371,Dados!B:AW,44,0)),0)</f>
        <v>0</v>
      </c>
      <c r="L371" s="177">
        <f>IFERROR((VLOOKUP(C371,Dados!B:AW,45,0)),0)</f>
        <v>0</v>
      </c>
      <c r="M371" s="177">
        <f>IFERROR((VLOOKUP(C371,Dados!B:AW,43,0)),0)</f>
        <v>0</v>
      </c>
      <c r="N371" s="179">
        <f>IFERROR((VLOOKUP(C371,Dados!B:AW,47,0)),0)</f>
        <v>0</v>
      </c>
      <c r="O371" s="197">
        <f t="shared" si="16"/>
        <v>1</v>
      </c>
      <c r="P371" s="1">
        <f t="shared" si="17"/>
        <v>0</v>
      </c>
      <c r="Q371" s="221"/>
      <c r="AC371">
        <v>-1</v>
      </c>
      <c r="AD371">
        <v>-1</v>
      </c>
      <c r="AE371">
        <v>-1</v>
      </c>
      <c r="AH371" t="s">
        <v>940</v>
      </c>
      <c r="AI371" t="str">
        <f t="shared" si="15"/>
        <v>CAB121*</v>
      </c>
    </row>
    <row r="372" spans="1:35" ht="26.25" customHeight="1" x14ac:dyDescent="0.3">
      <c r="A372"/>
      <c r="B372" s="16">
        <v>565</v>
      </c>
      <c r="C372" s="16" t="s">
        <v>468</v>
      </c>
      <c r="D372" s="16" t="s">
        <v>1583</v>
      </c>
      <c r="E372" s="16" t="s">
        <v>316</v>
      </c>
      <c r="F372" s="200" t="s">
        <v>496</v>
      </c>
      <c r="G372" s="189" t="str">
        <f>IFERROR(VLOOKUP(C372,#REF!,4,FALSE),"")</f>
        <v/>
      </c>
      <c r="H372" s="249">
        <f>VLOOKUP(C372,Dados!B:AW,11,0)</f>
        <v>2.75</v>
      </c>
      <c r="I372" s="16" t="str">
        <f>(VLOOKUP(C372,Dados!B:AW,48,0))</f>
        <v>Fase de Degradação</v>
      </c>
      <c r="J372" s="189" t="s">
        <v>735</v>
      </c>
      <c r="K372" s="177">
        <f>IFERROR((VLOOKUP(C372,Dados!B:AW,44,0)),0)</f>
        <v>0</v>
      </c>
      <c r="L372" s="177">
        <f>IFERROR((VLOOKUP(C372,Dados!B:AW,45,0)),0)</f>
        <v>0</v>
      </c>
      <c r="M372" s="177">
        <f>IFERROR((VLOOKUP(C372,Dados!B:AW,43,0)),0)</f>
        <v>0</v>
      </c>
      <c r="N372" s="179">
        <f>IFERROR((VLOOKUP(C372,Dados!B:AW,47,0)),0)</f>
        <v>0</v>
      </c>
      <c r="O372" s="197">
        <f t="shared" si="16"/>
        <v>1</v>
      </c>
      <c r="P372" s="1">
        <f t="shared" si="17"/>
        <v>0</v>
      </c>
      <c r="Q372" s="221"/>
      <c r="AC372">
        <v>2</v>
      </c>
      <c r="AD372">
        <v>2</v>
      </c>
      <c r="AE372">
        <v>2</v>
      </c>
      <c r="AH372" t="s">
        <v>944</v>
      </c>
      <c r="AI372" t="str">
        <f t="shared" si="15"/>
        <v>CAB124*</v>
      </c>
    </row>
    <row r="373" spans="1:35" ht="26.25" customHeight="1" x14ac:dyDescent="0.3">
      <c r="A373"/>
      <c r="B373" s="16">
        <v>395</v>
      </c>
      <c r="C373" s="16" t="s">
        <v>338</v>
      </c>
      <c r="D373" s="16" t="s">
        <v>1583</v>
      </c>
      <c r="E373" s="16" t="s">
        <v>338</v>
      </c>
      <c r="F373" s="200" t="s">
        <v>159</v>
      </c>
      <c r="G373" s="189" t="str">
        <f>IFERROR(VLOOKUP(C373,#REF!,4,FALSE),"")</f>
        <v/>
      </c>
      <c r="H373" s="248">
        <f>VLOOKUP(C373,Dados!B:AW,11,0)</f>
        <v>0.92</v>
      </c>
      <c r="I373" s="16" t="str">
        <f>(VLOOKUP(C373,Dados!B:AW,48,0))</f>
        <v>Confiabilidade em Crescimento</v>
      </c>
      <c r="J373" s="189" t="s">
        <v>735</v>
      </c>
      <c r="K373" s="177">
        <f>IFERROR((VLOOKUP(C373,Dados!B:AW,44,0)),0)</f>
        <v>0</v>
      </c>
      <c r="L373" s="177">
        <f>IFERROR((VLOOKUP(C373,Dados!B:AW,45,0)),0)</f>
        <v>0</v>
      </c>
      <c r="M373" s="177">
        <f>IFERROR((VLOOKUP(C373,Dados!B:AW,43,0)),0)</f>
        <v>0</v>
      </c>
      <c r="N373" s="179">
        <f>IFERROR((VLOOKUP(C373,Dados!B:AW,47,0)),0)</f>
        <v>0</v>
      </c>
      <c r="O373" s="197">
        <f t="shared" si="16"/>
        <v>2</v>
      </c>
      <c r="P373" s="1">
        <f t="shared" si="17"/>
        <v>0</v>
      </c>
      <c r="Q373" s="221"/>
      <c r="AC373">
        <v>2</v>
      </c>
      <c r="AD373">
        <v>2</v>
      </c>
      <c r="AE373">
        <v>2</v>
      </c>
      <c r="AH373" t="s">
        <v>321</v>
      </c>
      <c r="AI373" t="str">
        <f t="shared" si="15"/>
        <v>INJ063*</v>
      </c>
    </row>
    <row r="374" spans="1:35" ht="26.25" customHeight="1" x14ac:dyDescent="0.3">
      <c r="A374"/>
      <c r="B374" s="16">
        <v>566</v>
      </c>
      <c r="C374" s="16" t="s">
        <v>469</v>
      </c>
      <c r="D374" s="16" t="s">
        <v>1583</v>
      </c>
      <c r="E374" s="16" t="s">
        <v>338</v>
      </c>
      <c r="F374" s="200" t="s">
        <v>497</v>
      </c>
      <c r="G374" s="189" t="str">
        <f>IFERROR(VLOOKUP(C374,#REF!,4,FALSE),"")</f>
        <v/>
      </c>
      <c r="H374" s="249">
        <f>VLOOKUP(C374,Dados!B:AW,11,0)</f>
        <v>2.0699999999999998</v>
      </c>
      <c r="I374" s="16" t="str">
        <f>(VLOOKUP(C374,Dados!B:AW,48,0))</f>
        <v>Fase de Degradação</v>
      </c>
      <c r="J374" s="189" t="s">
        <v>735</v>
      </c>
      <c r="K374" s="177">
        <f>IFERROR((VLOOKUP(C374,Dados!B:AW,44,0)),0)</f>
        <v>0</v>
      </c>
      <c r="L374" s="177">
        <f>IFERROR((VLOOKUP(C374,Dados!B:AW,45,0)),0)</f>
        <v>0</v>
      </c>
      <c r="M374" s="177">
        <f>IFERROR((VLOOKUP(C374,Dados!B:AW,43,0)),0)</f>
        <v>0</v>
      </c>
      <c r="N374" s="179">
        <f>IFERROR((VLOOKUP(C374,Dados!B:AW,47,0)),0)</f>
        <v>0</v>
      </c>
      <c r="O374" s="197">
        <f t="shared" si="16"/>
        <v>1</v>
      </c>
      <c r="P374" s="1">
        <f t="shared" si="17"/>
        <v>0</v>
      </c>
      <c r="Q374" s="221"/>
      <c r="AC374">
        <v>2</v>
      </c>
      <c r="AD374">
        <v>2</v>
      </c>
      <c r="AE374">
        <v>2</v>
      </c>
      <c r="AH374" t="s">
        <v>857</v>
      </c>
      <c r="AI374" t="str">
        <f t="shared" si="15"/>
        <v>SOP004*</v>
      </c>
    </row>
    <row r="375" spans="1:35" ht="26.25" customHeight="1" x14ac:dyDescent="0.3">
      <c r="A375"/>
      <c r="B375" s="16">
        <v>568</v>
      </c>
      <c r="C375" s="16" t="s">
        <v>471</v>
      </c>
      <c r="D375" s="16" t="s">
        <v>1583</v>
      </c>
      <c r="E375" s="16" t="s">
        <v>338</v>
      </c>
      <c r="F375" s="200" t="s">
        <v>499</v>
      </c>
      <c r="G375" s="189" t="str">
        <f>IFERROR(VLOOKUP(C375,#REF!,4,FALSE),"")</f>
        <v/>
      </c>
      <c r="H375" s="249">
        <f>VLOOKUP(C375,Dados!B:AW,11,0)</f>
        <v>1.65</v>
      </c>
      <c r="I375" s="16" t="str">
        <f>(VLOOKUP(C375,Dados!B:AW,48,0))</f>
        <v>Fase de Degradação</v>
      </c>
      <c r="J375" s="189" t="s">
        <v>735</v>
      </c>
      <c r="K375" s="177">
        <f>IFERROR((VLOOKUP(C375,Dados!B:AW,44,0)),0)</f>
        <v>0</v>
      </c>
      <c r="L375" s="177">
        <f>IFERROR((VLOOKUP(C375,Dados!B:AW,45,0)),0)</f>
        <v>0</v>
      </c>
      <c r="M375" s="177">
        <f>IFERROR((VLOOKUP(C375,Dados!B:AW,43,0)),0)</f>
        <v>0</v>
      </c>
      <c r="N375" s="179">
        <f>IFERROR((VLOOKUP(C375,Dados!B:AW,47,0)),0)</f>
        <v>0</v>
      </c>
      <c r="O375" s="197">
        <f t="shared" si="16"/>
        <v>1</v>
      </c>
      <c r="P375" s="1">
        <f t="shared" si="17"/>
        <v>0</v>
      </c>
      <c r="Q375" s="221"/>
      <c r="AC375">
        <v>2</v>
      </c>
      <c r="AD375">
        <v>2</v>
      </c>
      <c r="AE375">
        <v>2</v>
      </c>
      <c r="AH375" t="s">
        <v>892</v>
      </c>
      <c r="AI375" t="str">
        <f t="shared" si="15"/>
        <v>BRU059*</v>
      </c>
    </row>
    <row r="376" spans="1:35" ht="26.25" customHeight="1" x14ac:dyDescent="0.3">
      <c r="A376"/>
      <c r="B376" s="16">
        <v>630</v>
      </c>
      <c r="C376" s="16" t="s">
        <v>1876</v>
      </c>
      <c r="D376" s="16" t="s">
        <v>1583</v>
      </c>
      <c r="E376" s="16" t="s">
        <v>338</v>
      </c>
      <c r="F376" s="200" t="s">
        <v>1745</v>
      </c>
      <c r="G376" s="189" t="str">
        <f>IFERROR(VLOOKUP(C376,#REF!,4,FALSE),"")</f>
        <v/>
      </c>
      <c r="H376" s="249">
        <f>VLOOKUP(C376,Dados!B:AW,11,0)</f>
        <v>1.32</v>
      </c>
      <c r="I376" s="16" t="str">
        <f>(VLOOKUP(C376,Dados!B:AW,48,0))</f>
        <v>Fase de Degradação</v>
      </c>
      <c r="J376" s="189" t="s">
        <v>735</v>
      </c>
      <c r="K376" s="177">
        <f>IFERROR((VLOOKUP(C376,Dados!B:AW,44,0)),0)</f>
        <v>0</v>
      </c>
      <c r="L376" s="177">
        <f>IFERROR((VLOOKUP(C376,Dados!B:AW,45,0)),0)</f>
        <v>0</v>
      </c>
      <c r="M376" s="177">
        <f>IFERROR((VLOOKUP(C376,Dados!B:AW,43,0)),0)</f>
        <v>0</v>
      </c>
      <c r="N376" s="179">
        <f>IFERROR((VLOOKUP(C376,Dados!B:AW,47,0)),0)</f>
        <v>0</v>
      </c>
      <c r="O376" s="197">
        <f t="shared" si="16"/>
        <v>1</v>
      </c>
      <c r="P376" s="1">
        <f t="shared" si="17"/>
        <v>0</v>
      </c>
      <c r="Q376" s="221"/>
      <c r="AC376">
        <v>2</v>
      </c>
      <c r="AD376">
        <v>2</v>
      </c>
      <c r="AE376">
        <v>2</v>
      </c>
      <c r="AH376" t="s">
        <v>665</v>
      </c>
      <c r="AI376" t="str">
        <f t="shared" si="15"/>
        <v>FOR014*</v>
      </c>
    </row>
    <row r="377" spans="1:35" ht="26.25" customHeight="1" x14ac:dyDescent="0.3">
      <c r="B377" s="16">
        <v>396</v>
      </c>
      <c r="C377" s="16" t="s">
        <v>335</v>
      </c>
      <c r="D377" s="16" t="s">
        <v>1583</v>
      </c>
      <c r="E377" s="16" t="s">
        <v>335</v>
      </c>
      <c r="F377" s="200" t="s">
        <v>156</v>
      </c>
      <c r="G377" s="189" t="str">
        <f>IFERROR(VLOOKUP(C377,#REF!,4,FALSE),"")</f>
        <v/>
      </c>
      <c r="H377" s="250">
        <f>VLOOKUP(C377,Dados!B:AW,11,0)</f>
        <v>1.02</v>
      </c>
      <c r="I377" s="16" t="str">
        <f>(VLOOKUP(C377,Dados!B:AW,48,0))</f>
        <v>Fase de Vida Útil</v>
      </c>
      <c r="J377" s="189" t="s">
        <v>735</v>
      </c>
      <c r="K377" s="177">
        <f>IFERROR((VLOOKUP(C377,Dados!B:AW,44,0)),0)</f>
        <v>0</v>
      </c>
      <c r="L377" s="177">
        <f>IFERROR((VLOOKUP(C377,Dados!B:AW,45,0)),0)</f>
        <v>0</v>
      </c>
      <c r="M377" s="177">
        <f>IFERROR((VLOOKUP(C377,Dados!B:AW,43,0)),0)</f>
        <v>0</v>
      </c>
      <c r="N377" s="179">
        <f>IFERROR((VLOOKUP(C377,Dados!B:AW,47,0)),0)</f>
        <v>0</v>
      </c>
      <c r="O377" s="197">
        <f t="shared" si="16"/>
        <v>2</v>
      </c>
      <c r="P377" s="1">
        <f t="shared" si="17"/>
        <v>0</v>
      </c>
      <c r="Q377" s="221"/>
      <c r="AC377">
        <v>-1</v>
      </c>
      <c r="AD377">
        <v>-1</v>
      </c>
      <c r="AE377">
        <v>-1</v>
      </c>
      <c r="AH377" t="s">
        <v>245</v>
      </c>
      <c r="AI377" t="str">
        <f t="shared" si="15"/>
        <v>FOR020*</v>
      </c>
    </row>
    <row r="378" spans="1:35" ht="25" x14ac:dyDescent="0.3">
      <c r="A378" s="219"/>
      <c r="B378" s="16">
        <v>583</v>
      </c>
      <c r="C378" s="16" t="s">
        <v>476</v>
      </c>
      <c r="D378" s="16" t="s">
        <v>1583</v>
      </c>
      <c r="E378" s="16" t="s">
        <v>335</v>
      </c>
      <c r="F378" s="200" t="s">
        <v>504</v>
      </c>
      <c r="G378" s="189" t="str">
        <f>IFERROR(VLOOKUP(C378,#REF!,4,FALSE),"")</f>
        <v/>
      </c>
      <c r="H378" s="249">
        <f>VLOOKUP(C378,Dados!B:AW,11,0)</f>
        <v>0.92</v>
      </c>
      <c r="I378" s="16" t="str">
        <f>(VLOOKUP(C378,Dados!B:AW,48,0))</f>
        <v>Confiabilidade em Crescimento</v>
      </c>
      <c r="J378" s="189" t="s">
        <v>735</v>
      </c>
      <c r="K378" s="177">
        <f>IFERROR((VLOOKUP(C378,Dados!B:AW,44,0)),0)</f>
        <v>0</v>
      </c>
      <c r="L378" s="177">
        <f>IFERROR((VLOOKUP(C378,Dados!B:AW,45,0)),0)</f>
        <v>0</v>
      </c>
      <c r="M378" s="177">
        <f>IFERROR((VLOOKUP(C378,Dados!B:AW,43,0)),0)</f>
        <v>0</v>
      </c>
      <c r="N378" s="179">
        <f>IFERROR((VLOOKUP(C378,Dados!B:AW,47,0)),0)</f>
        <v>0</v>
      </c>
      <c r="O378" s="197">
        <f t="shared" si="16"/>
        <v>2</v>
      </c>
      <c r="P378" s="1">
        <f t="shared" si="17"/>
        <v>0</v>
      </c>
      <c r="Q378" s="221"/>
      <c r="AC378">
        <v>-1</v>
      </c>
      <c r="AD378">
        <v>-1</v>
      </c>
      <c r="AE378">
        <v>-1</v>
      </c>
      <c r="AH378" t="s">
        <v>256</v>
      </c>
      <c r="AI378" t="str">
        <f t="shared" si="15"/>
        <v>INJ031*</v>
      </c>
    </row>
    <row r="379" spans="1:35" ht="25" x14ac:dyDescent="0.3">
      <c r="A379" s="219"/>
      <c r="B379" s="16">
        <v>584</v>
      </c>
      <c r="C379" s="16" t="s">
        <v>477</v>
      </c>
      <c r="D379" s="16" t="s">
        <v>1583</v>
      </c>
      <c r="E379" s="16" t="s">
        <v>335</v>
      </c>
      <c r="F379" s="200" t="s">
        <v>505</v>
      </c>
      <c r="G379" s="189" t="str">
        <f>IFERROR(VLOOKUP(C379,#REF!,4,FALSE),"")</f>
        <v/>
      </c>
      <c r="H379" s="249">
        <f>VLOOKUP(C379,Dados!B:AW,11,0)</f>
        <v>1.33</v>
      </c>
      <c r="I379" s="16" t="str">
        <f>(VLOOKUP(C379,Dados!B:AW,48,0))</f>
        <v>Fase de Degradação</v>
      </c>
      <c r="J379" s="189" t="s">
        <v>735</v>
      </c>
      <c r="K379" s="177">
        <f>IFERROR((VLOOKUP(C379,Dados!B:AW,44,0)),0)</f>
        <v>0</v>
      </c>
      <c r="L379" s="177">
        <f>IFERROR((VLOOKUP(C379,Dados!B:AW,45,0)),0)</f>
        <v>0</v>
      </c>
      <c r="M379" s="177">
        <f>IFERROR((VLOOKUP(C379,Dados!B:AW,43,0)),0)</f>
        <v>0</v>
      </c>
      <c r="N379" s="179">
        <f>IFERROR((VLOOKUP(C379,Dados!B:AW,47,0)),0)</f>
        <v>0</v>
      </c>
      <c r="O379" s="197">
        <f t="shared" si="16"/>
        <v>1</v>
      </c>
      <c r="P379" s="1">
        <f t="shared" si="17"/>
        <v>0</v>
      </c>
      <c r="Q379" s="221"/>
      <c r="AC379">
        <v>-1</v>
      </c>
      <c r="AD379">
        <v>-1</v>
      </c>
      <c r="AE379">
        <v>-1</v>
      </c>
      <c r="AH379" t="s">
        <v>316</v>
      </c>
      <c r="AI379" t="str">
        <f t="shared" si="15"/>
        <v>INJ064*</v>
      </c>
    </row>
    <row r="380" spans="1:35" ht="25" x14ac:dyDescent="0.3">
      <c r="A380"/>
      <c r="B380" s="16">
        <v>585</v>
      </c>
      <c r="C380" s="16" t="s">
        <v>478</v>
      </c>
      <c r="D380" s="16" t="s">
        <v>1583</v>
      </c>
      <c r="E380" s="16" t="s">
        <v>335</v>
      </c>
      <c r="F380" s="200" t="s">
        <v>506</v>
      </c>
      <c r="G380" s="189" t="str">
        <f>IFERROR(VLOOKUP(C380,#REF!,4,FALSE),"")</f>
        <v/>
      </c>
      <c r="H380" s="249">
        <f>VLOOKUP(C380,Dados!B:AW,11,0)</f>
        <v>2.16</v>
      </c>
      <c r="I380" s="16" t="str">
        <f>(VLOOKUP(C380,Dados!B:AW,48,0))</f>
        <v>Fase de Degradação</v>
      </c>
      <c r="J380" s="189" t="s">
        <v>735</v>
      </c>
      <c r="K380" s="177">
        <f>IFERROR((VLOOKUP(C380,Dados!B:AW,44,0)),0)</f>
        <v>0</v>
      </c>
      <c r="L380" s="177">
        <f>IFERROR((VLOOKUP(C380,Dados!B:AW,45,0)),0)</f>
        <v>0</v>
      </c>
      <c r="M380" s="177">
        <f>IFERROR((VLOOKUP(C380,Dados!B:AW,43,0)),0)</f>
        <v>0</v>
      </c>
      <c r="N380" s="179">
        <f>IFERROR((VLOOKUP(C380,Dados!B:AW,47,0)),0)</f>
        <v>0</v>
      </c>
      <c r="O380" s="197">
        <f t="shared" si="16"/>
        <v>1</v>
      </c>
      <c r="P380" s="1">
        <f t="shared" si="17"/>
        <v>0</v>
      </c>
      <c r="Q380" s="221"/>
      <c r="AC380">
        <v>-1</v>
      </c>
      <c r="AD380">
        <v>-1</v>
      </c>
      <c r="AE380">
        <v>-1</v>
      </c>
      <c r="AH380" t="s">
        <v>379</v>
      </c>
      <c r="AI380" t="str">
        <f t="shared" si="15"/>
        <v>TEM002*</v>
      </c>
    </row>
    <row r="381" spans="1:35" ht="26.25" customHeight="1" x14ac:dyDescent="0.3">
      <c r="A381"/>
      <c r="B381" s="16">
        <v>397</v>
      </c>
      <c r="C381" s="16" t="s">
        <v>344</v>
      </c>
      <c r="D381" s="16" t="s">
        <v>1583</v>
      </c>
      <c r="E381" s="16" t="s">
        <v>344</v>
      </c>
      <c r="F381" s="200" t="s">
        <v>165</v>
      </c>
      <c r="G381" s="189" t="str">
        <f>IFERROR(VLOOKUP(C381,#REF!,4,FALSE),"")</f>
        <v/>
      </c>
      <c r="H381" s="248">
        <f>VLOOKUP(C381,Dados!B:AW,11,0)</f>
        <v>1.1100000000000001</v>
      </c>
      <c r="I381" s="16" t="str">
        <f>(VLOOKUP(C381,Dados!B:AW,48,0))</f>
        <v>Fase de Degradação</v>
      </c>
      <c r="J381" s="189" t="s">
        <v>735</v>
      </c>
      <c r="K381" s="177">
        <f>IFERROR((VLOOKUP(C381,Dados!B:AW,44,0)),0)</f>
        <v>0</v>
      </c>
      <c r="L381" s="177">
        <f>IFERROR((VLOOKUP(C381,Dados!B:AW,45,0)),0)</f>
        <v>0</v>
      </c>
      <c r="M381" s="177">
        <f>IFERROR((VLOOKUP(C381,Dados!B:AW,43,0)),0)</f>
        <v>0</v>
      </c>
      <c r="N381" s="179">
        <f>IFERROR((VLOOKUP(C381,Dados!B:AW,47,0)),0)</f>
        <v>0</v>
      </c>
      <c r="O381" s="197">
        <f t="shared" si="16"/>
        <v>1</v>
      </c>
      <c r="P381" s="1">
        <f t="shared" si="17"/>
        <v>0</v>
      </c>
      <c r="Q381" s="221"/>
      <c r="AC381">
        <v>2</v>
      </c>
      <c r="AD381">
        <v>2</v>
      </c>
      <c r="AE381">
        <v>2</v>
      </c>
      <c r="AH381" t="s">
        <v>1205</v>
      </c>
      <c r="AI381" t="str">
        <f t="shared" si="15"/>
        <v>TOR019*</v>
      </c>
    </row>
    <row r="382" spans="1:35" ht="26.25" customHeight="1" x14ac:dyDescent="0.3">
      <c r="A382"/>
      <c r="B382" s="16">
        <v>575</v>
      </c>
      <c r="C382" s="16" t="s">
        <v>473</v>
      </c>
      <c r="D382" s="16" t="s">
        <v>1583</v>
      </c>
      <c r="E382" s="16" t="s">
        <v>344</v>
      </c>
      <c r="F382" s="200" t="s">
        <v>501</v>
      </c>
      <c r="G382" s="189" t="str">
        <f>IFERROR(VLOOKUP(C382,#REF!,4,FALSE),"")</f>
        <v/>
      </c>
      <c r="H382" s="249">
        <f>VLOOKUP(C382,Dados!B:AW,11,0)</f>
        <v>1.43</v>
      </c>
      <c r="I382" s="16" t="str">
        <f>(VLOOKUP(C382,Dados!B:AW,48,0))</f>
        <v>Fase de Degradação</v>
      </c>
      <c r="J382" s="189" t="s">
        <v>735</v>
      </c>
      <c r="K382" s="177">
        <f>IFERROR((VLOOKUP(C382,Dados!B:AW,44,0)),0)</f>
        <v>0</v>
      </c>
      <c r="L382" s="177">
        <f>IFERROR((VLOOKUP(C382,Dados!B:AW,45,0)),0)</f>
        <v>0</v>
      </c>
      <c r="M382" s="177">
        <f>IFERROR((VLOOKUP(C382,Dados!B:AW,43,0)),0)</f>
        <v>0</v>
      </c>
      <c r="N382" s="179">
        <f>IFERROR((VLOOKUP(C382,Dados!B:AW,47,0)),0)</f>
        <v>0</v>
      </c>
      <c r="O382" s="197">
        <f t="shared" si="16"/>
        <v>1</v>
      </c>
      <c r="P382" s="1">
        <f t="shared" si="17"/>
        <v>0</v>
      </c>
      <c r="Q382" s="221"/>
      <c r="AC382">
        <v>2</v>
      </c>
      <c r="AD382">
        <v>2</v>
      </c>
      <c r="AE382">
        <v>1</v>
      </c>
      <c r="AH382" t="s">
        <v>890</v>
      </c>
      <c r="AI382" t="str">
        <f t="shared" si="15"/>
        <v>BRU058*</v>
      </c>
    </row>
    <row r="383" spans="1:35" ht="25" x14ac:dyDescent="0.3">
      <c r="A383"/>
      <c r="B383" s="16">
        <v>576</v>
      </c>
      <c r="C383" s="16" t="s">
        <v>474</v>
      </c>
      <c r="D383" s="16" t="s">
        <v>1583</v>
      </c>
      <c r="E383" s="16" t="s">
        <v>344</v>
      </c>
      <c r="F383" s="200" t="s">
        <v>502</v>
      </c>
      <c r="G383" s="189" t="str">
        <f>IFERROR(VLOOKUP(C383,#REF!,4,FALSE),"")</f>
        <v/>
      </c>
      <c r="H383" s="249">
        <f>VLOOKUP(C383,Dados!B:AW,11,0)</f>
        <v>1.39</v>
      </c>
      <c r="I383" s="16" t="str">
        <f>(VLOOKUP(C383,Dados!B:AW,48,0))</f>
        <v>Fase de Degradação</v>
      </c>
      <c r="J383" s="189" t="s">
        <v>735</v>
      </c>
      <c r="K383" s="177">
        <f>IFERROR((VLOOKUP(C383,Dados!B:AW,44,0)),0)</f>
        <v>0</v>
      </c>
      <c r="L383" s="177">
        <f>IFERROR((VLOOKUP(C383,Dados!B:AW,45,0)),0)</f>
        <v>0</v>
      </c>
      <c r="M383" s="177">
        <f>IFERROR((VLOOKUP(C383,Dados!B:AW,43,0)),0)</f>
        <v>0</v>
      </c>
      <c r="N383" s="179">
        <f>IFERROR((VLOOKUP(C383,Dados!B:AW,47,0)),0)</f>
        <v>0</v>
      </c>
      <c r="O383" s="197">
        <f t="shared" si="16"/>
        <v>1</v>
      </c>
      <c r="P383" s="1">
        <f t="shared" si="17"/>
        <v>0</v>
      </c>
      <c r="Q383" s="221"/>
      <c r="AC383">
        <v>2</v>
      </c>
      <c r="AD383">
        <v>2</v>
      </c>
      <c r="AE383">
        <v>2</v>
      </c>
      <c r="AH383" t="s">
        <v>942</v>
      </c>
      <c r="AI383" t="str">
        <f t="shared" si="15"/>
        <v>CAB122*</v>
      </c>
    </row>
    <row r="384" spans="1:35" ht="26.25" customHeight="1" x14ac:dyDescent="0.3">
      <c r="A384"/>
      <c r="B384" s="16">
        <v>577</v>
      </c>
      <c r="C384" s="16" t="s">
        <v>475</v>
      </c>
      <c r="D384" s="16" t="s">
        <v>1583</v>
      </c>
      <c r="E384" s="16" t="s">
        <v>344</v>
      </c>
      <c r="F384" s="200" t="s">
        <v>503</v>
      </c>
      <c r="G384" s="189" t="str">
        <f>IFERROR(VLOOKUP(C384,#REF!,4,FALSE),"")</f>
        <v/>
      </c>
      <c r="H384" s="249">
        <f>VLOOKUP(C384,Dados!B:AW,11,0)</f>
        <v>1.5</v>
      </c>
      <c r="I384" s="16" t="str">
        <f>(VLOOKUP(C384,Dados!B:AW,48,0))</f>
        <v>Fase de Degradação</v>
      </c>
      <c r="J384" s="189" t="s">
        <v>735</v>
      </c>
      <c r="K384" s="177">
        <f>IFERROR((VLOOKUP(C384,Dados!B:AW,44,0)),0)</f>
        <v>0</v>
      </c>
      <c r="L384" s="177">
        <f>IFERROR((VLOOKUP(C384,Dados!B:AW,45,0)),0)</f>
        <v>0</v>
      </c>
      <c r="M384" s="177">
        <f>IFERROR((VLOOKUP(C384,Dados!B:AW,43,0)),0)</f>
        <v>0</v>
      </c>
      <c r="N384" s="179">
        <f>IFERROR((VLOOKUP(C384,Dados!B:AW,47,0)),0)</f>
        <v>0</v>
      </c>
      <c r="O384" s="197">
        <f t="shared" si="16"/>
        <v>1</v>
      </c>
      <c r="P384" s="1">
        <f t="shared" si="17"/>
        <v>0</v>
      </c>
      <c r="Q384" s="221"/>
      <c r="AC384">
        <v>2</v>
      </c>
      <c r="AD384">
        <v>2</v>
      </c>
      <c r="AE384">
        <v>2</v>
      </c>
      <c r="AH384" t="s">
        <v>946</v>
      </c>
      <c r="AI384" t="str">
        <f t="shared" si="15"/>
        <v>CAB125*</v>
      </c>
    </row>
    <row r="385" spans="1:35" ht="26.25" customHeight="1" x14ac:dyDescent="0.3">
      <c r="A385"/>
      <c r="B385" s="16">
        <v>398</v>
      </c>
      <c r="C385" s="16" t="s">
        <v>799</v>
      </c>
      <c r="D385" s="16" t="s">
        <v>1583</v>
      </c>
      <c r="E385" s="16" t="s">
        <v>799</v>
      </c>
      <c r="F385" s="200" t="s">
        <v>800</v>
      </c>
      <c r="G385" s="189" t="str">
        <f>IFERROR(VLOOKUP(C385,#REF!,4,FALSE),"")</f>
        <v/>
      </c>
      <c r="H385" s="248">
        <f>VLOOKUP(C385,Dados!B:AW,11,0)</f>
        <v>1.23</v>
      </c>
      <c r="I385" s="16" t="str">
        <f>(VLOOKUP(C385,Dados!B:AW,48,0))</f>
        <v>Fase de Degradação</v>
      </c>
      <c r="J385" s="189" t="s">
        <v>735</v>
      </c>
      <c r="K385" s="177">
        <f>IFERROR((VLOOKUP(C385,Dados!B:AW,44,0)),0)</f>
        <v>0</v>
      </c>
      <c r="L385" s="177">
        <f>IFERROR((VLOOKUP(C385,Dados!B:AW,45,0)),0)</f>
        <v>0</v>
      </c>
      <c r="M385" s="177">
        <f>IFERROR((VLOOKUP(C385,Dados!B:AW,43,0)),0)</f>
        <v>0</v>
      </c>
      <c r="N385" s="179">
        <f>IFERROR((VLOOKUP(C385,Dados!B:AW,47,0)),0)</f>
        <v>0</v>
      </c>
      <c r="O385" s="197">
        <f t="shared" si="16"/>
        <v>1</v>
      </c>
      <c r="P385" s="1">
        <f t="shared" si="17"/>
        <v>0</v>
      </c>
      <c r="Q385" s="221"/>
      <c r="AC385">
        <v>2</v>
      </c>
      <c r="AD385">
        <v>2</v>
      </c>
      <c r="AE385">
        <v>2</v>
      </c>
      <c r="AH385" t="s">
        <v>317</v>
      </c>
      <c r="AI385" t="str">
        <f t="shared" si="15"/>
        <v>INJ062*</v>
      </c>
    </row>
    <row r="386" spans="1:35" ht="26.25" customHeight="1" x14ac:dyDescent="0.3">
      <c r="A386"/>
      <c r="B386" s="16">
        <v>594</v>
      </c>
      <c r="C386" s="16" t="s">
        <v>845</v>
      </c>
      <c r="D386" s="16" t="s">
        <v>1583</v>
      </c>
      <c r="E386" s="16" t="s">
        <v>799</v>
      </c>
      <c r="F386" s="200" t="s">
        <v>846</v>
      </c>
      <c r="G386" s="189" t="str">
        <f>IFERROR(VLOOKUP(C386,#REF!,4,FALSE),"")</f>
        <v/>
      </c>
      <c r="H386" s="249">
        <f>VLOOKUP(C386,Dados!B:AW,11,0)</f>
        <v>1.42</v>
      </c>
      <c r="I386" s="16" t="str">
        <f>(VLOOKUP(C386,Dados!B:AW,48,0))</f>
        <v>Fase de Degradação</v>
      </c>
      <c r="J386" s="189" t="s">
        <v>735</v>
      </c>
      <c r="K386" s="177">
        <f>IFERROR((VLOOKUP(C386,Dados!B:AW,44,0)),0)</f>
        <v>0</v>
      </c>
      <c r="L386" s="177">
        <f>IFERROR((VLOOKUP(C386,Dados!B:AW,45,0)),0)</f>
        <v>0</v>
      </c>
      <c r="M386" s="177">
        <f>IFERROR((VLOOKUP(C386,Dados!B:AW,43,0)),0)</f>
        <v>0</v>
      </c>
      <c r="N386" s="179">
        <f>IFERROR((VLOOKUP(C386,Dados!B:AW,47,0)),0)</f>
        <v>0</v>
      </c>
      <c r="O386" s="197">
        <f t="shared" si="16"/>
        <v>1</v>
      </c>
      <c r="P386" s="1">
        <f t="shared" si="17"/>
        <v>0</v>
      </c>
      <c r="Q386" s="221"/>
      <c r="AC386">
        <v>2</v>
      </c>
      <c r="AD386">
        <v>2</v>
      </c>
      <c r="AE386">
        <v>1</v>
      </c>
      <c r="AH386" t="s">
        <v>1162</v>
      </c>
      <c r="AI386" t="str">
        <f t="shared" si="15"/>
        <v>ROB086*</v>
      </c>
    </row>
    <row r="387" spans="1:35" ht="26.25" customHeight="1" x14ac:dyDescent="0.3">
      <c r="A387"/>
      <c r="B387" s="16">
        <v>595</v>
      </c>
      <c r="C387" s="16" t="s">
        <v>847</v>
      </c>
      <c r="D387" s="16" t="s">
        <v>1583</v>
      </c>
      <c r="E387" s="16" t="s">
        <v>799</v>
      </c>
      <c r="F387" s="200" t="s">
        <v>848</v>
      </c>
      <c r="G387" s="189" t="str">
        <f>IFERROR(VLOOKUP(C387,#REF!,4,FALSE),"")</f>
        <v/>
      </c>
      <c r="H387" s="249">
        <f>VLOOKUP(C387,Dados!B:AW,11,0)</f>
        <v>1.1000000000000001</v>
      </c>
      <c r="I387" s="16" t="str">
        <f>(VLOOKUP(C387,Dados!B:AW,48,0))</f>
        <v>Fase de Vida Útil</v>
      </c>
      <c r="J387" s="189" t="s">
        <v>735</v>
      </c>
      <c r="K387" s="177">
        <f>IFERROR((VLOOKUP(C387,Dados!B:AW,44,0)),0)</f>
        <v>0</v>
      </c>
      <c r="L387" s="177">
        <f>IFERROR((VLOOKUP(C387,Dados!B:AW,45,0)),0)</f>
        <v>0</v>
      </c>
      <c r="M387" s="177">
        <f>IFERROR((VLOOKUP(C387,Dados!B:AW,43,0)),0)</f>
        <v>0</v>
      </c>
      <c r="N387" s="179">
        <f>IFERROR((VLOOKUP(C387,Dados!B:AW,47,0)),0)</f>
        <v>0</v>
      </c>
      <c r="O387" s="197">
        <f t="shared" si="16"/>
        <v>1</v>
      </c>
      <c r="P387" s="1">
        <f t="shared" si="17"/>
        <v>0</v>
      </c>
      <c r="Q387" s="221"/>
      <c r="AC387">
        <v>2</v>
      </c>
      <c r="AD387">
        <v>2</v>
      </c>
      <c r="AE387">
        <v>1</v>
      </c>
      <c r="AH387" t="s">
        <v>1168</v>
      </c>
      <c r="AI387" t="str">
        <f t="shared" si="15"/>
        <v>ROB090*</v>
      </c>
    </row>
    <row r="388" spans="1:35" ht="27" customHeight="1" x14ac:dyDescent="0.3">
      <c r="A388"/>
      <c r="B388" s="16">
        <v>596</v>
      </c>
      <c r="C388" s="16" t="s">
        <v>849</v>
      </c>
      <c r="D388" s="16" t="s">
        <v>1583</v>
      </c>
      <c r="E388" s="16" t="s">
        <v>799</v>
      </c>
      <c r="F388" s="200" t="s">
        <v>850</v>
      </c>
      <c r="G388" s="189" t="str">
        <f>IFERROR(VLOOKUP(C388,#REF!,4,FALSE),"")</f>
        <v/>
      </c>
      <c r="H388" s="249">
        <f>VLOOKUP(C388,Dados!B:AW,11,0)</f>
        <v>0.75</v>
      </c>
      <c r="I388" s="16" t="str">
        <f>(VLOOKUP(C388,Dados!B:AW,48,0))</f>
        <v>Confiabilidade em Crescimento</v>
      </c>
      <c r="J388" s="189" t="s">
        <v>735</v>
      </c>
      <c r="K388" s="177">
        <f>IFERROR((VLOOKUP(C388,Dados!B:AW,44,0)),0)</f>
        <v>0</v>
      </c>
      <c r="L388" s="177">
        <f>IFERROR((VLOOKUP(C388,Dados!B:AW,45,0)),0)</f>
        <v>0</v>
      </c>
      <c r="M388" s="177">
        <f>IFERROR((VLOOKUP(C388,Dados!B:AW,43,0)),0)</f>
        <v>0</v>
      </c>
      <c r="N388" s="179">
        <f>IFERROR((VLOOKUP(C388,Dados!B:AW,47,0)),0)</f>
        <v>0</v>
      </c>
      <c r="O388" s="197">
        <f t="shared" si="16"/>
        <v>2</v>
      </c>
      <c r="P388" s="1">
        <f t="shared" si="17"/>
        <v>0</v>
      </c>
      <c r="Q388" s="221"/>
      <c r="AC388">
        <v>-1</v>
      </c>
      <c r="AD388">
        <v>-1</v>
      </c>
      <c r="AE388">
        <v>-1</v>
      </c>
      <c r="AH388" t="s">
        <v>900</v>
      </c>
      <c r="AI388" t="str">
        <f t="shared" si="15"/>
        <v>BRU063*</v>
      </c>
    </row>
    <row r="389" spans="1:35" ht="27" customHeight="1" x14ac:dyDescent="0.3">
      <c r="A389"/>
      <c r="B389" s="16">
        <v>399</v>
      </c>
      <c r="C389" s="16" t="s">
        <v>1060</v>
      </c>
      <c r="D389" s="16" t="s">
        <v>1583</v>
      </c>
      <c r="E389" s="16" t="s">
        <v>1060</v>
      </c>
      <c r="F389" s="200" t="s">
        <v>1061</v>
      </c>
      <c r="G389" s="189" t="str">
        <f>IFERROR(VLOOKUP(C389,#REF!,4,FALSE),"")</f>
        <v/>
      </c>
      <c r="H389" s="248">
        <f>VLOOKUP(C389,Dados!B:AW,11,0)</f>
        <v>0.98</v>
      </c>
      <c r="I389" s="16" t="str">
        <f>(VLOOKUP(C389,Dados!B:AW,48,0))</f>
        <v>Confiabilidade em Crescimento</v>
      </c>
      <c r="J389" s="189" t="s">
        <v>735</v>
      </c>
      <c r="K389" s="177">
        <f>IFERROR((VLOOKUP(C389,Dados!B:AW,44,0)),0)</f>
        <v>0</v>
      </c>
      <c r="L389" s="177">
        <f>IFERROR((VLOOKUP(C389,Dados!B:AW,45,0)),0)</f>
        <v>0</v>
      </c>
      <c r="M389" s="177">
        <f>IFERROR((VLOOKUP(C389,Dados!B:AW,43,0)),0)</f>
        <v>0</v>
      </c>
      <c r="N389" s="179">
        <f>IFERROR((VLOOKUP(C389,Dados!B:AW,47,0)),0)</f>
        <v>0</v>
      </c>
      <c r="O389" s="197">
        <f t="shared" si="16"/>
        <v>2</v>
      </c>
      <c r="P389" s="1">
        <f t="shared" si="17"/>
        <v>0</v>
      </c>
      <c r="Q389" s="221"/>
      <c r="AC389">
        <v>2</v>
      </c>
      <c r="AD389">
        <v>2</v>
      </c>
      <c r="AE389">
        <v>2</v>
      </c>
      <c r="AH389" t="s">
        <v>1072</v>
      </c>
      <c r="AI389" t="str">
        <f t="shared" ref="AI389:AI452" si="18">CONCATENATE(AH389,"*")</f>
        <v>LAV035*</v>
      </c>
    </row>
    <row r="390" spans="1:35" ht="27" customHeight="1" x14ac:dyDescent="0.3">
      <c r="A390"/>
      <c r="B390" s="16">
        <v>611</v>
      </c>
      <c r="C390" s="16" t="s">
        <v>1174</v>
      </c>
      <c r="D390" s="16" t="s">
        <v>1583</v>
      </c>
      <c r="E390" s="16" t="s">
        <v>1060</v>
      </c>
      <c r="F390" s="200" t="s">
        <v>1175</v>
      </c>
      <c r="G390" s="189" t="str">
        <f>IFERROR(VLOOKUP(C390,#REF!,4,FALSE),"")</f>
        <v/>
      </c>
      <c r="H390" s="249">
        <f>VLOOKUP(C390,Dados!B:AW,11,0)</f>
        <v>1.24</v>
      </c>
      <c r="I390" s="16" t="str">
        <f>(VLOOKUP(C390,Dados!B:AW,48,0))</f>
        <v>Fase de Degradação</v>
      </c>
      <c r="J390" s="189" t="s">
        <v>735</v>
      </c>
      <c r="K390" s="177">
        <f>IFERROR((VLOOKUP(C390,Dados!B:AW,44,0)),0)</f>
        <v>0</v>
      </c>
      <c r="L390" s="177">
        <f>IFERROR((VLOOKUP(C390,Dados!B:AW,45,0)),0)</f>
        <v>0</v>
      </c>
      <c r="M390" s="177">
        <f>IFERROR((VLOOKUP(C390,Dados!B:AW,43,0)),0)</f>
        <v>0</v>
      </c>
      <c r="N390" s="179">
        <f>IFERROR((VLOOKUP(C390,Dados!B:AW,47,0)),0)</f>
        <v>0</v>
      </c>
      <c r="O390" s="197">
        <f t="shared" ref="O390:O428" si="19">IF(AND(J390="Parcial",N390&gt;0,H390&gt;1),-1,IF(AND(J390="Parcial",N390&gt;0,H390&lt;1.1),1,IF(AND(J390="Parcial",N390&lt;0,H390&gt;1.09),-1,IF(J390="Total",-1,IF(H390&gt;1.09,1,2)))))</f>
        <v>1</v>
      </c>
      <c r="P390" s="1">
        <f t="shared" ref="P390:P453" si="20">IF(G390="",0,IF(H390&gt;G390,-1,1))</f>
        <v>0</v>
      </c>
      <c r="Q390" s="221"/>
      <c r="AC390">
        <v>2</v>
      </c>
      <c r="AD390">
        <v>2</v>
      </c>
      <c r="AE390">
        <v>2</v>
      </c>
      <c r="AH390" t="s">
        <v>607</v>
      </c>
      <c r="AI390" t="str">
        <f t="shared" si="18"/>
        <v>PRE046*</v>
      </c>
    </row>
    <row r="391" spans="1:35" ht="27" customHeight="1" x14ac:dyDescent="0.3">
      <c r="A391"/>
      <c r="B391" s="16">
        <v>612</v>
      </c>
      <c r="C391" s="16" t="s">
        <v>1176</v>
      </c>
      <c r="D391" s="16" t="s">
        <v>1583</v>
      </c>
      <c r="E391" s="16" t="s">
        <v>1060</v>
      </c>
      <c r="F391" s="200" t="s">
        <v>1177</v>
      </c>
      <c r="G391" s="189" t="str">
        <f>IFERROR(VLOOKUP(C391,#REF!,4,FALSE),"")</f>
        <v/>
      </c>
      <c r="H391" s="249">
        <f>VLOOKUP(C391,Dados!B:AW,11,0)</f>
        <v>3.71</v>
      </c>
      <c r="I391" s="16" t="str">
        <f>(VLOOKUP(C391,Dados!B:AW,48,0))</f>
        <v>Fase de Degradação</v>
      </c>
      <c r="J391" s="189" t="s">
        <v>735</v>
      </c>
      <c r="K391" s="177">
        <f>IFERROR((VLOOKUP(C391,Dados!B:AW,44,0)),0)</f>
        <v>0</v>
      </c>
      <c r="L391" s="177">
        <f>IFERROR((VLOOKUP(C391,Dados!B:AW,45,0)),0)</f>
        <v>0</v>
      </c>
      <c r="M391" s="177">
        <f>IFERROR((VLOOKUP(C391,Dados!B:AW,43,0)),0)</f>
        <v>0</v>
      </c>
      <c r="N391" s="179">
        <f>IFERROR((VLOOKUP(C391,Dados!B:AW,47,0)),0)</f>
        <v>0</v>
      </c>
      <c r="O391" s="197">
        <f t="shared" si="19"/>
        <v>1</v>
      </c>
      <c r="P391" s="1">
        <f t="shared" si="20"/>
        <v>0</v>
      </c>
      <c r="Q391" s="221"/>
      <c r="AC391">
        <v>2</v>
      </c>
      <c r="AD391">
        <v>2</v>
      </c>
      <c r="AE391">
        <v>1</v>
      </c>
      <c r="AH391" t="s">
        <v>894</v>
      </c>
      <c r="AI391" t="str">
        <f t="shared" si="18"/>
        <v>BRU060*</v>
      </c>
    </row>
    <row r="392" spans="1:35" ht="27" customHeight="1" x14ac:dyDescent="0.3">
      <c r="A392"/>
      <c r="B392" s="16">
        <v>613</v>
      </c>
      <c r="C392" s="16" t="s">
        <v>1178</v>
      </c>
      <c r="D392" s="16" t="s">
        <v>1583</v>
      </c>
      <c r="E392" s="16" t="s">
        <v>1060</v>
      </c>
      <c r="F392" s="200" t="s">
        <v>1179</v>
      </c>
      <c r="G392" s="189" t="str">
        <f>IFERROR(VLOOKUP(C392,#REF!,4,FALSE),"")</f>
        <v/>
      </c>
      <c r="H392" s="249">
        <f>VLOOKUP(C392,Dados!B:AW,11,0)</f>
        <v>1</v>
      </c>
      <c r="I392" s="16" t="str">
        <f>(VLOOKUP(C392,Dados!B:AW,48,0))</f>
        <v>Fase de Vida Útil</v>
      </c>
      <c r="J392" s="189" t="s">
        <v>735</v>
      </c>
      <c r="K392" s="177">
        <f>IFERROR((VLOOKUP(C392,Dados!B:AW,44,0)),0)</f>
        <v>0</v>
      </c>
      <c r="L392" s="177">
        <f>IFERROR((VLOOKUP(C392,Dados!B:AW,45,0)),0)</f>
        <v>0</v>
      </c>
      <c r="M392" s="177">
        <f>IFERROR((VLOOKUP(C392,Dados!B:AW,43,0)),0)</f>
        <v>0</v>
      </c>
      <c r="N392" s="179">
        <f>IFERROR((VLOOKUP(C392,Dados!B:AW,47,0)),0)</f>
        <v>0</v>
      </c>
      <c r="O392" s="197">
        <f t="shared" si="19"/>
        <v>2</v>
      </c>
      <c r="P392" s="1">
        <f t="shared" si="20"/>
        <v>0</v>
      </c>
      <c r="Q392" s="221"/>
      <c r="AC392">
        <v>2</v>
      </c>
      <c r="AD392">
        <v>2</v>
      </c>
      <c r="AE392">
        <v>1</v>
      </c>
      <c r="AH392" t="s">
        <v>974</v>
      </c>
      <c r="AI392" t="str">
        <f t="shared" si="18"/>
        <v>CEN108*</v>
      </c>
    </row>
    <row r="393" spans="1:35" ht="27" customHeight="1" x14ac:dyDescent="0.3">
      <c r="A393"/>
      <c r="B393" s="16">
        <v>400</v>
      </c>
      <c r="C393" s="16" t="s">
        <v>1062</v>
      </c>
      <c r="D393" s="16" t="s">
        <v>1583</v>
      </c>
      <c r="E393" s="16" t="s">
        <v>1062</v>
      </c>
      <c r="F393" s="200" t="s">
        <v>1063</v>
      </c>
      <c r="G393" s="189" t="str">
        <f>IFERROR(VLOOKUP(C393,#REF!,4,FALSE),"")</f>
        <v/>
      </c>
      <c r="H393" s="248">
        <f>VLOOKUP(C393,Dados!B:AW,11,0)</f>
        <v>0.91</v>
      </c>
      <c r="I393" s="16" t="str">
        <f>(VLOOKUP(C393,Dados!B:AW,48,0))</f>
        <v>Confiabilidade em Crescimento</v>
      </c>
      <c r="J393" s="189" t="s">
        <v>735</v>
      </c>
      <c r="K393" s="177">
        <f>IFERROR((VLOOKUP(C393,Dados!B:AW,44,0)),0)</f>
        <v>0</v>
      </c>
      <c r="L393" s="177">
        <f>IFERROR((VLOOKUP(C393,Dados!B:AW,45,0)),0)</f>
        <v>0</v>
      </c>
      <c r="M393" s="177">
        <f>IFERROR((VLOOKUP(C393,Dados!B:AW,43,0)),0)</f>
        <v>0</v>
      </c>
      <c r="N393" s="179">
        <f>IFERROR((VLOOKUP(C393,Dados!B:AW,47,0)),0)</f>
        <v>0</v>
      </c>
      <c r="O393" s="197">
        <f t="shared" si="19"/>
        <v>2</v>
      </c>
      <c r="P393" s="1">
        <f t="shared" si="20"/>
        <v>0</v>
      </c>
      <c r="Q393" s="221"/>
      <c r="AC393">
        <v>2</v>
      </c>
      <c r="AD393">
        <v>2</v>
      </c>
      <c r="AE393">
        <v>1</v>
      </c>
      <c r="AH393" t="s">
        <v>1166</v>
      </c>
      <c r="AI393" t="str">
        <f t="shared" si="18"/>
        <v>ROB088*</v>
      </c>
    </row>
    <row r="394" spans="1:35" ht="27" customHeight="1" x14ac:dyDescent="0.3">
      <c r="A394"/>
      <c r="B394" s="16">
        <v>608</v>
      </c>
      <c r="C394" s="16" t="s">
        <v>1168</v>
      </c>
      <c r="D394" s="16" t="s">
        <v>1583</v>
      </c>
      <c r="E394" s="16" t="s">
        <v>1062</v>
      </c>
      <c r="F394" s="200" t="s">
        <v>1169</v>
      </c>
      <c r="G394" s="189" t="str">
        <f>IFERROR(VLOOKUP(C394,#REF!,4,FALSE),"")</f>
        <v/>
      </c>
      <c r="H394" s="249">
        <f>VLOOKUP(C394,Dados!B:AW,11,0)</f>
        <v>0.9</v>
      </c>
      <c r="I394" s="16" t="str">
        <f>(VLOOKUP(C394,Dados!B:AW,48,0))</f>
        <v>Confiabilidade em Crescimento</v>
      </c>
      <c r="J394" s="189" t="s">
        <v>735</v>
      </c>
      <c r="K394" s="177">
        <f>IFERROR((VLOOKUP(C394,Dados!B:AW,44,0)),0)</f>
        <v>0</v>
      </c>
      <c r="L394" s="177">
        <f>IFERROR((VLOOKUP(C394,Dados!B:AW,45,0)),0)</f>
        <v>0</v>
      </c>
      <c r="M394" s="177">
        <f>IFERROR((VLOOKUP(C394,Dados!B:AW,43,0)),0)</f>
        <v>0</v>
      </c>
      <c r="N394" s="179">
        <f>IFERROR((VLOOKUP(C394,Dados!B:AW,47,0)),0)</f>
        <v>0</v>
      </c>
      <c r="O394" s="197">
        <f t="shared" si="19"/>
        <v>2</v>
      </c>
      <c r="P394" s="1">
        <f t="shared" si="20"/>
        <v>0</v>
      </c>
      <c r="Q394" s="221"/>
      <c r="AC394">
        <v>2</v>
      </c>
      <c r="AD394">
        <v>2</v>
      </c>
      <c r="AE394">
        <v>1</v>
      </c>
      <c r="AH394" t="s">
        <v>1219</v>
      </c>
      <c r="AI394" t="str">
        <f t="shared" si="18"/>
        <v>TRO004*</v>
      </c>
    </row>
    <row r="395" spans="1:35" ht="27" customHeight="1" x14ac:dyDescent="0.3">
      <c r="A395"/>
      <c r="B395" s="16">
        <v>609</v>
      </c>
      <c r="C395" s="16" t="s">
        <v>1170</v>
      </c>
      <c r="D395" s="16" t="s">
        <v>1583</v>
      </c>
      <c r="E395" s="16" t="s">
        <v>1062</v>
      </c>
      <c r="F395" s="200" t="s">
        <v>1171</v>
      </c>
      <c r="G395" s="189" t="str">
        <f>IFERROR(VLOOKUP(C395,#REF!,4,FALSE),"")</f>
        <v/>
      </c>
      <c r="H395" s="249">
        <f>VLOOKUP(C395,Dados!B:AW,11,0)</f>
        <v>0.67</v>
      </c>
      <c r="I395" s="16" t="str">
        <f>(VLOOKUP(C395,Dados!B:AW,48,0))</f>
        <v>Confiabilidade em Crescimento</v>
      </c>
      <c r="J395" s="189" t="s">
        <v>735</v>
      </c>
      <c r="K395" s="177">
        <f>IFERROR((VLOOKUP(C395,Dados!B:AW,44,0)),0)</f>
        <v>0</v>
      </c>
      <c r="L395" s="177">
        <f>IFERROR((VLOOKUP(C395,Dados!B:AW,45,0)),0)</f>
        <v>0</v>
      </c>
      <c r="M395" s="177">
        <f>IFERROR((VLOOKUP(C395,Dados!B:AW,43,0)),0)</f>
        <v>0</v>
      </c>
      <c r="N395" s="179">
        <f>IFERROR((VLOOKUP(C395,Dados!B:AW,47,0)),0)</f>
        <v>0</v>
      </c>
      <c r="O395" s="197">
        <f t="shared" si="19"/>
        <v>2</v>
      </c>
      <c r="P395" s="1">
        <f t="shared" si="20"/>
        <v>0</v>
      </c>
      <c r="Q395" s="221"/>
      <c r="AC395">
        <v>-1</v>
      </c>
      <c r="AD395">
        <v>-1</v>
      </c>
      <c r="AE395">
        <v>-1</v>
      </c>
      <c r="AH395" t="s">
        <v>1082</v>
      </c>
      <c r="AI395" t="str">
        <f t="shared" si="18"/>
        <v>LIX005*</v>
      </c>
    </row>
    <row r="396" spans="1:35" ht="27" customHeight="1" x14ac:dyDescent="0.3">
      <c r="A396"/>
      <c r="B396" s="16">
        <v>610</v>
      </c>
      <c r="C396" s="16" t="s">
        <v>1172</v>
      </c>
      <c r="D396" s="16" t="s">
        <v>1583</v>
      </c>
      <c r="E396" s="16" t="s">
        <v>1062</v>
      </c>
      <c r="F396" s="200" t="s">
        <v>1173</v>
      </c>
      <c r="G396" s="189" t="str">
        <f>IFERROR(VLOOKUP(C396,#REF!,4,FALSE),"")</f>
        <v/>
      </c>
      <c r="H396" s="249">
        <f>VLOOKUP(C396,Dados!B:AW,11,0)</f>
        <v>0.49</v>
      </c>
      <c r="I396" s="16" t="str">
        <f>(VLOOKUP(C396,Dados!B:AW,48,0))</f>
        <v>Confiabilidade em Crescimento</v>
      </c>
      <c r="J396" s="189" t="s">
        <v>735</v>
      </c>
      <c r="K396" s="177">
        <f>IFERROR((VLOOKUP(C396,Dados!B:AW,44,0)),0)</f>
        <v>0</v>
      </c>
      <c r="L396" s="177">
        <f>IFERROR((VLOOKUP(C396,Dados!B:AW,45,0)),0)</f>
        <v>0</v>
      </c>
      <c r="M396" s="177">
        <f>IFERROR((VLOOKUP(C396,Dados!B:AW,43,0)),0)</f>
        <v>0</v>
      </c>
      <c r="N396" s="179">
        <f>IFERROR((VLOOKUP(C396,Dados!B:AW,47,0)),0)</f>
        <v>0</v>
      </c>
      <c r="O396" s="197">
        <f t="shared" si="19"/>
        <v>2</v>
      </c>
      <c r="P396" s="1">
        <f t="shared" si="20"/>
        <v>0</v>
      </c>
      <c r="Q396" s="221"/>
      <c r="AC396">
        <v>-1</v>
      </c>
      <c r="AD396">
        <v>-1</v>
      </c>
      <c r="AE396">
        <v>-1</v>
      </c>
      <c r="AH396" t="s">
        <v>1122</v>
      </c>
      <c r="AI396" t="str">
        <f t="shared" si="18"/>
        <v>MOD024*</v>
      </c>
    </row>
    <row r="397" spans="1:35" ht="27" customHeight="1" x14ac:dyDescent="0.3">
      <c r="A397"/>
      <c r="B397" s="16">
        <v>401</v>
      </c>
      <c r="C397" s="16" t="s">
        <v>1837</v>
      </c>
      <c r="D397" s="16" t="s">
        <v>1583</v>
      </c>
      <c r="E397" s="16" t="s">
        <v>1837</v>
      </c>
      <c r="F397" s="200" t="s">
        <v>1706</v>
      </c>
      <c r="G397" s="189" t="str">
        <f>IFERROR(VLOOKUP(C397,#REF!,4,FALSE),"")</f>
        <v/>
      </c>
      <c r="H397" s="248">
        <f>VLOOKUP(C397,Dados!B:AW,11,0)</f>
        <v>1.74</v>
      </c>
      <c r="I397" s="16" t="str">
        <f>(VLOOKUP(C397,Dados!B:AW,48,0))</f>
        <v>Fase de Degradação</v>
      </c>
      <c r="J397" s="189" t="s">
        <v>735</v>
      </c>
      <c r="K397" s="177">
        <f>IFERROR((VLOOKUP(C397,Dados!B:AW,44,0)),0)</f>
        <v>0</v>
      </c>
      <c r="L397" s="177">
        <f>IFERROR((VLOOKUP(C397,Dados!B:AW,45,0)),0)</f>
        <v>0</v>
      </c>
      <c r="M397" s="177">
        <f>IFERROR((VLOOKUP(C397,Dados!B:AW,43,0)),0)</f>
        <v>0</v>
      </c>
      <c r="N397" s="179">
        <f>IFERROR((VLOOKUP(C397,Dados!B:AW,47,0)),0)</f>
        <v>0</v>
      </c>
      <c r="O397" s="197">
        <f t="shared" si="19"/>
        <v>1</v>
      </c>
      <c r="P397" s="1">
        <f t="shared" si="20"/>
        <v>0</v>
      </c>
      <c r="Q397" s="221"/>
      <c r="AC397">
        <v>-1</v>
      </c>
      <c r="AD397">
        <v>-1</v>
      </c>
      <c r="AE397">
        <v>-1</v>
      </c>
      <c r="AH397" t="s">
        <v>459</v>
      </c>
      <c r="AI397" t="str">
        <f t="shared" si="18"/>
        <v>ROB022*</v>
      </c>
    </row>
    <row r="398" spans="1:35" ht="27" customHeight="1" x14ac:dyDescent="0.3">
      <c r="A398"/>
      <c r="B398" s="16">
        <v>615</v>
      </c>
      <c r="C398" s="16" t="s">
        <v>1182</v>
      </c>
      <c r="D398" s="16" t="s">
        <v>1590</v>
      </c>
      <c r="E398" s="16" t="s">
        <v>1837</v>
      </c>
      <c r="F398" s="200" t="s">
        <v>1183</v>
      </c>
      <c r="G398" s="189" t="str">
        <f>IFERROR(VLOOKUP(C398,#REF!,4,FALSE),"")</f>
        <v/>
      </c>
      <c r="H398" s="249">
        <f>VLOOKUP(C398,Dados!B:AW,11,0)</f>
        <v>1</v>
      </c>
      <c r="I398" s="16" t="str">
        <f>(VLOOKUP(C398,Dados!B:AW,48,0))</f>
        <v>Fase de Vida Útil</v>
      </c>
      <c r="J398" s="189" t="s">
        <v>735</v>
      </c>
      <c r="K398" s="177">
        <f>IFERROR((VLOOKUP(C398,Dados!B:AW,44,0)),0)</f>
        <v>0</v>
      </c>
      <c r="L398" s="177">
        <f>IFERROR((VLOOKUP(C398,Dados!B:AW,45,0)),0)</f>
        <v>0</v>
      </c>
      <c r="M398" s="177">
        <f>IFERROR((VLOOKUP(C398,Dados!B:AW,43,0)),0)</f>
        <v>0</v>
      </c>
      <c r="N398" s="179">
        <f>IFERROR((VLOOKUP(C398,Dados!B:AW,47,0)),0)</f>
        <v>0</v>
      </c>
      <c r="O398" s="197">
        <f t="shared" si="19"/>
        <v>2</v>
      </c>
      <c r="P398" s="1">
        <f t="shared" si="20"/>
        <v>0</v>
      </c>
      <c r="Q398" s="221"/>
      <c r="AC398">
        <v>2</v>
      </c>
      <c r="AD398">
        <v>2</v>
      </c>
      <c r="AE398">
        <v>1</v>
      </c>
      <c r="AH398" t="s">
        <v>466</v>
      </c>
      <c r="AI398" t="str">
        <f t="shared" si="18"/>
        <v>ROB033*</v>
      </c>
    </row>
    <row r="399" spans="1:35" ht="27" customHeight="1" x14ac:dyDescent="0.3">
      <c r="A399"/>
      <c r="B399" s="16">
        <v>402</v>
      </c>
      <c r="C399" s="16" t="s">
        <v>1838</v>
      </c>
      <c r="D399" s="16" t="s">
        <v>1583</v>
      </c>
      <c r="E399" s="16" t="s">
        <v>1838</v>
      </c>
      <c r="F399" s="200" t="s">
        <v>1707</v>
      </c>
      <c r="G399" s="189" t="str">
        <f>IFERROR(VLOOKUP(C399,#REF!,4,FALSE),"")</f>
        <v/>
      </c>
      <c r="H399" s="248">
        <f>VLOOKUP(C399,Dados!B:AW,11,0)</f>
        <v>0.97</v>
      </c>
      <c r="I399" s="16" t="str">
        <f>(VLOOKUP(C399,Dados!B:AW,48,0))</f>
        <v>Confiabilidade em Crescimento</v>
      </c>
      <c r="J399" s="189" t="s">
        <v>735</v>
      </c>
      <c r="K399" s="177">
        <f>IFERROR((VLOOKUP(C399,Dados!B:AW,44,0)),0)</f>
        <v>0</v>
      </c>
      <c r="L399" s="177">
        <f>IFERROR((VLOOKUP(C399,Dados!B:AW,45,0)),0)</f>
        <v>0</v>
      </c>
      <c r="M399" s="177">
        <f>IFERROR((VLOOKUP(C399,Dados!B:AW,43,0)),0)</f>
        <v>0</v>
      </c>
      <c r="N399" s="179">
        <f>IFERROR((VLOOKUP(C399,Dados!B:AW,47,0)),0)</f>
        <v>0</v>
      </c>
      <c r="O399" s="197">
        <f t="shared" si="19"/>
        <v>2</v>
      </c>
      <c r="P399" s="1">
        <f t="shared" si="20"/>
        <v>0</v>
      </c>
      <c r="Q399" s="221"/>
      <c r="AC399">
        <v>-1</v>
      </c>
      <c r="AD399">
        <v>-1</v>
      </c>
      <c r="AE399">
        <v>-1</v>
      </c>
      <c r="AH399" t="s">
        <v>1158</v>
      </c>
      <c r="AI399" t="str">
        <f t="shared" si="18"/>
        <v>ROB083*</v>
      </c>
    </row>
    <row r="400" spans="1:35" ht="27" customHeight="1" x14ac:dyDescent="0.3">
      <c r="A400" s="219"/>
      <c r="B400" s="16">
        <v>403</v>
      </c>
      <c r="C400" s="16" t="s">
        <v>1839</v>
      </c>
      <c r="D400" s="16" t="s">
        <v>1583</v>
      </c>
      <c r="E400" s="16" t="s">
        <v>1839</v>
      </c>
      <c r="F400" s="200" t="s">
        <v>1708</v>
      </c>
      <c r="G400" s="189" t="str">
        <f>IFERROR(VLOOKUP(C400,#REF!,4,FALSE),"")</f>
        <v/>
      </c>
      <c r="H400" s="248">
        <f>VLOOKUP(C400,Dados!B:AW,11,0)</f>
        <v>1.4</v>
      </c>
      <c r="I400" s="16" t="str">
        <f>(VLOOKUP(C400,Dados!B:AW,48,0))</f>
        <v>Fase de Degradação</v>
      </c>
      <c r="J400" s="189" t="s">
        <v>735</v>
      </c>
      <c r="K400" s="177">
        <f>IFERROR((VLOOKUP(C400,Dados!B:AW,44,0)),0)</f>
        <v>0</v>
      </c>
      <c r="L400" s="177">
        <f>IFERROR((VLOOKUP(C400,Dados!B:AW,45,0)),0)</f>
        <v>0</v>
      </c>
      <c r="M400" s="177">
        <f>IFERROR((VLOOKUP(C400,Dados!B:AW,43,0)),0)</f>
        <v>0</v>
      </c>
      <c r="N400" s="179">
        <f>IFERROR((VLOOKUP(C400,Dados!B:AW,47,0)),0)</f>
        <v>0</v>
      </c>
      <c r="O400" s="197">
        <f t="shared" si="19"/>
        <v>1</v>
      </c>
      <c r="P400" s="1">
        <f t="shared" si="20"/>
        <v>0</v>
      </c>
      <c r="Q400" s="221"/>
      <c r="AC400">
        <v>2</v>
      </c>
      <c r="AD400">
        <v>2</v>
      </c>
      <c r="AE400">
        <v>1</v>
      </c>
      <c r="AH400" t="s">
        <v>597</v>
      </c>
      <c r="AI400" t="str">
        <f t="shared" si="18"/>
        <v>CAB033*</v>
      </c>
    </row>
    <row r="401" spans="1:35" ht="27" customHeight="1" x14ac:dyDescent="0.3">
      <c r="A401"/>
      <c r="B401" s="16">
        <v>405</v>
      </c>
      <c r="C401" s="16" t="s">
        <v>421</v>
      </c>
      <c r="D401" s="16" t="s">
        <v>1583</v>
      </c>
      <c r="E401" s="16" t="s">
        <v>2118</v>
      </c>
      <c r="F401" s="200" t="s">
        <v>243</v>
      </c>
      <c r="G401" s="189" t="str">
        <f>IFERROR(VLOOKUP(C401,#REF!,4,FALSE),"")</f>
        <v/>
      </c>
      <c r="H401" s="249">
        <f>VLOOKUP(C401,Dados!B:AW,11,0)</f>
        <v>1.51</v>
      </c>
      <c r="I401" s="16" t="str">
        <f>(VLOOKUP(C401,Dados!B:AW,48,0))</f>
        <v>Fase de Degradação</v>
      </c>
      <c r="J401" s="189" t="s">
        <v>734</v>
      </c>
      <c r="K401" s="177">
        <f>IFERROR((VLOOKUP(C401,Dados!B:AW,44,0)),0)</f>
        <v>0</v>
      </c>
      <c r="L401" s="177">
        <f>IFERROR((VLOOKUP(C401,Dados!B:AW,45,0)),0)</f>
        <v>0</v>
      </c>
      <c r="M401" s="177">
        <f>IFERROR((VLOOKUP(C401,Dados!B:AW,43,0)),0)</f>
        <v>0</v>
      </c>
      <c r="N401" s="179">
        <f>IFERROR((VLOOKUP(C401,Dados!B:AW,47,0)),0)</f>
        <v>0</v>
      </c>
      <c r="O401" s="197">
        <f t="shared" si="19"/>
        <v>1</v>
      </c>
      <c r="P401" s="1">
        <f t="shared" si="20"/>
        <v>0</v>
      </c>
      <c r="Q401" s="221"/>
      <c r="AC401">
        <v>-1</v>
      </c>
      <c r="AD401">
        <v>-1</v>
      </c>
      <c r="AE401">
        <v>-1</v>
      </c>
      <c r="AH401" t="s">
        <v>765</v>
      </c>
      <c r="AI401" t="str">
        <f t="shared" si="18"/>
        <v>CEN099*</v>
      </c>
    </row>
    <row r="402" spans="1:35" ht="27" customHeight="1" x14ac:dyDescent="0.3">
      <c r="A402"/>
      <c r="B402" s="16">
        <v>406</v>
      </c>
      <c r="C402" s="16" t="s">
        <v>258</v>
      </c>
      <c r="D402" s="16" t="s">
        <v>1583</v>
      </c>
      <c r="E402" s="16" t="s">
        <v>2118</v>
      </c>
      <c r="F402" s="200" t="s">
        <v>259</v>
      </c>
      <c r="G402" s="189" t="str">
        <f>IFERROR(VLOOKUP(C402,#REF!,4,FALSE),"")</f>
        <v/>
      </c>
      <c r="H402" s="248">
        <f>VLOOKUP(C402,Dados!B:AW,11,0)</f>
        <v>1.17</v>
      </c>
      <c r="I402" s="16" t="str">
        <f>(VLOOKUP(C402,Dados!B:AW,48,0))</f>
        <v>Fase de Degradação</v>
      </c>
      <c r="J402" s="189" t="s">
        <v>734</v>
      </c>
      <c r="K402" s="177">
        <f>IFERROR((VLOOKUP(C402,Dados!B:AW,44,0)),0)</f>
        <v>0</v>
      </c>
      <c r="L402" s="177">
        <f>IFERROR((VLOOKUP(C402,Dados!B:AW,45,0)),0)</f>
        <v>0</v>
      </c>
      <c r="M402" s="177">
        <f>IFERROR((VLOOKUP(C402,Dados!B:AW,43,0)),0)</f>
        <v>0</v>
      </c>
      <c r="N402" s="179">
        <f>IFERROR((VLOOKUP(C402,Dados!B:AW,47,0)),0)</f>
        <v>0</v>
      </c>
      <c r="O402" s="197">
        <f t="shared" si="19"/>
        <v>1</v>
      </c>
      <c r="P402" s="1">
        <f t="shared" si="20"/>
        <v>0</v>
      </c>
      <c r="Q402" s="221"/>
      <c r="AC402">
        <v>2</v>
      </c>
      <c r="AD402">
        <v>2</v>
      </c>
      <c r="AE402">
        <v>1</v>
      </c>
      <c r="AH402" t="s">
        <v>958</v>
      </c>
      <c r="AI402" t="str">
        <f t="shared" si="18"/>
        <v>CEN100*</v>
      </c>
    </row>
    <row r="403" spans="1:35" ht="27" customHeight="1" x14ac:dyDescent="0.3">
      <c r="B403" s="16">
        <v>415</v>
      </c>
      <c r="C403" s="16" t="s">
        <v>801</v>
      </c>
      <c r="D403" s="16" t="s">
        <v>1583</v>
      </c>
      <c r="E403" s="16" t="s">
        <v>2119</v>
      </c>
      <c r="F403" s="200" t="s">
        <v>802</v>
      </c>
      <c r="G403" s="189" t="str">
        <f>IFERROR(VLOOKUP(C403,#REF!,4,FALSE),"")</f>
        <v/>
      </c>
      <c r="H403" s="248">
        <f>VLOOKUP(C403,Dados!B:AW,11,0)</f>
        <v>1.31</v>
      </c>
      <c r="I403" s="16" t="str">
        <f>(VLOOKUP(C403,Dados!B:AW,48,0))</f>
        <v>Fase de Degradação</v>
      </c>
      <c r="J403" s="189" t="s">
        <v>734</v>
      </c>
      <c r="K403" s="177">
        <f>IFERROR((VLOOKUP(C403,Dados!B:AW,44,0)),0)</f>
        <v>0</v>
      </c>
      <c r="L403" s="177">
        <f>IFERROR((VLOOKUP(C403,Dados!B:AW,45,0)),0)</f>
        <v>0</v>
      </c>
      <c r="M403" s="177">
        <f>IFERROR((VLOOKUP(C403,Dados!B:AW,43,0)),0)</f>
        <v>0</v>
      </c>
      <c r="N403" s="179">
        <f>IFERROR((VLOOKUP(C403,Dados!B:AW,47,0)),0)</f>
        <v>0</v>
      </c>
      <c r="O403" s="197">
        <f t="shared" si="19"/>
        <v>1</v>
      </c>
      <c r="P403" s="1">
        <f t="shared" si="20"/>
        <v>0</v>
      </c>
      <c r="Q403" s="221"/>
      <c r="AC403">
        <v>2</v>
      </c>
      <c r="AD403">
        <v>2</v>
      </c>
      <c r="AE403">
        <v>1</v>
      </c>
      <c r="AH403" t="s">
        <v>970</v>
      </c>
      <c r="AI403" t="str">
        <f t="shared" si="18"/>
        <v>CEN106*</v>
      </c>
    </row>
    <row r="404" spans="1:35" ht="27" customHeight="1" x14ac:dyDescent="0.3">
      <c r="A404"/>
      <c r="B404" s="16">
        <v>416</v>
      </c>
      <c r="C404" s="16" t="s">
        <v>1840</v>
      </c>
      <c r="D404" s="16" t="s">
        <v>1583</v>
      </c>
      <c r="E404" s="16" t="s">
        <v>2119</v>
      </c>
      <c r="F404" s="200" t="s">
        <v>1709</v>
      </c>
      <c r="G404" s="189" t="str">
        <f>IFERROR(VLOOKUP(C404,#REF!,4,FALSE),"")</f>
        <v/>
      </c>
      <c r="H404" s="249">
        <f>VLOOKUP(C404,Dados!B:AW,11,0)</f>
        <v>1.03</v>
      </c>
      <c r="I404" s="16" t="str">
        <f>(VLOOKUP(C404,Dados!B:AW,48,0))</f>
        <v>Fase de Vida Útil</v>
      </c>
      <c r="J404" s="189" t="s">
        <v>735</v>
      </c>
      <c r="K404" s="177">
        <f>IFERROR((VLOOKUP(C404,Dados!B:AW,44,0)),0)</f>
        <v>0</v>
      </c>
      <c r="L404" s="177">
        <f>IFERROR((VLOOKUP(C404,Dados!B:AW,45,0)),0)</f>
        <v>0</v>
      </c>
      <c r="M404" s="177">
        <f>IFERROR((VLOOKUP(C404,Dados!B:AW,43,0)),0)</f>
        <v>0</v>
      </c>
      <c r="N404" s="179">
        <f>IFERROR((VLOOKUP(C404,Dados!B:AW,47,0)),0)</f>
        <v>0</v>
      </c>
      <c r="O404" s="197">
        <f t="shared" si="19"/>
        <v>2</v>
      </c>
      <c r="P404" s="1">
        <f t="shared" si="20"/>
        <v>0</v>
      </c>
      <c r="Q404" s="221"/>
      <c r="AC404">
        <v>-1</v>
      </c>
      <c r="AD404">
        <v>-1</v>
      </c>
      <c r="AE404">
        <v>-1</v>
      </c>
      <c r="AH404" t="s">
        <v>986</v>
      </c>
      <c r="AI404" t="str">
        <f t="shared" si="18"/>
        <v>CEN114*</v>
      </c>
    </row>
    <row r="405" spans="1:35" ht="27" customHeight="1" x14ac:dyDescent="0.3">
      <c r="A405"/>
      <c r="B405" s="16">
        <v>407</v>
      </c>
      <c r="C405" s="16" t="s">
        <v>1064</v>
      </c>
      <c r="D405" s="16" t="s">
        <v>1585</v>
      </c>
      <c r="E405" s="16" t="s">
        <v>2122</v>
      </c>
      <c r="F405" s="200" t="s">
        <v>1065</v>
      </c>
      <c r="G405" s="189" t="str">
        <f>IFERROR(VLOOKUP(C405,#REF!,4,FALSE),"")</f>
        <v/>
      </c>
      <c r="H405" s="248">
        <f>VLOOKUP(C405,Dados!B:AW,11,0)</f>
        <v>0.59</v>
      </c>
      <c r="I405" s="16" t="str">
        <f>(VLOOKUP(C405,Dados!B:AW,48,0))</f>
        <v>Confiabilidade em Crescimento</v>
      </c>
      <c r="J405" s="189" t="s">
        <v>732</v>
      </c>
      <c r="K405" s="177">
        <f>IFERROR((VLOOKUP(C405,Dados!B:AW,44,0)),0)</f>
        <v>0</v>
      </c>
      <c r="L405" s="177">
        <f>IFERROR((VLOOKUP(C405,Dados!B:AW,45,0)),0)</f>
        <v>0</v>
      </c>
      <c r="M405" s="177">
        <f>IFERROR((VLOOKUP(C405,Dados!B:AW,43,0)),0)</f>
        <v>0</v>
      </c>
      <c r="N405" s="179">
        <f>IFERROR((VLOOKUP(C405,Dados!B:AW,47,0)),0)</f>
        <v>0</v>
      </c>
      <c r="O405" s="197">
        <f t="shared" si="19"/>
        <v>2</v>
      </c>
      <c r="P405" s="1">
        <f t="shared" si="20"/>
        <v>0</v>
      </c>
      <c r="Q405" s="221"/>
      <c r="AC405">
        <v>2</v>
      </c>
      <c r="AD405">
        <v>2</v>
      </c>
      <c r="AE405">
        <v>2</v>
      </c>
      <c r="AH405" t="s">
        <v>338</v>
      </c>
      <c r="AI405" t="str">
        <f t="shared" si="18"/>
        <v>INJ065*</v>
      </c>
    </row>
    <row r="406" spans="1:35" ht="27" customHeight="1" x14ac:dyDescent="0.3">
      <c r="A406"/>
      <c r="B406" s="16">
        <v>408</v>
      </c>
      <c r="C406" s="16" t="s">
        <v>691</v>
      </c>
      <c r="D406" s="16" t="s">
        <v>1585</v>
      </c>
      <c r="E406" s="16" t="s">
        <v>2122</v>
      </c>
      <c r="F406" s="200" t="s">
        <v>692</v>
      </c>
      <c r="G406" s="189" t="str">
        <f>IFERROR(VLOOKUP(C406,#REF!,4,FALSE),"")</f>
        <v/>
      </c>
      <c r="H406" s="248">
        <f>VLOOKUP(C406,Dados!B:AW,11,0)</f>
        <v>0.94</v>
      </c>
      <c r="I406" s="16" t="str">
        <f>(VLOOKUP(C406,Dados!B:AW,48,0))</f>
        <v>Confiabilidade em Crescimento</v>
      </c>
      <c r="J406" s="189" t="s">
        <v>734</v>
      </c>
      <c r="K406" s="177">
        <f>IFERROR((VLOOKUP(C406,Dados!B:AW,44,0)),0)</f>
        <v>0</v>
      </c>
      <c r="L406" s="177">
        <f>IFERROR((VLOOKUP(C406,Dados!B:AW,45,0)),0)</f>
        <v>0</v>
      </c>
      <c r="M406" s="177">
        <f>IFERROR((VLOOKUP(C406,Dados!B:AW,43,0)),0)</f>
        <v>0</v>
      </c>
      <c r="N406" s="179">
        <f>IFERROR((VLOOKUP(C406,Dados!B:AW,47,0)),0)</f>
        <v>0</v>
      </c>
      <c r="O406" s="197">
        <f t="shared" si="19"/>
        <v>2</v>
      </c>
      <c r="P406" s="1">
        <f t="shared" si="20"/>
        <v>0</v>
      </c>
      <c r="Q406" s="221"/>
      <c r="AC406">
        <v>2</v>
      </c>
      <c r="AD406">
        <v>2</v>
      </c>
      <c r="AE406">
        <v>2</v>
      </c>
      <c r="AH406" t="s">
        <v>681</v>
      </c>
      <c r="AI406" t="str">
        <f t="shared" si="18"/>
        <v>ROB059*</v>
      </c>
    </row>
    <row r="407" spans="1:35" ht="27" customHeight="1" x14ac:dyDescent="0.3">
      <c r="A407"/>
      <c r="B407" s="16">
        <v>412</v>
      </c>
      <c r="C407" s="16" t="s">
        <v>679</v>
      </c>
      <c r="D407" s="16" t="s">
        <v>1585</v>
      </c>
      <c r="E407" s="16" t="s">
        <v>2122</v>
      </c>
      <c r="F407" s="200" t="s">
        <v>680</v>
      </c>
      <c r="G407" s="189" t="str">
        <f>IFERROR(VLOOKUP(C407,#REF!,4,FALSE),"")</f>
        <v/>
      </c>
      <c r="H407" s="248">
        <f>VLOOKUP(C407,Dados!B:AW,11,0)</f>
        <v>1.33</v>
      </c>
      <c r="I407" s="16" t="str">
        <f>(VLOOKUP(C407,Dados!B:AW,48,0))</f>
        <v>Fase de Degradação</v>
      </c>
      <c r="J407" s="189" t="s">
        <v>734</v>
      </c>
      <c r="K407" s="177">
        <f>IFERROR((VLOOKUP(C407,Dados!B:AW,44,0)),0)</f>
        <v>0</v>
      </c>
      <c r="L407" s="177">
        <f>IFERROR((VLOOKUP(C407,Dados!B:AW,45,0)),0)</f>
        <v>0</v>
      </c>
      <c r="M407" s="177">
        <f>IFERROR((VLOOKUP(C407,Dados!B:AW,43,0)),0)</f>
        <v>0</v>
      </c>
      <c r="N407" s="179">
        <f>IFERROR((VLOOKUP(C407,Dados!B:AW,47,0)),0)</f>
        <v>0</v>
      </c>
      <c r="O407" s="197">
        <f t="shared" si="19"/>
        <v>1</v>
      </c>
      <c r="P407" s="1">
        <f t="shared" si="20"/>
        <v>0</v>
      </c>
      <c r="Q407" s="221"/>
      <c r="AC407">
        <v>2</v>
      </c>
      <c r="AD407">
        <v>2</v>
      </c>
      <c r="AE407">
        <v>2</v>
      </c>
      <c r="AH407" t="s">
        <v>476</v>
      </c>
      <c r="AI407" t="str">
        <f t="shared" si="18"/>
        <v>ROB064*</v>
      </c>
    </row>
    <row r="408" spans="1:35" ht="27" customHeight="1" x14ac:dyDescent="0.3">
      <c r="A408"/>
      <c r="B408" s="16">
        <v>413</v>
      </c>
      <c r="C408" s="16" t="s">
        <v>305</v>
      </c>
      <c r="D408" s="16" t="s">
        <v>1585</v>
      </c>
      <c r="E408" s="16" t="s">
        <v>2122</v>
      </c>
      <c r="F408" s="200" t="s">
        <v>306</v>
      </c>
      <c r="G408" s="189" t="str">
        <f>IFERROR(VLOOKUP(C408,#REF!,4,FALSE),"")</f>
        <v/>
      </c>
      <c r="H408" s="248">
        <f>VLOOKUP(C408,Dados!B:AW,11,0)</f>
        <v>1.61</v>
      </c>
      <c r="I408" s="16" t="str">
        <f>(VLOOKUP(C408,Dados!B:AW,48,0))</f>
        <v>Fase de Degradação</v>
      </c>
      <c r="J408" s="189" t="s">
        <v>734</v>
      </c>
      <c r="K408" s="177">
        <f>IFERROR((VLOOKUP(C408,Dados!B:AW,44,0)),0)</f>
        <v>0</v>
      </c>
      <c r="L408" s="177">
        <f>IFERROR((VLOOKUP(C408,Dados!B:AW,45,0)),0)</f>
        <v>0</v>
      </c>
      <c r="M408" s="177">
        <f>IFERROR((VLOOKUP(C408,Dados!B:AW,43,0)),0)</f>
        <v>0</v>
      </c>
      <c r="N408" s="179">
        <f>IFERROR((VLOOKUP(C408,Dados!B:AW,47,0)),0)</f>
        <v>0</v>
      </c>
      <c r="O408" s="197">
        <f t="shared" si="19"/>
        <v>1</v>
      </c>
      <c r="P408" s="1">
        <f t="shared" si="20"/>
        <v>0</v>
      </c>
      <c r="Q408" s="221"/>
      <c r="AC408">
        <v>2</v>
      </c>
      <c r="AD408">
        <v>2</v>
      </c>
      <c r="AE408">
        <v>2</v>
      </c>
      <c r="AH408" t="s">
        <v>1211</v>
      </c>
      <c r="AI408" t="str">
        <f t="shared" si="18"/>
        <v>TOR043*</v>
      </c>
    </row>
    <row r="409" spans="1:35" ht="27" customHeight="1" x14ac:dyDescent="0.3">
      <c r="A409"/>
      <c r="B409" s="16">
        <v>320</v>
      </c>
      <c r="C409" s="16" t="s">
        <v>617</v>
      </c>
      <c r="D409" s="16" t="s">
        <v>1592</v>
      </c>
      <c r="E409" s="16" t="s">
        <v>2144</v>
      </c>
      <c r="F409" s="200" t="s">
        <v>618</v>
      </c>
      <c r="G409" s="189" t="str">
        <f>IFERROR(VLOOKUP(C409,#REF!,4,FALSE),"")</f>
        <v/>
      </c>
      <c r="H409" s="250">
        <f>VLOOKUP(C409,Dados!B:AW,11,0)</f>
        <v>1.1599999999999999</v>
      </c>
      <c r="I409" s="16" t="str">
        <f>(VLOOKUP(C409,Dados!B:AW,48,0))</f>
        <v>Fase de Degradação</v>
      </c>
      <c r="J409" s="189" t="s">
        <v>735</v>
      </c>
      <c r="K409" s="177">
        <f>IFERROR((VLOOKUP(C409,Dados!B:AW,44,0)),0)</f>
        <v>0</v>
      </c>
      <c r="L409" s="177">
        <f>IFERROR((VLOOKUP(C409,Dados!B:AW,45,0)),0)</f>
        <v>0</v>
      </c>
      <c r="M409" s="177">
        <f>IFERROR((VLOOKUP(C409,Dados!B:AW,43,0)),0)</f>
        <v>0</v>
      </c>
      <c r="N409" s="179">
        <f>IFERROR((VLOOKUP(C409,Dados!B:AW,47,0)),0)</f>
        <v>0</v>
      </c>
      <c r="O409" s="197">
        <f t="shared" si="19"/>
        <v>1</v>
      </c>
      <c r="P409" s="1">
        <f t="shared" si="20"/>
        <v>0</v>
      </c>
      <c r="Q409" s="221"/>
      <c r="AC409">
        <v>2</v>
      </c>
      <c r="AD409">
        <v>2</v>
      </c>
      <c r="AE409">
        <v>1</v>
      </c>
      <c r="AH409" t="s">
        <v>1213</v>
      </c>
      <c r="AI409" t="str">
        <f t="shared" si="18"/>
        <v>TRO001*</v>
      </c>
    </row>
    <row r="410" spans="1:35" ht="27" customHeight="1" x14ac:dyDescent="0.3">
      <c r="B410" s="16">
        <v>417</v>
      </c>
      <c r="C410" s="387" t="s">
        <v>38</v>
      </c>
      <c r="D410" s="16" t="s">
        <v>1592</v>
      </c>
      <c r="E410" s="387" t="s">
        <v>2144</v>
      </c>
      <c r="F410" s="200" t="s">
        <v>7</v>
      </c>
      <c r="G410" s="388" t="str">
        <f>IFERROR(VLOOKUP(C410,#REF!,4,FALSE),"")</f>
        <v/>
      </c>
      <c r="H410" s="389">
        <f>VLOOKUP(C410,Dados!B:AW,11,0)</f>
        <v>1.1200000000000001</v>
      </c>
      <c r="I410" s="387" t="str">
        <f>(VLOOKUP(C410,Dados!B:AW,48,0))</f>
        <v>Fase de Degradação</v>
      </c>
      <c r="J410" s="388" t="s">
        <v>733</v>
      </c>
      <c r="K410" s="390">
        <f>IFERROR((VLOOKUP(C410,Dados!B:AW,44,0)),0)</f>
        <v>-1312365.9428865483</v>
      </c>
      <c r="L410" s="390">
        <f>IFERROR((VLOOKUP(C410,Dados!B:AW,45,0)),0)</f>
        <v>-262473.1885773096</v>
      </c>
      <c r="M410" s="390">
        <f>IFERROR((VLOOKUP(C410,Dados!B:AW,43,0)),0)</f>
        <v>-4050514.3902299996</v>
      </c>
      <c r="N410" s="391">
        <f>IFERROR((VLOOKUP(C410,Dados!B:AW,47,0)),0)</f>
        <v>-0.11131291758777638</v>
      </c>
      <c r="O410" s="392">
        <f t="shared" si="19"/>
        <v>-1</v>
      </c>
      <c r="P410" s="1">
        <f t="shared" si="20"/>
        <v>0</v>
      </c>
      <c r="Q410" s="221"/>
      <c r="AC410">
        <v>2</v>
      </c>
      <c r="AD410">
        <v>2</v>
      </c>
      <c r="AE410">
        <v>2</v>
      </c>
      <c r="AH410" t="s">
        <v>1221</v>
      </c>
      <c r="AI410" t="str">
        <f t="shared" si="18"/>
        <v>TRP027*</v>
      </c>
    </row>
    <row r="411" spans="1:35" ht="27" customHeight="1" x14ac:dyDescent="0.3">
      <c r="A411"/>
      <c r="B411" s="16">
        <v>418</v>
      </c>
      <c r="C411" s="387" t="s">
        <v>39</v>
      </c>
      <c r="D411" s="16" t="s">
        <v>1592</v>
      </c>
      <c r="E411" s="387" t="s">
        <v>2144</v>
      </c>
      <c r="F411" s="200" t="s">
        <v>1</v>
      </c>
      <c r="G411" s="388" t="str">
        <f>IFERROR(VLOOKUP(C411,#REF!,4,FALSE),"")</f>
        <v/>
      </c>
      <c r="H411" s="389">
        <f>VLOOKUP(C411,Dados!B:AW,11,0)</f>
        <v>1.0900000000000001</v>
      </c>
      <c r="I411" s="387" t="str">
        <f>(VLOOKUP(C411,Dados!B:AW,48,0))</f>
        <v>Fase de Vida Útil</v>
      </c>
      <c r="J411" s="388" t="s">
        <v>733</v>
      </c>
      <c r="K411" s="390">
        <f>IFERROR((VLOOKUP(C411,Dados!B:AW,44,0)),0)</f>
        <v>0</v>
      </c>
      <c r="L411" s="390">
        <f>IFERROR((VLOOKUP(C411,Dados!B:AW,45,0)),0)</f>
        <v>0</v>
      </c>
      <c r="M411" s="390">
        <f>IFERROR((VLOOKUP(C411,Dados!B:AW,43,0)),0)</f>
        <v>0</v>
      </c>
      <c r="N411" s="391">
        <f>IFERROR((VLOOKUP(C411,Dados!B:AW,47,0)),0)</f>
        <v>0</v>
      </c>
      <c r="O411" s="392">
        <f t="shared" si="19"/>
        <v>-1</v>
      </c>
      <c r="P411" s="1">
        <f t="shared" si="20"/>
        <v>0</v>
      </c>
      <c r="Q411" s="221"/>
      <c r="AC411">
        <v>-1</v>
      </c>
      <c r="AD411">
        <v>-1</v>
      </c>
      <c r="AE411">
        <v>-1</v>
      </c>
      <c r="AH411" t="s">
        <v>910</v>
      </c>
      <c r="AI411" t="str">
        <f t="shared" si="18"/>
        <v>BRU068*</v>
      </c>
    </row>
    <row r="412" spans="1:35" ht="27" customHeight="1" x14ac:dyDescent="0.3">
      <c r="A412" s="219"/>
      <c r="B412" s="16">
        <v>419</v>
      </c>
      <c r="C412" s="16" t="s">
        <v>345</v>
      </c>
      <c r="D412" s="16" t="s">
        <v>1592</v>
      </c>
      <c r="E412" s="16" t="s">
        <v>2144</v>
      </c>
      <c r="F412" s="200" t="s">
        <v>166</v>
      </c>
      <c r="G412" s="189" t="str">
        <f>IFERROR(VLOOKUP(C412,#REF!,4,FALSE),"")</f>
        <v/>
      </c>
      <c r="H412" s="250">
        <f>VLOOKUP(C412,Dados!B:AW,11,0)</f>
        <v>1.24</v>
      </c>
      <c r="I412" s="16" t="str">
        <f>(VLOOKUP(C412,Dados!B:AW,48,0))</f>
        <v>Fase de Degradação</v>
      </c>
      <c r="J412" s="189" t="s">
        <v>735</v>
      </c>
      <c r="K412" s="177">
        <f>IFERROR((VLOOKUP(C412,Dados!B:AW,44,0)),0)</f>
        <v>-1869718.2363330356</v>
      </c>
      <c r="L412" s="177">
        <f>IFERROR((VLOOKUP(C412,Dados!B:AW,45,0)),0)</f>
        <v>-373943.64726660709</v>
      </c>
      <c r="M412" s="177">
        <f>IFERROR((VLOOKUP(C412,Dados!B:AW,43,0)),0)</f>
        <v>-2364953.6259979997</v>
      </c>
      <c r="N412" s="179">
        <f>IFERROR((VLOOKUP(C412,Dados!B:AW,47,0)),0)</f>
        <v>-7.9417293377276932E-2</v>
      </c>
      <c r="O412" s="197">
        <f t="shared" si="19"/>
        <v>1</v>
      </c>
      <c r="P412" s="1">
        <f t="shared" si="20"/>
        <v>0</v>
      </c>
      <c r="Q412" s="221"/>
      <c r="AC412">
        <v>2</v>
      </c>
      <c r="AD412">
        <v>2</v>
      </c>
      <c r="AE412">
        <v>2</v>
      </c>
      <c r="AH412" t="s">
        <v>954</v>
      </c>
      <c r="AI412" t="str">
        <f t="shared" si="18"/>
        <v>CAB129*</v>
      </c>
    </row>
    <row r="413" spans="1:35" ht="27" customHeight="1" x14ac:dyDescent="0.3">
      <c r="A413"/>
      <c r="B413" s="16">
        <v>421</v>
      </c>
      <c r="C413" s="16" t="s">
        <v>645</v>
      </c>
      <c r="D413" s="16" t="s">
        <v>1592</v>
      </c>
      <c r="E413" s="16" t="s">
        <v>2144</v>
      </c>
      <c r="F413" s="200" t="s">
        <v>646</v>
      </c>
      <c r="G413" s="189" t="str">
        <f>IFERROR(VLOOKUP(C413,#REF!,4,FALSE),"")</f>
        <v/>
      </c>
      <c r="H413" s="248">
        <f>VLOOKUP(C413,Dados!B:AW,11,0)</f>
        <v>1.44</v>
      </c>
      <c r="I413" s="16" t="str">
        <f>(VLOOKUP(C413,Dados!B:AW,48,0))</f>
        <v>Fase de Degradação</v>
      </c>
      <c r="J413" s="189" t="s">
        <v>735</v>
      </c>
      <c r="K413" s="177">
        <f>IFERROR((VLOOKUP(C413,Dados!B:AW,44,0)),0)</f>
        <v>0</v>
      </c>
      <c r="L413" s="177">
        <f>IFERROR((VLOOKUP(C413,Dados!B:AW,45,0)),0)</f>
        <v>0</v>
      </c>
      <c r="M413" s="177">
        <f>IFERROR((VLOOKUP(C413,Dados!B:AW,43,0)),0)</f>
        <v>0</v>
      </c>
      <c r="N413" s="179">
        <f>IFERROR((VLOOKUP(C413,Dados!B:AW,47,0)),0)</f>
        <v>0</v>
      </c>
      <c r="O413" s="197">
        <f t="shared" si="19"/>
        <v>1</v>
      </c>
      <c r="P413" s="1">
        <f t="shared" si="20"/>
        <v>0</v>
      </c>
      <c r="Q413" s="221"/>
      <c r="AC413">
        <v>-1</v>
      </c>
      <c r="AD413">
        <v>-1</v>
      </c>
      <c r="AE413">
        <v>-1</v>
      </c>
      <c r="AH413" t="s">
        <v>599</v>
      </c>
      <c r="AI413" t="str">
        <f t="shared" si="18"/>
        <v>CEN052*</v>
      </c>
    </row>
    <row r="414" spans="1:35" ht="27" customHeight="1" x14ac:dyDescent="0.3">
      <c r="A414" s="219"/>
      <c r="B414" s="16">
        <v>425</v>
      </c>
      <c r="C414" s="16" t="s">
        <v>1842</v>
      </c>
      <c r="D414" s="16" t="s">
        <v>1592</v>
      </c>
      <c r="E414" s="16" t="s">
        <v>2144</v>
      </c>
      <c r="F414" s="200" t="s">
        <v>1711</v>
      </c>
      <c r="G414" s="189" t="str">
        <f>IFERROR(VLOOKUP(C414,#REF!,4,FALSE),"")</f>
        <v/>
      </c>
      <c r="H414" s="250">
        <f>VLOOKUP(C414,Dados!B:AW,11,0)</f>
        <v>0.91</v>
      </c>
      <c r="I414" s="16" t="str">
        <f>(VLOOKUP(C414,Dados!B:AW,48,0))</f>
        <v>Confiabilidade em Crescimento</v>
      </c>
      <c r="J414" s="189" t="s">
        <v>735</v>
      </c>
      <c r="K414" s="177">
        <f>IFERROR((VLOOKUP(C414,Dados!B:AW,44,0)),0)</f>
        <v>0</v>
      </c>
      <c r="L414" s="177">
        <f>IFERROR((VLOOKUP(C414,Dados!B:AW,45,0)),0)</f>
        <v>0</v>
      </c>
      <c r="M414" s="177">
        <f>IFERROR((VLOOKUP(C414,Dados!B:AW,43,0)),0)</f>
        <v>0</v>
      </c>
      <c r="N414" s="179">
        <f>IFERROR((VLOOKUP(C414,Dados!B:AW,47,0)),0)</f>
        <v>0</v>
      </c>
      <c r="O414" s="197">
        <f t="shared" si="19"/>
        <v>2</v>
      </c>
      <c r="P414" s="1">
        <f t="shared" si="20"/>
        <v>0</v>
      </c>
      <c r="Q414" s="221"/>
      <c r="AC414">
        <v>2</v>
      </c>
      <c r="AD414">
        <v>2</v>
      </c>
      <c r="AE414">
        <v>2</v>
      </c>
      <c r="AH414" t="s">
        <v>314</v>
      </c>
      <c r="AI414" t="str">
        <f t="shared" si="18"/>
        <v>FOR088*</v>
      </c>
    </row>
    <row r="415" spans="1:35" ht="27" customHeight="1" x14ac:dyDescent="0.3">
      <c r="A415" s="219"/>
      <c r="B415" s="16">
        <v>442</v>
      </c>
      <c r="C415" s="16" t="s">
        <v>1082</v>
      </c>
      <c r="D415" s="16" t="s">
        <v>1592</v>
      </c>
      <c r="E415" s="16" t="s">
        <v>2144</v>
      </c>
      <c r="F415" s="200" t="s">
        <v>1083</v>
      </c>
      <c r="G415" s="189" t="str">
        <f>IFERROR(VLOOKUP(C415,#REF!,4,FALSE),"")</f>
        <v/>
      </c>
      <c r="H415" s="250">
        <f>VLOOKUP(C415,Dados!B:AW,11,0)</f>
        <v>0.96</v>
      </c>
      <c r="I415" s="16" t="str">
        <f>(VLOOKUP(C415,Dados!B:AW,48,0))</f>
        <v>Confiabilidade em Crescimento</v>
      </c>
      <c r="J415" s="189" t="s">
        <v>735</v>
      </c>
      <c r="K415" s="177">
        <f>IFERROR((VLOOKUP(C415,Dados!B:AW,44,0)),0)</f>
        <v>0</v>
      </c>
      <c r="L415" s="177">
        <f>IFERROR((VLOOKUP(C415,Dados!B:AW,45,0)),0)</f>
        <v>0</v>
      </c>
      <c r="M415" s="177">
        <f>IFERROR((VLOOKUP(C415,Dados!B:AW,43,0)),0)</f>
        <v>0</v>
      </c>
      <c r="N415" s="179">
        <f>IFERROR((VLOOKUP(C415,Dados!B:AW,47,0)),0)</f>
        <v>0</v>
      </c>
      <c r="O415" s="197">
        <f t="shared" si="19"/>
        <v>2</v>
      </c>
      <c r="P415" s="1">
        <f t="shared" si="20"/>
        <v>0</v>
      </c>
      <c r="Q415" s="221"/>
      <c r="AC415">
        <v>-1</v>
      </c>
      <c r="AD415">
        <v>-1</v>
      </c>
      <c r="AE415">
        <v>-1</v>
      </c>
      <c r="AH415" t="s">
        <v>641</v>
      </c>
      <c r="AI415" t="str">
        <f t="shared" si="18"/>
        <v>PRE047*</v>
      </c>
    </row>
    <row r="416" spans="1:35" ht="27" customHeight="1" x14ac:dyDescent="0.3">
      <c r="A416"/>
      <c r="B416" s="16">
        <v>586</v>
      </c>
      <c r="C416" s="16" t="s">
        <v>687</v>
      </c>
      <c r="D416" s="16" t="s">
        <v>1592</v>
      </c>
      <c r="E416" s="16" t="s">
        <v>2144</v>
      </c>
      <c r="F416" s="200" t="s">
        <v>688</v>
      </c>
      <c r="G416" s="189" t="str">
        <f>IFERROR(VLOOKUP(C416,#REF!,4,FALSE),"")</f>
        <v/>
      </c>
      <c r="H416" s="249">
        <f>VLOOKUP(C416,Dados!B:AW,11,0)</f>
        <v>0.64</v>
      </c>
      <c r="I416" s="16" t="str">
        <f>(VLOOKUP(C416,Dados!B:AW,48,0))</f>
        <v>Confiabilidade em Crescimento</v>
      </c>
      <c r="J416" s="189" t="s">
        <v>735</v>
      </c>
      <c r="K416" s="177">
        <f>IFERROR((VLOOKUP(C416,Dados!B:AW,44,0)),0)</f>
        <v>0</v>
      </c>
      <c r="L416" s="177">
        <f>IFERROR((VLOOKUP(C416,Dados!B:AW,45,0)),0)</f>
        <v>0</v>
      </c>
      <c r="M416" s="177">
        <f>IFERROR((VLOOKUP(C416,Dados!B:AW,43,0)),0)</f>
        <v>0</v>
      </c>
      <c r="N416" s="179">
        <f>IFERROR((VLOOKUP(C416,Dados!B:AW,47,0)),0)</f>
        <v>0</v>
      </c>
      <c r="O416" s="197">
        <f t="shared" si="19"/>
        <v>2</v>
      </c>
      <c r="P416" s="1">
        <f t="shared" si="20"/>
        <v>0</v>
      </c>
      <c r="Q416" s="221"/>
      <c r="AC416">
        <v>-1</v>
      </c>
      <c r="AD416">
        <v>-1</v>
      </c>
      <c r="AE416">
        <v>-1</v>
      </c>
      <c r="AH416" t="s">
        <v>1599</v>
      </c>
      <c r="AI416" t="str">
        <f t="shared" si="18"/>
        <v>PRE083*</v>
      </c>
    </row>
    <row r="417" spans="1:35" ht="27" customHeight="1" x14ac:dyDescent="0.3">
      <c r="A417"/>
      <c r="B417" s="16">
        <v>9</v>
      </c>
      <c r="C417" s="16" t="s">
        <v>643</v>
      </c>
      <c r="D417" s="16" t="s">
        <v>1594</v>
      </c>
      <c r="E417" s="16" t="s">
        <v>2129</v>
      </c>
      <c r="F417" s="200" t="s">
        <v>644</v>
      </c>
      <c r="G417" s="189" t="str">
        <f>IFERROR(VLOOKUP(C417,#REF!,4,FALSE),"")</f>
        <v/>
      </c>
      <c r="H417" s="345">
        <f>VLOOKUP(C417,Dados!B:AW,11,0)</f>
        <v>1.1100000000000001</v>
      </c>
      <c r="I417" s="16" t="str">
        <f>(VLOOKUP(C417,Dados!B:AW,48,0))</f>
        <v>Fase de Degradação</v>
      </c>
      <c r="J417" s="189" t="s">
        <v>733</v>
      </c>
      <c r="K417" s="177">
        <f>IFERROR((VLOOKUP(C417,Dados!B:AW,44,0)),0)</f>
        <v>0</v>
      </c>
      <c r="L417" s="177">
        <f>IFERROR((VLOOKUP(C417,Dados!B:AW,45,0)),0)</f>
        <v>0</v>
      </c>
      <c r="M417" s="177">
        <f>IFERROR((VLOOKUP(C417,Dados!B:AW,43,0)),0)</f>
        <v>0</v>
      </c>
      <c r="N417" s="179">
        <f>IFERROR((VLOOKUP(C417,Dados!B:AW,47,0)),0)</f>
        <v>0</v>
      </c>
      <c r="O417" s="197">
        <f t="shared" si="19"/>
        <v>-1</v>
      </c>
      <c r="P417" s="1">
        <f t="shared" si="20"/>
        <v>0</v>
      </c>
      <c r="Q417" s="221"/>
      <c r="AC417">
        <v>2</v>
      </c>
      <c r="AD417">
        <v>2</v>
      </c>
      <c r="AE417">
        <v>2</v>
      </c>
      <c r="AH417" t="s">
        <v>458</v>
      </c>
      <c r="AI417" t="str">
        <f t="shared" si="18"/>
        <v>ROB021*</v>
      </c>
    </row>
    <row r="418" spans="1:35" ht="27" customHeight="1" x14ac:dyDescent="0.3">
      <c r="A418"/>
      <c r="B418" s="16">
        <v>10</v>
      </c>
      <c r="C418" s="16" t="s">
        <v>312</v>
      </c>
      <c r="D418" s="16" t="s">
        <v>1594</v>
      </c>
      <c r="E418" s="16" t="s">
        <v>2129</v>
      </c>
      <c r="F418" s="200" t="s">
        <v>111</v>
      </c>
      <c r="G418" s="189" t="str">
        <f>IFERROR(VLOOKUP(C418,#REF!,4,FALSE),"")</f>
        <v/>
      </c>
      <c r="H418" s="345">
        <f>VLOOKUP(C418,Dados!B:AW,11,0)</f>
        <v>1.35</v>
      </c>
      <c r="I418" s="16" t="str">
        <f>(VLOOKUP(C418,Dados!B:AW,48,0))</f>
        <v>Fase de Degradação</v>
      </c>
      <c r="J418" s="189" t="s">
        <v>733</v>
      </c>
      <c r="K418" s="177">
        <f>IFERROR((VLOOKUP(C418,Dados!B:AW,44,0)),0)</f>
        <v>0</v>
      </c>
      <c r="L418" s="177">
        <f>IFERROR((VLOOKUP(C418,Dados!B:AW,45,0)),0)</f>
        <v>0</v>
      </c>
      <c r="M418" s="177">
        <f>IFERROR((VLOOKUP(C418,Dados!B:AW,43,0)),0)</f>
        <v>0</v>
      </c>
      <c r="N418" s="179">
        <f>IFERROR((VLOOKUP(C418,Dados!B:AW,47,0)),0)</f>
        <v>0</v>
      </c>
      <c r="O418" s="197">
        <f t="shared" si="19"/>
        <v>-1</v>
      </c>
      <c r="P418" s="1">
        <f t="shared" si="20"/>
        <v>0</v>
      </c>
      <c r="Q418" s="221"/>
      <c r="AC418">
        <v>2</v>
      </c>
      <c r="AD418">
        <v>2</v>
      </c>
      <c r="AE418">
        <v>1</v>
      </c>
      <c r="AH418" t="s">
        <v>837</v>
      </c>
      <c r="AI418" t="str">
        <f t="shared" si="18"/>
        <v>ROB070*</v>
      </c>
    </row>
    <row r="419" spans="1:35" ht="27" customHeight="1" x14ac:dyDescent="0.3">
      <c r="A419"/>
      <c r="B419" s="16">
        <v>34</v>
      </c>
      <c r="C419" s="16" t="s">
        <v>544</v>
      </c>
      <c r="D419" s="16" t="s">
        <v>1594</v>
      </c>
      <c r="E419" s="16" t="s">
        <v>2129</v>
      </c>
      <c r="F419" s="200" t="s">
        <v>594</v>
      </c>
      <c r="G419" s="189" t="str">
        <f>IFERROR(VLOOKUP(C419,#REF!,4,FALSE),"")</f>
        <v/>
      </c>
      <c r="H419" s="345">
        <f>VLOOKUP(C419,Dados!B:AW,11,0)</f>
        <v>1.54</v>
      </c>
      <c r="I419" s="16" t="str">
        <f>(VLOOKUP(C419,Dados!B:AW,48,0))</f>
        <v>Fase de Degradação</v>
      </c>
      <c r="J419" s="189" t="s">
        <v>734</v>
      </c>
      <c r="K419" s="177">
        <f>IFERROR((VLOOKUP(C419,Dados!B:AW,44,0)),0)</f>
        <v>0</v>
      </c>
      <c r="L419" s="177">
        <f>IFERROR((VLOOKUP(C419,Dados!B:AW,45,0)),0)</f>
        <v>0</v>
      </c>
      <c r="M419" s="177">
        <f>IFERROR((VLOOKUP(C419,Dados!B:AW,43,0)),0)</f>
        <v>0</v>
      </c>
      <c r="N419" s="179">
        <f>IFERROR((VLOOKUP(C419,Dados!B:AW,47,0)),0)</f>
        <v>0</v>
      </c>
      <c r="O419" s="197">
        <f t="shared" si="19"/>
        <v>1</v>
      </c>
      <c r="P419" s="1">
        <f t="shared" si="20"/>
        <v>0</v>
      </c>
      <c r="Q419" s="221"/>
      <c r="AC419">
        <v>2</v>
      </c>
      <c r="AD419">
        <v>2</v>
      </c>
      <c r="AE419">
        <v>2</v>
      </c>
      <c r="AH419" t="s">
        <v>902</v>
      </c>
      <c r="AI419" t="str">
        <f t="shared" si="18"/>
        <v>BRU064*</v>
      </c>
    </row>
    <row r="420" spans="1:35" ht="27" customHeight="1" x14ac:dyDescent="0.3">
      <c r="A420"/>
      <c r="B420" s="16">
        <v>67</v>
      </c>
      <c r="C420" s="16" t="s">
        <v>1807</v>
      </c>
      <c r="D420" s="16" t="s">
        <v>1594</v>
      </c>
      <c r="E420" s="16" t="s">
        <v>2129</v>
      </c>
      <c r="F420" s="200" t="s">
        <v>1676</v>
      </c>
      <c r="G420" s="189" t="str">
        <f>IFERROR(VLOOKUP(C420,#REF!,4,FALSE),"")</f>
        <v/>
      </c>
      <c r="H420" s="345">
        <f>VLOOKUP(C420,Dados!B:AW,11,0)</f>
        <v>0</v>
      </c>
      <c r="I420" s="16">
        <f>(VLOOKUP(C420,Dados!B:AW,48,0))</f>
        <v>0</v>
      </c>
      <c r="J420" s="189" t="s">
        <v>735</v>
      </c>
      <c r="K420" s="177">
        <f>IFERROR((VLOOKUP(C420,Dados!B:AW,44,0)),0)</f>
        <v>0</v>
      </c>
      <c r="L420" s="177">
        <f>IFERROR((VLOOKUP(C420,Dados!B:AW,45,0)),0)</f>
        <v>0</v>
      </c>
      <c r="M420" s="177">
        <f>IFERROR((VLOOKUP(C420,Dados!B:AW,43,0)),0)</f>
        <v>0</v>
      </c>
      <c r="N420" s="179">
        <f>IFERROR((VLOOKUP(C420,Dados!B:AW,47,0)),0)</f>
        <v>0</v>
      </c>
      <c r="O420" s="197">
        <f t="shared" si="19"/>
        <v>2</v>
      </c>
      <c r="P420" s="1">
        <f t="shared" si="20"/>
        <v>0</v>
      </c>
      <c r="Q420" s="221"/>
      <c r="AC420">
        <v>2</v>
      </c>
      <c r="AD420">
        <v>2</v>
      </c>
      <c r="AE420">
        <v>2</v>
      </c>
      <c r="AH420" t="s">
        <v>952</v>
      </c>
      <c r="AI420" t="str">
        <f t="shared" si="18"/>
        <v>CAB128*</v>
      </c>
    </row>
    <row r="421" spans="1:35" ht="27" customHeight="1" x14ac:dyDescent="0.3">
      <c r="A421"/>
      <c r="B421" s="16">
        <v>68</v>
      </c>
      <c r="C421" s="16" t="s">
        <v>1808</v>
      </c>
      <c r="D421" s="16" t="s">
        <v>1594</v>
      </c>
      <c r="E421" s="16" t="s">
        <v>2129</v>
      </c>
      <c r="F421" s="200" t="s">
        <v>1677</v>
      </c>
      <c r="G421" s="189" t="str">
        <f>IFERROR(VLOOKUP(C421,#REF!,4,FALSE),"")</f>
        <v/>
      </c>
      <c r="H421" s="345">
        <f>VLOOKUP(C421,Dados!B:AW,11,0)</f>
        <v>0</v>
      </c>
      <c r="I421" s="16">
        <f>(VLOOKUP(C421,Dados!B:AW,48,0))</f>
        <v>0</v>
      </c>
      <c r="J421" s="189" t="s">
        <v>735</v>
      </c>
      <c r="K421" s="177">
        <f>IFERROR((VLOOKUP(C421,Dados!B:AW,44,0)),0)</f>
        <v>0</v>
      </c>
      <c r="L421" s="177">
        <f>IFERROR((VLOOKUP(C421,Dados!B:AW,45,0)),0)</f>
        <v>0</v>
      </c>
      <c r="M421" s="177">
        <f>IFERROR((VLOOKUP(C421,Dados!B:AW,43,0)),0)</f>
        <v>0</v>
      </c>
      <c r="N421" s="179">
        <f>IFERROR((VLOOKUP(C421,Dados!B:AW,47,0)),0)</f>
        <v>0</v>
      </c>
      <c r="O421" s="197">
        <f t="shared" si="19"/>
        <v>2</v>
      </c>
      <c r="P421" s="1">
        <f t="shared" si="20"/>
        <v>0</v>
      </c>
      <c r="Q421" s="221"/>
      <c r="AC421">
        <v>2</v>
      </c>
      <c r="AD421">
        <v>2</v>
      </c>
      <c r="AE421">
        <v>2</v>
      </c>
      <c r="AH421" t="s">
        <v>781</v>
      </c>
      <c r="AI421" t="str">
        <f t="shared" si="18"/>
        <v>COQ010*</v>
      </c>
    </row>
    <row r="422" spans="1:35" ht="27" customHeight="1" x14ac:dyDescent="0.3">
      <c r="A422"/>
      <c r="B422" s="16">
        <v>166</v>
      </c>
      <c r="C422" s="16" t="s">
        <v>32</v>
      </c>
      <c r="D422" s="16" t="s">
        <v>1594</v>
      </c>
      <c r="E422" s="16" t="s">
        <v>2129</v>
      </c>
      <c r="F422" s="200" t="s">
        <v>10</v>
      </c>
      <c r="G422" s="189" t="str">
        <f>IFERROR(VLOOKUP(C422,#REF!,4,FALSE),"")</f>
        <v/>
      </c>
      <c r="H422" s="345">
        <f>VLOOKUP(C422,Dados!B:AW,11,0)</f>
        <v>1.1499999999999999</v>
      </c>
      <c r="I422" s="16" t="str">
        <f>(VLOOKUP(C422,Dados!B:AW,48,0))</f>
        <v>Fase de Degradação</v>
      </c>
      <c r="J422" s="189" t="s">
        <v>734</v>
      </c>
      <c r="K422" s="177">
        <f>IFERROR((VLOOKUP(C422,Dados!B:AW,44,0)),0)</f>
        <v>0</v>
      </c>
      <c r="L422" s="177">
        <f>IFERROR((VLOOKUP(C422,Dados!B:AW,45,0)),0)</f>
        <v>0</v>
      </c>
      <c r="M422" s="177">
        <f>IFERROR((VLOOKUP(C422,Dados!B:AW,43,0)),0)</f>
        <v>0</v>
      </c>
      <c r="N422" s="179">
        <f>IFERROR((VLOOKUP(C422,Dados!B:AW,47,0)),0)</f>
        <v>0</v>
      </c>
      <c r="O422" s="197">
        <f t="shared" si="19"/>
        <v>1</v>
      </c>
      <c r="P422" s="1">
        <f t="shared" si="20"/>
        <v>0</v>
      </c>
      <c r="Q422" s="221"/>
      <c r="AC422">
        <v>-1</v>
      </c>
      <c r="AD422">
        <v>-1</v>
      </c>
      <c r="AE422">
        <v>-1</v>
      </c>
      <c r="AH422" t="s">
        <v>819</v>
      </c>
      <c r="AI422" t="str">
        <f t="shared" si="18"/>
        <v>PRE038*</v>
      </c>
    </row>
    <row r="423" spans="1:35" ht="27" customHeight="1" x14ac:dyDescent="0.3">
      <c r="A423"/>
      <c r="B423" s="16">
        <v>167</v>
      </c>
      <c r="C423" s="16" t="s">
        <v>33</v>
      </c>
      <c r="D423" s="16" t="s">
        <v>1594</v>
      </c>
      <c r="E423" s="16" t="s">
        <v>2129</v>
      </c>
      <c r="F423" s="200" t="s">
        <v>12</v>
      </c>
      <c r="G423" s="189" t="str">
        <f>IFERROR(VLOOKUP(C423,#REF!,4,FALSE),"")</f>
        <v/>
      </c>
      <c r="H423" s="345">
        <f>VLOOKUP(C423,Dados!B:AW,11,0)</f>
        <v>1.22</v>
      </c>
      <c r="I423" s="16" t="str">
        <f>(VLOOKUP(C423,Dados!B:AW,48,0))</f>
        <v>Fase de Degradação</v>
      </c>
      <c r="J423" s="189" t="s">
        <v>734</v>
      </c>
      <c r="K423" s="177">
        <f>IFERROR((VLOOKUP(C423,Dados!B:AW,44,0)),0)</f>
        <v>0</v>
      </c>
      <c r="L423" s="177">
        <f>IFERROR((VLOOKUP(C423,Dados!B:AW,45,0)),0)</f>
        <v>0</v>
      </c>
      <c r="M423" s="177">
        <f>IFERROR((VLOOKUP(C423,Dados!B:AW,43,0)),0)</f>
        <v>0</v>
      </c>
      <c r="N423" s="179">
        <f>IFERROR((VLOOKUP(C423,Dados!B:AW,47,0)),0)</f>
        <v>0</v>
      </c>
      <c r="O423" s="197">
        <f t="shared" si="19"/>
        <v>1</v>
      </c>
      <c r="P423" s="1">
        <f t="shared" si="20"/>
        <v>0</v>
      </c>
      <c r="Q423" s="221"/>
      <c r="AC423">
        <v>-1</v>
      </c>
      <c r="AD423">
        <v>-1</v>
      </c>
      <c r="AE423">
        <v>-1</v>
      </c>
      <c r="AH423" t="s">
        <v>42</v>
      </c>
      <c r="AI423" t="str">
        <f t="shared" si="18"/>
        <v>RET013*</v>
      </c>
    </row>
    <row r="424" spans="1:35" ht="27" customHeight="1" x14ac:dyDescent="0.3">
      <c r="A424"/>
      <c r="B424" s="16">
        <v>427</v>
      </c>
      <c r="C424" s="16" t="s">
        <v>1068</v>
      </c>
      <c r="D424" s="16" t="s">
        <v>1594</v>
      </c>
      <c r="E424" s="16" t="s">
        <v>2129</v>
      </c>
      <c r="F424" s="200" t="s">
        <v>1069</v>
      </c>
      <c r="G424" s="189" t="str">
        <f>IFERROR(VLOOKUP(C424,#REF!,4,FALSE),"")</f>
        <v/>
      </c>
      <c r="H424" s="345">
        <f>VLOOKUP(C424,Dados!B:AW,11,0)</f>
        <v>1.4</v>
      </c>
      <c r="I424" s="16" t="str">
        <f>(VLOOKUP(C424,Dados!B:AW,48,0))</f>
        <v>Fase de Degradação</v>
      </c>
      <c r="J424" s="189" t="s">
        <v>733</v>
      </c>
      <c r="K424" s="177">
        <f>IFERROR((VLOOKUP(C424,Dados!B:AW,44,0)),0)</f>
        <v>0</v>
      </c>
      <c r="L424" s="177">
        <f>IFERROR((VLOOKUP(C424,Dados!B:AW,45,0)),0)</f>
        <v>0</v>
      </c>
      <c r="M424" s="177">
        <f>IFERROR((VLOOKUP(C424,Dados!B:AW,43,0)),0)</f>
        <v>0</v>
      </c>
      <c r="N424" s="179">
        <f>IFERROR((VLOOKUP(C424,Dados!B:AW,47,0)),0)</f>
        <v>0</v>
      </c>
      <c r="O424" s="197">
        <f t="shared" si="19"/>
        <v>-1</v>
      </c>
      <c r="P424" s="1">
        <f t="shared" si="20"/>
        <v>0</v>
      </c>
      <c r="Q424" s="221"/>
      <c r="AC424">
        <v>-1</v>
      </c>
      <c r="AD424">
        <v>-1</v>
      </c>
      <c r="AE424">
        <v>-1</v>
      </c>
      <c r="AH424" t="s">
        <v>1156</v>
      </c>
      <c r="AI424" t="str">
        <f t="shared" si="18"/>
        <v>ROB082*</v>
      </c>
    </row>
    <row r="425" spans="1:35" ht="27" customHeight="1" x14ac:dyDescent="0.3">
      <c r="A425"/>
      <c r="B425" s="16">
        <v>530</v>
      </c>
      <c r="C425" s="16" t="s">
        <v>373</v>
      </c>
      <c r="D425" s="16" t="s">
        <v>1594</v>
      </c>
      <c r="E425" s="16" t="s">
        <v>2129</v>
      </c>
      <c r="F425" s="200" t="str">
        <f>VLOOKUP(C425,[9]Dados!B:C,2,0)</f>
        <v>RET030-RETÍFICA DE BIELAS</v>
      </c>
      <c r="G425" s="189" t="str">
        <f>IFERROR(VLOOKUP(C425,#REF!,4,FALSE),"")</f>
        <v/>
      </c>
      <c r="H425" s="345">
        <f>VLOOKUP(C425,Dados!B:AW,11,0)</f>
        <v>1.1599999999999999</v>
      </c>
      <c r="I425" s="16" t="str">
        <f>(VLOOKUP(C425,Dados!B:AW,48,0))</f>
        <v>Fase de Degradação</v>
      </c>
      <c r="J425" s="189" t="s">
        <v>733</v>
      </c>
      <c r="K425" s="177">
        <f>IFERROR((VLOOKUP(C425,Dados!B:AW,44,0)),0)</f>
        <v>0</v>
      </c>
      <c r="L425" s="177">
        <f>IFERROR((VLOOKUP(C425,Dados!B:AW,45,0)),0)</f>
        <v>0</v>
      </c>
      <c r="M425" s="177">
        <f>IFERROR((VLOOKUP(C425,Dados!B:AW,43,0)),0)</f>
        <v>0</v>
      </c>
      <c r="N425" s="179">
        <f>IFERROR((VLOOKUP(C425,Dados!B:AW,47,0)),0)</f>
        <v>0</v>
      </c>
      <c r="O425" s="197">
        <f t="shared" si="19"/>
        <v>-1</v>
      </c>
      <c r="P425" s="1">
        <f t="shared" si="20"/>
        <v>0</v>
      </c>
      <c r="Q425" s="221"/>
      <c r="AC425">
        <v>2</v>
      </c>
      <c r="AD425">
        <v>2</v>
      </c>
      <c r="AE425">
        <v>1</v>
      </c>
      <c r="AH425" t="s">
        <v>1209</v>
      </c>
      <c r="AI425" t="str">
        <f t="shared" si="18"/>
        <v>TOR042*</v>
      </c>
    </row>
    <row r="426" spans="1:35" ht="27" customHeight="1" x14ac:dyDescent="0.3">
      <c r="A426"/>
      <c r="B426" s="16">
        <v>533</v>
      </c>
      <c r="C426" s="16" t="s">
        <v>350</v>
      </c>
      <c r="D426" s="16" t="s">
        <v>1594</v>
      </c>
      <c r="E426" s="16" t="s">
        <v>2129</v>
      </c>
      <c r="F426" s="200" t="s">
        <v>171</v>
      </c>
      <c r="G426" s="189" t="str">
        <f>IFERROR(VLOOKUP(C426,#REF!,4,FALSE),"")</f>
        <v/>
      </c>
      <c r="H426" s="345">
        <f>VLOOKUP(C426,Dados!B:AW,11,0)</f>
        <v>1.57</v>
      </c>
      <c r="I426" s="16" t="str">
        <f>(VLOOKUP(C426,Dados!B:AW,48,0))</f>
        <v>Fase de Degradação</v>
      </c>
      <c r="J426" s="189" t="s">
        <v>735</v>
      </c>
      <c r="K426" s="177">
        <f>IFERROR((VLOOKUP(C426,Dados!B:AW,44,0)),0)</f>
        <v>0</v>
      </c>
      <c r="L426" s="177">
        <f>IFERROR((VLOOKUP(C426,Dados!B:AW,45,0)),0)</f>
        <v>0</v>
      </c>
      <c r="M426" s="177">
        <f>IFERROR((VLOOKUP(C426,Dados!B:AW,43,0)),0)</f>
        <v>0</v>
      </c>
      <c r="N426" s="179">
        <f>IFERROR((VLOOKUP(C426,Dados!B:AW,47,0)),0)</f>
        <v>0</v>
      </c>
      <c r="O426" s="197">
        <f t="shared" si="19"/>
        <v>1</v>
      </c>
      <c r="P426" s="1">
        <f t="shared" si="20"/>
        <v>0</v>
      </c>
      <c r="Q426" s="221"/>
      <c r="AC426">
        <v>-1</v>
      </c>
      <c r="AD426">
        <v>-1</v>
      </c>
      <c r="AE426">
        <v>-1</v>
      </c>
      <c r="AH426" t="s">
        <v>553</v>
      </c>
      <c r="AI426" t="str">
        <f t="shared" si="18"/>
        <v>BRU055*</v>
      </c>
    </row>
    <row r="427" spans="1:35" ht="27" customHeight="1" x14ac:dyDescent="0.3">
      <c r="A427"/>
      <c r="B427" s="16">
        <v>538</v>
      </c>
      <c r="C427" s="16" t="s">
        <v>1863</v>
      </c>
      <c r="D427" s="16" t="s">
        <v>1594</v>
      </c>
      <c r="E427" s="16" t="s">
        <v>2129</v>
      </c>
      <c r="F427" s="200" t="s">
        <v>1732</v>
      </c>
      <c r="G427" s="189" t="str">
        <f>IFERROR(VLOOKUP(C427,#REF!,4,FALSE),"")</f>
        <v/>
      </c>
      <c r="H427" s="345">
        <f>VLOOKUP(C427,Dados!B:AW,11,0)</f>
        <v>1.06</v>
      </c>
      <c r="I427" s="16" t="str">
        <f>(VLOOKUP(C427,Dados!B:AW,48,0))</f>
        <v>Fase de Vida Útil</v>
      </c>
      <c r="J427" s="189" t="s">
        <v>735</v>
      </c>
      <c r="K427" s="177">
        <f>IFERROR((VLOOKUP(C427,Dados!B:AW,44,0)),0)</f>
        <v>0</v>
      </c>
      <c r="L427" s="177">
        <f>IFERROR((VLOOKUP(C427,Dados!B:AW,45,0)),0)</f>
        <v>0</v>
      </c>
      <c r="M427" s="177">
        <f>IFERROR((VLOOKUP(C427,Dados!B:AW,43,0)),0)</f>
        <v>0</v>
      </c>
      <c r="N427" s="179">
        <f>IFERROR((VLOOKUP(C427,Dados!B:AW,47,0)),0)</f>
        <v>0</v>
      </c>
      <c r="O427" s="197">
        <f t="shared" si="19"/>
        <v>2</v>
      </c>
      <c r="P427" s="1">
        <f t="shared" si="20"/>
        <v>0</v>
      </c>
      <c r="Q427" s="221"/>
      <c r="AC427">
        <v>-1</v>
      </c>
      <c r="AD427">
        <v>-1</v>
      </c>
      <c r="AE427">
        <v>-1</v>
      </c>
      <c r="AH427" t="s">
        <v>896</v>
      </c>
      <c r="AI427" t="str">
        <f t="shared" si="18"/>
        <v>BRU061*</v>
      </c>
    </row>
    <row r="428" spans="1:35" ht="27" customHeight="1" x14ac:dyDescent="0.3">
      <c r="A428"/>
      <c r="B428" s="16">
        <v>682</v>
      </c>
      <c r="C428" s="16" t="s">
        <v>582</v>
      </c>
      <c r="D428" s="16" t="s">
        <v>1594</v>
      </c>
      <c r="E428" s="16" t="s">
        <v>2129</v>
      </c>
      <c r="F428" s="200" t="s">
        <v>583</v>
      </c>
      <c r="G428" s="189" t="str">
        <f>IFERROR(VLOOKUP(C428,#REF!,4,FALSE),"")</f>
        <v/>
      </c>
      <c r="H428" s="345">
        <f>VLOOKUP(C428,Dados!B:AW,11,0)</f>
        <v>1.73</v>
      </c>
      <c r="I428" s="16" t="str">
        <f>(VLOOKUP(C428,Dados!B:AW,48,0))</f>
        <v>Fase de Degradação</v>
      </c>
      <c r="J428" s="189" t="s">
        <v>734</v>
      </c>
      <c r="K428" s="177">
        <f>IFERROR((VLOOKUP(C428,Dados!B:AW,44,0)),0)</f>
        <v>0</v>
      </c>
      <c r="L428" s="177">
        <f>IFERROR((VLOOKUP(C428,Dados!B:AW,45,0)),0)</f>
        <v>0</v>
      </c>
      <c r="M428" s="177">
        <f>IFERROR((VLOOKUP(C428,Dados!B:AW,43,0)),0)</f>
        <v>0</v>
      </c>
      <c r="N428" s="179">
        <f>IFERROR((VLOOKUP(C428,Dados!B:AW,47,0)),0)</f>
        <v>0</v>
      </c>
      <c r="O428" s="197">
        <f t="shared" si="19"/>
        <v>1</v>
      </c>
      <c r="P428" s="1">
        <f t="shared" si="20"/>
        <v>0</v>
      </c>
      <c r="Q428" s="221"/>
      <c r="AC428">
        <v>-1</v>
      </c>
      <c r="AD428">
        <v>-1</v>
      </c>
      <c r="AE428">
        <v>-1</v>
      </c>
      <c r="AH428" t="s">
        <v>908</v>
      </c>
      <c r="AI428" t="str">
        <f t="shared" si="18"/>
        <v>BRU067*</v>
      </c>
    </row>
    <row r="429" spans="1:35" ht="27" customHeight="1" x14ac:dyDescent="0.3">
      <c r="A429"/>
      <c r="B429" s="16">
        <v>69</v>
      </c>
      <c r="C429" s="387" t="s">
        <v>745</v>
      </c>
      <c r="D429" s="16" t="s">
        <v>1592</v>
      </c>
      <c r="E429" s="387" t="s">
        <v>2134</v>
      </c>
      <c r="F429" s="200" t="s">
        <v>746</v>
      </c>
      <c r="G429" s="388" t="str">
        <f>IFERROR(VLOOKUP(C429,#REF!,4,FALSE),"")</f>
        <v/>
      </c>
      <c r="H429" s="389">
        <f>VLOOKUP(C429,Dados!B:AW,11,0)</f>
        <v>1.85</v>
      </c>
      <c r="I429" s="387" t="str">
        <f>(VLOOKUP(C429,Dados!B:AW,48,0))</f>
        <v>Fase de Degradação</v>
      </c>
      <c r="J429" s="388" t="s">
        <v>735</v>
      </c>
      <c r="K429" s="390">
        <f>IFERROR((VLOOKUP(C429,Dados!B:AW,44,0)),0)</f>
        <v>-567686.84907303611</v>
      </c>
      <c r="L429" s="390">
        <f>IFERROR((VLOOKUP(C429,Dados!B:AW,45,0)),0)</f>
        <v>-113537.36981460721</v>
      </c>
      <c r="M429" s="390">
        <f>IFERROR((VLOOKUP(C429,Dados!B:AW,43,0)),0)</f>
        <v>289875.77799923072</v>
      </c>
      <c r="N429" s="391">
        <f>IFERROR((VLOOKUP(C429,Dados!B:AW,47,0)),0)</f>
        <v>4.2555186361157649</v>
      </c>
      <c r="O429" s="392">
        <v>-1</v>
      </c>
      <c r="P429" s="1">
        <f t="shared" si="20"/>
        <v>0</v>
      </c>
      <c r="Q429" s="221"/>
      <c r="AC429">
        <v>-1</v>
      </c>
      <c r="AD429">
        <v>-1</v>
      </c>
      <c r="AE429">
        <v>-1</v>
      </c>
      <c r="AH429" t="s">
        <v>361</v>
      </c>
      <c r="AI429" t="str">
        <f t="shared" si="18"/>
        <v>CAB032*</v>
      </c>
    </row>
    <row r="430" spans="1:35" ht="27" customHeight="1" x14ac:dyDescent="0.3">
      <c r="A430"/>
      <c r="B430" s="16">
        <v>174</v>
      </c>
      <c r="C430" s="16" t="s">
        <v>601</v>
      </c>
      <c r="D430" s="16" t="s">
        <v>1592</v>
      </c>
      <c r="E430" s="16" t="s">
        <v>2134</v>
      </c>
      <c r="F430" s="200" t="s">
        <v>602</v>
      </c>
      <c r="G430" s="189" t="str">
        <f>IFERROR(VLOOKUP(C430,#REF!,4,FALSE),"")</f>
        <v/>
      </c>
      <c r="H430" s="249">
        <f>VLOOKUP(C430,Dados!B:AW,11,0)</f>
        <v>1.94</v>
      </c>
      <c r="I430" s="16" t="str">
        <f>(VLOOKUP(C430,Dados!B:AW,48,0))</f>
        <v>Fase de Degradação</v>
      </c>
      <c r="J430" s="189" t="s">
        <v>735</v>
      </c>
      <c r="K430" s="177">
        <f>IFERROR((VLOOKUP(C430,Dados!B:AW,44,0)),0)</f>
        <v>0</v>
      </c>
      <c r="L430" s="177">
        <f>IFERROR((VLOOKUP(C430,Dados!B:AW,45,0)),0)</f>
        <v>0</v>
      </c>
      <c r="M430" s="177">
        <f>IFERROR((VLOOKUP(C430,Dados!B:AW,43,0)),0)</f>
        <v>0</v>
      </c>
      <c r="N430" s="179">
        <f>IFERROR((VLOOKUP(C430,Dados!B:AW,47,0)),0)</f>
        <v>0</v>
      </c>
      <c r="O430" s="197">
        <f t="shared" ref="O430:O493" si="21">IF(AND(J430="Parcial",N430&gt;0,H430&gt;1),-1,IF(AND(J430="Parcial",N430&gt;0,H430&lt;1.1),1,IF(AND(J430="Parcial",N430&lt;0,H430&gt;1.09),-1,IF(J430="Total",-1,IF(H430&gt;1.09,1,2)))))</f>
        <v>1</v>
      </c>
      <c r="P430" s="1">
        <f t="shared" si="20"/>
        <v>0</v>
      </c>
      <c r="Q430" s="221"/>
      <c r="AC430">
        <v>-1</v>
      </c>
      <c r="AD430">
        <v>-1</v>
      </c>
      <c r="AE430">
        <v>-1</v>
      </c>
      <c r="AH430" t="s">
        <v>950</v>
      </c>
      <c r="AI430" t="str">
        <f t="shared" si="18"/>
        <v>CAB127*</v>
      </c>
    </row>
    <row r="431" spans="1:35" ht="27" customHeight="1" x14ac:dyDescent="0.3">
      <c r="A431"/>
      <c r="B431" s="16">
        <v>195</v>
      </c>
      <c r="C431" s="16" t="s">
        <v>633</v>
      </c>
      <c r="D431" s="16" t="s">
        <v>1592</v>
      </c>
      <c r="E431" s="16" t="s">
        <v>2134</v>
      </c>
      <c r="F431" s="200" t="s">
        <v>634</v>
      </c>
      <c r="G431" s="189" t="str">
        <f>IFERROR(VLOOKUP(C431,#REF!,4,FALSE),"")</f>
        <v/>
      </c>
      <c r="H431" s="248">
        <f>VLOOKUP(C431,Dados!B:AW,11,0)</f>
        <v>1.26</v>
      </c>
      <c r="I431" s="16" t="str">
        <f>(VLOOKUP(C431,Dados!B:AW,48,0))</f>
        <v>Fase de Degradação</v>
      </c>
      <c r="J431" s="189" t="s">
        <v>735</v>
      </c>
      <c r="K431" s="177">
        <f>IFERROR((VLOOKUP(C431,Dados!B:AW,44,0)),0)</f>
        <v>0</v>
      </c>
      <c r="L431" s="177">
        <f>IFERROR((VLOOKUP(C431,Dados!B:AW,45,0)),0)</f>
        <v>0</v>
      </c>
      <c r="M431" s="177">
        <f>IFERROR((VLOOKUP(C431,Dados!B:AW,43,0)),0)</f>
        <v>0</v>
      </c>
      <c r="N431" s="179">
        <f>IFERROR((VLOOKUP(C431,Dados!B:AW,47,0)),0)</f>
        <v>0</v>
      </c>
      <c r="O431" s="197">
        <f t="shared" si="21"/>
        <v>1</v>
      </c>
      <c r="P431" s="1">
        <f t="shared" si="20"/>
        <v>0</v>
      </c>
      <c r="Q431" s="221"/>
      <c r="AC431">
        <v>-1</v>
      </c>
      <c r="AD431">
        <v>-1</v>
      </c>
      <c r="AE431">
        <v>-1</v>
      </c>
      <c r="AH431" t="s">
        <v>960</v>
      </c>
      <c r="AI431" t="str">
        <f t="shared" si="18"/>
        <v>CEN101*</v>
      </c>
    </row>
    <row r="432" spans="1:35" ht="27" customHeight="1" x14ac:dyDescent="0.3">
      <c r="A432"/>
      <c r="B432" s="16">
        <v>414</v>
      </c>
      <c r="C432" s="16" t="s">
        <v>352</v>
      </c>
      <c r="D432" s="16" t="s">
        <v>1592</v>
      </c>
      <c r="E432" s="16" t="s">
        <v>2134</v>
      </c>
      <c r="F432" s="200" t="s">
        <v>173</v>
      </c>
      <c r="G432" s="189" t="str">
        <f>IFERROR(VLOOKUP(C432,#REF!,4,FALSE),"")</f>
        <v/>
      </c>
      <c r="H432" s="250">
        <f>VLOOKUP(C432,Dados!B:AW,11,0)</f>
        <v>1.58</v>
      </c>
      <c r="I432" s="16" t="str">
        <f>(VLOOKUP(C432,Dados!B:AW,48,0))</f>
        <v>Fase de Degradação</v>
      </c>
      <c r="J432" s="189" t="s">
        <v>735</v>
      </c>
      <c r="K432" s="177">
        <f>IFERROR((VLOOKUP(C432,Dados!B:AW,44,0)),0)</f>
        <v>0</v>
      </c>
      <c r="L432" s="177">
        <f>IFERROR((VLOOKUP(C432,Dados!B:AW,45,0)),0)</f>
        <v>0</v>
      </c>
      <c r="M432" s="177">
        <f>IFERROR((VLOOKUP(C432,Dados!B:AW,43,0)),0)</f>
        <v>0</v>
      </c>
      <c r="N432" s="179">
        <f>IFERROR((VLOOKUP(C432,Dados!B:AW,47,0)),0)</f>
        <v>0</v>
      </c>
      <c r="O432" s="197">
        <f t="shared" si="21"/>
        <v>1</v>
      </c>
      <c r="P432" s="1">
        <f t="shared" si="20"/>
        <v>0</v>
      </c>
      <c r="Q432" s="221"/>
      <c r="AC432">
        <v>-1</v>
      </c>
      <c r="AD432">
        <v>-1</v>
      </c>
      <c r="AE432">
        <v>-1</v>
      </c>
      <c r="AH432" t="s">
        <v>978</v>
      </c>
      <c r="AI432" t="str">
        <f t="shared" si="18"/>
        <v>CEN110*</v>
      </c>
    </row>
    <row r="433" spans="1:35" ht="27" customHeight="1" x14ac:dyDescent="0.3">
      <c r="A433"/>
      <c r="B433" s="16">
        <v>420</v>
      </c>
      <c r="C433" s="16" t="s">
        <v>677</v>
      </c>
      <c r="D433" s="16" t="s">
        <v>1592</v>
      </c>
      <c r="E433" s="16" t="s">
        <v>2134</v>
      </c>
      <c r="F433" s="200" t="s">
        <v>678</v>
      </c>
      <c r="G433" s="189" t="str">
        <f>IFERROR(VLOOKUP(C433,#REF!,4,FALSE),"")</f>
        <v/>
      </c>
      <c r="H433" s="250">
        <f>VLOOKUP(C433,Dados!B:AW,11,0)</f>
        <v>1.1399999999999999</v>
      </c>
      <c r="I433" s="16" t="str">
        <f>(VLOOKUP(C433,Dados!B:AW,48,0))</f>
        <v>Fase de Degradação</v>
      </c>
      <c r="J433" s="189" t="s">
        <v>735</v>
      </c>
      <c r="K433" s="177">
        <f>IFERROR((VLOOKUP(C433,Dados!B:AW,44,0)),0)</f>
        <v>0</v>
      </c>
      <c r="L433" s="177">
        <f>IFERROR((VLOOKUP(C433,Dados!B:AW,45,0)),0)</f>
        <v>0</v>
      </c>
      <c r="M433" s="177">
        <f>IFERROR((VLOOKUP(C433,Dados!B:AW,43,0)),0)</f>
        <v>0</v>
      </c>
      <c r="N433" s="179">
        <f>IFERROR((VLOOKUP(C433,Dados!B:AW,47,0)),0)</f>
        <v>0</v>
      </c>
      <c r="O433" s="197">
        <f t="shared" si="21"/>
        <v>1</v>
      </c>
      <c r="P433" s="1">
        <f t="shared" si="20"/>
        <v>0</v>
      </c>
      <c r="Q433" s="221"/>
      <c r="AC433">
        <v>2</v>
      </c>
      <c r="AD433">
        <v>2</v>
      </c>
      <c r="AE433">
        <v>1</v>
      </c>
      <c r="AH433" t="s">
        <v>609</v>
      </c>
      <c r="AI433" t="str">
        <f t="shared" si="18"/>
        <v>INJ041*</v>
      </c>
    </row>
    <row r="434" spans="1:35" ht="27" customHeight="1" x14ac:dyDescent="0.3">
      <c r="A434"/>
      <c r="B434" s="16">
        <v>428</v>
      </c>
      <c r="C434" s="16" t="s">
        <v>1070</v>
      </c>
      <c r="D434" s="16" t="s">
        <v>1592</v>
      </c>
      <c r="E434" s="16" t="s">
        <v>2134</v>
      </c>
      <c r="F434" s="200" t="s">
        <v>1071</v>
      </c>
      <c r="G434" s="189" t="str">
        <f>IFERROR(VLOOKUP(C434,#REF!,4,FALSE),"")</f>
        <v/>
      </c>
      <c r="H434" s="250">
        <f>VLOOKUP(C434,Dados!B:AW,11,0)</f>
        <v>1.23</v>
      </c>
      <c r="I434" s="16" t="str">
        <f>(VLOOKUP(C434,Dados!B:AW,48,0))</f>
        <v>Fase de Degradação</v>
      </c>
      <c r="J434" s="189" t="s">
        <v>735</v>
      </c>
      <c r="K434" s="177">
        <f>IFERROR((VLOOKUP(C434,Dados!B:AW,44,0)),0)</f>
        <v>0</v>
      </c>
      <c r="L434" s="177">
        <f>IFERROR((VLOOKUP(C434,Dados!B:AW,45,0)),0)</f>
        <v>0</v>
      </c>
      <c r="M434" s="177">
        <f>IFERROR((VLOOKUP(C434,Dados!B:AW,43,0)),0)</f>
        <v>0</v>
      </c>
      <c r="N434" s="179">
        <f>IFERROR((VLOOKUP(C434,Dados!B:AW,47,0)),0)</f>
        <v>0</v>
      </c>
      <c r="O434" s="197">
        <f t="shared" si="21"/>
        <v>1</v>
      </c>
      <c r="P434" s="1">
        <f t="shared" si="20"/>
        <v>0</v>
      </c>
      <c r="Q434" s="221"/>
      <c r="AC434">
        <v>-1</v>
      </c>
      <c r="AD434">
        <v>-1</v>
      </c>
      <c r="AE434">
        <v>-1</v>
      </c>
      <c r="AH434" t="s">
        <v>1080</v>
      </c>
      <c r="AI434" t="str">
        <f t="shared" si="18"/>
        <v>LAV087*</v>
      </c>
    </row>
    <row r="435" spans="1:35" ht="27" customHeight="1" x14ac:dyDescent="0.3">
      <c r="A435"/>
      <c r="B435" s="16">
        <v>77</v>
      </c>
      <c r="C435" s="16" t="s">
        <v>922</v>
      </c>
      <c r="D435" s="16" t="s">
        <v>1589</v>
      </c>
      <c r="E435" s="16" t="s">
        <v>2085</v>
      </c>
      <c r="F435" s="200" t="s">
        <v>923</v>
      </c>
      <c r="G435" s="189" t="str">
        <f>IFERROR(VLOOKUP(C435,#REF!,4,FALSE),"")</f>
        <v/>
      </c>
      <c r="H435" s="249">
        <f>VLOOKUP(C435,Dados!B:AW,11,0)</f>
        <v>1.4</v>
      </c>
      <c r="I435" s="16" t="str">
        <f>(VLOOKUP(C435,Dados!B:AW,48,0))</f>
        <v>Fase de Degradação</v>
      </c>
      <c r="J435" s="189" t="s">
        <v>1223</v>
      </c>
      <c r="K435" s="177">
        <f>IFERROR((VLOOKUP(C435,Dados!B:AW,44,0)),0)</f>
        <v>0</v>
      </c>
      <c r="L435" s="177">
        <f>IFERROR((VLOOKUP(C435,Dados!B:AW,45,0)),0)</f>
        <v>0</v>
      </c>
      <c r="M435" s="177">
        <f>IFERROR((VLOOKUP(C435,Dados!B:AW,43,0)),0)</f>
        <v>0</v>
      </c>
      <c r="N435" s="179">
        <f>IFERROR((VLOOKUP(C435,Dados!B:AW,47,0)),0)</f>
        <v>0</v>
      </c>
      <c r="O435" s="197">
        <f t="shared" si="21"/>
        <v>1</v>
      </c>
      <c r="P435" s="1">
        <f t="shared" si="20"/>
        <v>0</v>
      </c>
      <c r="Q435" s="221"/>
      <c r="AC435">
        <v>2</v>
      </c>
      <c r="AD435">
        <v>2</v>
      </c>
      <c r="AE435">
        <v>1</v>
      </c>
      <c r="AH435" t="s">
        <v>1152</v>
      </c>
      <c r="AI435" t="str">
        <f t="shared" si="18"/>
        <v>ROB080*</v>
      </c>
    </row>
    <row r="436" spans="1:35" ht="27" customHeight="1" x14ac:dyDescent="0.3">
      <c r="A436"/>
      <c r="B436" s="16">
        <v>78</v>
      </c>
      <c r="C436" s="16" t="s">
        <v>924</v>
      </c>
      <c r="D436" s="16" t="s">
        <v>1589</v>
      </c>
      <c r="E436" s="16" t="s">
        <v>2085</v>
      </c>
      <c r="F436" s="200" t="s">
        <v>925</v>
      </c>
      <c r="G436" s="189" t="str">
        <f>IFERROR(VLOOKUP(C436,#REF!,4,FALSE),"")</f>
        <v/>
      </c>
      <c r="H436" s="249">
        <f>VLOOKUP(C436,Dados!B:AW,11,0)</f>
        <v>1.44</v>
      </c>
      <c r="I436" s="16" t="str">
        <f>(VLOOKUP(C436,Dados!B:AW,48,0))</f>
        <v>Fase de Degradação</v>
      </c>
      <c r="J436" s="189" t="s">
        <v>1223</v>
      </c>
      <c r="K436" s="177">
        <f>IFERROR((VLOOKUP(C436,Dados!B:AW,44,0)),0)</f>
        <v>0</v>
      </c>
      <c r="L436" s="177">
        <f>IFERROR((VLOOKUP(C436,Dados!B:AW,45,0)),0)</f>
        <v>0</v>
      </c>
      <c r="M436" s="177">
        <f>IFERROR((VLOOKUP(C436,Dados!B:AW,43,0)),0)</f>
        <v>0</v>
      </c>
      <c r="N436" s="179">
        <f>IFERROR((VLOOKUP(C436,Dados!B:AW,47,0)),0)</f>
        <v>0</v>
      </c>
      <c r="O436" s="197">
        <f t="shared" si="21"/>
        <v>1</v>
      </c>
      <c r="P436" s="1">
        <f t="shared" si="20"/>
        <v>0</v>
      </c>
      <c r="Q436" s="221"/>
      <c r="AC436">
        <v>2</v>
      </c>
      <c r="AD436">
        <v>2</v>
      </c>
      <c r="AE436">
        <v>2</v>
      </c>
      <c r="AH436" t="s">
        <v>1154</v>
      </c>
      <c r="AI436" t="str">
        <f t="shared" si="18"/>
        <v>ROB081*</v>
      </c>
    </row>
    <row r="437" spans="1:35" ht="27" customHeight="1" x14ac:dyDescent="0.3">
      <c r="A437"/>
      <c r="B437" s="16">
        <v>90</v>
      </c>
      <c r="C437" s="16" t="s">
        <v>940</v>
      </c>
      <c r="D437" s="16" t="s">
        <v>1589</v>
      </c>
      <c r="E437" s="16" t="s">
        <v>2085</v>
      </c>
      <c r="F437" s="200" t="s">
        <v>941</v>
      </c>
      <c r="G437" s="189" t="str">
        <f>IFERROR(VLOOKUP(C437,#REF!,4,FALSE),"")</f>
        <v/>
      </c>
      <c r="H437" s="249">
        <f>VLOOKUP(C437,Dados!B:AW,11,0)</f>
        <v>0.99</v>
      </c>
      <c r="I437" s="16" t="str">
        <f>(VLOOKUP(C437,Dados!B:AW,48,0))</f>
        <v>Confiabilidade em Crescimento</v>
      </c>
      <c r="J437" s="189" t="s">
        <v>1223</v>
      </c>
      <c r="K437" s="177">
        <f>IFERROR((VLOOKUP(C437,Dados!B:AW,44,0)),0)</f>
        <v>0</v>
      </c>
      <c r="L437" s="177">
        <f>IFERROR((VLOOKUP(C437,Dados!B:AW,45,0)),0)</f>
        <v>0</v>
      </c>
      <c r="M437" s="177">
        <f>IFERROR((VLOOKUP(C437,Dados!B:AW,43,0)),0)</f>
        <v>0</v>
      </c>
      <c r="N437" s="179">
        <f>IFERROR((VLOOKUP(C437,Dados!B:AW,47,0)),0)</f>
        <v>0</v>
      </c>
      <c r="O437" s="197">
        <f t="shared" si="21"/>
        <v>2</v>
      </c>
      <c r="P437" s="1">
        <f t="shared" si="20"/>
        <v>0</v>
      </c>
      <c r="Q437" s="221"/>
      <c r="AC437">
        <v>2</v>
      </c>
      <c r="AD437">
        <v>2</v>
      </c>
      <c r="AE437">
        <v>2</v>
      </c>
      <c r="AH437" t="s">
        <v>1203</v>
      </c>
      <c r="AI437" t="str">
        <f t="shared" si="18"/>
        <v>TAN636*</v>
      </c>
    </row>
    <row r="438" spans="1:35" ht="27" customHeight="1" x14ac:dyDescent="0.3">
      <c r="A438"/>
      <c r="B438" s="16">
        <v>422</v>
      </c>
      <c r="C438" s="16" t="s">
        <v>703</v>
      </c>
      <c r="D438" s="16" t="s">
        <v>1589</v>
      </c>
      <c r="E438" s="16" t="s">
        <v>2085</v>
      </c>
      <c r="F438" s="200" t="s">
        <v>704</v>
      </c>
      <c r="G438" s="189" t="str">
        <f>IFERROR(VLOOKUP(C438,#REF!,4,FALSE),"")</f>
        <v/>
      </c>
      <c r="H438" s="250">
        <f>VLOOKUP(C438,Dados!B:AW,11,0)</f>
        <v>0.96</v>
      </c>
      <c r="I438" s="16" t="str">
        <f>(VLOOKUP(C438,Dados!B:AW,48,0))</f>
        <v>Confiabilidade em Crescimento</v>
      </c>
      <c r="J438" s="189" t="s">
        <v>735</v>
      </c>
      <c r="K438" s="177">
        <f>IFERROR((VLOOKUP(C438,Dados!B:AW,44,0)),0)</f>
        <v>0</v>
      </c>
      <c r="L438" s="177">
        <f>IFERROR((VLOOKUP(C438,Dados!B:AW,45,0)),0)</f>
        <v>0</v>
      </c>
      <c r="M438" s="177">
        <f>IFERROR((VLOOKUP(C438,Dados!B:AW,43,0)),0)</f>
        <v>0</v>
      </c>
      <c r="N438" s="179">
        <f>IFERROR((VLOOKUP(C438,Dados!B:AW,47,0)),0)</f>
        <v>0</v>
      </c>
      <c r="O438" s="197">
        <f t="shared" si="21"/>
        <v>2</v>
      </c>
      <c r="P438" s="1">
        <f t="shared" si="20"/>
        <v>0</v>
      </c>
      <c r="Q438" s="221"/>
      <c r="AC438">
        <v>-1</v>
      </c>
      <c r="AD438">
        <v>-1</v>
      </c>
      <c r="AE438">
        <v>-1</v>
      </c>
      <c r="AH438" t="s">
        <v>898</v>
      </c>
      <c r="AI438" t="str">
        <f t="shared" si="18"/>
        <v>BRU062*</v>
      </c>
    </row>
    <row r="439" spans="1:35" ht="27" customHeight="1" x14ac:dyDescent="0.3">
      <c r="A439"/>
      <c r="B439" s="16">
        <v>426</v>
      </c>
      <c r="C439" s="16" t="s">
        <v>1843</v>
      </c>
      <c r="D439" s="16" t="s">
        <v>1589</v>
      </c>
      <c r="E439" s="16" t="s">
        <v>2085</v>
      </c>
      <c r="F439" s="200" t="s">
        <v>1712</v>
      </c>
      <c r="G439" s="189" t="str">
        <f>IFERROR(VLOOKUP(C439,#REF!,4,FALSE),"")</f>
        <v/>
      </c>
      <c r="H439" s="250">
        <f>VLOOKUP(C439,Dados!B:AW,11,0)</f>
        <v>0</v>
      </c>
      <c r="I439" s="16">
        <f>(VLOOKUP(C439,Dados!B:AW,48,0))</f>
        <v>0</v>
      </c>
      <c r="J439" s="189" t="s">
        <v>735</v>
      </c>
      <c r="K439" s="177">
        <f>IFERROR((VLOOKUP(C439,Dados!B:AW,44,0)),0)</f>
        <v>0</v>
      </c>
      <c r="L439" s="177">
        <f>IFERROR((VLOOKUP(C439,Dados!B:AW,45,0)),0)</f>
        <v>0</v>
      </c>
      <c r="M439" s="177">
        <f>IFERROR((VLOOKUP(C439,Dados!B:AW,43,0)),0)</f>
        <v>0</v>
      </c>
      <c r="N439" s="179">
        <f>IFERROR((VLOOKUP(C439,Dados!B:AW,47,0)),0)</f>
        <v>0</v>
      </c>
      <c r="O439" s="197">
        <f t="shared" si="21"/>
        <v>2</v>
      </c>
      <c r="P439" s="1">
        <f t="shared" si="20"/>
        <v>0</v>
      </c>
      <c r="Q439" s="221"/>
      <c r="AC439">
        <v>2</v>
      </c>
      <c r="AD439">
        <v>2</v>
      </c>
      <c r="AE439">
        <v>1</v>
      </c>
      <c r="AH439" t="s">
        <v>904</v>
      </c>
      <c r="AI439" t="str">
        <f t="shared" si="18"/>
        <v>BRU065*</v>
      </c>
    </row>
    <row r="440" spans="1:35" ht="27" customHeight="1" x14ac:dyDescent="0.3">
      <c r="A440"/>
      <c r="B440" s="16">
        <v>592</v>
      </c>
      <c r="C440" s="16" t="s">
        <v>841</v>
      </c>
      <c r="D440" s="16" t="s">
        <v>1589</v>
      </c>
      <c r="E440" s="16" t="s">
        <v>2085</v>
      </c>
      <c r="F440" s="200" t="s">
        <v>842</v>
      </c>
      <c r="G440" s="189" t="str">
        <f>IFERROR(VLOOKUP(C440,#REF!,4,FALSE),"")</f>
        <v/>
      </c>
      <c r="H440" s="249">
        <f>VLOOKUP(C440,Dados!B:AW,11,0)</f>
        <v>1.21</v>
      </c>
      <c r="I440" s="16" t="str">
        <f>(VLOOKUP(C440,Dados!B:AW,48,0))</f>
        <v>Fase de Degradação</v>
      </c>
      <c r="J440" s="189" t="s">
        <v>735</v>
      </c>
      <c r="K440" s="177">
        <f>IFERROR((VLOOKUP(C440,Dados!B:AW,44,0)),0)</f>
        <v>0</v>
      </c>
      <c r="L440" s="177">
        <f>IFERROR((VLOOKUP(C440,Dados!B:AW,45,0)),0)</f>
        <v>0</v>
      </c>
      <c r="M440" s="177">
        <f>IFERROR((VLOOKUP(C440,Dados!B:AW,43,0)),0)</f>
        <v>0</v>
      </c>
      <c r="N440" s="179">
        <f>IFERROR((VLOOKUP(C440,Dados!B:AW,47,0)),0)</f>
        <v>0</v>
      </c>
      <c r="O440" s="197">
        <f t="shared" si="21"/>
        <v>1</v>
      </c>
      <c r="P440" s="1">
        <f t="shared" si="20"/>
        <v>0</v>
      </c>
      <c r="Q440" s="221"/>
      <c r="AC440">
        <v>-1</v>
      </c>
      <c r="AD440">
        <v>-1</v>
      </c>
      <c r="AE440">
        <v>-1</v>
      </c>
      <c r="AH440" t="s">
        <v>906</v>
      </c>
      <c r="AI440" t="str">
        <f t="shared" si="18"/>
        <v>BRU066*</v>
      </c>
    </row>
    <row r="441" spans="1:35" ht="27" customHeight="1" x14ac:dyDescent="0.3">
      <c r="A441"/>
      <c r="B441" s="16">
        <v>86</v>
      </c>
      <c r="C441" s="16" t="s">
        <v>932</v>
      </c>
      <c r="D441" s="16" t="s">
        <v>1589</v>
      </c>
      <c r="E441" s="16" t="s">
        <v>2086</v>
      </c>
      <c r="F441" s="200" t="s">
        <v>933</v>
      </c>
      <c r="G441" s="189" t="str">
        <f>IFERROR(VLOOKUP(C441,#REF!,4,FALSE),"")</f>
        <v/>
      </c>
      <c r="H441" s="249">
        <f>VLOOKUP(C441,Dados!B:AW,11,0)</f>
        <v>1.1599999999999999</v>
      </c>
      <c r="I441" s="16" t="str">
        <f>(VLOOKUP(C441,Dados!B:AW,48,0))</f>
        <v>Fase de Degradação</v>
      </c>
      <c r="J441" s="189" t="s">
        <v>1223</v>
      </c>
      <c r="K441" s="243">
        <f>IFERROR((VLOOKUP(C441,Dados!B:AW,44,0)),0)</f>
        <v>0</v>
      </c>
      <c r="L441" s="243">
        <f>IFERROR((VLOOKUP(C441,Dados!B:AW,45,0)),0)</f>
        <v>0</v>
      </c>
      <c r="M441" s="243">
        <f>IFERROR((VLOOKUP(C441,Dados!B:AW,43,0)),0)</f>
        <v>0</v>
      </c>
      <c r="N441" s="244">
        <f>IFERROR((VLOOKUP(C441,Dados!B:AW,47,0)),0)</f>
        <v>0</v>
      </c>
      <c r="O441" s="197">
        <f t="shared" si="21"/>
        <v>1</v>
      </c>
      <c r="P441" s="1">
        <f t="shared" si="20"/>
        <v>0</v>
      </c>
      <c r="Q441" s="221"/>
      <c r="AC441">
        <v>2</v>
      </c>
      <c r="AD441">
        <v>2</v>
      </c>
      <c r="AE441">
        <v>1</v>
      </c>
      <c r="AH441" t="s">
        <v>976</v>
      </c>
      <c r="AI441" t="str">
        <f t="shared" si="18"/>
        <v>CEN109*</v>
      </c>
    </row>
    <row r="442" spans="1:35" ht="27" customHeight="1" x14ac:dyDescent="0.3">
      <c r="A442"/>
      <c r="B442" s="16">
        <v>87</v>
      </c>
      <c r="C442" s="16" t="s">
        <v>934</v>
      </c>
      <c r="D442" s="16" t="s">
        <v>1589</v>
      </c>
      <c r="E442" s="16" t="s">
        <v>2086</v>
      </c>
      <c r="F442" s="200" t="s">
        <v>935</v>
      </c>
      <c r="G442" s="189" t="str">
        <f>IFERROR(VLOOKUP(C442,#REF!,4,FALSE),"")</f>
        <v/>
      </c>
      <c r="H442" s="249">
        <f>VLOOKUP(C442,Dados!B:AW,11,0)</f>
        <v>0.99</v>
      </c>
      <c r="I442" s="16" t="str">
        <f>(VLOOKUP(C442,Dados!B:AW,48,0))</f>
        <v>Confiabilidade em Crescimento</v>
      </c>
      <c r="J442" s="189" t="s">
        <v>1223</v>
      </c>
      <c r="K442" s="243">
        <f>IFERROR((VLOOKUP(C442,Dados!B:AW,44,0)),0)</f>
        <v>0</v>
      </c>
      <c r="L442" s="243">
        <f>IFERROR((VLOOKUP(C442,Dados!B:AW,45,0)),0)</f>
        <v>0</v>
      </c>
      <c r="M442" s="243">
        <f>IFERROR((VLOOKUP(C442,Dados!B:AW,43,0)),0)</f>
        <v>0</v>
      </c>
      <c r="N442" s="244">
        <f>IFERROR((VLOOKUP(C442,Dados!B:AW,47,0)),0)</f>
        <v>0</v>
      </c>
      <c r="O442" s="197">
        <f t="shared" si="21"/>
        <v>2</v>
      </c>
      <c r="P442" s="1">
        <f t="shared" si="20"/>
        <v>0</v>
      </c>
      <c r="Q442" s="221"/>
      <c r="AC442">
        <v>2</v>
      </c>
      <c r="AD442">
        <v>2</v>
      </c>
      <c r="AE442">
        <v>1</v>
      </c>
      <c r="AH442" t="s">
        <v>121</v>
      </c>
      <c r="AI442" t="str">
        <f t="shared" si="18"/>
        <v>FOR017*</v>
      </c>
    </row>
    <row r="443" spans="1:35" ht="27" customHeight="1" x14ac:dyDescent="0.3">
      <c r="A443"/>
      <c r="B443" s="16">
        <v>88</v>
      </c>
      <c r="C443" s="16" t="s">
        <v>936</v>
      </c>
      <c r="D443" s="16" t="s">
        <v>1589</v>
      </c>
      <c r="E443" s="16" t="s">
        <v>2086</v>
      </c>
      <c r="F443" s="200" t="s">
        <v>937</v>
      </c>
      <c r="G443" s="189" t="str">
        <f>IFERROR(VLOOKUP(C443,#REF!,4,FALSE),"")</f>
        <v/>
      </c>
      <c r="H443" s="249">
        <f>VLOOKUP(C443,Dados!B:AW,11,0)</f>
        <v>0.99</v>
      </c>
      <c r="I443" s="16" t="str">
        <f>(VLOOKUP(C443,Dados!B:AW,48,0))</f>
        <v>Confiabilidade em Crescimento</v>
      </c>
      <c r="J443" s="189" t="s">
        <v>1223</v>
      </c>
      <c r="K443" s="243">
        <f>IFERROR((VLOOKUP(C443,Dados!B:AW,44,0)),0)</f>
        <v>0</v>
      </c>
      <c r="L443" s="243">
        <f>IFERROR((VLOOKUP(C443,Dados!B:AW,45,0)),0)</f>
        <v>0</v>
      </c>
      <c r="M443" s="243">
        <f>IFERROR((VLOOKUP(C443,Dados!B:AW,43,0)),0)</f>
        <v>0</v>
      </c>
      <c r="N443" s="244">
        <f>IFERROR((VLOOKUP(C443,Dados!B:AW,47,0)),0)</f>
        <v>0</v>
      </c>
      <c r="O443" s="197">
        <f t="shared" si="21"/>
        <v>2</v>
      </c>
      <c r="P443" s="1">
        <f t="shared" si="20"/>
        <v>0</v>
      </c>
      <c r="Q443" s="221"/>
      <c r="AC443">
        <v>2</v>
      </c>
      <c r="AD443">
        <v>2</v>
      </c>
      <c r="AE443">
        <v>1</v>
      </c>
      <c r="AH443" t="s">
        <v>388</v>
      </c>
      <c r="AI443" t="str">
        <f t="shared" si="18"/>
        <v>FOR089*</v>
      </c>
    </row>
    <row r="444" spans="1:35" ht="27" customHeight="1" x14ac:dyDescent="0.3">
      <c r="A444"/>
      <c r="B444" s="16">
        <v>89</v>
      </c>
      <c r="C444" s="16" t="s">
        <v>938</v>
      </c>
      <c r="D444" s="16" t="s">
        <v>1589</v>
      </c>
      <c r="E444" s="16" t="s">
        <v>2086</v>
      </c>
      <c r="F444" s="200" t="s">
        <v>939</v>
      </c>
      <c r="G444" s="189" t="str">
        <f>IFERROR(VLOOKUP(C444,#REF!,4,FALSE),"")</f>
        <v/>
      </c>
      <c r="H444" s="249">
        <f>VLOOKUP(C444,Dados!B:AW,11,0)</f>
        <v>1.37</v>
      </c>
      <c r="I444" s="16" t="str">
        <f>(VLOOKUP(C444,Dados!B:AW,48,0))</f>
        <v>Fase de Degradação</v>
      </c>
      <c r="J444" s="189" t="s">
        <v>1223</v>
      </c>
      <c r="K444" s="243">
        <f>IFERROR((VLOOKUP(C444,Dados!B:AW,44,0)),0)</f>
        <v>0</v>
      </c>
      <c r="L444" s="243">
        <f>IFERROR((VLOOKUP(C444,Dados!B:AW,45,0)),0)</f>
        <v>0</v>
      </c>
      <c r="M444" s="243">
        <f>IFERROR((VLOOKUP(C444,Dados!B:AW,43,0)),0)</f>
        <v>0</v>
      </c>
      <c r="N444" s="244">
        <f>IFERROR((VLOOKUP(C444,Dados!B:AW,47,0)),0)</f>
        <v>0</v>
      </c>
      <c r="O444" s="197">
        <f t="shared" si="21"/>
        <v>1</v>
      </c>
      <c r="P444" s="1">
        <f t="shared" si="20"/>
        <v>0</v>
      </c>
      <c r="Q444" s="221"/>
      <c r="AC444">
        <v>-1</v>
      </c>
      <c r="AD444">
        <v>-1</v>
      </c>
      <c r="AE444">
        <v>-1</v>
      </c>
      <c r="AH444" t="s">
        <v>655</v>
      </c>
      <c r="AI444" t="str">
        <f t="shared" si="18"/>
        <v>FOR092*</v>
      </c>
    </row>
    <row r="445" spans="1:35" ht="27" customHeight="1" x14ac:dyDescent="0.3">
      <c r="A445"/>
      <c r="B445" s="16">
        <v>352</v>
      </c>
      <c r="C445" s="16" t="s">
        <v>1044</v>
      </c>
      <c r="D445" s="16" t="s">
        <v>1589</v>
      </c>
      <c r="E445" s="16" t="s">
        <v>2086</v>
      </c>
      <c r="F445" s="200" t="s">
        <v>1045</v>
      </c>
      <c r="G445" s="189" t="str">
        <f>IFERROR(VLOOKUP(C445,#REF!,4,FALSE),"")</f>
        <v/>
      </c>
      <c r="H445" s="249">
        <f>VLOOKUP(C445,Dados!B:AW,11,0)</f>
        <v>1.51</v>
      </c>
      <c r="I445" s="16" t="str">
        <f>(VLOOKUP(C445,Dados!B:AW,48,0))</f>
        <v>Fase de Degradação</v>
      </c>
      <c r="J445" s="189" t="s">
        <v>734</v>
      </c>
      <c r="K445" s="177">
        <f>IFERROR((VLOOKUP(C445,Dados!B:AW,44,0)),0)</f>
        <v>0</v>
      </c>
      <c r="L445" s="177">
        <f>IFERROR((VLOOKUP(C445,Dados!B:AW,45,0)),0)</f>
        <v>0</v>
      </c>
      <c r="M445" s="177">
        <f>IFERROR((VLOOKUP(C445,Dados!B:AW,43,0)),0)</f>
        <v>0</v>
      </c>
      <c r="N445" s="179">
        <f>IFERROR((VLOOKUP(C445,Dados!B:AW,47,0)),0)</f>
        <v>0</v>
      </c>
      <c r="O445" s="197">
        <f t="shared" si="21"/>
        <v>1</v>
      </c>
      <c r="P445" s="1">
        <f t="shared" si="20"/>
        <v>0</v>
      </c>
      <c r="Q445" s="221"/>
      <c r="AC445">
        <v>2</v>
      </c>
      <c r="AD445">
        <v>2</v>
      </c>
      <c r="AE445">
        <v>2</v>
      </c>
      <c r="AH445" t="s">
        <v>390</v>
      </c>
      <c r="AI445" t="str">
        <f t="shared" si="18"/>
        <v>INJ035*</v>
      </c>
    </row>
    <row r="446" spans="1:35" ht="27" customHeight="1" x14ac:dyDescent="0.3">
      <c r="A446"/>
      <c r="B446" s="16">
        <v>353</v>
      </c>
      <c r="C446" s="16" t="s">
        <v>1046</v>
      </c>
      <c r="D446" s="16" t="s">
        <v>1589</v>
      </c>
      <c r="E446" s="16" t="s">
        <v>2086</v>
      </c>
      <c r="F446" s="200" t="s">
        <v>1047</v>
      </c>
      <c r="G446" s="189" t="str">
        <f>IFERROR(VLOOKUP(C446,#REF!,4,FALSE),"")</f>
        <v/>
      </c>
      <c r="H446" s="249">
        <f>VLOOKUP(C446,Dados!B:AW,11,0)</f>
        <v>0.82</v>
      </c>
      <c r="I446" s="16" t="str">
        <f>(VLOOKUP(C446,Dados!B:AW,48,0))</f>
        <v>Confiabilidade em Crescimento</v>
      </c>
      <c r="J446" s="189" t="s">
        <v>734</v>
      </c>
      <c r="K446" s="177">
        <f>IFERROR((VLOOKUP(C446,Dados!B:AW,44,0)),0)</f>
        <v>0</v>
      </c>
      <c r="L446" s="177">
        <f>IFERROR((VLOOKUP(C446,Dados!B:AW,45,0)),0)</f>
        <v>0</v>
      </c>
      <c r="M446" s="177">
        <f>IFERROR((VLOOKUP(C446,Dados!B:AW,43,0)),0)</f>
        <v>0</v>
      </c>
      <c r="N446" s="179">
        <f>IFERROR((VLOOKUP(C446,Dados!B:AW,47,0)),0)</f>
        <v>0</v>
      </c>
      <c r="O446" s="197">
        <f t="shared" si="21"/>
        <v>2</v>
      </c>
      <c r="P446" s="1">
        <f t="shared" si="20"/>
        <v>0</v>
      </c>
      <c r="Q446" s="221"/>
      <c r="AC446">
        <v>2</v>
      </c>
      <c r="AD446">
        <v>2</v>
      </c>
      <c r="AE446">
        <v>1</v>
      </c>
      <c r="AH446" t="s">
        <v>43</v>
      </c>
      <c r="AI446" t="str">
        <f t="shared" si="18"/>
        <v>RET014*</v>
      </c>
    </row>
    <row r="447" spans="1:35" ht="27" customHeight="1" x14ac:dyDescent="0.3">
      <c r="A447"/>
      <c r="B447" s="16">
        <v>446</v>
      </c>
      <c r="C447" s="16" t="s">
        <v>1090</v>
      </c>
      <c r="D447" s="16" t="s">
        <v>1589</v>
      </c>
      <c r="E447" s="16" t="s">
        <v>2086</v>
      </c>
      <c r="F447" s="200" t="s">
        <v>1091</v>
      </c>
      <c r="G447" s="189" t="str">
        <f>IFERROR(VLOOKUP(C447,#REF!,4,FALSE),"")</f>
        <v/>
      </c>
      <c r="H447" s="250">
        <f>VLOOKUP(C447,Dados!B:AW,11,0)</f>
        <v>0.77</v>
      </c>
      <c r="I447" s="16" t="str">
        <f>(VLOOKUP(C447,Dados!B:AW,48,0))</f>
        <v>Confiabilidade em Crescimento</v>
      </c>
      <c r="J447" s="189" t="s">
        <v>734</v>
      </c>
      <c r="K447" s="177">
        <f>IFERROR((VLOOKUP(C447,Dados!B:AW,44,0)),0)</f>
        <v>0</v>
      </c>
      <c r="L447" s="177">
        <f>IFERROR((VLOOKUP(C447,Dados!B:AW,45,0)),0)</f>
        <v>0</v>
      </c>
      <c r="M447" s="177">
        <f>IFERROR((VLOOKUP(C447,Dados!B:AW,43,0)),0)</f>
        <v>0</v>
      </c>
      <c r="N447" s="179">
        <f>IFERROR((VLOOKUP(C447,Dados!B:AW,47,0)),0)</f>
        <v>0</v>
      </c>
      <c r="O447" s="197">
        <f t="shared" si="21"/>
        <v>2</v>
      </c>
      <c r="P447" s="1">
        <f t="shared" si="20"/>
        <v>0</v>
      </c>
      <c r="Q447" s="221"/>
      <c r="AC447">
        <v>2</v>
      </c>
      <c r="AD447">
        <v>2</v>
      </c>
      <c r="AE447">
        <v>1</v>
      </c>
      <c r="AH447" t="s">
        <v>264</v>
      </c>
      <c r="AI447" t="str">
        <f t="shared" si="18"/>
        <v>ROB044*</v>
      </c>
    </row>
    <row r="448" spans="1:35" ht="27" customHeight="1" x14ac:dyDescent="0.3">
      <c r="A448"/>
      <c r="B448" s="16">
        <v>79</v>
      </c>
      <c r="C448" s="16" t="s">
        <v>1809</v>
      </c>
      <c r="D448" s="16" t="s">
        <v>1589</v>
      </c>
      <c r="E448" s="16" t="s">
        <v>2064</v>
      </c>
      <c r="F448" s="200" t="s">
        <v>1678</v>
      </c>
      <c r="G448" s="189" t="str">
        <f>IFERROR(VLOOKUP(C448,#REF!,4,FALSE),"")</f>
        <v/>
      </c>
      <c r="H448" s="249">
        <f>VLOOKUP(C448,Dados!B:AW,11,0)</f>
        <v>1.1100000000000001</v>
      </c>
      <c r="I448" s="16" t="str">
        <f>(VLOOKUP(C448,Dados!B:AW,48,0))</f>
        <v>Fase de Degradação</v>
      </c>
      <c r="J448" s="189" t="s">
        <v>1223</v>
      </c>
      <c r="K448" s="177">
        <f>IFERROR((VLOOKUP(C448,Dados!B:AW,44,0)),0)</f>
        <v>0</v>
      </c>
      <c r="L448" s="177">
        <f>IFERROR((VLOOKUP(C448,Dados!B:AW,45,0)),0)</f>
        <v>0</v>
      </c>
      <c r="M448" s="177">
        <f>IFERROR((VLOOKUP(C448,Dados!B:AW,43,0)),0)</f>
        <v>0</v>
      </c>
      <c r="N448" s="179">
        <f>IFERROR((VLOOKUP(C448,Dados!B:AW,47,0)),0)</f>
        <v>0</v>
      </c>
      <c r="O448" s="197">
        <f t="shared" si="21"/>
        <v>1</v>
      </c>
      <c r="P448" s="1">
        <f t="shared" si="20"/>
        <v>0</v>
      </c>
      <c r="Q448" s="221"/>
      <c r="AC448">
        <v>2</v>
      </c>
      <c r="AD448">
        <v>2</v>
      </c>
      <c r="AE448">
        <v>1</v>
      </c>
      <c r="AH448" t="s">
        <v>1164</v>
      </c>
      <c r="AI448" t="str">
        <f t="shared" si="18"/>
        <v>ROB087*</v>
      </c>
    </row>
    <row r="449" spans="1:35" ht="27" customHeight="1" x14ac:dyDescent="0.3">
      <c r="A449"/>
      <c r="B449" s="16">
        <v>80</v>
      </c>
      <c r="C449" s="16" t="s">
        <v>926</v>
      </c>
      <c r="D449" s="16" t="s">
        <v>1589</v>
      </c>
      <c r="E449" s="16" t="s">
        <v>2064</v>
      </c>
      <c r="F449" s="200" t="s">
        <v>927</v>
      </c>
      <c r="G449" s="189" t="str">
        <f>IFERROR(VLOOKUP(C449,#REF!,4,FALSE),"")</f>
        <v/>
      </c>
      <c r="H449" s="249">
        <f>VLOOKUP(C449,Dados!B:AW,11,0)</f>
        <v>1.97</v>
      </c>
      <c r="I449" s="16" t="str">
        <f>(VLOOKUP(C449,Dados!B:AW,48,0))</f>
        <v>Fase de Degradação</v>
      </c>
      <c r="J449" s="189" t="s">
        <v>1223</v>
      </c>
      <c r="K449" s="177">
        <f>IFERROR((VLOOKUP(C449,Dados!B:AW,44,0)),0)</f>
        <v>0</v>
      </c>
      <c r="L449" s="177">
        <f>IFERROR((VLOOKUP(C449,Dados!B:AW,45,0)),0)</f>
        <v>0</v>
      </c>
      <c r="M449" s="177">
        <f>IFERROR((VLOOKUP(C449,Dados!B:AW,43,0)),0)</f>
        <v>0</v>
      </c>
      <c r="N449" s="179">
        <f>IFERROR((VLOOKUP(C449,Dados!B:AW,47,0)),0)</f>
        <v>0</v>
      </c>
      <c r="O449" s="197">
        <f t="shared" si="21"/>
        <v>1</v>
      </c>
      <c r="P449" s="1">
        <f t="shared" si="20"/>
        <v>0</v>
      </c>
      <c r="Q449" s="221"/>
      <c r="AC449">
        <v>2</v>
      </c>
      <c r="AD449">
        <v>2</v>
      </c>
      <c r="AE449">
        <v>1</v>
      </c>
      <c r="AH449" t="s">
        <v>1207</v>
      </c>
      <c r="AI449" t="str">
        <f t="shared" si="18"/>
        <v>TOR040*</v>
      </c>
    </row>
    <row r="450" spans="1:35" ht="27" customHeight="1" x14ac:dyDescent="0.3">
      <c r="A450"/>
      <c r="B450" s="16">
        <v>81</v>
      </c>
      <c r="C450" s="16" t="s">
        <v>1810</v>
      </c>
      <c r="D450" s="16" t="s">
        <v>1589</v>
      </c>
      <c r="E450" s="16" t="s">
        <v>2064</v>
      </c>
      <c r="F450" s="200" t="s">
        <v>1679</v>
      </c>
      <c r="G450" s="189" t="str">
        <f>IFERROR(VLOOKUP(C450,#REF!,4,FALSE),"")</f>
        <v/>
      </c>
      <c r="H450" s="249">
        <f>VLOOKUP(C450,Dados!B:AW,11,0)</f>
        <v>0.92</v>
      </c>
      <c r="I450" s="16" t="str">
        <f>(VLOOKUP(C450,Dados!B:AW,48,0))</f>
        <v>Confiabilidade em Crescimento</v>
      </c>
      <c r="J450" s="189" t="s">
        <v>1223</v>
      </c>
      <c r="K450" s="177">
        <f>IFERROR((VLOOKUP(C450,Dados!B:AW,44,0)),0)</f>
        <v>0</v>
      </c>
      <c r="L450" s="177">
        <f>IFERROR((VLOOKUP(C450,Dados!B:AW,45,0)),0)</f>
        <v>0</v>
      </c>
      <c r="M450" s="177">
        <f>IFERROR((VLOOKUP(C450,Dados!B:AW,43,0)),0)</f>
        <v>0</v>
      </c>
      <c r="N450" s="179">
        <f>IFERROR((VLOOKUP(C450,Dados!B:AW,47,0)),0)</f>
        <v>0</v>
      </c>
      <c r="O450" s="197">
        <f t="shared" si="21"/>
        <v>2</v>
      </c>
      <c r="P450" s="1">
        <f t="shared" si="20"/>
        <v>0</v>
      </c>
      <c r="Q450" s="221"/>
      <c r="AC450">
        <v>2</v>
      </c>
      <c r="AD450">
        <v>2</v>
      </c>
      <c r="AE450">
        <v>1</v>
      </c>
      <c r="AH450" t="s">
        <v>779</v>
      </c>
      <c r="AI450" t="str">
        <f t="shared" si="18"/>
        <v>COQ009*</v>
      </c>
    </row>
    <row r="451" spans="1:35" ht="27" customHeight="1" x14ac:dyDescent="0.3">
      <c r="A451"/>
      <c r="B451" s="16">
        <v>82</v>
      </c>
      <c r="C451" s="16" t="s">
        <v>1811</v>
      </c>
      <c r="D451" s="16" t="s">
        <v>1589</v>
      </c>
      <c r="E451" s="16" t="s">
        <v>2064</v>
      </c>
      <c r="F451" s="200" t="s">
        <v>1680</v>
      </c>
      <c r="G451" s="189" t="str">
        <f>IFERROR(VLOOKUP(C451,#REF!,4,FALSE),"")</f>
        <v/>
      </c>
      <c r="H451" s="249">
        <f>VLOOKUP(C451,Dados!B:AW,11,0)</f>
        <v>1.34</v>
      </c>
      <c r="I451" s="16" t="str">
        <f>(VLOOKUP(C451,Dados!B:AW,48,0))</f>
        <v>Fase de Degradação</v>
      </c>
      <c r="J451" s="189" t="s">
        <v>2158</v>
      </c>
      <c r="K451" s="177">
        <f>IFERROR((VLOOKUP(C451,Dados!B:AW,44,0)),0)</f>
        <v>0</v>
      </c>
      <c r="L451" s="177">
        <f>IFERROR((VLOOKUP(C451,Dados!B:AW,45,0)),0)</f>
        <v>0</v>
      </c>
      <c r="M451" s="177">
        <f>IFERROR((VLOOKUP(C451,Dados!B:AW,43,0)),0)</f>
        <v>0</v>
      </c>
      <c r="N451" s="179">
        <f>IFERROR((VLOOKUP(C451,Dados!B:AW,47,0)),0)</f>
        <v>0</v>
      </c>
      <c r="O451" s="197">
        <f t="shared" si="21"/>
        <v>1</v>
      </c>
      <c r="P451" s="1">
        <f t="shared" si="20"/>
        <v>0</v>
      </c>
      <c r="Q451" s="221"/>
      <c r="AC451">
        <v>2</v>
      </c>
      <c r="AD451">
        <v>2</v>
      </c>
      <c r="AE451">
        <v>1</v>
      </c>
      <c r="AH451" t="s">
        <v>996</v>
      </c>
      <c r="AI451" t="str">
        <f t="shared" si="18"/>
        <v>COR001*</v>
      </c>
    </row>
    <row r="452" spans="1:35" ht="27" customHeight="1" x14ac:dyDescent="0.3">
      <c r="A452"/>
      <c r="B452" s="16">
        <v>83</v>
      </c>
      <c r="C452" s="16" t="s">
        <v>1812</v>
      </c>
      <c r="D452" s="16" t="s">
        <v>1589</v>
      </c>
      <c r="E452" s="16" t="s">
        <v>2064</v>
      </c>
      <c r="F452" s="200" t="s">
        <v>1681</v>
      </c>
      <c r="G452" s="189" t="str">
        <f>IFERROR(VLOOKUP(C452,#REF!,4,FALSE),"")</f>
        <v/>
      </c>
      <c r="H452" s="249">
        <f>VLOOKUP(C452,Dados!B:AW,11,0)</f>
        <v>1.34</v>
      </c>
      <c r="I452" s="16" t="str">
        <f>(VLOOKUP(C452,Dados!B:AW,48,0))</f>
        <v>Fase de Degradação</v>
      </c>
      <c r="J452" s="189" t="s">
        <v>1223</v>
      </c>
      <c r="K452" s="177">
        <f>IFERROR((VLOOKUP(C452,Dados!B:AW,44,0)),0)</f>
        <v>0</v>
      </c>
      <c r="L452" s="177">
        <f>IFERROR((VLOOKUP(C452,Dados!B:AW,45,0)),0)</f>
        <v>0</v>
      </c>
      <c r="M452" s="177">
        <f>IFERROR((VLOOKUP(C452,Dados!B:AW,43,0)),0)</f>
        <v>0</v>
      </c>
      <c r="N452" s="179">
        <f>IFERROR((VLOOKUP(C452,Dados!B:AW,47,0)),0)</f>
        <v>0</v>
      </c>
      <c r="O452" s="197">
        <f t="shared" si="21"/>
        <v>1</v>
      </c>
      <c r="P452" s="1">
        <f t="shared" si="20"/>
        <v>0</v>
      </c>
      <c r="Q452" s="221"/>
      <c r="AC452">
        <v>2</v>
      </c>
      <c r="AD452">
        <v>2</v>
      </c>
      <c r="AE452">
        <v>2</v>
      </c>
      <c r="AH452" t="s">
        <v>673</v>
      </c>
      <c r="AI452" t="str">
        <f t="shared" si="18"/>
        <v>FOR091*</v>
      </c>
    </row>
    <row r="453" spans="1:35" ht="27" customHeight="1" x14ac:dyDescent="0.3">
      <c r="A453"/>
      <c r="B453" s="16">
        <v>84</v>
      </c>
      <c r="C453" s="16" t="s">
        <v>928</v>
      </c>
      <c r="D453" s="16" t="s">
        <v>1589</v>
      </c>
      <c r="E453" s="16" t="s">
        <v>2064</v>
      </c>
      <c r="F453" s="200" t="s">
        <v>929</v>
      </c>
      <c r="G453" s="189" t="str">
        <f>IFERROR(VLOOKUP(C453,#REF!,4,FALSE),"")</f>
        <v/>
      </c>
      <c r="H453" s="249">
        <f>VLOOKUP(C453,Dados!B:AW,11,0)</f>
        <v>1.1100000000000001</v>
      </c>
      <c r="I453" s="16" t="str">
        <f>(VLOOKUP(C453,Dados!B:AW,48,0))</f>
        <v>Fase de Degradação</v>
      </c>
      <c r="J453" s="189" t="s">
        <v>1223</v>
      </c>
      <c r="K453" s="243">
        <f>IFERROR((VLOOKUP(C453,Dados!B:AW,44,0)),0)</f>
        <v>0</v>
      </c>
      <c r="L453" s="243">
        <f>IFERROR((VLOOKUP(C453,Dados!B:AW,45,0)),0)</f>
        <v>0</v>
      </c>
      <c r="M453" s="243">
        <f>IFERROR((VLOOKUP(C453,Dados!B:AW,43,0)),0)</f>
        <v>0</v>
      </c>
      <c r="N453" s="244">
        <f>IFERROR((VLOOKUP(C453,Dados!B:AW,47,0)),0)</f>
        <v>0</v>
      </c>
      <c r="O453" s="197">
        <f t="shared" si="21"/>
        <v>1</v>
      </c>
      <c r="P453" s="1">
        <f t="shared" si="20"/>
        <v>0</v>
      </c>
      <c r="Q453" s="221"/>
      <c r="AC453">
        <v>2</v>
      </c>
      <c r="AD453">
        <v>2</v>
      </c>
      <c r="AE453">
        <v>1</v>
      </c>
      <c r="AH453" t="s">
        <v>1124</v>
      </c>
      <c r="AI453" t="str">
        <f t="shared" ref="AI453:AI516" si="22">CONCATENATE(AH453,"*")</f>
        <v>PON005*</v>
      </c>
    </row>
    <row r="454" spans="1:35" ht="27" customHeight="1" x14ac:dyDescent="0.3">
      <c r="A454"/>
      <c r="B454" s="16">
        <v>85</v>
      </c>
      <c r="C454" s="16" t="s">
        <v>930</v>
      </c>
      <c r="D454" s="16" t="s">
        <v>1589</v>
      </c>
      <c r="E454" s="16" t="s">
        <v>2064</v>
      </c>
      <c r="F454" s="200" t="s">
        <v>931</v>
      </c>
      <c r="G454" s="189" t="str">
        <f>IFERROR(VLOOKUP(C454,#REF!,4,FALSE),"")</f>
        <v/>
      </c>
      <c r="H454" s="249">
        <f>VLOOKUP(C454,Dados!B:AW,11,0)</f>
        <v>1.18</v>
      </c>
      <c r="I454" s="16" t="str">
        <f>(VLOOKUP(C454,Dados!B:AW,48,0))</f>
        <v>Fase de Degradação</v>
      </c>
      <c r="J454" s="189" t="s">
        <v>1223</v>
      </c>
      <c r="K454" s="243">
        <f>IFERROR((VLOOKUP(C454,Dados!B:AW,44,0)),0)</f>
        <v>0</v>
      </c>
      <c r="L454" s="243">
        <f>IFERROR((VLOOKUP(C454,Dados!B:AW,45,0)),0)</f>
        <v>0</v>
      </c>
      <c r="M454" s="243">
        <f>IFERROR((VLOOKUP(C454,Dados!B:AW,43,0)),0)</f>
        <v>0</v>
      </c>
      <c r="N454" s="244">
        <f>IFERROR((VLOOKUP(C454,Dados!B:AW,47,0)),0)</f>
        <v>0</v>
      </c>
      <c r="O454" s="197">
        <f t="shared" si="21"/>
        <v>1</v>
      </c>
      <c r="P454" s="1">
        <f t="shared" ref="P454:P517" si="23">IF(G454="",0,IF(H454&gt;G454,-1,1))</f>
        <v>0</v>
      </c>
      <c r="Q454" s="221"/>
      <c r="AC454">
        <v>2</v>
      </c>
      <c r="AD454">
        <v>2</v>
      </c>
      <c r="AE454">
        <v>1</v>
      </c>
      <c r="AH454" t="s">
        <v>19</v>
      </c>
      <c r="AI454" t="str">
        <f t="shared" si="22"/>
        <v>RET015*</v>
      </c>
    </row>
    <row r="455" spans="1:35" ht="27" customHeight="1" x14ac:dyDescent="0.3">
      <c r="A455"/>
      <c r="B455" s="16">
        <v>95</v>
      </c>
      <c r="C455" s="16" t="s">
        <v>950</v>
      </c>
      <c r="D455" s="16" t="s">
        <v>1589</v>
      </c>
      <c r="E455" s="16" t="s">
        <v>2064</v>
      </c>
      <c r="F455" s="200" t="s">
        <v>951</v>
      </c>
      <c r="G455" s="189" t="str">
        <f>IFERROR(VLOOKUP(C455,#REF!,4,FALSE),"")</f>
        <v/>
      </c>
      <c r="H455" s="248">
        <f>VLOOKUP(C455,Dados!B:AW,11,0)</f>
        <v>1.49</v>
      </c>
      <c r="I455" s="16" t="str">
        <f>(VLOOKUP(C455,Dados!B:AW,48,0))</f>
        <v>Fase de Degradação</v>
      </c>
      <c r="J455" s="189" t="s">
        <v>735</v>
      </c>
      <c r="K455" s="177">
        <f>IFERROR((VLOOKUP(C455,Dados!B:AW,44,0)),0)</f>
        <v>0</v>
      </c>
      <c r="L455" s="177">
        <f>IFERROR((VLOOKUP(C455,Dados!B:AW,45,0)),0)</f>
        <v>0</v>
      </c>
      <c r="M455" s="177">
        <f>IFERROR((VLOOKUP(C455,Dados!B:AW,43,0)),0)</f>
        <v>0</v>
      </c>
      <c r="N455" s="179">
        <f>IFERROR((VLOOKUP(C455,Dados!B:AW,47,0)),0)</f>
        <v>0</v>
      </c>
      <c r="O455" s="197">
        <f t="shared" si="21"/>
        <v>1</v>
      </c>
      <c r="P455" s="1">
        <f t="shared" si="23"/>
        <v>0</v>
      </c>
      <c r="Q455" s="221"/>
      <c r="AC455">
        <v>2</v>
      </c>
      <c r="AD455">
        <v>2</v>
      </c>
      <c r="AE455">
        <v>1</v>
      </c>
      <c r="AH455" t="s">
        <v>1182</v>
      </c>
      <c r="AI455" t="str">
        <f t="shared" si="22"/>
        <v>ROB101*</v>
      </c>
    </row>
    <row r="456" spans="1:35" ht="27" customHeight="1" x14ac:dyDescent="0.3">
      <c r="A456"/>
      <c r="B456" s="16">
        <v>96</v>
      </c>
      <c r="C456" s="16" t="s">
        <v>952</v>
      </c>
      <c r="D456" s="16" t="s">
        <v>1589</v>
      </c>
      <c r="E456" s="16" t="s">
        <v>2064</v>
      </c>
      <c r="F456" s="200" t="s">
        <v>953</v>
      </c>
      <c r="G456" s="189" t="str">
        <f>IFERROR(VLOOKUP(C456,#REF!,4,FALSE),"")</f>
        <v/>
      </c>
      <c r="H456" s="250">
        <f>VLOOKUP(C456,Dados!B:AW,11,0)</f>
        <v>0.87</v>
      </c>
      <c r="I456" s="16" t="str">
        <f>(VLOOKUP(C456,Dados!B:AW,48,0))</f>
        <v>Confiabilidade em Crescimento</v>
      </c>
      <c r="J456" s="189" t="s">
        <v>735</v>
      </c>
      <c r="K456" s="177">
        <f>IFERROR((VLOOKUP(C456,Dados!B:AW,44,0)),0)</f>
        <v>0</v>
      </c>
      <c r="L456" s="177">
        <f>IFERROR((VLOOKUP(C456,Dados!B:AW,45,0)),0)</f>
        <v>0</v>
      </c>
      <c r="M456" s="177">
        <f>IFERROR((VLOOKUP(C456,Dados!B:AW,43,0)),0)</f>
        <v>0</v>
      </c>
      <c r="N456" s="179">
        <f>IFERROR((VLOOKUP(C456,Dados!B:AW,47,0)),0)</f>
        <v>0</v>
      </c>
      <c r="O456" s="197">
        <f t="shared" si="21"/>
        <v>2</v>
      </c>
      <c r="P456" s="1">
        <f t="shared" si="23"/>
        <v>0</v>
      </c>
      <c r="Q456" s="221"/>
      <c r="AC456">
        <v>2</v>
      </c>
      <c r="AD456">
        <v>2</v>
      </c>
      <c r="AE456">
        <v>2</v>
      </c>
      <c r="AH456" t="s">
        <v>980</v>
      </c>
      <c r="AI456" t="str">
        <f t="shared" si="22"/>
        <v>CEN111*</v>
      </c>
    </row>
    <row r="457" spans="1:35" ht="27" customHeight="1" x14ac:dyDescent="0.3">
      <c r="A457"/>
      <c r="B457" s="16">
        <v>97</v>
      </c>
      <c r="C457" s="16" t="s">
        <v>954</v>
      </c>
      <c r="D457" s="16" t="s">
        <v>1589</v>
      </c>
      <c r="E457" s="16" t="s">
        <v>2064</v>
      </c>
      <c r="F457" s="200" t="s">
        <v>955</v>
      </c>
      <c r="G457" s="189" t="str">
        <f>IFERROR(VLOOKUP(C457,#REF!,4,FALSE),"")</f>
        <v/>
      </c>
      <c r="H457" s="248">
        <f>VLOOKUP(C457,Dados!B:AW,11,0)</f>
        <v>1.51</v>
      </c>
      <c r="I457" s="16" t="str">
        <f>(VLOOKUP(C457,Dados!B:AW,48,0))</f>
        <v>Fase de Degradação</v>
      </c>
      <c r="J457" s="189" t="s">
        <v>735</v>
      </c>
      <c r="K457" s="177">
        <f>IFERROR((VLOOKUP(C457,Dados!B:AW,44,0)),0)</f>
        <v>0</v>
      </c>
      <c r="L457" s="177">
        <f>IFERROR((VLOOKUP(C457,Dados!B:AW,45,0)),0)</f>
        <v>0</v>
      </c>
      <c r="M457" s="177">
        <f>IFERROR((VLOOKUP(C457,Dados!B:AW,43,0)),0)</f>
        <v>0</v>
      </c>
      <c r="N457" s="179">
        <f>IFERROR((VLOOKUP(C457,Dados!B:AW,47,0)),0)</f>
        <v>0</v>
      </c>
      <c r="O457" s="197">
        <f t="shared" si="21"/>
        <v>1</v>
      </c>
      <c r="P457" s="1">
        <f t="shared" si="23"/>
        <v>0</v>
      </c>
      <c r="Q457" s="221"/>
      <c r="AC457">
        <v>2</v>
      </c>
      <c r="AD457">
        <v>2</v>
      </c>
      <c r="AE457">
        <v>1</v>
      </c>
      <c r="AH457" t="s">
        <v>1032</v>
      </c>
      <c r="AI457" t="str">
        <f t="shared" si="22"/>
        <v>FOR109*</v>
      </c>
    </row>
    <row r="458" spans="1:35" ht="27" customHeight="1" x14ac:dyDescent="0.3">
      <c r="A458"/>
      <c r="B458" s="16">
        <v>349</v>
      </c>
      <c r="C458" s="16" t="s">
        <v>1038</v>
      </c>
      <c r="D458" s="16" t="s">
        <v>1589</v>
      </c>
      <c r="E458" s="16" t="s">
        <v>2064</v>
      </c>
      <c r="F458" s="200" t="s">
        <v>1039</v>
      </c>
      <c r="G458" s="189" t="str">
        <f>IFERROR(VLOOKUP(C458,#REF!,4,FALSE),"")</f>
        <v/>
      </c>
      <c r="H458" s="249">
        <f>VLOOKUP(C458,Dados!B:AW,11,0)</f>
        <v>1.03</v>
      </c>
      <c r="I458" s="16" t="str">
        <f>(VLOOKUP(C458,Dados!B:AW,48,0))</f>
        <v>Fase de Vida Útil</v>
      </c>
      <c r="J458" s="189" t="s">
        <v>734</v>
      </c>
      <c r="K458" s="177">
        <f>IFERROR((VLOOKUP(C458,Dados!B:AW,44,0)),0)</f>
        <v>0</v>
      </c>
      <c r="L458" s="177">
        <f>IFERROR((VLOOKUP(C458,Dados!B:AW,45,0)),0)</f>
        <v>0</v>
      </c>
      <c r="M458" s="177">
        <f>IFERROR((VLOOKUP(C458,Dados!B:AW,43,0)),0)</f>
        <v>0</v>
      </c>
      <c r="N458" s="179">
        <f>IFERROR((VLOOKUP(C458,Dados!B:AW,47,0)),0)</f>
        <v>0</v>
      </c>
      <c r="O458" s="197">
        <f t="shared" si="21"/>
        <v>2</v>
      </c>
      <c r="P458" s="1">
        <f t="shared" si="23"/>
        <v>0</v>
      </c>
      <c r="Q458" s="221"/>
      <c r="AC458">
        <v>2</v>
      </c>
      <c r="AD458">
        <v>2</v>
      </c>
      <c r="AE458">
        <v>1</v>
      </c>
      <c r="AH458" t="s">
        <v>1128</v>
      </c>
      <c r="AI458" t="str">
        <f t="shared" si="22"/>
        <v>PON010*</v>
      </c>
    </row>
    <row r="459" spans="1:35" ht="27" customHeight="1" x14ac:dyDescent="0.3">
      <c r="A459"/>
      <c r="B459" s="16">
        <v>351</v>
      </c>
      <c r="C459" s="16" t="s">
        <v>1042</v>
      </c>
      <c r="D459" s="16" t="s">
        <v>1589</v>
      </c>
      <c r="E459" s="16" t="s">
        <v>2064</v>
      </c>
      <c r="F459" s="200" t="s">
        <v>1043</v>
      </c>
      <c r="G459" s="189" t="str">
        <f>IFERROR(VLOOKUP(C459,#REF!,4,FALSE),"")</f>
        <v/>
      </c>
      <c r="H459" s="249">
        <f>VLOOKUP(C459,Dados!B:AW,11,0)</f>
        <v>3.36</v>
      </c>
      <c r="I459" s="16" t="str">
        <f>(VLOOKUP(C459,Dados!B:AW,48,0))</f>
        <v>Fase de Degradação</v>
      </c>
      <c r="J459" s="189" t="s">
        <v>734</v>
      </c>
      <c r="K459" s="177">
        <f>IFERROR((VLOOKUP(C459,Dados!B:AW,44,0)),0)</f>
        <v>0</v>
      </c>
      <c r="L459" s="177">
        <f>IFERROR((VLOOKUP(C459,Dados!B:AW,45,0)),0)</f>
        <v>0</v>
      </c>
      <c r="M459" s="177">
        <f>IFERROR((VLOOKUP(C459,Dados!B:AW,43,0)),0)</f>
        <v>0</v>
      </c>
      <c r="N459" s="179">
        <f>IFERROR((VLOOKUP(C459,Dados!B:AW,47,0)),0)</f>
        <v>0</v>
      </c>
      <c r="O459" s="197">
        <f t="shared" si="21"/>
        <v>1</v>
      </c>
      <c r="P459" s="1">
        <f t="shared" si="23"/>
        <v>0</v>
      </c>
      <c r="Q459" s="221"/>
      <c r="AC459">
        <v>2</v>
      </c>
      <c r="AD459">
        <v>2</v>
      </c>
      <c r="AE459">
        <v>1</v>
      </c>
      <c r="AH459" t="s">
        <v>982</v>
      </c>
      <c r="AI459" t="str">
        <f t="shared" si="22"/>
        <v>CEN112*</v>
      </c>
    </row>
    <row r="460" spans="1:35" ht="27" customHeight="1" x14ac:dyDescent="0.3">
      <c r="A460"/>
      <c r="B460" s="16">
        <v>447</v>
      </c>
      <c r="C460" s="16" t="s">
        <v>1852</v>
      </c>
      <c r="D460" s="16" t="s">
        <v>1589</v>
      </c>
      <c r="E460" s="16" t="s">
        <v>2064</v>
      </c>
      <c r="F460" s="200" t="s">
        <v>1721</v>
      </c>
      <c r="G460" s="189" t="str">
        <f>IFERROR(VLOOKUP(C460,#REF!,4,FALSE),"")</f>
        <v/>
      </c>
      <c r="H460" s="250">
        <f>VLOOKUP(C460,Dados!B:AW,11,0)</f>
        <v>0.79</v>
      </c>
      <c r="I460" s="16" t="str">
        <f>(VLOOKUP(C460,Dados!B:AW,48,0))</f>
        <v>Confiabilidade em Crescimento</v>
      </c>
      <c r="J460" s="189" t="s">
        <v>734</v>
      </c>
      <c r="K460" s="177">
        <f>IFERROR((VLOOKUP(C460,Dados!B:AW,44,0)),0)</f>
        <v>0</v>
      </c>
      <c r="L460" s="177">
        <f>IFERROR((VLOOKUP(C460,Dados!B:AW,45,0)),0)</f>
        <v>0</v>
      </c>
      <c r="M460" s="177">
        <f>IFERROR((VLOOKUP(C460,Dados!B:AW,43,0)),0)</f>
        <v>0</v>
      </c>
      <c r="N460" s="179">
        <f>IFERROR((VLOOKUP(C460,Dados!B:AW,47,0)),0)</f>
        <v>0</v>
      </c>
      <c r="O460" s="197">
        <f t="shared" si="21"/>
        <v>2</v>
      </c>
      <c r="P460" s="1">
        <f t="shared" si="23"/>
        <v>0</v>
      </c>
      <c r="Q460" s="221"/>
      <c r="AC460">
        <v>2</v>
      </c>
      <c r="AD460">
        <v>2</v>
      </c>
      <c r="AE460">
        <v>2</v>
      </c>
      <c r="AH460" t="s">
        <v>1058</v>
      </c>
      <c r="AI460" t="str">
        <f t="shared" si="22"/>
        <v>INJ045*</v>
      </c>
    </row>
    <row r="461" spans="1:35" ht="27" customHeight="1" x14ac:dyDescent="0.3">
      <c r="A461"/>
      <c r="B461" s="16">
        <v>635</v>
      </c>
      <c r="C461" s="16" t="s">
        <v>1881</v>
      </c>
      <c r="D461" s="16" t="s">
        <v>1589</v>
      </c>
      <c r="E461" s="16" t="s">
        <v>2064</v>
      </c>
      <c r="F461" s="200" t="s">
        <v>1750</v>
      </c>
      <c r="G461" s="189" t="str">
        <f>IFERROR(VLOOKUP(C461,#REF!,4,FALSE),"")</f>
        <v/>
      </c>
      <c r="H461" s="249">
        <f>VLOOKUP(C461,Dados!B:AW,11,0)</f>
        <v>0</v>
      </c>
      <c r="I461" s="16">
        <f>(VLOOKUP(C461,Dados!B:AW,48,0))</f>
        <v>0</v>
      </c>
      <c r="J461" s="189" t="s">
        <v>735</v>
      </c>
      <c r="K461" s="177">
        <f>IFERROR((VLOOKUP(C461,Dados!B:AW,44,0)),0)</f>
        <v>0</v>
      </c>
      <c r="L461" s="177">
        <f>IFERROR((VLOOKUP(C461,Dados!B:AW,45,0)),0)</f>
        <v>0</v>
      </c>
      <c r="M461" s="177">
        <f>IFERROR((VLOOKUP(C461,Dados!B:AW,43,0)),0)</f>
        <v>0</v>
      </c>
      <c r="N461" s="179">
        <f>IFERROR((VLOOKUP(C461,Dados!B:AW,47,0)),0)</f>
        <v>0</v>
      </c>
      <c r="O461" s="197">
        <f t="shared" si="21"/>
        <v>2</v>
      </c>
      <c r="P461" s="1">
        <f t="shared" si="23"/>
        <v>0</v>
      </c>
      <c r="Q461" s="221"/>
      <c r="AC461">
        <v>2</v>
      </c>
      <c r="AD461">
        <v>2</v>
      </c>
      <c r="AE461">
        <v>2</v>
      </c>
      <c r="AH461" t="s">
        <v>1120</v>
      </c>
      <c r="AI461" t="str">
        <f t="shared" si="22"/>
        <v>MOD004*</v>
      </c>
    </row>
    <row r="462" spans="1:35" ht="27" customHeight="1" x14ac:dyDescent="0.3">
      <c r="A462"/>
      <c r="B462" s="16">
        <v>93</v>
      </c>
      <c r="C462" s="16" t="s">
        <v>946</v>
      </c>
      <c r="D462" s="16" t="s">
        <v>1589</v>
      </c>
      <c r="E462" s="16" t="s">
        <v>2077</v>
      </c>
      <c r="F462" s="200" t="s">
        <v>947</v>
      </c>
      <c r="G462" s="189" t="str">
        <f>IFERROR(VLOOKUP(C462,#REF!,4,FALSE),"")</f>
        <v/>
      </c>
      <c r="H462" s="250">
        <f>VLOOKUP(C462,Dados!B:AW,11,0)</f>
        <v>0.68</v>
      </c>
      <c r="I462" s="16" t="str">
        <f>(VLOOKUP(C462,Dados!B:AW,48,0))</f>
        <v>Confiabilidade em Crescimento</v>
      </c>
      <c r="J462" s="189" t="s">
        <v>735</v>
      </c>
      <c r="K462" s="177">
        <f>IFERROR((VLOOKUP(C462,Dados!B:AW,44,0)),0)</f>
        <v>0</v>
      </c>
      <c r="L462" s="177">
        <f>IFERROR((VLOOKUP(C462,Dados!B:AW,45,0)),0)</f>
        <v>0</v>
      </c>
      <c r="M462" s="177">
        <f>IFERROR((VLOOKUP(C462,Dados!B:AW,43,0)),0)</f>
        <v>0</v>
      </c>
      <c r="N462" s="179">
        <f>IFERROR((VLOOKUP(C462,Dados!B:AW,47,0)),0)</f>
        <v>0</v>
      </c>
      <c r="O462" s="197">
        <f t="shared" si="21"/>
        <v>2</v>
      </c>
      <c r="P462" s="1">
        <f t="shared" si="23"/>
        <v>0</v>
      </c>
      <c r="Q462" s="221"/>
      <c r="AC462">
        <v>2</v>
      </c>
      <c r="AD462">
        <v>2</v>
      </c>
      <c r="AE462">
        <v>2</v>
      </c>
      <c r="AH462" t="s">
        <v>313</v>
      </c>
      <c r="AI462" t="str">
        <f t="shared" si="22"/>
        <v>RET016*</v>
      </c>
    </row>
    <row r="463" spans="1:35" ht="27" customHeight="1" x14ac:dyDescent="0.3">
      <c r="A463"/>
      <c r="B463" s="16">
        <v>94</v>
      </c>
      <c r="C463" s="16" t="s">
        <v>948</v>
      </c>
      <c r="D463" s="16" t="s">
        <v>1589</v>
      </c>
      <c r="E463" s="16" t="s">
        <v>2077</v>
      </c>
      <c r="F463" s="200" t="s">
        <v>949</v>
      </c>
      <c r="G463" s="189" t="str">
        <f>IFERROR(VLOOKUP(C463,#REF!,4,FALSE),"")</f>
        <v/>
      </c>
      <c r="H463" s="248">
        <f>VLOOKUP(C463,Dados!B:AW,11,0)</f>
        <v>3.46</v>
      </c>
      <c r="I463" s="16" t="str">
        <f>(VLOOKUP(C463,Dados!B:AW,48,0))</f>
        <v>Fase de Degradação</v>
      </c>
      <c r="J463" s="189" t="s">
        <v>735</v>
      </c>
      <c r="K463" s="177">
        <f>IFERROR((VLOOKUP(C463,Dados!B:AW,44,0)),0)</f>
        <v>0</v>
      </c>
      <c r="L463" s="177">
        <f>IFERROR((VLOOKUP(C463,Dados!B:AW,45,0)),0)</f>
        <v>0</v>
      </c>
      <c r="M463" s="177">
        <f>IFERROR((VLOOKUP(C463,Dados!B:AW,43,0)),0)</f>
        <v>0</v>
      </c>
      <c r="N463" s="179">
        <f>IFERROR((VLOOKUP(C463,Dados!B:AW,47,0)),0)</f>
        <v>0</v>
      </c>
      <c r="O463" s="197">
        <f t="shared" si="21"/>
        <v>1</v>
      </c>
      <c r="P463" s="1">
        <f t="shared" si="23"/>
        <v>0</v>
      </c>
      <c r="Q463" s="221"/>
      <c r="AC463">
        <v>2</v>
      </c>
      <c r="AD463">
        <v>2</v>
      </c>
      <c r="AE463">
        <v>1</v>
      </c>
      <c r="AH463" t="s">
        <v>918</v>
      </c>
      <c r="AI463" t="str">
        <f t="shared" si="22"/>
        <v>BRU072*</v>
      </c>
    </row>
    <row r="464" spans="1:35" ht="27" customHeight="1" x14ac:dyDescent="0.3">
      <c r="A464"/>
      <c r="B464" s="16">
        <v>350</v>
      </c>
      <c r="C464" s="16" t="s">
        <v>1040</v>
      </c>
      <c r="D464" s="16" t="s">
        <v>1589</v>
      </c>
      <c r="E464" s="16" t="s">
        <v>2077</v>
      </c>
      <c r="F464" s="200" t="s">
        <v>1041</v>
      </c>
      <c r="G464" s="189" t="str">
        <f>IFERROR(VLOOKUP(C464,#REF!,4,FALSE),"")</f>
        <v/>
      </c>
      <c r="H464" s="249">
        <f>VLOOKUP(C464,Dados!B:AW,11,0)</f>
        <v>1.73</v>
      </c>
      <c r="I464" s="16" t="str">
        <f>(VLOOKUP(C464,Dados!B:AW,48,0))</f>
        <v>Fase de Degradação</v>
      </c>
      <c r="J464" s="189" t="s">
        <v>734</v>
      </c>
      <c r="K464" s="177">
        <f>IFERROR((VLOOKUP(C464,Dados!B:AW,44,0)),0)</f>
        <v>0</v>
      </c>
      <c r="L464" s="177">
        <f>IFERROR((VLOOKUP(C464,Dados!B:AW,45,0)),0)</f>
        <v>0</v>
      </c>
      <c r="M464" s="177">
        <f>IFERROR((VLOOKUP(C464,Dados!B:AW,43,0)),0)</f>
        <v>0</v>
      </c>
      <c r="N464" s="179">
        <f>IFERROR((VLOOKUP(C464,Dados!B:AW,47,0)),0)</f>
        <v>0</v>
      </c>
      <c r="O464" s="197">
        <f t="shared" si="21"/>
        <v>1</v>
      </c>
      <c r="P464" s="1">
        <f t="shared" si="23"/>
        <v>0</v>
      </c>
      <c r="Q464" s="221"/>
      <c r="AC464">
        <v>2</v>
      </c>
      <c r="AD464">
        <v>2</v>
      </c>
      <c r="AE464">
        <v>2</v>
      </c>
      <c r="AH464" t="s">
        <v>984</v>
      </c>
      <c r="AI464" t="str">
        <f t="shared" si="22"/>
        <v>CEN113*</v>
      </c>
    </row>
    <row r="465" spans="1:35" ht="27" customHeight="1" x14ac:dyDescent="0.3">
      <c r="A465"/>
      <c r="B465" s="16">
        <v>91</v>
      </c>
      <c r="C465" s="16" t="s">
        <v>942</v>
      </c>
      <c r="D465" s="16" t="s">
        <v>1589</v>
      </c>
      <c r="E465" s="16" t="s">
        <v>2073</v>
      </c>
      <c r="F465" s="200" t="s">
        <v>943</v>
      </c>
      <c r="G465" s="189" t="str">
        <f>IFERROR(VLOOKUP(C465,#REF!,4,FALSE),"")</f>
        <v/>
      </c>
      <c r="H465" s="249">
        <f>VLOOKUP(C465,Dados!B:AW,11,0)</f>
        <v>1.01</v>
      </c>
      <c r="I465" s="16" t="str">
        <f>(VLOOKUP(C465,Dados!B:AW,48,0))</f>
        <v>Fase de Vida Útil</v>
      </c>
      <c r="J465" s="189" t="s">
        <v>735</v>
      </c>
      <c r="K465" s="177">
        <f>IFERROR((VLOOKUP(C465,Dados!B:AW,44,0)),0)</f>
        <v>0</v>
      </c>
      <c r="L465" s="177">
        <f>IFERROR((VLOOKUP(C465,Dados!B:AW,45,0)),0)</f>
        <v>0</v>
      </c>
      <c r="M465" s="177">
        <f>IFERROR((VLOOKUP(C465,Dados!B:AW,43,0)),0)</f>
        <v>0</v>
      </c>
      <c r="N465" s="179">
        <f>IFERROR((VLOOKUP(C465,Dados!B:AW,47,0)),0)</f>
        <v>0</v>
      </c>
      <c r="O465" s="197">
        <f t="shared" si="21"/>
        <v>2</v>
      </c>
      <c r="P465" s="1">
        <f t="shared" si="23"/>
        <v>0</v>
      </c>
      <c r="Q465" s="221"/>
      <c r="AC465">
        <v>2</v>
      </c>
      <c r="AD465">
        <v>2</v>
      </c>
      <c r="AE465">
        <v>2</v>
      </c>
      <c r="AH465" t="s">
        <v>699</v>
      </c>
      <c r="AI465" t="str">
        <f t="shared" si="22"/>
        <v>ROB048*</v>
      </c>
    </row>
    <row r="466" spans="1:35" ht="27" customHeight="1" x14ac:dyDescent="0.3">
      <c r="A466"/>
      <c r="B466" s="16">
        <v>457</v>
      </c>
      <c r="C466" s="16" t="s">
        <v>1104</v>
      </c>
      <c r="D466" s="16" t="s">
        <v>1589</v>
      </c>
      <c r="E466" s="16" t="s">
        <v>2073</v>
      </c>
      <c r="F466" s="200" t="s">
        <v>1105</v>
      </c>
      <c r="G466" s="189" t="str">
        <f>IFERROR(VLOOKUP(C466,#REF!,4,FALSE),"")</f>
        <v/>
      </c>
      <c r="H466" s="250">
        <f>VLOOKUP(C466,Dados!B:AW,11,0)</f>
        <v>1.63</v>
      </c>
      <c r="I466" s="16" t="str">
        <f>(VLOOKUP(C466,Dados!B:AW,48,0))</f>
        <v>Fase de Degradação</v>
      </c>
      <c r="J466" s="189" t="s">
        <v>735</v>
      </c>
      <c r="K466" s="177">
        <f>IFERROR((VLOOKUP(C466,Dados!B:AW,44,0)),0)</f>
        <v>0</v>
      </c>
      <c r="L466" s="177">
        <f>IFERROR((VLOOKUP(C466,Dados!B:AW,45,0)),0)</f>
        <v>0</v>
      </c>
      <c r="M466" s="177">
        <f>IFERROR((VLOOKUP(C466,Dados!B:AW,43,0)),0)</f>
        <v>0</v>
      </c>
      <c r="N466" s="179">
        <f>IFERROR((VLOOKUP(C466,Dados!B:AW,47,0)),0)</f>
        <v>0</v>
      </c>
      <c r="O466" s="197">
        <f t="shared" si="21"/>
        <v>1</v>
      </c>
      <c r="P466" s="1">
        <f t="shared" si="23"/>
        <v>0</v>
      </c>
      <c r="Q466" s="221"/>
      <c r="AC466">
        <v>2</v>
      </c>
      <c r="AD466">
        <v>2</v>
      </c>
      <c r="AE466">
        <v>1</v>
      </c>
      <c r="AH466" t="s">
        <v>916</v>
      </c>
      <c r="AI466" t="str">
        <f t="shared" si="22"/>
        <v>BRU071*</v>
      </c>
    </row>
    <row r="467" spans="1:35" ht="27" customHeight="1" x14ac:dyDescent="0.3">
      <c r="A467"/>
      <c r="B467" s="16">
        <v>633</v>
      </c>
      <c r="C467" s="16" t="s">
        <v>1879</v>
      </c>
      <c r="D467" s="16" t="s">
        <v>1589</v>
      </c>
      <c r="E467" s="16" t="s">
        <v>2149</v>
      </c>
      <c r="F467" s="200" t="s">
        <v>1748</v>
      </c>
      <c r="G467" s="189" t="str">
        <f>IFERROR(VLOOKUP(C467,#REF!,4,FALSE),"")</f>
        <v/>
      </c>
      <c r="H467" s="249">
        <f>VLOOKUP(C467,Dados!B:AW,11,0)</f>
        <v>0</v>
      </c>
      <c r="I467" s="16">
        <f>(VLOOKUP(C467,Dados!B:AW,48,0))</f>
        <v>0</v>
      </c>
      <c r="J467" s="189" t="s">
        <v>735</v>
      </c>
      <c r="K467" s="177">
        <f>IFERROR((VLOOKUP(C467,Dados!B:AW,44,0)),0)</f>
        <v>0</v>
      </c>
      <c r="L467" s="177">
        <f>IFERROR((VLOOKUP(C467,Dados!B:AW,45,0)),0)</f>
        <v>0</v>
      </c>
      <c r="M467" s="177">
        <f>IFERROR((VLOOKUP(C467,Dados!B:AW,43,0)),0)</f>
        <v>0</v>
      </c>
      <c r="N467" s="179">
        <f>IFERROR((VLOOKUP(C467,Dados!B:AW,47,0)),0)</f>
        <v>0</v>
      </c>
      <c r="O467" s="197">
        <f t="shared" si="21"/>
        <v>2</v>
      </c>
      <c r="P467" s="1">
        <f t="shared" si="23"/>
        <v>0</v>
      </c>
      <c r="Q467" s="221"/>
      <c r="AC467">
        <v>2</v>
      </c>
      <c r="AD467">
        <v>2</v>
      </c>
      <c r="AE467">
        <v>1</v>
      </c>
      <c r="AH467" t="s">
        <v>751</v>
      </c>
      <c r="AI467" t="str">
        <f t="shared" si="22"/>
        <v>CAB030*</v>
      </c>
    </row>
    <row r="468" spans="1:35" ht="27" customHeight="1" x14ac:dyDescent="0.3">
      <c r="A468"/>
      <c r="B468" s="16">
        <v>345</v>
      </c>
      <c r="C468" s="16" t="s">
        <v>1835</v>
      </c>
      <c r="D468" s="16" t="s">
        <v>1586</v>
      </c>
      <c r="E468" s="16" t="s">
        <v>2101</v>
      </c>
      <c r="F468" s="200" t="s">
        <v>1704</v>
      </c>
      <c r="G468" s="189" t="str">
        <f>IFERROR(VLOOKUP(C468,#REF!,4,FALSE),"")</f>
        <v/>
      </c>
      <c r="H468" s="248">
        <f>VLOOKUP(C468,Dados!B:AW,11,0)</f>
        <v>0</v>
      </c>
      <c r="I468" s="16">
        <f>(VLOOKUP(C468,Dados!B:AW,48,0))</f>
        <v>0</v>
      </c>
      <c r="J468" s="189" t="s">
        <v>735</v>
      </c>
      <c r="K468" s="177">
        <f>IFERROR((VLOOKUP(C468,Dados!B:AW,44,0)),0)</f>
        <v>0</v>
      </c>
      <c r="L468" s="177">
        <f>IFERROR((VLOOKUP(C468,Dados!B:AW,45,0)),0)</f>
        <v>0</v>
      </c>
      <c r="M468" s="177">
        <f>IFERROR((VLOOKUP(C468,Dados!B:AW,43,0)),0)</f>
        <v>0</v>
      </c>
      <c r="N468" s="179">
        <f>IFERROR((VLOOKUP(C468,Dados!B:AW,47,0)),0)</f>
        <v>0</v>
      </c>
      <c r="O468" s="197">
        <f t="shared" si="21"/>
        <v>2</v>
      </c>
      <c r="P468" s="1">
        <f t="shared" si="23"/>
        <v>0</v>
      </c>
      <c r="Q468" s="221"/>
      <c r="AC468">
        <v>2</v>
      </c>
      <c r="AD468">
        <v>2</v>
      </c>
      <c r="AE468">
        <v>2</v>
      </c>
      <c r="AH468" t="s">
        <v>382</v>
      </c>
      <c r="AI468" t="str">
        <f t="shared" si="22"/>
        <v>CEN050*</v>
      </c>
    </row>
    <row r="469" spans="1:35" ht="27" customHeight="1" x14ac:dyDescent="0.3">
      <c r="A469"/>
      <c r="B469" s="16">
        <v>444</v>
      </c>
      <c r="C469" s="16" t="s">
        <v>1086</v>
      </c>
      <c r="D469" s="16" t="s">
        <v>1586</v>
      </c>
      <c r="E469" s="16" t="s">
        <v>2101</v>
      </c>
      <c r="F469" s="200" t="s">
        <v>1087</v>
      </c>
      <c r="G469" s="189" t="str">
        <f>IFERROR(VLOOKUP(C469,#REF!,4,FALSE),"")</f>
        <v/>
      </c>
      <c r="H469" s="250">
        <f>VLOOKUP(C469,Dados!B:AW,11,0)</f>
        <v>1.43</v>
      </c>
      <c r="I469" s="16" t="str">
        <f>(VLOOKUP(C469,Dados!B:AW,48,0))</f>
        <v>Fase de Degradação</v>
      </c>
      <c r="J469" s="189" t="s">
        <v>734</v>
      </c>
      <c r="K469" s="177">
        <f>IFERROR((VLOOKUP(C469,Dados!B:AW,44,0)),0)</f>
        <v>0</v>
      </c>
      <c r="L469" s="177">
        <f>IFERROR((VLOOKUP(C469,Dados!B:AW,45,0)),0)</f>
        <v>0</v>
      </c>
      <c r="M469" s="177">
        <f>IFERROR((VLOOKUP(C469,Dados!B:AW,43,0)),0)</f>
        <v>0</v>
      </c>
      <c r="N469" s="179">
        <f>IFERROR((VLOOKUP(C469,Dados!B:AW,47,0)),0)</f>
        <v>0</v>
      </c>
      <c r="O469" s="197">
        <f t="shared" si="21"/>
        <v>1</v>
      </c>
      <c r="P469" s="1">
        <f t="shared" si="23"/>
        <v>0</v>
      </c>
      <c r="Q469" s="221"/>
      <c r="AC469">
        <v>2</v>
      </c>
      <c r="AD469">
        <v>2</v>
      </c>
      <c r="AE469">
        <v>2</v>
      </c>
      <c r="AH469" t="s">
        <v>988</v>
      </c>
      <c r="AI469" t="str">
        <f t="shared" si="22"/>
        <v>CEN115*</v>
      </c>
    </row>
    <row r="470" spans="1:35" ht="27" customHeight="1" x14ac:dyDescent="0.3">
      <c r="A470"/>
      <c r="B470" s="16">
        <v>449</v>
      </c>
      <c r="C470" s="16" t="s">
        <v>1094</v>
      </c>
      <c r="D470" s="16" t="s">
        <v>1586</v>
      </c>
      <c r="E470" s="16" t="s">
        <v>2101</v>
      </c>
      <c r="F470" s="200" t="s">
        <v>1095</v>
      </c>
      <c r="G470" s="189" t="str">
        <f>IFERROR(VLOOKUP(C470,#REF!,4,FALSE),"")</f>
        <v/>
      </c>
      <c r="H470" s="250">
        <f>VLOOKUP(C470,Dados!B:AW,11,0)</f>
        <v>1.34</v>
      </c>
      <c r="I470" s="16" t="str">
        <f>(VLOOKUP(C470,Dados!B:AW,48,0))</f>
        <v>Fase de Degradação</v>
      </c>
      <c r="J470" s="189" t="s">
        <v>734</v>
      </c>
      <c r="K470" s="177">
        <f>IFERROR((VLOOKUP(C470,Dados!B:AW,44,0)),0)</f>
        <v>0</v>
      </c>
      <c r="L470" s="177">
        <f>IFERROR((VLOOKUP(C470,Dados!B:AW,45,0)),0)</f>
        <v>0</v>
      </c>
      <c r="M470" s="177">
        <f>IFERROR((VLOOKUP(C470,Dados!B:AW,43,0)),0)</f>
        <v>0</v>
      </c>
      <c r="N470" s="179">
        <f>IFERROR((VLOOKUP(C470,Dados!B:AW,47,0)),0)</f>
        <v>0</v>
      </c>
      <c r="O470" s="197">
        <f t="shared" si="21"/>
        <v>1</v>
      </c>
      <c r="P470" s="1">
        <f t="shared" si="23"/>
        <v>0</v>
      </c>
      <c r="Q470" s="221"/>
      <c r="AC470">
        <v>2</v>
      </c>
      <c r="AD470">
        <v>2</v>
      </c>
      <c r="AE470">
        <v>1</v>
      </c>
      <c r="AH470" t="s">
        <v>1046</v>
      </c>
      <c r="AI470" t="str">
        <f t="shared" si="22"/>
        <v>GRV015*</v>
      </c>
    </row>
    <row r="471" spans="1:35" ht="27" customHeight="1" x14ac:dyDescent="0.3">
      <c r="A471"/>
      <c r="B471" s="16">
        <v>472</v>
      </c>
      <c r="C471" s="16" t="s">
        <v>807</v>
      </c>
      <c r="D471" s="16" t="s">
        <v>1586</v>
      </c>
      <c r="E471" s="16" t="s">
        <v>2101</v>
      </c>
      <c r="F471" s="200" t="s">
        <v>808</v>
      </c>
      <c r="G471" s="189" t="str">
        <f>IFERROR(VLOOKUP(C471,#REF!,4,FALSE),"")</f>
        <v/>
      </c>
      <c r="H471" s="250">
        <f>VLOOKUP(C471,Dados!B:AW,11,0)</f>
        <v>1.2</v>
      </c>
      <c r="I471" s="16" t="str">
        <f>(VLOOKUP(C471,Dados!B:AW,48,0))</f>
        <v>Fase de Degradação</v>
      </c>
      <c r="J471" s="189" t="s">
        <v>735</v>
      </c>
      <c r="K471" s="177">
        <f>IFERROR((VLOOKUP(C471,Dados!B:AW,44,0)),0)</f>
        <v>0</v>
      </c>
      <c r="L471" s="177">
        <f>IFERROR((VLOOKUP(C471,Dados!B:AW,45,0)),0)</f>
        <v>0</v>
      </c>
      <c r="M471" s="177">
        <f>IFERROR((VLOOKUP(C471,Dados!B:AW,43,0)),0)</f>
        <v>0</v>
      </c>
      <c r="N471" s="179">
        <f>IFERROR((VLOOKUP(C471,Dados!B:AW,47,0)),0)</f>
        <v>0</v>
      </c>
      <c r="O471" s="197">
        <f t="shared" si="21"/>
        <v>1</v>
      </c>
      <c r="P471" s="1">
        <f t="shared" si="23"/>
        <v>0</v>
      </c>
      <c r="Q471" s="221"/>
      <c r="AC471">
        <v>2</v>
      </c>
      <c r="AD471">
        <v>2</v>
      </c>
      <c r="AE471">
        <v>2</v>
      </c>
      <c r="AH471" t="s">
        <v>611</v>
      </c>
      <c r="AI471" t="str">
        <f t="shared" si="22"/>
        <v>INJ040*</v>
      </c>
    </row>
    <row r="472" spans="1:35" ht="27" customHeight="1" x14ac:dyDescent="0.3">
      <c r="A472"/>
      <c r="B472" s="16">
        <v>589</v>
      </c>
      <c r="C472" s="16" t="s">
        <v>837</v>
      </c>
      <c r="D472" s="16" t="s">
        <v>1586</v>
      </c>
      <c r="E472" s="16" t="s">
        <v>2101</v>
      </c>
      <c r="F472" s="200" t="s">
        <v>838</v>
      </c>
      <c r="G472" s="189" t="str">
        <f>IFERROR(VLOOKUP(C472,#REF!,4,FALSE),"")</f>
        <v/>
      </c>
      <c r="H472" s="249">
        <f>VLOOKUP(C472,Dados!B:AW,11,0)</f>
        <v>0.84</v>
      </c>
      <c r="I472" s="16" t="str">
        <f>(VLOOKUP(C472,Dados!B:AW,48,0))</f>
        <v>Confiabilidade em Crescimento</v>
      </c>
      <c r="J472" s="189" t="s">
        <v>732</v>
      </c>
      <c r="K472" s="177">
        <f>IFERROR((VLOOKUP(C472,Dados!B:AW,44,0)),0)</f>
        <v>0</v>
      </c>
      <c r="L472" s="177">
        <f>IFERROR((VLOOKUP(C472,Dados!B:AW,45,0)),0)</f>
        <v>0</v>
      </c>
      <c r="M472" s="177">
        <f>IFERROR((VLOOKUP(C472,Dados!B:AW,43,0)),0)</f>
        <v>0</v>
      </c>
      <c r="N472" s="179">
        <f>IFERROR((VLOOKUP(C472,Dados!B:AW,47,0)),0)</f>
        <v>0</v>
      </c>
      <c r="O472" s="197">
        <f t="shared" si="21"/>
        <v>2</v>
      </c>
      <c r="P472" s="1">
        <f t="shared" si="23"/>
        <v>0</v>
      </c>
      <c r="Q472" s="221"/>
      <c r="AC472">
        <v>2</v>
      </c>
      <c r="AD472">
        <v>2</v>
      </c>
      <c r="AE472">
        <v>2</v>
      </c>
      <c r="AH472" t="s">
        <v>592</v>
      </c>
      <c r="AI472" t="str">
        <f t="shared" si="22"/>
        <v>PRE024*</v>
      </c>
    </row>
    <row r="473" spans="1:35" ht="27" customHeight="1" x14ac:dyDescent="0.3">
      <c r="A473"/>
      <c r="B473" s="16">
        <v>327</v>
      </c>
      <c r="C473" s="16" t="s">
        <v>1831</v>
      </c>
      <c r="D473" s="16" t="s">
        <v>1586</v>
      </c>
      <c r="E473" s="16" t="s">
        <v>2102</v>
      </c>
      <c r="F473" s="200" t="s">
        <v>1700</v>
      </c>
      <c r="G473" s="189" t="str">
        <f>IFERROR(VLOOKUP(C473,#REF!,4,FALSE),"")</f>
        <v/>
      </c>
      <c r="H473" s="249">
        <f>VLOOKUP(C473,Dados!B:AW,11,0)</f>
        <v>1.04</v>
      </c>
      <c r="I473" s="16" t="str">
        <f>(VLOOKUP(C473,Dados!B:AW,48,0))</f>
        <v>Fase de Vida Útil</v>
      </c>
      <c r="J473" s="189" t="s">
        <v>732</v>
      </c>
      <c r="K473" s="177">
        <f>IFERROR((VLOOKUP(C473,Dados!B:AW,44,0)),0)</f>
        <v>0</v>
      </c>
      <c r="L473" s="177">
        <f>IFERROR((VLOOKUP(C473,Dados!B:AW,45,0)),0)</f>
        <v>0</v>
      </c>
      <c r="M473" s="177">
        <f>IFERROR((VLOOKUP(C473,Dados!B:AW,43,0)),0)</f>
        <v>0</v>
      </c>
      <c r="N473" s="179">
        <f>IFERROR((VLOOKUP(C473,Dados!B:AW,47,0)),0)</f>
        <v>0</v>
      </c>
      <c r="O473" s="197">
        <f t="shared" si="21"/>
        <v>2</v>
      </c>
      <c r="P473" s="1">
        <f t="shared" si="23"/>
        <v>0</v>
      </c>
      <c r="Q473" s="221"/>
      <c r="AC473">
        <v>2</v>
      </c>
      <c r="AD473">
        <v>2</v>
      </c>
      <c r="AE473">
        <v>1</v>
      </c>
      <c r="AH473" t="s">
        <v>707</v>
      </c>
      <c r="AI473" t="str">
        <f t="shared" si="22"/>
        <v>PRE048*</v>
      </c>
    </row>
    <row r="474" spans="1:35" ht="27" customHeight="1" x14ac:dyDescent="0.3">
      <c r="A474"/>
      <c r="B474" s="16">
        <v>445</v>
      </c>
      <c r="C474" s="16" t="s">
        <v>1088</v>
      </c>
      <c r="D474" s="16" t="s">
        <v>1586</v>
      </c>
      <c r="E474" s="16" t="s">
        <v>2102</v>
      </c>
      <c r="F474" s="200" t="s">
        <v>1089</v>
      </c>
      <c r="G474" s="189" t="str">
        <f>IFERROR(VLOOKUP(C474,#REF!,4,FALSE),"")</f>
        <v/>
      </c>
      <c r="H474" s="248">
        <f>VLOOKUP(C474,Dados!B:AW,11,0)</f>
        <v>1.44</v>
      </c>
      <c r="I474" s="16" t="str">
        <f>(VLOOKUP(C474,Dados!B:AW,48,0))</f>
        <v>Fase de Degradação</v>
      </c>
      <c r="J474" s="189" t="s">
        <v>734</v>
      </c>
      <c r="K474" s="177">
        <f>IFERROR((VLOOKUP(C474,Dados!B:AW,44,0)),0)</f>
        <v>0</v>
      </c>
      <c r="L474" s="177">
        <f>IFERROR((VLOOKUP(C474,Dados!B:AW,45,0)),0)</f>
        <v>0</v>
      </c>
      <c r="M474" s="177">
        <f>IFERROR((VLOOKUP(C474,Dados!B:AW,43,0)),0)</f>
        <v>0</v>
      </c>
      <c r="N474" s="179">
        <f>IFERROR((VLOOKUP(C474,Dados!B:AW,47,0)),0)</f>
        <v>0</v>
      </c>
      <c r="O474" s="197">
        <f t="shared" si="21"/>
        <v>1</v>
      </c>
      <c r="P474" s="1">
        <f t="shared" si="23"/>
        <v>0</v>
      </c>
      <c r="Q474" s="221"/>
      <c r="AC474">
        <v>2</v>
      </c>
      <c r="AD474">
        <v>2</v>
      </c>
      <c r="AE474">
        <v>1</v>
      </c>
      <c r="AH474" t="s">
        <v>1667</v>
      </c>
      <c r="AI474" t="str">
        <f t="shared" si="22"/>
        <v>BAL007*</v>
      </c>
    </row>
    <row r="475" spans="1:35" ht="27" customHeight="1" x14ac:dyDescent="0.3">
      <c r="A475"/>
      <c r="B475" s="16">
        <v>448</v>
      </c>
      <c r="C475" s="16" t="s">
        <v>1092</v>
      </c>
      <c r="D475" s="16" t="s">
        <v>1586</v>
      </c>
      <c r="E475" s="16" t="s">
        <v>2102</v>
      </c>
      <c r="F475" s="200" t="s">
        <v>1093</v>
      </c>
      <c r="G475" s="189" t="str">
        <f>IFERROR(VLOOKUP(C475,#REF!,4,FALSE),"")</f>
        <v/>
      </c>
      <c r="H475" s="250">
        <f>VLOOKUP(C475,Dados!B:AW,11,0)</f>
        <v>1.19</v>
      </c>
      <c r="I475" s="16" t="str">
        <f>(VLOOKUP(C475,Dados!B:AW,48,0))</f>
        <v>Fase de Degradação</v>
      </c>
      <c r="J475" s="189" t="s">
        <v>734</v>
      </c>
      <c r="K475" s="177">
        <f>IFERROR((VLOOKUP(C475,Dados!B:AW,44,0)),0)</f>
        <v>0</v>
      </c>
      <c r="L475" s="177">
        <f>IFERROR((VLOOKUP(C475,Dados!B:AW,45,0)),0)</f>
        <v>0</v>
      </c>
      <c r="M475" s="177">
        <f>IFERROR((VLOOKUP(C475,Dados!B:AW,43,0)),0)</f>
        <v>0</v>
      </c>
      <c r="N475" s="179">
        <f>IFERROR((VLOOKUP(C475,Dados!B:AW,47,0)),0)</f>
        <v>0</v>
      </c>
      <c r="O475" s="197">
        <f t="shared" si="21"/>
        <v>1</v>
      </c>
      <c r="P475" s="1">
        <f t="shared" si="23"/>
        <v>0</v>
      </c>
      <c r="Q475" s="221"/>
      <c r="AC475">
        <v>2</v>
      </c>
      <c r="AD475">
        <v>2</v>
      </c>
      <c r="AE475">
        <v>1</v>
      </c>
      <c r="AH475" t="s">
        <v>1026</v>
      </c>
      <c r="AI475" t="str">
        <f t="shared" si="22"/>
        <v>FOR102*</v>
      </c>
    </row>
    <row r="476" spans="1:35" ht="27" customHeight="1" x14ac:dyDescent="0.3">
      <c r="A476"/>
      <c r="B476" s="16">
        <v>473</v>
      </c>
      <c r="C476" s="16" t="s">
        <v>123</v>
      </c>
      <c r="D476" s="16" t="s">
        <v>1586</v>
      </c>
      <c r="E476" s="16" t="s">
        <v>2102</v>
      </c>
      <c r="F476" s="200" t="s">
        <v>124</v>
      </c>
      <c r="G476" s="189" t="str">
        <f>IFERROR(VLOOKUP(C476,#REF!,4,FALSE),"")</f>
        <v/>
      </c>
      <c r="H476" s="250">
        <f>VLOOKUP(C476,Dados!B:AW,11,0)</f>
        <v>1.4</v>
      </c>
      <c r="I476" s="16" t="str">
        <f>(VLOOKUP(C476,Dados!B:AW,48,0))</f>
        <v>Fase de Degradação</v>
      </c>
      <c r="J476" s="189" t="s">
        <v>732</v>
      </c>
      <c r="K476" s="177">
        <f>IFERROR((VLOOKUP(C476,Dados!B:AW,44,0)),0)</f>
        <v>0</v>
      </c>
      <c r="L476" s="177">
        <f>IFERROR((VLOOKUP(C476,Dados!B:AW,45,0)),0)</f>
        <v>0</v>
      </c>
      <c r="M476" s="177">
        <f>IFERROR((VLOOKUP(C476,Dados!B:AW,43,0)),0)</f>
        <v>0</v>
      </c>
      <c r="N476" s="179">
        <f>IFERROR((VLOOKUP(C476,Dados!B:AW,47,0)),0)</f>
        <v>0</v>
      </c>
      <c r="O476" s="197">
        <f t="shared" si="21"/>
        <v>1</v>
      </c>
      <c r="P476" s="1">
        <f t="shared" si="23"/>
        <v>0</v>
      </c>
      <c r="Q476" s="221"/>
      <c r="AC476">
        <v>2</v>
      </c>
      <c r="AD476">
        <v>2</v>
      </c>
      <c r="AE476">
        <v>1</v>
      </c>
      <c r="AH476" t="s">
        <v>462</v>
      </c>
      <c r="AI476" t="str">
        <f t="shared" si="22"/>
        <v>ROB025*</v>
      </c>
    </row>
    <row r="477" spans="1:35" ht="27" customHeight="1" x14ac:dyDescent="0.3">
      <c r="A477"/>
      <c r="B477" s="16">
        <v>604</v>
      </c>
      <c r="C477" s="16" t="s">
        <v>851</v>
      </c>
      <c r="D477" s="16" t="s">
        <v>1586</v>
      </c>
      <c r="E477" s="16" t="s">
        <v>2102</v>
      </c>
      <c r="F477" s="200" t="s">
        <v>852</v>
      </c>
      <c r="G477" s="189" t="str">
        <f>IFERROR(VLOOKUP(C477,#REF!,4,FALSE),"")</f>
        <v/>
      </c>
      <c r="H477" s="249">
        <f>VLOOKUP(C477,Dados!B:AW,11,0)</f>
        <v>1.0900000000000001</v>
      </c>
      <c r="I477" s="16" t="str">
        <f>(VLOOKUP(C477,Dados!B:AW,48,0))</f>
        <v>Fase de Vida Útil</v>
      </c>
      <c r="J477" s="189" t="s">
        <v>735</v>
      </c>
      <c r="K477" s="177">
        <f>IFERROR((VLOOKUP(C477,Dados!B:AW,44,0)),0)</f>
        <v>0</v>
      </c>
      <c r="L477" s="177">
        <f>IFERROR((VLOOKUP(C477,Dados!B:AW,45,0)),0)</f>
        <v>0</v>
      </c>
      <c r="M477" s="177">
        <f>IFERROR((VLOOKUP(C477,Dados!B:AW,43,0)),0)</f>
        <v>0</v>
      </c>
      <c r="N477" s="179">
        <f>IFERROR((VLOOKUP(C477,Dados!B:AW,47,0)),0)</f>
        <v>0</v>
      </c>
      <c r="O477" s="197">
        <f t="shared" si="21"/>
        <v>2</v>
      </c>
      <c r="P477" s="1">
        <f t="shared" si="23"/>
        <v>0</v>
      </c>
      <c r="Q477" s="221"/>
      <c r="AC477">
        <v>2</v>
      </c>
      <c r="AD477">
        <v>2</v>
      </c>
      <c r="AE477">
        <v>1</v>
      </c>
      <c r="AH477" t="s">
        <v>865</v>
      </c>
      <c r="AI477" t="str">
        <f t="shared" si="22"/>
        <v>SRG004*</v>
      </c>
    </row>
    <row r="478" spans="1:35" ht="27" customHeight="1" x14ac:dyDescent="0.3">
      <c r="A478"/>
      <c r="B478" s="16">
        <v>450</v>
      </c>
      <c r="C478" s="16" t="s">
        <v>1096</v>
      </c>
      <c r="D478" s="16" t="s">
        <v>1586</v>
      </c>
      <c r="E478" s="16" t="s">
        <v>2103</v>
      </c>
      <c r="F478" s="200" t="s">
        <v>1097</v>
      </c>
      <c r="G478" s="189" t="str">
        <f>IFERROR(VLOOKUP(C478,#REF!,4,FALSE),"")</f>
        <v/>
      </c>
      <c r="H478" s="248">
        <f>VLOOKUP(C478,Dados!B:AW,11,0)</f>
        <v>1.45</v>
      </c>
      <c r="I478" s="16" t="str">
        <f>(VLOOKUP(C478,Dados!B:AW,48,0))</f>
        <v>Fase de Degradação</v>
      </c>
      <c r="J478" s="189" t="s">
        <v>734</v>
      </c>
      <c r="K478" s="177">
        <f>IFERROR((VLOOKUP(C478,Dados!B:AW,44,0)),0)</f>
        <v>0</v>
      </c>
      <c r="L478" s="177">
        <f>IFERROR((VLOOKUP(C478,Dados!B:AW,45,0)),0)</f>
        <v>0</v>
      </c>
      <c r="M478" s="177">
        <f>IFERROR((VLOOKUP(C478,Dados!B:AW,43,0)),0)</f>
        <v>0</v>
      </c>
      <c r="N478" s="179">
        <f>IFERROR((VLOOKUP(C478,Dados!B:AW,47,0)),0)</f>
        <v>0</v>
      </c>
      <c r="O478" s="197">
        <f t="shared" si="21"/>
        <v>1</v>
      </c>
      <c r="P478" s="1">
        <f t="shared" si="23"/>
        <v>0</v>
      </c>
      <c r="Q478" s="221"/>
      <c r="AC478">
        <v>2</v>
      </c>
      <c r="AD478">
        <v>2</v>
      </c>
      <c r="AE478">
        <v>1</v>
      </c>
      <c r="AH478" t="s">
        <v>914</v>
      </c>
      <c r="AI478" t="str">
        <f t="shared" si="22"/>
        <v>BRU070*</v>
      </c>
    </row>
    <row r="479" spans="1:35" ht="27" customHeight="1" x14ac:dyDescent="0.3">
      <c r="A479"/>
      <c r="B479" s="16">
        <v>474</v>
      </c>
      <c r="C479" s="16" t="s">
        <v>809</v>
      </c>
      <c r="D479" s="16" t="s">
        <v>1586</v>
      </c>
      <c r="E479" s="16" t="s">
        <v>2103</v>
      </c>
      <c r="F479" s="200" t="s">
        <v>810</v>
      </c>
      <c r="G479" s="189" t="str">
        <f>IFERROR(VLOOKUP(C479,#REF!,4,FALSE),"")</f>
        <v/>
      </c>
      <c r="H479" s="249">
        <f>VLOOKUP(C479,Dados!B:AW,11,0)</f>
        <v>1.46</v>
      </c>
      <c r="I479" s="16" t="str">
        <f>(VLOOKUP(C479,Dados!B:AW,48,0))</f>
        <v>Fase de Degradação</v>
      </c>
      <c r="J479" s="189" t="s">
        <v>735</v>
      </c>
      <c r="K479" s="177">
        <f>IFERROR((VLOOKUP(C479,Dados!B:AW,44,0)),0)</f>
        <v>0</v>
      </c>
      <c r="L479" s="177">
        <f>IFERROR((VLOOKUP(C479,Dados!B:AW,45,0)),0)</f>
        <v>0</v>
      </c>
      <c r="M479" s="177">
        <f>IFERROR((VLOOKUP(C479,Dados!B:AW,43,0)),0)</f>
        <v>0</v>
      </c>
      <c r="N479" s="179">
        <f>IFERROR((VLOOKUP(C479,Dados!B:AW,47,0)),0)</f>
        <v>0</v>
      </c>
      <c r="O479" s="197">
        <f t="shared" si="21"/>
        <v>1</v>
      </c>
      <c r="P479" s="1">
        <f t="shared" si="23"/>
        <v>0</v>
      </c>
      <c r="Q479" s="221"/>
      <c r="AC479">
        <v>2</v>
      </c>
      <c r="AD479">
        <v>2</v>
      </c>
      <c r="AE479">
        <v>2</v>
      </c>
      <c r="AH479" t="s">
        <v>1078</v>
      </c>
      <c r="AI479" t="str">
        <f t="shared" si="22"/>
        <v>LAV055*</v>
      </c>
    </row>
    <row r="480" spans="1:35" ht="27" customHeight="1" x14ac:dyDescent="0.3">
      <c r="A480"/>
      <c r="B480" s="16">
        <v>331</v>
      </c>
      <c r="C480" s="16" t="s">
        <v>683</v>
      </c>
      <c r="D480" s="16" t="s">
        <v>1586</v>
      </c>
      <c r="E480" s="16" t="s">
        <v>2100</v>
      </c>
      <c r="F480" s="200" t="s">
        <v>684</v>
      </c>
      <c r="G480" s="189" t="str">
        <f>IFERROR(VLOOKUP(C480,#REF!,4,FALSE),"")</f>
        <v/>
      </c>
      <c r="H480" s="249">
        <f>VLOOKUP(C480,Dados!B:AW,11,0)</f>
        <v>1.1499999999999999</v>
      </c>
      <c r="I480" s="16" t="str">
        <f>(VLOOKUP(C480,Dados!B:AW,48,0))</f>
        <v>Fase de Degradação</v>
      </c>
      <c r="J480" s="189" t="s">
        <v>732</v>
      </c>
      <c r="K480" s="177">
        <f>IFERROR((VLOOKUP(C480,Dados!B:AW,44,0)),0)</f>
        <v>0</v>
      </c>
      <c r="L480" s="177">
        <f>IFERROR((VLOOKUP(C480,Dados!B:AW,45,0)),0)</f>
        <v>0</v>
      </c>
      <c r="M480" s="177">
        <f>IFERROR((VLOOKUP(C480,Dados!B:AW,43,0)),0)</f>
        <v>0</v>
      </c>
      <c r="N480" s="179">
        <f>IFERROR((VLOOKUP(C480,Dados!B:AW,47,0)),0)</f>
        <v>0</v>
      </c>
      <c r="O480" s="197">
        <f t="shared" si="21"/>
        <v>1</v>
      </c>
      <c r="P480" s="1">
        <f t="shared" si="23"/>
        <v>0</v>
      </c>
      <c r="Q480" s="221"/>
      <c r="AC480">
        <v>2</v>
      </c>
      <c r="AD480">
        <v>2</v>
      </c>
      <c r="AE480">
        <v>2</v>
      </c>
      <c r="AH480" t="s">
        <v>912</v>
      </c>
      <c r="AI480" t="str">
        <f t="shared" si="22"/>
        <v>BRU069*</v>
      </c>
    </row>
    <row r="481" spans="1:35" ht="27" customHeight="1" x14ac:dyDescent="0.3">
      <c r="A481"/>
      <c r="B481" s="16">
        <v>332</v>
      </c>
      <c r="C481" s="16" t="s">
        <v>673</v>
      </c>
      <c r="D481" s="16" t="s">
        <v>1586</v>
      </c>
      <c r="E481" s="16" t="s">
        <v>2100</v>
      </c>
      <c r="F481" s="200" t="s">
        <v>674</v>
      </c>
      <c r="G481" s="189" t="str">
        <f>IFERROR(VLOOKUP(C481,#REF!,4,FALSE),"")</f>
        <v/>
      </c>
      <c r="H481" s="249">
        <f>VLOOKUP(C481,Dados!B:AW,11,0)</f>
        <v>0.9</v>
      </c>
      <c r="I481" s="16" t="str">
        <f>(VLOOKUP(C481,Dados!B:AW,48,0))</f>
        <v>Confiabilidade em Crescimento</v>
      </c>
      <c r="J481" s="189" t="s">
        <v>732</v>
      </c>
      <c r="K481" s="177">
        <f>IFERROR((VLOOKUP(C481,Dados!B:AW,44,0)),0)</f>
        <v>0</v>
      </c>
      <c r="L481" s="177">
        <f>IFERROR((VLOOKUP(C481,Dados!B:AW,45,0)),0)</f>
        <v>0</v>
      </c>
      <c r="M481" s="177">
        <f>IFERROR((VLOOKUP(C481,Dados!B:AW,43,0)),0)</f>
        <v>0</v>
      </c>
      <c r="N481" s="179">
        <f>IFERROR((VLOOKUP(C481,Dados!B:AW,47,0)),0)</f>
        <v>0</v>
      </c>
      <c r="O481" s="197">
        <f t="shared" si="21"/>
        <v>2</v>
      </c>
      <c r="P481" s="1">
        <f t="shared" si="23"/>
        <v>0</v>
      </c>
      <c r="Q481" s="221"/>
      <c r="AC481">
        <v>2</v>
      </c>
      <c r="AD481">
        <v>2</v>
      </c>
      <c r="AE481">
        <v>2</v>
      </c>
      <c r="AH481" t="s">
        <v>990</v>
      </c>
      <c r="AI481" t="str">
        <f t="shared" si="22"/>
        <v>CEN116*</v>
      </c>
    </row>
    <row r="482" spans="1:35" ht="27" customHeight="1" x14ac:dyDescent="0.3">
      <c r="A482"/>
      <c r="B482" s="16">
        <v>451</v>
      </c>
      <c r="C482" s="16" t="s">
        <v>1098</v>
      </c>
      <c r="D482" s="16" t="s">
        <v>1586</v>
      </c>
      <c r="E482" s="16" t="s">
        <v>2100</v>
      </c>
      <c r="F482" s="200" t="s">
        <v>1099</v>
      </c>
      <c r="G482" s="189" t="str">
        <f>IFERROR(VLOOKUP(C482,#REF!,4,FALSE),"")</f>
        <v/>
      </c>
      <c r="H482" s="250">
        <f>VLOOKUP(C482,Dados!B:AW,11,0)</f>
        <v>1.28</v>
      </c>
      <c r="I482" s="16" t="str">
        <f>(VLOOKUP(C482,Dados!B:AW,48,0))</f>
        <v>Fase de Degradação</v>
      </c>
      <c r="J482" s="189" t="s">
        <v>734</v>
      </c>
      <c r="K482" s="177">
        <f>IFERROR((VLOOKUP(C482,Dados!B:AW,44,0)),0)</f>
        <v>0</v>
      </c>
      <c r="L482" s="177">
        <f>IFERROR((VLOOKUP(C482,Dados!B:AW,45,0)),0)</f>
        <v>0</v>
      </c>
      <c r="M482" s="177">
        <f>IFERROR((VLOOKUP(C482,Dados!B:AW,43,0)),0)</f>
        <v>0</v>
      </c>
      <c r="N482" s="179">
        <f>IFERROR((VLOOKUP(C482,Dados!B:AW,47,0)),0)</f>
        <v>0</v>
      </c>
      <c r="O482" s="197">
        <f t="shared" si="21"/>
        <v>1</v>
      </c>
      <c r="P482" s="1">
        <f t="shared" si="23"/>
        <v>0</v>
      </c>
      <c r="Q482" s="221"/>
      <c r="AC482">
        <v>2</v>
      </c>
      <c r="AD482">
        <v>2</v>
      </c>
      <c r="AE482">
        <v>2</v>
      </c>
      <c r="AH482" t="s">
        <v>972</v>
      </c>
      <c r="AI482" t="str">
        <f t="shared" si="22"/>
        <v>CEN107*</v>
      </c>
    </row>
    <row r="483" spans="1:35" ht="27" customHeight="1" x14ac:dyDescent="0.3">
      <c r="A483"/>
      <c r="B483" s="16">
        <v>481</v>
      </c>
      <c r="C483" s="16" t="s">
        <v>1122</v>
      </c>
      <c r="D483" s="16" t="s">
        <v>1586</v>
      </c>
      <c r="E483" s="16" t="s">
        <v>2100</v>
      </c>
      <c r="F483" s="200" t="s">
        <v>1123</v>
      </c>
      <c r="G483" s="189" t="str">
        <f>IFERROR(VLOOKUP(C483,#REF!,4,FALSE),"")</f>
        <v/>
      </c>
      <c r="H483" s="248">
        <f>VLOOKUP(C483,Dados!B:AW,11,0)</f>
        <v>1.01</v>
      </c>
      <c r="I483" s="16" t="str">
        <f>(VLOOKUP(C483,Dados!B:AW,48,0))</f>
        <v>Fase de Vida Útil</v>
      </c>
      <c r="J483" s="189" t="s">
        <v>735</v>
      </c>
      <c r="K483" s="177">
        <f>IFERROR((VLOOKUP(C483,Dados!B:AW,44,0)),0)</f>
        <v>0</v>
      </c>
      <c r="L483" s="177">
        <f>IFERROR((VLOOKUP(C483,Dados!B:AW,45,0)),0)</f>
        <v>0</v>
      </c>
      <c r="M483" s="177">
        <f>IFERROR((VLOOKUP(C483,Dados!B:AW,43,0)),0)</f>
        <v>0</v>
      </c>
      <c r="N483" s="179">
        <f>IFERROR((VLOOKUP(C483,Dados!B:AW,47,0)),0)</f>
        <v>0</v>
      </c>
      <c r="O483" s="197">
        <f t="shared" si="21"/>
        <v>2</v>
      </c>
      <c r="P483" s="1">
        <f t="shared" si="23"/>
        <v>0</v>
      </c>
      <c r="Q483" s="221"/>
      <c r="AC483">
        <v>2</v>
      </c>
      <c r="AD483">
        <v>2</v>
      </c>
      <c r="AE483">
        <v>2</v>
      </c>
      <c r="AH483" t="s">
        <v>992</v>
      </c>
      <c r="AI483" t="str">
        <f t="shared" si="22"/>
        <v>CEN140*</v>
      </c>
    </row>
    <row r="484" spans="1:35" ht="27" customHeight="1" x14ac:dyDescent="0.3">
      <c r="A484"/>
      <c r="B484" s="16">
        <v>581</v>
      </c>
      <c r="C484" s="16" t="s">
        <v>833</v>
      </c>
      <c r="D484" s="16" t="s">
        <v>1586</v>
      </c>
      <c r="E484" s="16" t="s">
        <v>2100</v>
      </c>
      <c r="F484" s="200" t="s">
        <v>834</v>
      </c>
      <c r="G484" s="189" t="str">
        <f>IFERROR(VLOOKUP(C484,#REF!,4,FALSE),"")</f>
        <v/>
      </c>
      <c r="H484" s="249">
        <f>VLOOKUP(C484,Dados!B:AW,11,0)</f>
        <v>1.66</v>
      </c>
      <c r="I484" s="16" t="str">
        <f>(VLOOKUP(C484,Dados!B:AW,48,0))</f>
        <v>Fase de Degradação</v>
      </c>
      <c r="J484" s="189" t="s">
        <v>732</v>
      </c>
      <c r="K484" s="177">
        <f>IFERROR((VLOOKUP(C484,Dados!B:AW,44,0)),0)</f>
        <v>0</v>
      </c>
      <c r="L484" s="177">
        <f>IFERROR((VLOOKUP(C484,Dados!B:AW,45,0)),0)</f>
        <v>0</v>
      </c>
      <c r="M484" s="177">
        <f>IFERROR((VLOOKUP(C484,Dados!B:AW,43,0)),0)</f>
        <v>0</v>
      </c>
      <c r="N484" s="179">
        <f>IFERROR((VLOOKUP(C484,Dados!B:AW,47,0)),0)</f>
        <v>0</v>
      </c>
      <c r="O484" s="197">
        <f t="shared" si="21"/>
        <v>1</v>
      </c>
      <c r="P484" s="1">
        <f t="shared" si="23"/>
        <v>0</v>
      </c>
      <c r="Q484" s="221"/>
      <c r="AC484">
        <v>2</v>
      </c>
      <c r="AD484">
        <v>2</v>
      </c>
      <c r="AE484">
        <v>2</v>
      </c>
      <c r="AH484" t="s">
        <v>1090</v>
      </c>
      <c r="AI484" t="str">
        <f t="shared" si="22"/>
        <v>MAC004*</v>
      </c>
    </row>
    <row r="485" spans="1:35" ht="27" customHeight="1" x14ac:dyDescent="0.3">
      <c r="A485"/>
      <c r="B485" s="16">
        <v>342</v>
      </c>
      <c r="C485" s="16" t="s">
        <v>1832</v>
      </c>
      <c r="D485" s="16" t="s">
        <v>1586</v>
      </c>
      <c r="E485" s="16" t="s">
        <v>2145</v>
      </c>
      <c r="F485" s="200" t="s">
        <v>1701</v>
      </c>
      <c r="G485" s="189" t="str">
        <f>IFERROR(VLOOKUP(C485,#REF!,4,FALSE),"")</f>
        <v/>
      </c>
      <c r="H485" s="250">
        <f>VLOOKUP(C485,Dados!B:AW,11,0)</f>
        <v>0</v>
      </c>
      <c r="I485" s="16">
        <f>(VLOOKUP(C485,Dados!B:AW,48,0))</f>
        <v>0</v>
      </c>
      <c r="J485" s="189" t="s">
        <v>735</v>
      </c>
      <c r="K485" s="177">
        <f>IFERROR((VLOOKUP(C485,Dados!B:AW,44,0)),0)</f>
        <v>0</v>
      </c>
      <c r="L485" s="177">
        <f>IFERROR((VLOOKUP(C485,Dados!B:AW,45,0)),0)</f>
        <v>0</v>
      </c>
      <c r="M485" s="177">
        <f>IFERROR((VLOOKUP(C485,Dados!B:AW,43,0)),0)</f>
        <v>0</v>
      </c>
      <c r="N485" s="179">
        <f>IFERROR((VLOOKUP(C485,Dados!B:AW,47,0)),0)</f>
        <v>0</v>
      </c>
      <c r="O485" s="197">
        <f t="shared" si="21"/>
        <v>2</v>
      </c>
      <c r="P485" s="1">
        <f t="shared" si="23"/>
        <v>0</v>
      </c>
      <c r="Q485" s="221"/>
      <c r="AC485">
        <v>2</v>
      </c>
      <c r="AD485">
        <v>2</v>
      </c>
      <c r="AE485">
        <v>1</v>
      </c>
      <c r="AH485" t="s">
        <v>693</v>
      </c>
      <c r="AI485" t="str">
        <f t="shared" si="22"/>
        <v>ROB061*</v>
      </c>
    </row>
    <row r="486" spans="1:35" ht="27" customHeight="1" x14ac:dyDescent="0.3">
      <c r="A486"/>
      <c r="B486" s="16">
        <v>455</v>
      </c>
      <c r="C486" s="16" t="s">
        <v>40</v>
      </c>
      <c r="D486" s="16" t="s">
        <v>1587</v>
      </c>
      <c r="E486" s="16" t="s">
        <v>40</v>
      </c>
      <c r="F486" s="200" t="s">
        <v>2</v>
      </c>
      <c r="G486" s="189" t="str">
        <f>IFERROR(VLOOKUP(C486,#REF!,4,FALSE),"")</f>
        <v/>
      </c>
      <c r="H486" s="250">
        <f>VLOOKUP(C486,Dados!B:AW,11,0)</f>
        <v>1.46</v>
      </c>
      <c r="I486" s="16" t="str">
        <f>(VLOOKUP(C486,Dados!B:AW,48,0))</f>
        <v>Fase de Degradação</v>
      </c>
      <c r="J486" s="189" t="s">
        <v>734</v>
      </c>
      <c r="K486" s="177">
        <f>IFERROR((VLOOKUP(C486,Dados!B:AW,44,0)),0)</f>
        <v>0</v>
      </c>
      <c r="L486" s="177">
        <f>IFERROR((VLOOKUP(C486,Dados!B:AW,45,0)),0)</f>
        <v>0</v>
      </c>
      <c r="M486" s="177">
        <f>IFERROR((VLOOKUP(C486,Dados!B:AW,43,0)),0)</f>
        <v>0</v>
      </c>
      <c r="N486" s="179">
        <f>IFERROR((VLOOKUP(C486,Dados!B:AW,47,0)),0)</f>
        <v>0</v>
      </c>
      <c r="O486" s="197">
        <f t="shared" si="21"/>
        <v>1</v>
      </c>
      <c r="P486" s="1">
        <f t="shared" si="23"/>
        <v>0</v>
      </c>
      <c r="Q486" s="221"/>
      <c r="AC486">
        <v>2</v>
      </c>
      <c r="AD486">
        <v>2</v>
      </c>
      <c r="AE486">
        <v>1</v>
      </c>
      <c r="AH486" t="s">
        <v>777</v>
      </c>
      <c r="AI486" t="str">
        <f t="shared" si="22"/>
        <v>COQ008*</v>
      </c>
    </row>
    <row r="487" spans="1:35" ht="27" customHeight="1" x14ac:dyDescent="0.3">
      <c r="A487"/>
      <c r="B487" s="16">
        <v>173</v>
      </c>
      <c r="C487" s="16" t="s">
        <v>406</v>
      </c>
      <c r="D487" s="16" t="s">
        <v>1584</v>
      </c>
      <c r="E487" s="16" t="s">
        <v>2071</v>
      </c>
      <c r="F487" s="200" t="s">
        <v>227</v>
      </c>
      <c r="G487" s="189" t="str">
        <f>IFERROR(VLOOKUP(C487,#REF!,4,FALSE),"")</f>
        <v/>
      </c>
      <c r="H487" s="248">
        <f>VLOOKUP(C487,Dados!B:AW,11,0)</f>
        <v>1.88</v>
      </c>
      <c r="I487" s="16" t="str">
        <f>(VLOOKUP(C487,Dados!B:AW,48,0))</f>
        <v>Fase de Degradação</v>
      </c>
      <c r="J487" s="189" t="s">
        <v>735</v>
      </c>
      <c r="K487" s="177">
        <f>IFERROR((VLOOKUP(C487,Dados!B:AW,44,0)),0)</f>
        <v>0</v>
      </c>
      <c r="L487" s="177">
        <f>IFERROR((VLOOKUP(C487,Dados!B:AW,45,0)),0)</f>
        <v>0</v>
      </c>
      <c r="M487" s="177">
        <f>IFERROR((VLOOKUP(C487,Dados!B:AW,43,0)),0)</f>
        <v>0</v>
      </c>
      <c r="N487" s="179">
        <f>IFERROR((VLOOKUP(C487,Dados!B:AW,47,0)),0)</f>
        <v>0</v>
      </c>
      <c r="O487" s="197">
        <f t="shared" si="21"/>
        <v>1</v>
      </c>
      <c r="P487" s="1">
        <f t="shared" si="23"/>
        <v>0</v>
      </c>
      <c r="Q487" s="221"/>
      <c r="AC487">
        <v>2</v>
      </c>
      <c r="AD487">
        <v>2</v>
      </c>
      <c r="AE487">
        <v>2</v>
      </c>
      <c r="AH487" t="s">
        <v>584</v>
      </c>
      <c r="AI487" t="str">
        <f t="shared" si="22"/>
        <v>FOR015*</v>
      </c>
    </row>
    <row r="488" spans="1:35" ht="27" customHeight="1" x14ac:dyDescent="0.3">
      <c r="A488"/>
      <c r="B488" s="16">
        <v>175</v>
      </c>
      <c r="C488" s="16" t="s">
        <v>276</v>
      </c>
      <c r="D488" s="16" t="s">
        <v>1584</v>
      </c>
      <c r="E488" s="16" t="s">
        <v>2071</v>
      </c>
      <c r="F488" s="200" t="s">
        <v>277</v>
      </c>
      <c r="G488" s="189" t="str">
        <f>IFERROR(VLOOKUP(C488,#REF!,4,FALSE),"")</f>
        <v/>
      </c>
      <c r="H488" s="249">
        <f>VLOOKUP(C488,Dados!B:AW,11,0)</f>
        <v>1.51</v>
      </c>
      <c r="I488" s="16" t="str">
        <f>(VLOOKUP(C488,Dados!B:AW,48,0))</f>
        <v>Fase de Degradação</v>
      </c>
      <c r="J488" s="189" t="s">
        <v>735</v>
      </c>
      <c r="K488" s="177">
        <f>IFERROR((VLOOKUP(C488,Dados!B:AW,44,0)),0)</f>
        <v>0</v>
      </c>
      <c r="L488" s="177">
        <f>IFERROR((VLOOKUP(C488,Dados!B:AW,45,0)),0)</f>
        <v>0</v>
      </c>
      <c r="M488" s="177">
        <f>IFERROR((VLOOKUP(C488,Dados!B:AW,43,0)),0)</f>
        <v>0</v>
      </c>
      <c r="N488" s="179">
        <f>IFERROR((VLOOKUP(C488,Dados!B:AW,47,0)),0)</f>
        <v>0</v>
      </c>
      <c r="O488" s="197">
        <f t="shared" si="21"/>
        <v>1</v>
      </c>
      <c r="P488" s="1">
        <f t="shared" si="23"/>
        <v>0</v>
      </c>
      <c r="Q488" s="221"/>
      <c r="AC488">
        <v>2</v>
      </c>
      <c r="AD488">
        <v>2</v>
      </c>
      <c r="AE488">
        <v>2</v>
      </c>
      <c r="AH488" t="s">
        <v>1034</v>
      </c>
      <c r="AI488" t="str">
        <f t="shared" si="22"/>
        <v>FOR110*</v>
      </c>
    </row>
    <row r="489" spans="1:35" ht="27" customHeight="1" x14ac:dyDescent="0.3">
      <c r="A489"/>
      <c r="B489" s="16">
        <v>176</v>
      </c>
      <c r="C489" s="16" t="s">
        <v>418</v>
      </c>
      <c r="D489" s="16" t="s">
        <v>1584</v>
      </c>
      <c r="E489" s="16" t="s">
        <v>2071</v>
      </c>
      <c r="F489" s="200" t="s">
        <v>239</v>
      </c>
      <c r="G489" s="189" t="str">
        <f>IFERROR(VLOOKUP(C489,#REF!,4,FALSE),"")</f>
        <v/>
      </c>
      <c r="H489" s="249">
        <f>VLOOKUP(C489,Dados!B:AW,11,0)</f>
        <v>1.33</v>
      </c>
      <c r="I489" s="16" t="str">
        <f>(VLOOKUP(C489,Dados!B:AW,48,0))</f>
        <v>Fase de Degradação</v>
      </c>
      <c r="J489" s="189" t="s">
        <v>735</v>
      </c>
      <c r="K489" s="177">
        <f>IFERROR((VLOOKUP(C489,Dados!B:AW,44,0)),0)</f>
        <v>0</v>
      </c>
      <c r="L489" s="177">
        <f>IFERROR((VLOOKUP(C489,Dados!B:AW,45,0)),0)</f>
        <v>0</v>
      </c>
      <c r="M489" s="177">
        <f>IFERROR((VLOOKUP(C489,Dados!B:AW,43,0)),0)</f>
        <v>0</v>
      </c>
      <c r="N489" s="179">
        <f>IFERROR((VLOOKUP(C489,Dados!B:AW,47,0)),0)</f>
        <v>0</v>
      </c>
      <c r="O489" s="197">
        <f t="shared" si="21"/>
        <v>1</v>
      </c>
      <c r="P489" s="1">
        <f t="shared" si="23"/>
        <v>0</v>
      </c>
      <c r="Q489" s="221"/>
      <c r="AC489">
        <v>2</v>
      </c>
      <c r="AD489">
        <v>2</v>
      </c>
      <c r="AE489">
        <v>2</v>
      </c>
      <c r="AH489" t="s">
        <v>691</v>
      </c>
      <c r="AI489" t="str">
        <f t="shared" si="22"/>
        <v>JAT019*</v>
      </c>
    </row>
    <row r="490" spans="1:35" ht="27" customHeight="1" x14ac:dyDescent="0.3">
      <c r="A490"/>
      <c r="B490" s="16">
        <v>191</v>
      </c>
      <c r="C490" s="16" t="s">
        <v>318</v>
      </c>
      <c r="D490" s="16" t="s">
        <v>1584</v>
      </c>
      <c r="E490" s="16" t="s">
        <v>2071</v>
      </c>
      <c r="F490" s="200" t="s">
        <v>139</v>
      </c>
      <c r="G490" s="189" t="str">
        <f>IFERROR(VLOOKUP(C490,#REF!,4,FALSE),"")</f>
        <v/>
      </c>
      <c r="H490" s="249">
        <f>VLOOKUP(C490,Dados!B:AW,11,0)</f>
        <v>1.39</v>
      </c>
      <c r="I490" s="16" t="str">
        <f>(VLOOKUP(C490,Dados!B:AW,48,0))</f>
        <v>Fase de Degradação</v>
      </c>
      <c r="J490" s="189" t="s">
        <v>735</v>
      </c>
      <c r="K490" s="177">
        <f>IFERROR((VLOOKUP(C490,Dados!B:AW,44,0)),0)</f>
        <v>0</v>
      </c>
      <c r="L490" s="177">
        <f>IFERROR((VLOOKUP(C490,Dados!B:AW,45,0)),0)</f>
        <v>0</v>
      </c>
      <c r="M490" s="177">
        <f>IFERROR((VLOOKUP(C490,Dados!B:AW,43,0)),0)</f>
        <v>0</v>
      </c>
      <c r="N490" s="179">
        <f>IFERROR((VLOOKUP(C490,Dados!B:AW,47,0)),0)</f>
        <v>0</v>
      </c>
      <c r="O490" s="197">
        <f t="shared" si="21"/>
        <v>1</v>
      </c>
      <c r="P490" s="1">
        <f t="shared" si="23"/>
        <v>0</v>
      </c>
      <c r="Q490" s="221"/>
      <c r="AC490">
        <v>2</v>
      </c>
      <c r="AD490">
        <v>2</v>
      </c>
      <c r="AE490">
        <v>2</v>
      </c>
      <c r="AH490" t="s">
        <v>739</v>
      </c>
      <c r="AI490" t="str">
        <f t="shared" si="22"/>
        <v>BAL003*</v>
      </c>
    </row>
    <row r="491" spans="1:35" ht="27" customHeight="1" x14ac:dyDescent="0.3">
      <c r="A491"/>
      <c r="B491" s="16">
        <v>247</v>
      </c>
      <c r="C491" s="16" t="s">
        <v>1002</v>
      </c>
      <c r="D491" s="16" t="s">
        <v>1584</v>
      </c>
      <c r="E491" s="16" t="s">
        <v>2071</v>
      </c>
      <c r="F491" s="200" t="s">
        <v>1003</v>
      </c>
      <c r="G491" s="189" t="str">
        <f>IFERROR(VLOOKUP(C491,#REF!,4,FALSE),"")</f>
        <v/>
      </c>
      <c r="H491" s="249">
        <f>VLOOKUP(C491,Dados!B:AW,11,0)</f>
        <v>1.82</v>
      </c>
      <c r="I491" s="16" t="str">
        <f>(VLOOKUP(C491,Dados!B:AW,48,0))</f>
        <v>Fase de Degradação</v>
      </c>
      <c r="J491" s="189" t="s">
        <v>735</v>
      </c>
      <c r="K491" s="177">
        <f>IFERROR((VLOOKUP(C491,Dados!B:AW,44,0)),0)</f>
        <v>0</v>
      </c>
      <c r="L491" s="177">
        <f>IFERROR((VLOOKUP(C491,Dados!B:AW,45,0)),0)</f>
        <v>0</v>
      </c>
      <c r="M491" s="177">
        <f>IFERROR((VLOOKUP(C491,Dados!B:AW,43,0)),0)</f>
        <v>0</v>
      </c>
      <c r="N491" s="179">
        <f>IFERROR((VLOOKUP(C491,Dados!B:AW,47,0)),0)</f>
        <v>0</v>
      </c>
      <c r="O491" s="197">
        <f t="shared" si="21"/>
        <v>1</v>
      </c>
      <c r="P491" s="1">
        <f t="shared" si="23"/>
        <v>0</v>
      </c>
      <c r="Q491" s="221"/>
      <c r="AC491">
        <v>2</v>
      </c>
      <c r="AD491">
        <v>2</v>
      </c>
      <c r="AE491">
        <v>2</v>
      </c>
      <c r="AH491" t="s">
        <v>964</v>
      </c>
      <c r="AI491" t="str">
        <f t="shared" si="22"/>
        <v>CEN103*</v>
      </c>
    </row>
    <row r="492" spans="1:35" ht="27" customHeight="1" x14ac:dyDescent="0.3">
      <c r="A492"/>
      <c r="B492" s="16">
        <v>248</v>
      </c>
      <c r="C492" s="16" t="s">
        <v>1004</v>
      </c>
      <c r="D492" s="16" t="s">
        <v>1584</v>
      </c>
      <c r="E492" s="16" t="s">
        <v>2071</v>
      </c>
      <c r="F492" s="200" t="s">
        <v>1005</v>
      </c>
      <c r="G492" s="189" t="str">
        <f>IFERROR(VLOOKUP(C492,#REF!,4,FALSE),"")</f>
        <v/>
      </c>
      <c r="H492" s="249">
        <f>VLOOKUP(C492,Dados!B:AW,11,0)</f>
        <v>1.67</v>
      </c>
      <c r="I492" s="16" t="str">
        <f>(VLOOKUP(C492,Dados!B:AW,48,0))</f>
        <v>Fase de Degradação</v>
      </c>
      <c r="J492" s="189" t="s">
        <v>735</v>
      </c>
      <c r="K492" s="177">
        <f>IFERROR((VLOOKUP(C492,Dados!B:AW,44,0)),0)</f>
        <v>0</v>
      </c>
      <c r="L492" s="177">
        <f>IFERROR((VLOOKUP(C492,Dados!B:AW,45,0)),0)</f>
        <v>0</v>
      </c>
      <c r="M492" s="177">
        <f>IFERROR((VLOOKUP(C492,Dados!B:AW,43,0)),0)</f>
        <v>0</v>
      </c>
      <c r="N492" s="179">
        <f>IFERROR((VLOOKUP(C492,Dados!B:AW,47,0)),0)</f>
        <v>0</v>
      </c>
      <c r="O492" s="197">
        <f t="shared" si="21"/>
        <v>1</v>
      </c>
      <c r="P492" s="1">
        <f t="shared" si="23"/>
        <v>0</v>
      </c>
      <c r="Q492" s="221"/>
      <c r="AC492">
        <v>2</v>
      </c>
      <c r="AD492">
        <v>2</v>
      </c>
      <c r="AE492">
        <v>2</v>
      </c>
      <c r="AH492" t="s">
        <v>1102</v>
      </c>
      <c r="AI492" t="str">
        <f t="shared" si="22"/>
        <v>MAG004*</v>
      </c>
    </row>
    <row r="493" spans="1:35" ht="27" customHeight="1" x14ac:dyDescent="0.3">
      <c r="A493"/>
      <c r="B493" s="16">
        <v>249</v>
      </c>
      <c r="C493" s="16" t="s">
        <v>1006</v>
      </c>
      <c r="D493" s="16" t="s">
        <v>1584</v>
      </c>
      <c r="E493" s="16" t="s">
        <v>2071</v>
      </c>
      <c r="F493" s="200" t="s">
        <v>1007</v>
      </c>
      <c r="G493" s="189" t="str">
        <f>IFERROR(VLOOKUP(C493,#REF!,4,FALSE),"")</f>
        <v/>
      </c>
      <c r="H493" s="249">
        <f>VLOOKUP(C493,Dados!B:AW,11,0)</f>
        <v>1.1000000000000001</v>
      </c>
      <c r="I493" s="16" t="str">
        <f>(VLOOKUP(C493,Dados!B:AW,48,0))</f>
        <v>Fase de Vida Útil</v>
      </c>
      <c r="J493" s="189" t="s">
        <v>735</v>
      </c>
      <c r="K493" s="177">
        <f>IFERROR((VLOOKUP(C493,Dados!B:AW,44,0)),0)</f>
        <v>0</v>
      </c>
      <c r="L493" s="177">
        <f>IFERROR((VLOOKUP(C493,Dados!B:AW,45,0)),0)</f>
        <v>0</v>
      </c>
      <c r="M493" s="177">
        <f>IFERROR((VLOOKUP(C493,Dados!B:AW,43,0)),0)</f>
        <v>0</v>
      </c>
      <c r="N493" s="179">
        <f>IFERROR((VLOOKUP(C493,Dados!B:AW,47,0)),0)</f>
        <v>0</v>
      </c>
      <c r="O493" s="197">
        <f t="shared" si="21"/>
        <v>1</v>
      </c>
      <c r="P493" s="1">
        <f t="shared" si="23"/>
        <v>0</v>
      </c>
      <c r="Q493" s="221"/>
      <c r="AC493">
        <v>2</v>
      </c>
      <c r="AD493">
        <v>2</v>
      </c>
      <c r="AE493">
        <v>2</v>
      </c>
      <c r="AH493" t="s">
        <v>805</v>
      </c>
      <c r="AI493" t="str">
        <f t="shared" si="22"/>
        <v>MOD009*</v>
      </c>
    </row>
    <row r="494" spans="1:35" ht="27" customHeight="1" x14ac:dyDescent="0.3">
      <c r="A494"/>
      <c r="B494" s="16">
        <v>250</v>
      </c>
      <c r="C494" s="16" t="s">
        <v>1008</v>
      </c>
      <c r="D494" s="16" t="s">
        <v>1584</v>
      </c>
      <c r="E494" s="16" t="s">
        <v>2071</v>
      </c>
      <c r="F494" s="200" t="s">
        <v>1009</v>
      </c>
      <c r="G494" s="189" t="str">
        <f>IFERROR(VLOOKUP(C494,#REF!,4,FALSE),"")</f>
        <v/>
      </c>
      <c r="H494" s="249">
        <f>VLOOKUP(C494,Dados!B:AW,11,0)</f>
        <v>1.31</v>
      </c>
      <c r="I494" s="16" t="str">
        <f>(VLOOKUP(C494,Dados!B:AW,48,0))</f>
        <v>Fase de Degradação</v>
      </c>
      <c r="J494" s="189" t="s">
        <v>735</v>
      </c>
      <c r="K494" s="177">
        <f>IFERROR((VLOOKUP(C494,Dados!B:AW,44,0)),0)</f>
        <v>0</v>
      </c>
      <c r="L494" s="177">
        <f>IFERROR((VLOOKUP(C494,Dados!B:AW,45,0)),0)</f>
        <v>0</v>
      </c>
      <c r="M494" s="177">
        <f>IFERROR((VLOOKUP(C494,Dados!B:AW,43,0)),0)</f>
        <v>0</v>
      </c>
      <c r="N494" s="179">
        <f>IFERROR((VLOOKUP(C494,Dados!B:AW,47,0)),0)</f>
        <v>0</v>
      </c>
      <c r="O494" s="197">
        <f t="shared" ref="O494:O557" si="24">IF(AND(J494="Parcial",N494&gt;0,H494&gt;1),-1,IF(AND(J494="Parcial",N494&gt;0,H494&lt;1.1),1,IF(AND(J494="Parcial",N494&lt;0,H494&gt;1.09),-1,IF(J494="Total",-1,IF(H494&gt;1.09,1,2)))))</f>
        <v>1</v>
      </c>
      <c r="P494" s="1">
        <f t="shared" si="23"/>
        <v>0</v>
      </c>
      <c r="Q494" s="221"/>
      <c r="AC494">
        <v>2</v>
      </c>
      <c r="AD494">
        <v>2</v>
      </c>
      <c r="AE494">
        <v>2</v>
      </c>
      <c r="AH494" t="s">
        <v>1194</v>
      </c>
      <c r="AI494" t="str">
        <f t="shared" si="22"/>
        <v>SOL007*</v>
      </c>
    </row>
    <row r="495" spans="1:35" ht="27" customHeight="1" x14ac:dyDescent="0.3">
      <c r="A495"/>
      <c r="B495" s="16">
        <v>253</v>
      </c>
      <c r="C495" s="16" t="s">
        <v>1014</v>
      </c>
      <c r="D495" s="16" t="s">
        <v>1584</v>
      </c>
      <c r="E495" s="16" t="s">
        <v>2071</v>
      </c>
      <c r="F495" s="200" t="s">
        <v>1015</v>
      </c>
      <c r="G495" s="189" t="str">
        <f>IFERROR(VLOOKUP(C495,#REF!,4,FALSE),"")</f>
        <v/>
      </c>
      <c r="H495" s="249">
        <f>VLOOKUP(C495,Dados!B:AW,11,0)</f>
        <v>1.1599999999999999</v>
      </c>
      <c r="I495" s="16" t="str">
        <f>(VLOOKUP(C495,Dados!B:AW,48,0))</f>
        <v>Fase de Degradação</v>
      </c>
      <c r="J495" s="189" t="s">
        <v>735</v>
      </c>
      <c r="K495" s="177">
        <f>IFERROR((VLOOKUP(C495,Dados!B:AW,44,0)),0)</f>
        <v>0</v>
      </c>
      <c r="L495" s="177">
        <f>IFERROR((VLOOKUP(C495,Dados!B:AW,45,0)),0)</f>
        <v>0</v>
      </c>
      <c r="M495" s="177">
        <f>IFERROR((VLOOKUP(C495,Dados!B:AW,43,0)),0)</f>
        <v>0</v>
      </c>
      <c r="N495" s="179">
        <f>IFERROR((VLOOKUP(C495,Dados!B:AW,47,0)),0)</f>
        <v>0</v>
      </c>
      <c r="O495" s="197">
        <f t="shared" si="24"/>
        <v>1</v>
      </c>
      <c r="P495" s="1">
        <f t="shared" si="23"/>
        <v>0</v>
      </c>
      <c r="Q495" s="221"/>
      <c r="AC495">
        <v>2</v>
      </c>
      <c r="AD495">
        <v>2</v>
      </c>
      <c r="AE495">
        <v>2</v>
      </c>
      <c r="AH495" t="s">
        <v>1196</v>
      </c>
      <c r="AI495" t="str">
        <f t="shared" si="22"/>
        <v>SOL011*</v>
      </c>
    </row>
    <row r="496" spans="1:35" ht="27" customHeight="1" x14ac:dyDescent="0.3">
      <c r="A496"/>
      <c r="B496" s="16">
        <v>325</v>
      </c>
      <c r="C496" s="16" t="s">
        <v>695</v>
      </c>
      <c r="D496" s="16" t="s">
        <v>1584</v>
      </c>
      <c r="E496" s="16" t="s">
        <v>2071</v>
      </c>
      <c r="F496" s="200" t="s">
        <v>696</v>
      </c>
      <c r="G496" s="189" t="str">
        <f>IFERROR(VLOOKUP(C496,#REF!,4,FALSE),"")</f>
        <v/>
      </c>
      <c r="H496" s="249">
        <f>VLOOKUP(C496,Dados!B:AW,11,0)</f>
        <v>1.93</v>
      </c>
      <c r="I496" s="16" t="str">
        <f>(VLOOKUP(C496,Dados!B:AW,48,0))</f>
        <v>Fase de Degradação</v>
      </c>
      <c r="J496" s="189" t="s">
        <v>735</v>
      </c>
      <c r="K496" s="177">
        <f>IFERROR((VLOOKUP(C496,Dados!B:AW,44,0)),0)</f>
        <v>0</v>
      </c>
      <c r="L496" s="177">
        <f>IFERROR((VLOOKUP(C496,Dados!B:AW,45,0)),0)</f>
        <v>0</v>
      </c>
      <c r="M496" s="177">
        <f>IFERROR((VLOOKUP(C496,Dados!B:AW,43,0)),0)</f>
        <v>0</v>
      </c>
      <c r="N496" s="179">
        <f>IFERROR((VLOOKUP(C496,Dados!B:AW,47,0)),0)</f>
        <v>0</v>
      </c>
      <c r="O496" s="197">
        <f t="shared" si="24"/>
        <v>1</v>
      </c>
      <c r="P496" s="1">
        <f t="shared" si="23"/>
        <v>0</v>
      </c>
      <c r="Q496" s="221"/>
      <c r="AC496">
        <v>2</v>
      </c>
      <c r="AD496">
        <v>2</v>
      </c>
      <c r="AE496">
        <v>2</v>
      </c>
      <c r="AH496" t="s">
        <v>1603</v>
      </c>
      <c r="AI496" t="str">
        <f t="shared" si="22"/>
        <v>TOR038*</v>
      </c>
    </row>
    <row r="497" spans="1:35" ht="27" customHeight="1" x14ac:dyDescent="0.3">
      <c r="A497"/>
      <c r="B497" s="16">
        <v>346</v>
      </c>
      <c r="C497" s="336" t="s">
        <v>795</v>
      </c>
      <c r="D497" s="336" t="s">
        <v>1584</v>
      </c>
      <c r="E497" s="336" t="s">
        <v>2071</v>
      </c>
      <c r="F497" s="337" t="s">
        <v>796</v>
      </c>
      <c r="G497" s="338" t="str">
        <f>IFERROR(VLOOKUP(C497,#REF!,4,FALSE),"")</f>
        <v/>
      </c>
      <c r="H497" s="343">
        <f>VLOOKUP(C497,Dados!B:AW,11,0)</f>
        <v>0.98</v>
      </c>
      <c r="I497" s="336" t="str">
        <f>(VLOOKUP(C497,Dados!B:AW,48,0))</f>
        <v>Confiabilidade em Crescimento</v>
      </c>
      <c r="J497" s="338" t="s">
        <v>734</v>
      </c>
      <c r="K497" s="340">
        <f>IFERROR((VLOOKUP(C497,Dados!B:AW,44,0)),0)</f>
        <v>0</v>
      </c>
      <c r="L497" s="340">
        <f>IFERROR((VLOOKUP(C497,Dados!B:AW,45,0)),0)</f>
        <v>0</v>
      </c>
      <c r="M497" s="340">
        <f>IFERROR((VLOOKUP(C497,Dados!B:AW,43,0)),0)</f>
        <v>0</v>
      </c>
      <c r="N497" s="341">
        <f>IFERROR((VLOOKUP(C497,Dados!B:AW,47,0)),0)</f>
        <v>0</v>
      </c>
      <c r="O497" s="342">
        <f t="shared" si="24"/>
        <v>2</v>
      </c>
      <c r="P497" s="1">
        <f t="shared" si="23"/>
        <v>0</v>
      </c>
      <c r="Q497" s="221"/>
      <c r="AC497">
        <v>2</v>
      </c>
      <c r="AD497">
        <v>-1</v>
      </c>
      <c r="AE497">
        <v>-1</v>
      </c>
      <c r="AH497" t="s">
        <v>882</v>
      </c>
      <c r="AI497" t="str">
        <f t="shared" si="22"/>
        <v>BAL008*</v>
      </c>
    </row>
    <row r="498" spans="1:35" ht="27" customHeight="1" x14ac:dyDescent="0.3">
      <c r="A498"/>
      <c r="B498" s="16">
        <v>348</v>
      </c>
      <c r="C498" s="16" t="s">
        <v>1036</v>
      </c>
      <c r="D498" s="16" t="s">
        <v>1584</v>
      </c>
      <c r="E498" s="16" t="s">
        <v>2071</v>
      </c>
      <c r="F498" s="200" t="s">
        <v>1037</v>
      </c>
      <c r="G498" s="189" t="str">
        <f>IFERROR(VLOOKUP(C498,#REF!,4,FALSE),"")</f>
        <v/>
      </c>
      <c r="H498" s="249">
        <f>VLOOKUP(C498,Dados!B:AW,11,0)</f>
        <v>1.23</v>
      </c>
      <c r="I498" s="16" t="str">
        <f>(VLOOKUP(C498,Dados!B:AW,48,0))</f>
        <v>Fase de Degradação</v>
      </c>
      <c r="J498" s="189" t="s">
        <v>735</v>
      </c>
      <c r="K498" s="177">
        <f>IFERROR((VLOOKUP(C498,Dados!B:AW,44,0)),0)</f>
        <v>0</v>
      </c>
      <c r="L498" s="177">
        <f>IFERROR((VLOOKUP(C498,Dados!B:AW,45,0)),0)</f>
        <v>0</v>
      </c>
      <c r="M498" s="177">
        <f>IFERROR((VLOOKUP(C498,Dados!B:AW,43,0)),0)</f>
        <v>0</v>
      </c>
      <c r="N498" s="179">
        <f>IFERROR((VLOOKUP(C498,Dados!B:AW,47,0)),0)</f>
        <v>0</v>
      </c>
      <c r="O498" s="197">
        <f t="shared" si="24"/>
        <v>1</v>
      </c>
      <c r="P498" s="1">
        <f t="shared" si="23"/>
        <v>0</v>
      </c>
      <c r="Q498" s="221"/>
      <c r="AC498">
        <v>2</v>
      </c>
      <c r="AD498">
        <v>2</v>
      </c>
      <c r="AE498">
        <v>2</v>
      </c>
      <c r="AH498" t="s">
        <v>1114</v>
      </c>
      <c r="AI498" t="str">
        <f t="shared" si="22"/>
        <v>MOC011*</v>
      </c>
    </row>
    <row r="499" spans="1:35" ht="27" customHeight="1" x14ac:dyDescent="0.3">
      <c r="A499"/>
      <c r="B499" s="16">
        <v>490</v>
      </c>
      <c r="C499" s="16" t="s">
        <v>1132</v>
      </c>
      <c r="D499" s="16" t="s">
        <v>1584</v>
      </c>
      <c r="E499" s="16" t="s">
        <v>2071</v>
      </c>
      <c r="F499" s="200" t="s">
        <v>1133</v>
      </c>
      <c r="G499" s="189" t="str">
        <f>IFERROR(VLOOKUP(C499,#REF!,4,FALSE),"")</f>
        <v/>
      </c>
      <c r="H499" s="249">
        <f>VLOOKUP(C499,Dados!B:AW,11,0)</f>
        <v>1.98</v>
      </c>
      <c r="I499" s="16" t="str">
        <f>(VLOOKUP(C499,Dados!B:AW,48,0))</f>
        <v>Fase de Degradação</v>
      </c>
      <c r="J499" s="189" t="s">
        <v>734</v>
      </c>
      <c r="K499" s="177">
        <f>IFERROR((VLOOKUP(C499,Dados!B:AW,44,0)),0)</f>
        <v>0</v>
      </c>
      <c r="L499" s="177">
        <f>IFERROR((VLOOKUP(C499,Dados!B:AW,45,0)),0)</f>
        <v>0</v>
      </c>
      <c r="M499" s="177">
        <f>IFERROR((VLOOKUP(C499,Dados!B:AW,43,0)),0)</f>
        <v>0</v>
      </c>
      <c r="N499" s="179">
        <f>IFERROR((VLOOKUP(C499,Dados!B:AW,47,0)),0)</f>
        <v>0</v>
      </c>
      <c r="O499" s="197">
        <f t="shared" si="24"/>
        <v>1</v>
      </c>
      <c r="P499" s="1">
        <f t="shared" si="23"/>
        <v>0</v>
      </c>
      <c r="Q499" s="221"/>
      <c r="AC499">
        <v>2</v>
      </c>
      <c r="AD499">
        <v>2</v>
      </c>
      <c r="AE499">
        <v>2</v>
      </c>
      <c r="AH499" t="s">
        <v>709</v>
      </c>
      <c r="AI499" t="str">
        <f t="shared" si="22"/>
        <v>FOR083*</v>
      </c>
    </row>
    <row r="500" spans="1:35" ht="27" customHeight="1" x14ac:dyDescent="0.3">
      <c r="B500" s="16">
        <v>498</v>
      </c>
      <c r="C500" s="16" t="s">
        <v>641</v>
      </c>
      <c r="D500" s="16" t="s">
        <v>1584</v>
      </c>
      <c r="E500" s="16" t="s">
        <v>2071</v>
      </c>
      <c r="F500" s="200" t="s">
        <v>642</v>
      </c>
      <c r="G500" s="189" t="str">
        <f>IFERROR(VLOOKUP(C500,#REF!,4,FALSE),"")</f>
        <v/>
      </c>
      <c r="H500" s="249">
        <f>VLOOKUP(C500,Dados!B:AW,11,0)</f>
        <v>0.9</v>
      </c>
      <c r="I500" s="16" t="str">
        <f>(VLOOKUP(C500,Dados!B:AW,48,0))</f>
        <v>Confiabilidade em Crescimento</v>
      </c>
      <c r="J500" s="189" t="s">
        <v>735</v>
      </c>
      <c r="K500" s="177">
        <f>IFERROR((VLOOKUP(C500,Dados!B:AW,44,0)),0)</f>
        <v>0</v>
      </c>
      <c r="L500" s="177">
        <f>IFERROR((VLOOKUP(C500,Dados!B:AW,45,0)),0)</f>
        <v>0</v>
      </c>
      <c r="M500" s="177">
        <f>IFERROR((VLOOKUP(C500,Dados!B:AW,43,0)),0)</f>
        <v>0</v>
      </c>
      <c r="N500" s="179">
        <f>IFERROR((VLOOKUP(C500,Dados!B:AW,47,0)),0)</f>
        <v>0</v>
      </c>
      <c r="O500" s="197">
        <f t="shared" si="24"/>
        <v>2</v>
      </c>
      <c r="P500" s="1">
        <f t="shared" si="23"/>
        <v>0</v>
      </c>
      <c r="Q500" s="221"/>
      <c r="AC500">
        <v>2</v>
      </c>
      <c r="AD500">
        <v>2</v>
      </c>
      <c r="AE500">
        <v>2</v>
      </c>
      <c r="AH500" t="s">
        <v>771</v>
      </c>
      <c r="AI500" t="str">
        <f t="shared" si="22"/>
        <v>COQ005*</v>
      </c>
    </row>
    <row r="501" spans="1:35" ht="27" customHeight="1" x14ac:dyDescent="0.3">
      <c r="A501"/>
      <c r="B501" s="16">
        <v>525</v>
      </c>
      <c r="C501" s="336" t="s">
        <v>1140</v>
      </c>
      <c r="D501" s="336" t="s">
        <v>1584</v>
      </c>
      <c r="E501" s="336" t="s">
        <v>2071</v>
      </c>
      <c r="F501" s="337" t="s">
        <v>1141</v>
      </c>
      <c r="G501" s="338" t="str">
        <f>IFERROR(VLOOKUP(C501,#REF!,4,FALSE),"")</f>
        <v/>
      </c>
      <c r="H501" s="343">
        <f>VLOOKUP(C501,Dados!B:AW,11,0)</f>
        <v>1.19</v>
      </c>
      <c r="I501" s="336" t="str">
        <f>(VLOOKUP(C501,Dados!B:AW,48,0))</f>
        <v>Fase de Degradação</v>
      </c>
      <c r="J501" s="338" t="s">
        <v>735</v>
      </c>
      <c r="K501" s="340">
        <f>IFERROR((VLOOKUP(C501,Dados!B:AW,44,0)),0)</f>
        <v>0</v>
      </c>
      <c r="L501" s="340">
        <f>IFERROR((VLOOKUP(C501,Dados!B:AW,45,0)),0)</f>
        <v>0</v>
      </c>
      <c r="M501" s="340">
        <f>IFERROR((VLOOKUP(C501,Dados!B:AW,43,0)),0)</f>
        <v>0</v>
      </c>
      <c r="N501" s="341">
        <f>IFERROR((VLOOKUP(C501,Dados!B:AW,47,0)),0)</f>
        <v>0</v>
      </c>
      <c r="O501" s="342">
        <f t="shared" si="24"/>
        <v>1</v>
      </c>
      <c r="P501" s="1">
        <f t="shared" si="23"/>
        <v>0</v>
      </c>
      <c r="Q501" s="221"/>
      <c r="AC501">
        <v>-1</v>
      </c>
      <c r="AD501">
        <v>-1</v>
      </c>
      <c r="AE501">
        <v>-1</v>
      </c>
      <c r="AH501" t="s">
        <v>849</v>
      </c>
      <c r="AI501" t="str">
        <f t="shared" si="22"/>
        <v>ROB077*</v>
      </c>
    </row>
    <row r="502" spans="1:35" ht="27" customHeight="1" x14ac:dyDescent="0.3">
      <c r="A502"/>
      <c r="B502" s="16">
        <v>670</v>
      </c>
      <c r="C502" s="16" t="s">
        <v>1207</v>
      </c>
      <c r="D502" s="16" t="s">
        <v>1584</v>
      </c>
      <c r="E502" s="16" t="s">
        <v>2071</v>
      </c>
      <c r="F502" s="200" t="s">
        <v>1208</v>
      </c>
      <c r="G502" s="189" t="str">
        <f>IFERROR(VLOOKUP(C502,#REF!,4,FALSE),"")</f>
        <v/>
      </c>
      <c r="H502" s="249">
        <f>VLOOKUP(C502,Dados!B:AW,11,0)</f>
        <v>1.34</v>
      </c>
      <c r="I502" s="16" t="str">
        <f>(VLOOKUP(C502,Dados!B:AW,48,0))</f>
        <v>Fase de Degradação</v>
      </c>
      <c r="J502" s="189" t="s">
        <v>735</v>
      </c>
      <c r="K502" s="177">
        <f>IFERROR((VLOOKUP(C502,Dados!B:AW,44,0)),0)</f>
        <v>0</v>
      </c>
      <c r="L502" s="177">
        <f>IFERROR((VLOOKUP(C502,Dados!B:AW,45,0)),0)</f>
        <v>0</v>
      </c>
      <c r="M502" s="177">
        <f>IFERROR((VLOOKUP(C502,Dados!B:AW,43,0)),0)</f>
        <v>0</v>
      </c>
      <c r="N502" s="179">
        <f>IFERROR((VLOOKUP(C502,Dados!B:AW,47,0)),0)</f>
        <v>0</v>
      </c>
      <c r="O502" s="197">
        <f t="shared" si="24"/>
        <v>1</v>
      </c>
      <c r="P502" s="1">
        <f t="shared" si="23"/>
        <v>0</v>
      </c>
      <c r="Q502" s="221"/>
      <c r="AC502">
        <v>2</v>
      </c>
      <c r="AD502">
        <v>2</v>
      </c>
      <c r="AE502">
        <v>2</v>
      </c>
      <c r="AH502" t="s">
        <v>920</v>
      </c>
      <c r="AI502" t="str">
        <f t="shared" si="22"/>
        <v>CAB028*</v>
      </c>
    </row>
    <row r="503" spans="1:35" ht="27" customHeight="1" x14ac:dyDescent="0.3">
      <c r="A503"/>
      <c r="B503" s="16">
        <v>458</v>
      </c>
      <c r="C503" s="16" t="s">
        <v>1853</v>
      </c>
      <c r="D503" s="16" t="s">
        <v>1587</v>
      </c>
      <c r="E503" s="16" t="s">
        <v>1853</v>
      </c>
      <c r="F503" s="200" t="s">
        <v>1722</v>
      </c>
      <c r="G503" s="189" t="str">
        <f>IFERROR(VLOOKUP(C503,#REF!,4,FALSE),"")</f>
        <v/>
      </c>
      <c r="H503" s="248">
        <f>VLOOKUP(C503,Dados!B:AW,11,0)</f>
        <v>1.31</v>
      </c>
      <c r="I503" s="16" t="str">
        <f>(VLOOKUP(C503,Dados!B:AW,48,0))</f>
        <v>Fase de Degradação</v>
      </c>
      <c r="J503" s="189" t="s">
        <v>732</v>
      </c>
      <c r="K503" s="177">
        <f>IFERROR((VLOOKUP(C503,Dados!B:AW,44,0)),0)</f>
        <v>0</v>
      </c>
      <c r="L503" s="177">
        <f>IFERROR((VLOOKUP(C503,Dados!B:AW,45,0)),0)</f>
        <v>0</v>
      </c>
      <c r="M503" s="177">
        <f>IFERROR((VLOOKUP(C503,Dados!B:AW,43,0)),0)</f>
        <v>0</v>
      </c>
      <c r="N503" s="179">
        <f>IFERROR((VLOOKUP(C503,Dados!B:AW,47,0)),0)</f>
        <v>0</v>
      </c>
      <c r="O503" s="197">
        <f t="shared" si="24"/>
        <v>1</v>
      </c>
      <c r="P503" s="1">
        <f t="shared" si="23"/>
        <v>0</v>
      </c>
      <c r="Q503" s="221"/>
      <c r="AC503">
        <v>2</v>
      </c>
      <c r="AD503">
        <v>2</v>
      </c>
      <c r="AE503">
        <v>2</v>
      </c>
      <c r="AH503" t="s">
        <v>1134</v>
      </c>
      <c r="AI503" t="str">
        <f t="shared" si="22"/>
        <v>RBT001*</v>
      </c>
    </row>
    <row r="504" spans="1:35" ht="27" customHeight="1" x14ac:dyDescent="0.3">
      <c r="A504"/>
      <c r="B504" s="16">
        <v>98</v>
      </c>
      <c r="C504" s="16" t="s">
        <v>1813</v>
      </c>
      <c r="D504" s="16" t="s">
        <v>1589</v>
      </c>
      <c r="E504" s="16" t="s">
        <v>2113</v>
      </c>
      <c r="F504" s="200" t="s">
        <v>1682</v>
      </c>
      <c r="G504" s="189" t="str">
        <f>IFERROR(VLOOKUP(C504,#REF!,4,FALSE),"")</f>
        <v/>
      </c>
      <c r="H504" s="248">
        <f>VLOOKUP(C504,Dados!B:AW,11,0)</f>
        <v>0</v>
      </c>
      <c r="I504" s="16">
        <f>(VLOOKUP(C504,Dados!B:AW,48,0))</f>
        <v>0</v>
      </c>
      <c r="J504" s="189" t="s">
        <v>735</v>
      </c>
      <c r="K504" s="177">
        <f>IFERROR((VLOOKUP(C504,Dados!B:AW,44,0)),0)</f>
        <v>0</v>
      </c>
      <c r="L504" s="177">
        <f>IFERROR((VLOOKUP(C504,Dados!B:AW,45,0)),0)</f>
        <v>0</v>
      </c>
      <c r="M504" s="177">
        <f>IFERROR((VLOOKUP(C504,Dados!B:AW,43,0)),0)</f>
        <v>0</v>
      </c>
      <c r="N504" s="179">
        <f>IFERROR((VLOOKUP(C504,Dados!B:AW,47,0)),0)</f>
        <v>0</v>
      </c>
      <c r="O504" s="197">
        <f t="shared" si="24"/>
        <v>2</v>
      </c>
      <c r="P504" s="1">
        <f t="shared" si="23"/>
        <v>0</v>
      </c>
      <c r="Q504" s="221"/>
      <c r="AC504">
        <v>2</v>
      </c>
      <c r="AD504">
        <v>2</v>
      </c>
      <c r="AE504">
        <v>1</v>
      </c>
      <c r="AH504" t="s">
        <v>289</v>
      </c>
      <c r="AI504" t="str">
        <f t="shared" si="22"/>
        <v>ROB063*</v>
      </c>
    </row>
    <row r="505" spans="1:35" ht="27" customHeight="1" x14ac:dyDescent="0.3">
      <c r="A505"/>
      <c r="B505" s="16">
        <v>99</v>
      </c>
      <c r="C505" s="16" t="s">
        <v>1814</v>
      </c>
      <c r="D505" s="16" t="s">
        <v>1589</v>
      </c>
      <c r="E505" s="16" t="s">
        <v>2113</v>
      </c>
      <c r="F505" s="200" t="s">
        <v>1683</v>
      </c>
      <c r="G505" s="189" t="str">
        <f>IFERROR(VLOOKUP(C505,#REF!,4,FALSE),"")</f>
        <v/>
      </c>
      <c r="H505" s="250">
        <f>VLOOKUP(C505,Dados!B:AW,11,0)</f>
        <v>0</v>
      </c>
      <c r="I505" s="16">
        <f>(VLOOKUP(C505,Dados!B:AW,48,0))</f>
        <v>0</v>
      </c>
      <c r="J505" s="189" t="s">
        <v>735</v>
      </c>
      <c r="K505" s="177">
        <f>IFERROR((VLOOKUP(C505,Dados!B:AW,44,0)),0)</f>
        <v>0</v>
      </c>
      <c r="L505" s="177">
        <f>IFERROR((VLOOKUP(C505,Dados!B:AW,45,0)),0)</f>
        <v>0</v>
      </c>
      <c r="M505" s="177">
        <f>IFERROR((VLOOKUP(C505,Dados!B:AW,43,0)),0)</f>
        <v>0</v>
      </c>
      <c r="N505" s="179">
        <f>IFERROR((VLOOKUP(C505,Dados!B:AW,47,0)),0)</f>
        <v>0</v>
      </c>
      <c r="O505" s="197">
        <f t="shared" si="24"/>
        <v>2</v>
      </c>
      <c r="P505" s="1">
        <f t="shared" si="23"/>
        <v>0</v>
      </c>
      <c r="Q505" s="221"/>
      <c r="AC505">
        <v>2</v>
      </c>
      <c r="AD505">
        <v>2</v>
      </c>
      <c r="AE505">
        <v>2</v>
      </c>
      <c r="AH505" t="s">
        <v>962</v>
      </c>
      <c r="AI505" t="str">
        <f t="shared" si="22"/>
        <v>CEN102*</v>
      </c>
    </row>
    <row r="506" spans="1:35" ht="27" customHeight="1" x14ac:dyDescent="0.3">
      <c r="A506"/>
      <c r="B506" s="16">
        <v>100</v>
      </c>
      <c r="C506" s="16" t="s">
        <v>1815</v>
      </c>
      <c r="D506" s="16" t="s">
        <v>1589</v>
      </c>
      <c r="E506" s="16" t="s">
        <v>2113</v>
      </c>
      <c r="F506" s="200" t="s">
        <v>1684</v>
      </c>
      <c r="G506" s="189" t="str">
        <f>IFERROR(VLOOKUP(C506,#REF!,4,FALSE),"")</f>
        <v/>
      </c>
      <c r="H506" s="248">
        <f>VLOOKUP(C506,Dados!B:AW,11,0)</f>
        <v>0</v>
      </c>
      <c r="I506" s="16">
        <f>(VLOOKUP(C506,Dados!B:AW,48,0))</f>
        <v>0</v>
      </c>
      <c r="J506" s="189" t="s">
        <v>735</v>
      </c>
      <c r="K506" s="177">
        <f>IFERROR((VLOOKUP(C506,Dados!B:AW,44,0)),0)</f>
        <v>0</v>
      </c>
      <c r="L506" s="177">
        <f>IFERROR((VLOOKUP(C506,Dados!B:AW,45,0)),0)</f>
        <v>0</v>
      </c>
      <c r="M506" s="177">
        <f>IFERROR((VLOOKUP(C506,Dados!B:AW,43,0)),0)</f>
        <v>0</v>
      </c>
      <c r="N506" s="179">
        <f>IFERROR((VLOOKUP(C506,Dados!B:AW,47,0)),0)</f>
        <v>0</v>
      </c>
      <c r="O506" s="197">
        <f t="shared" si="24"/>
        <v>2</v>
      </c>
      <c r="P506" s="1">
        <f t="shared" si="23"/>
        <v>0</v>
      </c>
      <c r="Q506" s="221"/>
      <c r="AC506">
        <v>2</v>
      </c>
      <c r="AD506">
        <v>2</v>
      </c>
      <c r="AE506">
        <v>2</v>
      </c>
      <c r="AH506" t="s">
        <v>773</v>
      </c>
      <c r="AI506" t="str">
        <f t="shared" si="22"/>
        <v>COQ006*</v>
      </c>
    </row>
    <row r="507" spans="1:35" ht="27" customHeight="1" x14ac:dyDescent="0.3">
      <c r="A507"/>
      <c r="B507" s="16">
        <v>101</v>
      </c>
      <c r="C507" s="16" t="s">
        <v>1816</v>
      </c>
      <c r="D507" s="16" t="s">
        <v>1589</v>
      </c>
      <c r="E507" s="16" t="s">
        <v>2113</v>
      </c>
      <c r="F507" s="200" t="s">
        <v>1685</v>
      </c>
      <c r="G507" s="189" t="str">
        <f>IFERROR(VLOOKUP(C507,#REF!,4,FALSE),"")</f>
        <v/>
      </c>
      <c r="H507" s="250">
        <f>VLOOKUP(C507,Dados!B:AW,11,0)</f>
        <v>0</v>
      </c>
      <c r="I507" s="16">
        <f>(VLOOKUP(C507,Dados!B:AW,48,0))</f>
        <v>0</v>
      </c>
      <c r="J507" s="189" t="s">
        <v>735</v>
      </c>
      <c r="K507" s="177">
        <f>IFERROR((VLOOKUP(C507,Dados!B:AW,44,0)),0)</f>
        <v>0</v>
      </c>
      <c r="L507" s="177">
        <f>IFERROR((VLOOKUP(C507,Dados!B:AW,45,0)),0)</f>
        <v>0</v>
      </c>
      <c r="M507" s="177">
        <f>IFERROR((VLOOKUP(C507,Dados!B:AW,43,0)),0)</f>
        <v>0</v>
      </c>
      <c r="N507" s="179">
        <f>IFERROR((VLOOKUP(C507,Dados!B:AW,47,0)),0)</f>
        <v>0</v>
      </c>
      <c r="O507" s="197">
        <f t="shared" si="24"/>
        <v>2</v>
      </c>
      <c r="P507" s="1">
        <f t="shared" si="23"/>
        <v>0</v>
      </c>
      <c r="Q507" s="221"/>
      <c r="AC507">
        <v>2</v>
      </c>
      <c r="AD507">
        <v>2</v>
      </c>
      <c r="AE507">
        <v>2</v>
      </c>
      <c r="AH507" t="s">
        <v>775</v>
      </c>
      <c r="AI507" t="str">
        <f t="shared" si="22"/>
        <v>COQ007*</v>
      </c>
    </row>
    <row r="508" spans="1:35" ht="27" customHeight="1" x14ac:dyDescent="0.3">
      <c r="A508"/>
      <c r="B508" s="16">
        <v>102</v>
      </c>
      <c r="C508" s="16" t="s">
        <v>1817</v>
      </c>
      <c r="D508" s="16" t="s">
        <v>1589</v>
      </c>
      <c r="E508" s="16" t="s">
        <v>2113</v>
      </c>
      <c r="F508" s="200" t="s">
        <v>1686</v>
      </c>
      <c r="G508" s="189" t="str">
        <f>IFERROR(VLOOKUP(C508,#REF!,4,FALSE),"")</f>
        <v/>
      </c>
      <c r="H508" s="248">
        <f>VLOOKUP(C508,Dados!B:AW,11,0)</f>
        <v>0</v>
      </c>
      <c r="I508" s="16">
        <f>(VLOOKUP(C508,Dados!B:AW,48,0))</f>
        <v>0</v>
      </c>
      <c r="J508" s="189" t="s">
        <v>735</v>
      </c>
      <c r="K508" s="177">
        <f>IFERROR((VLOOKUP(C508,Dados!B:AW,44,0)),0)</f>
        <v>0</v>
      </c>
      <c r="L508" s="177">
        <f>IFERROR((VLOOKUP(C508,Dados!B:AW,45,0)),0)</f>
        <v>0</v>
      </c>
      <c r="M508" s="177">
        <f>IFERROR((VLOOKUP(C508,Dados!B:AW,43,0)),0)</f>
        <v>0</v>
      </c>
      <c r="N508" s="179">
        <f>IFERROR((VLOOKUP(C508,Dados!B:AW,47,0)),0)</f>
        <v>0</v>
      </c>
      <c r="O508" s="197">
        <f t="shared" si="24"/>
        <v>2</v>
      </c>
      <c r="P508" s="1">
        <f t="shared" si="23"/>
        <v>0</v>
      </c>
      <c r="Q508" s="221"/>
      <c r="AC508">
        <v>2</v>
      </c>
      <c r="AD508">
        <v>2</v>
      </c>
      <c r="AE508">
        <v>2</v>
      </c>
      <c r="AH508" t="s">
        <v>1054</v>
      </c>
      <c r="AI508" t="str">
        <f t="shared" si="22"/>
        <v>INJ043*</v>
      </c>
    </row>
    <row r="509" spans="1:35" ht="27" customHeight="1" x14ac:dyDescent="0.3">
      <c r="A509"/>
      <c r="B509" s="16">
        <v>103</v>
      </c>
      <c r="C509" s="16" t="s">
        <v>1818</v>
      </c>
      <c r="D509" s="16" t="s">
        <v>1589</v>
      </c>
      <c r="E509" s="16" t="s">
        <v>2113</v>
      </c>
      <c r="F509" s="200" t="s">
        <v>1687</v>
      </c>
      <c r="G509" s="189" t="str">
        <f>IFERROR(VLOOKUP(C509,#REF!,4,FALSE),"")</f>
        <v/>
      </c>
      <c r="H509" s="248">
        <f>VLOOKUP(C509,Dados!B:AW,11,0)</f>
        <v>0</v>
      </c>
      <c r="I509" s="16">
        <f>(VLOOKUP(C509,Dados!B:AW,48,0))</f>
        <v>0</v>
      </c>
      <c r="J509" s="189" t="s">
        <v>735</v>
      </c>
      <c r="K509" s="177">
        <f>IFERROR((VLOOKUP(C509,Dados!B:AW,44,0)),0)</f>
        <v>0</v>
      </c>
      <c r="L509" s="177">
        <f>IFERROR((VLOOKUP(C509,Dados!B:AW,45,0)),0)</f>
        <v>0</v>
      </c>
      <c r="M509" s="177">
        <f>IFERROR((VLOOKUP(C509,Dados!B:AW,43,0)),0)</f>
        <v>0</v>
      </c>
      <c r="N509" s="179">
        <f>IFERROR((VLOOKUP(C509,Dados!B:AW,47,0)),0)</f>
        <v>0</v>
      </c>
      <c r="O509" s="197">
        <f t="shared" si="24"/>
        <v>2</v>
      </c>
      <c r="P509" s="1">
        <f t="shared" si="23"/>
        <v>0</v>
      </c>
      <c r="Q509" s="221"/>
      <c r="AC509">
        <v>2</v>
      </c>
      <c r="AD509">
        <v>2</v>
      </c>
      <c r="AE509">
        <v>2</v>
      </c>
      <c r="AH509" t="s">
        <v>460</v>
      </c>
      <c r="AI509" t="str">
        <f t="shared" si="22"/>
        <v>ROB023*</v>
      </c>
    </row>
    <row r="510" spans="1:35" ht="27" customHeight="1" x14ac:dyDescent="0.3">
      <c r="A510"/>
      <c r="B510" s="16">
        <v>634</v>
      </c>
      <c r="C510" s="16" t="s">
        <v>1880</v>
      </c>
      <c r="D510" s="16" t="s">
        <v>1589</v>
      </c>
      <c r="E510" s="16" t="s">
        <v>2113</v>
      </c>
      <c r="F510" s="200" t="s">
        <v>1749</v>
      </c>
      <c r="G510" s="189" t="str">
        <f>IFERROR(VLOOKUP(C510,#REF!,4,FALSE),"")</f>
        <v/>
      </c>
      <c r="H510" s="249">
        <f>VLOOKUP(C510,Dados!B:AW,11,0)</f>
        <v>0</v>
      </c>
      <c r="I510" s="16">
        <f>(VLOOKUP(C510,Dados!B:AW,48,0))</f>
        <v>0</v>
      </c>
      <c r="J510" s="189" t="s">
        <v>735</v>
      </c>
      <c r="K510" s="177">
        <f>IFERROR((VLOOKUP(C510,Dados!B:AW,44,0)),0)</f>
        <v>0</v>
      </c>
      <c r="L510" s="177">
        <f>IFERROR((VLOOKUP(C510,Dados!B:AW,45,0)),0)</f>
        <v>0</v>
      </c>
      <c r="M510" s="177">
        <f>IFERROR((VLOOKUP(C510,Dados!B:AW,43,0)),0)</f>
        <v>0</v>
      </c>
      <c r="N510" s="179">
        <f>IFERROR((VLOOKUP(C510,Dados!B:AW,47,0)),0)</f>
        <v>0</v>
      </c>
      <c r="O510" s="197">
        <f t="shared" si="24"/>
        <v>2</v>
      </c>
      <c r="P510" s="1">
        <f t="shared" si="23"/>
        <v>0</v>
      </c>
      <c r="Q510" s="221"/>
      <c r="AC510">
        <v>2</v>
      </c>
      <c r="AD510">
        <v>2</v>
      </c>
      <c r="AE510">
        <v>1</v>
      </c>
      <c r="AH510" t="s">
        <v>1056</v>
      </c>
      <c r="AI510" t="str">
        <f t="shared" si="22"/>
        <v>INJ044*</v>
      </c>
    </row>
    <row r="511" spans="1:35" ht="27" customHeight="1" x14ac:dyDescent="0.3">
      <c r="A511"/>
      <c r="B511" s="16">
        <v>7</v>
      </c>
      <c r="C511" s="16" t="s">
        <v>884</v>
      </c>
      <c r="D511" s="16" t="s">
        <v>1593</v>
      </c>
      <c r="E511" s="16" t="s">
        <v>2128</v>
      </c>
      <c r="F511" s="200" t="s">
        <v>885</v>
      </c>
      <c r="G511" s="189" t="str">
        <f>IFERROR(VLOOKUP(C511,#REF!,4,FALSE),"")</f>
        <v/>
      </c>
      <c r="H511" s="249">
        <f>VLOOKUP(C511,Dados!B:AW,11,0)</f>
        <v>0.93</v>
      </c>
      <c r="I511" s="16" t="str">
        <f>(VLOOKUP(C511,Dados!B:AW,48,0))</f>
        <v>Confiabilidade em Crescimento</v>
      </c>
      <c r="J511" s="189" t="s">
        <v>735</v>
      </c>
      <c r="K511" s="177">
        <f>IFERROR((VLOOKUP(C511,Dados!B:AW,44,0)),0)</f>
        <v>0</v>
      </c>
      <c r="L511" s="177">
        <f>IFERROR((VLOOKUP(C511,Dados!B:AW,45,0)),0)</f>
        <v>0</v>
      </c>
      <c r="M511" s="177">
        <f>IFERROR((VLOOKUP(C511,Dados!B:AW,43,0)),0)</f>
        <v>0</v>
      </c>
      <c r="N511" s="179">
        <f>IFERROR((VLOOKUP(C511,Dados!B:AW,47,0)),0)</f>
        <v>0</v>
      </c>
      <c r="O511" s="197">
        <f t="shared" si="24"/>
        <v>2</v>
      </c>
      <c r="P511" s="1">
        <f t="shared" si="23"/>
        <v>0</v>
      </c>
      <c r="Q511" s="221"/>
      <c r="AC511">
        <v>2</v>
      </c>
      <c r="AD511">
        <v>2</v>
      </c>
      <c r="AE511">
        <v>1</v>
      </c>
      <c r="AH511" t="s">
        <v>303</v>
      </c>
      <c r="AI511" t="str">
        <f t="shared" si="22"/>
        <v>ROB013*</v>
      </c>
    </row>
    <row r="512" spans="1:35" ht="27" customHeight="1" x14ac:dyDescent="0.3">
      <c r="A512"/>
      <c r="B512" s="16">
        <v>160</v>
      </c>
      <c r="C512" s="16" t="s">
        <v>382</v>
      </c>
      <c r="D512" s="16" t="s">
        <v>1593</v>
      </c>
      <c r="E512" s="16" t="s">
        <v>2128</v>
      </c>
      <c r="F512" s="200" t="s">
        <v>203</v>
      </c>
      <c r="G512" s="189" t="str">
        <f>IFERROR(VLOOKUP(C512,#REF!,4,FALSE),"")</f>
        <v/>
      </c>
      <c r="H512" s="248">
        <f>VLOOKUP(C512,Dados!B:AW,11,0)</f>
        <v>0.78</v>
      </c>
      <c r="I512" s="16" t="str">
        <f>(VLOOKUP(C512,Dados!B:AW,48,0))</f>
        <v>Confiabilidade em Crescimento</v>
      </c>
      <c r="J512" s="189" t="s">
        <v>735</v>
      </c>
      <c r="K512" s="177">
        <f>IFERROR((VLOOKUP(C512,Dados!B:AW,44,0)),0)</f>
        <v>0</v>
      </c>
      <c r="L512" s="177">
        <f>IFERROR((VLOOKUP(C512,Dados!B:AW,45,0)),0)</f>
        <v>0</v>
      </c>
      <c r="M512" s="177">
        <f>IFERROR((VLOOKUP(C512,Dados!B:AW,43,0)),0)</f>
        <v>0</v>
      </c>
      <c r="N512" s="179">
        <f>IFERROR((VLOOKUP(C512,Dados!B:AW,47,0)),0)</f>
        <v>0</v>
      </c>
      <c r="O512" s="197">
        <f t="shared" si="24"/>
        <v>2</v>
      </c>
      <c r="P512" s="1">
        <f t="shared" si="23"/>
        <v>0</v>
      </c>
      <c r="Q512" s="221"/>
      <c r="AC512">
        <v>2</v>
      </c>
      <c r="AD512">
        <v>2</v>
      </c>
      <c r="AE512">
        <v>2</v>
      </c>
      <c r="AH512" t="s">
        <v>1605</v>
      </c>
      <c r="AI512" t="str">
        <f t="shared" si="22"/>
        <v>TOR041*</v>
      </c>
    </row>
    <row r="513" spans="1:35" ht="27" customHeight="1" x14ac:dyDescent="0.3">
      <c r="A513"/>
      <c r="B513" s="16">
        <v>165</v>
      </c>
      <c r="C513" s="16" t="s">
        <v>387</v>
      </c>
      <c r="D513" s="16" t="s">
        <v>1593</v>
      </c>
      <c r="E513" s="16" t="s">
        <v>2128</v>
      </c>
      <c r="F513" s="200" t="s">
        <v>208</v>
      </c>
      <c r="G513" s="189" t="str">
        <f>IFERROR(VLOOKUP(C513,#REF!,4,FALSE),"")</f>
        <v/>
      </c>
      <c r="H513" s="250">
        <f>VLOOKUP(C513,Dados!B:AW,11,0)</f>
        <v>1.57</v>
      </c>
      <c r="I513" s="16" t="str">
        <f>(VLOOKUP(C513,Dados!B:AW,48,0))</f>
        <v>Fase de Degradação</v>
      </c>
      <c r="J513" s="189" t="s">
        <v>735</v>
      </c>
      <c r="K513" s="177">
        <f>IFERROR((VLOOKUP(C513,Dados!B:AW,44,0)),0)</f>
        <v>0</v>
      </c>
      <c r="L513" s="177">
        <f>IFERROR((VLOOKUP(C513,Dados!B:AW,45,0)),0)</f>
        <v>0</v>
      </c>
      <c r="M513" s="177">
        <f>IFERROR((VLOOKUP(C513,Dados!B:AW,43,0)),0)</f>
        <v>0</v>
      </c>
      <c r="N513" s="179">
        <f>IFERROR((VLOOKUP(C513,Dados!B:AW,47,0)),0)</f>
        <v>0</v>
      </c>
      <c r="O513" s="197">
        <f t="shared" si="24"/>
        <v>1</v>
      </c>
      <c r="P513" s="1">
        <f t="shared" si="23"/>
        <v>0</v>
      </c>
      <c r="Q513" s="221"/>
      <c r="AC513">
        <v>2</v>
      </c>
      <c r="AD513">
        <v>2</v>
      </c>
      <c r="AE513">
        <v>2</v>
      </c>
      <c r="AH513" t="s">
        <v>1144</v>
      </c>
      <c r="AI513" t="str">
        <f t="shared" si="22"/>
        <v>ROB060*</v>
      </c>
    </row>
    <row r="514" spans="1:35" ht="27" customHeight="1" x14ac:dyDescent="0.3">
      <c r="A514"/>
      <c r="B514" s="16">
        <v>662</v>
      </c>
      <c r="C514" s="16" t="s">
        <v>625</v>
      </c>
      <c r="D514" s="16" t="s">
        <v>1593</v>
      </c>
      <c r="E514" s="16" t="s">
        <v>2128</v>
      </c>
      <c r="F514" s="200" t="s">
        <v>626</v>
      </c>
      <c r="G514" s="189" t="str">
        <f>IFERROR(VLOOKUP(C514,#REF!,4,FALSE),"")</f>
        <v/>
      </c>
      <c r="H514" s="249">
        <f>VLOOKUP(C514,Dados!B:AW,11,0)</f>
        <v>1.94</v>
      </c>
      <c r="I514" s="16" t="str">
        <f>(VLOOKUP(C514,Dados!B:AW,48,0))</f>
        <v>Fase de Degradação</v>
      </c>
      <c r="J514" s="189" t="s">
        <v>734</v>
      </c>
      <c r="K514" s="177">
        <f>IFERROR((VLOOKUP(C514,Dados!B:AW,44,0)),0)</f>
        <v>0</v>
      </c>
      <c r="L514" s="177">
        <f>IFERROR((VLOOKUP(C514,Dados!B:AW,45,0)),0)</f>
        <v>0</v>
      </c>
      <c r="M514" s="177">
        <f>IFERROR((VLOOKUP(C514,Dados!B:AW,43,0)),0)</f>
        <v>0</v>
      </c>
      <c r="N514" s="179">
        <f>IFERROR((VLOOKUP(C514,Dados!B:AW,47,0)),0)</f>
        <v>0</v>
      </c>
      <c r="O514" s="197">
        <f t="shared" si="24"/>
        <v>1</v>
      </c>
      <c r="P514" s="1">
        <f t="shared" si="23"/>
        <v>0</v>
      </c>
      <c r="Q514" s="221"/>
      <c r="AC514">
        <v>2</v>
      </c>
      <c r="AD514">
        <v>2</v>
      </c>
      <c r="AE514">
        <v>2</v>
      </c>
      <c r="AH514" t="s">
        <v>687</v>
      </c>
      <c r="AI514" t="str">
        <f t="shared" si="22"/>
        <v>ROB067*</v>
      </c>
    </row>
    <row r="515" spans="1:35" ht="27" customHeight="1" x14ac:dyDescent="0.3">
      <c r="B515" s="16">
        <v>470</v>
      </c>
      <c r="C515" s="336" t="s">
        <v>1120</v>
      </c>
      <c r="D515" s="336" t="s">
        <v>1586</v>
      </c>
      <c r="E515" s="336" t="s">
        <v>1120</v>
      </c>
      <c r="F515" s="337" t="s">
        <v>1121</v>
      </c>
      <c r="G515" s="338" t="str">
        <f>IFERROR(VLOOKUP(C515,#REF!,4,FALSE),"")</f>
        <v/>
      </c>
      <c r="H515" s="344">
        <f>VLOOKUP(C515,Dados!B:AW,11,0)</f>
        <v>1.34</v>
      </c>
      <c r="I515" s="336" t="str">
        <f>(VLOOKUP(C515,Dados!B:AW,48,0))</f>
        <v>Fase de Degradação</v>
      </c>
      <c r="J515" s="338" t="s">
        <v>734</v>
      </c>
      <c r="K515" s="340">
        <f>IFERROR((VLOOKUP(C515,Dados!B:AW,44,0)),0)</f>
        <v>0</v>
      </c>
      <c r="L515" s="340">
        <f>IFERROR((VLOOKUP(C515,Dados!B:AW,45,0)),0)</f>
        <v>0</v>
      </c>
      <c r="M515" s="340">
        <f>IFERROR((VLOOKUP(C515,Dados!B:AW,43,0)),0)</f>
        <v>0</v>
      </c>
      <c r="N515" s="341">
        <f>IFERROR((VLOOKUP(C515,Dados!B:AW,47,0)),0)</f>
        <v>0</v>
      </c>
      <c r="O515" s="342">
        <f t="shared" si="24"/>
        <v>1</v>
      </c>
      <c r="P515" s="1">
        <f t="shared" si="23"/>
        <v>0</v>
      </c>
      <c r="Q515" s="221"/>
      <c r="AC515">
        <v>2</v>
      </c>
      <c r="AD515">
        <v>2</v>
      </c>
      <c r="AE515">
        <v>2</v>
      </c>
      <c r="AH515" t="s">
        <v>1148</v>
      </c>
      <c r="AI515" t="str">
        <f t="shared" si="22"/>
        <v>ROB078*</v>
      </c>
    </row>
    <row r="516" spans="1:35" ht="27" customHeight="1" x14ac:dyDescent="0.3">
      <c r="A516"/>
      <c r="B516" s="16">
        <v>471</v>
      </c>
      <c r="C516" s="16" t="s">
        <v>805</v>
      </c>
      <c r="D516" s="16" t="s">
        <v>1586</v>
      </c>
      <c r="E516" s="16" t="s">
        <v>805</v>
      </c>
      <c r="F516" s="200" t="s">
        <v>806</v>
      </c>
      <c r="G516" s="189" t="str">
        <f>IFERROR(VLOOKUP(C516,#REF!,4,FALSE),"")</f>
        <v/>
      </c>
      <c r="H516" s="250">
        <f>VLOOKUP(C516,Dados!B:AW,11,0)</f>
        <v>0.76</v>
      </c>
      <c r="I516" s="16" t="str">
        <f>(VLOOKUP(C516,Dados!B:AW,48,0))</f>
        <v>Confiabilidade em Crescimento</v>
      </c>
      <c r="J516" s="189" t="s">
        <v>734</v>
      </c>
      <c r="K516" s="177">
        <f>IFERROR((VLOOKUP(C516,Dados!B:AW,44,0)),0)</f>
        <v>0</v>
      </c>
      <c r="L516" s="177">
        <f>IFERROR((VLOOKUP(C516,Dados!B:AW,45,0)),0)</f>
        <v>0</v>
      </c>
      <c r="M516" s="177">
        <f>IFERROR((VLOOKUP(C516,Dados!B:AW,43,0)),0)</f>
        <v>0</v>
      </c>
      <c r="N516" s="179">
        <f>IFERROR((VLOOKUP(C516,Dados!B:AW,47,0)),0)</f>
        <v>0</v>
      </c>
      <c r="O516" s="197">
        <f t="shared" si="24"/>
        <v>2</v>
      </c>
      <c r="P516" s="1">
        <f t="shared" si="23"/>
        <v>0</v>
      </c>
      <c r="Q516" s="221"/>
      <c r="AC516">
        <v>-1</v>
      </c>
      <c r="AD516">
        <v>-1</v>
      </c>
      <c r="AE516">
        <v>-1</v>
      </c>
      <c r="AH516" t="s">
        <v>1150</v>
      </c>
      <c r="AI516" t="str">
        <f t="shared" si="22"/>
        <v>ROB079*</v>
      </c>
    </row>
    <row r="517" spans="1:35" ht="27" customHeight="1" x14ac:dyDescent="0.3">
      <c r="A517"/>
      <c r="B517" s="16">
        <v>475</v>
      </c>
      <c r="C517" s="16" t="s">
        <v>811</v>
      </c>
      <c r="D517" s="16" t="s">
        <v>1586</v>
      </c>
      <c r="E517" s="16" t="s">
        <v>811</v>
      </c>
      <c r="F517" s="200" t="s">
        <v>812</v>
      </c>
      <c r="G517" s="189" t="str">
        <f>IFERROR(VLOOKUP(C517,#REF!,4,FALSE),"")</f>
        <v/>
      </c>
      <c r="H517" s="249">
        <f>VLOOKUP(C517,Dados!B:AW,11,0)</f>
        <v>1.08</v>
      </c>
      <c r="I517" s="16" t="str">
        <f>(VLOOKUP(C517,Dados!B:AW,48,0))</f>
        <v>Fase de Vida Útil</v>
      </c>
      <c r="J517" s="189" t="s">
        <v>735</v>
      </c>
      <c r="K517" s="177">
        <f>IFERROR((VLOOKUP(C517,Dados!B:AW,44,0)),0)</f>
        <v>0</v>
      </c>
      <c r="L517" s="177">
        <f>IFERROR((VLOOKUP(C517,Dados!B:AW,45,0)),0)</f>
        <v>0</v>
      </c>
      <c r="M517" s="177">
        <f>IFERROR((VLOOKUP(C517,Dados!B:AW,43,0)),0)</f>
        <v>0</v>
      </c>
      <c r="N517" s="179">
        <f>IFERROR((VLOOKUP(C517,Dados!B:AW,47,0)),0)</f>
        <v>0</v>
      </c>
      <c r="O517" s="197">
        <f t="shared" si="24"/>
        <v>2</v>
      </c>
      <c r="P517" s="1">
        <f t="shared" si="23"/>
        <v>0</v>
      </c>
      <c r="Q517" s="221"/>
      <c r="AC517">
        <v>-1</v>
      </c>
      <c r="AD517">
        <v>-1</v>
      </c>
      <c r="AE517">
        <v>-1</v>
      </c>
      <c r="AH517" t="s">
        <v>853</v>
      </c>
      <c r="AI517" t="str">
        <f t="shared" ref="AI517:AI539" si="25">CONCATENATE(AH517,"*")</f>
        <v>SOP002*</v>
      </c>
    </row>
    <row r="518" spans="1:35" ht="27" customHeight="1" x14ac:dyDescent="0.3">
      <c r="A518" s="219"/>
      <c r="B518" s="16">
        <v>476</v>
      </c>
      <c r="C518" s="16" t="s">
        <v>813</v>
      </c>
      <c r="D518" s="16" t="s">
        <v>1587</v>
      </c>
      <c r="E518" s="16" t="s">
        <v>813</v>
      </c>
      <c r="F518" s="200" t="s">
        <v>814</v>
      </c>
      <c r="G518" s="189" t="str">
        <f>IFERROR(VLOOKUP(C518,#REF!,4,FALSE),"")</f>
        <v/>
      </c>
      <c r="H518" s="249">
        <f>VLOOKUP(C518,Dados!B:AW,11,0)</f>
        <v>1.19</v>
      </c>
      <c r="I518" s="16" t="str">
        <f>(VLOOKUP(C518,Dados!B:AW,48,0))</f>
        <v>Fase de Degradação</v>
      </c>
      <c r="J518" s="189" t="s">
        <v>735</v>
      </c>
      <c r="K518" s="177">
        <f>IFERROR((VLOOKUP(C518,Dados!B:AW,44,0)),0)</f>
        <v>0</v>
      </c>
      <c r="L518" s="177">
        <f>IFERROR((VLOOKUP(C518,Dados!B:AW,45,0)),0)</f>
        <v>0</v>
      </c>
      <c r="M518" s="177">
        <f>IFERROR((VLOOKUP(C518,Dados!B:AW,43,0)),0)</f>
        <v>0</v>
      </c>
      <c r="N518" s="179">
        <f>IFERROR((VLOOKUP(C518,Dados!B:AW,47,0)),0)</f>
        <v>0</v>
      </c>
      <c r="O518" s="197">
        <f t="shared" si="24"/>
        <v>1</v>
      </c>
      <c r="P518" s="1">
        <f t="shared" ref="P518:P581" si="26">IF(G518="",0,IF(H518&gt;G518,-1,1))</f>
        <v>0</v>
      </c>
      <c r="Q518" s="221"/>
      <c r="AC518">
        <v>2</v>
      </c>
      <c r="AD518">
        <v>2</v>
      </c>
      <c r="AE518">
        <v>2</v>
      </c>
      <c r="AH518" t="s">
        <v>791</v>
      </c>
      <c r="AI518" t="str">
        <f t="shared" si="25"/>
        <v>FOR098*</v>
      </c>
    </row>
    <row r="519" spans="1:35" ht="27" customHeight="1" x14ac:dyDescent="0.3">
      <c r="A519"/>
      <c r="B519" s="16">
        <v>606</v>
      </c>
      <c r="C519" s="16" t="s">
        <v>1164</v>
      </c>
      <c r="D519" s="16" t="s">
        <v>1587</v>
      </c>
      <c r="E519" s="16" t="s">
        <v>813</v>
      </c>
      <c r="F519" s="200" t="s">
        <v>1165</v>
      </c>
      <c r="G519" s="189" t="str">
        <f>IFERROR(VLOOKUP(C519,#REF!,4,FALSE),"")</f>
        <v/>
      </c>
      <c r="H519" s="249">
        <f>VLOOKUP(C519,Dados!B:AW,11,0)</f>
        <v>3.03</v>
      </c>
      <c r="I519" s="16" t="str">
        <f>(VLOOKUP(C519,Dados!B:AW,48,0))</f>
        <v>Fase de Degradação</v>
      </c>
      <c r="J519" s="189" t="s">
        <v>735</v>
      </c>
      <c r="K519" s="177">
        <f>IFERROR((VLOOKUP(C519,Dados!B:AW,44,0)),0)</f>
        <v>0</v>
      </c>
      <c r="L519" s="177">
        <f>IFERROR((VLOOKUP(C519,Dados!B:AW,45,0)),0)</f>
        <v>0</v>
      </c>
      <c r="M519" s="177">
        <f>IFERROR((VLOOKUP(C519,Dados!B:AW,43,0)),0)</f>
        <v>0</v>
      </c>
      <c r="N519" s="179">
        <f>IFERROR((VLOOKUP(C519,Dados!B:AW,47,0)),0)</f>
        <v>0</v>
      </c>
      <c r="O519" s="197">
        <f t="shared" si="24"/>
        <v>1</v>
      </c>
      <c r="P519" s="1">
        <f t="shared" si="26"/>
        <v>0</v>
      </c>
      <c r="Q519" s="221"/>
      <c r="AC519">
        <v>-1</v>
      </c>
      <c r="AD519">
        <v>-1</v>
      </c>
      <c r="AE519">
        <v>-1</v>
      </c>
      <c r="AH519" t="s">
        <v>1146</v>
      </c>
      <c r="AI519" t="str">
        <f t="shared" si="25"/>
        <v>ROB071*</v>
      </c>
    </row>
    <row r="520" spans="1:35" ht="27" customHeight="1" x14ac:dyDescent="0.3">
      <c r="A520"/>
      <c r="B520" s="16">
        <v>477</v>
      </c>
      <c r="C520" s="16" t="s">
        <v>119</v>
      </c>
      <c r="D520" s="16" t="s">
        <v>1586</v>
      </c>
      <c r="E520" s="16" t="s">
        <v>119</v>
      </c>
      <c r="F520" s="200" t="s">
        <v>120</v>
      </c>
      <c r="G520" s="189" t="str">
        <f>IFERROR(VLOOKUP(C520,#REF!,4,FALSE),"")</f>
        <v/>
      </c>
      <c r="H520" s="249">
        <f>VLOOKUP(C520,Dados!B:AW,11,0)</f>
        <v>1.21</v>
      </c>
      <c r="I520" s="16" t="str">
        <f>(VLOOKUP(C520,Dados!B:AW,48,0))</f>
        <v>Fase de Degradação</v>
      </c>
      <c r="J520" s="189" t="s">
        <v>732</v>
      </c>
      <c r="K520" s="177">
        <f>IFERROR((VLOOKUP(C520,Dados!B:AW,44,0)),0)</f>
        <v>0</v>
      </c>
      <c r="L520" s="177">
        <f>IFERROR((VLOOKUP(C520,Dados!B:AW,45,0)),0)</f>
        <v>0</v>
      </c>
      <c r="M520" s="177">
        <f>IFERROR((VLOOKUP(C520,Dados!B:AW,43,0)),0)</f>
        <v>0</v>
      </c>
      <c r="N520" s="179">
        <f>IFERROR((VLOOKUP(C520,Dados!B:AW,47,0)),0)</f>
        <v>0</v>
      </c>
      <c r="O520" s="197">
        <f t="shared" si="24"/>
        <v>1</v>
      </c>
      <c r="P520" s="1">
        <f t="shared" si="26"/>
        <v>0</v>
      </c>
      <c r="Q520" s="221"/>
      <c r="AC520">
        <v>-1</v>
      </c>
      <c r="AD520">
        <v>-1</v>
      </c>
      <c r="AE520">
        <v>-1</v>
      </c>
      <c r="AH520" t="s">
        <v>1192</v>
      </c>
      <c r="AI520" t="str">
        <f t="shared" si="25"/>
        <v>SOL001*</v>
      </c>
    </row>
    <row r="521" spans="1:35" ht="27" customHeight="1" x14ac:dyDescent="0.3">
      <c r="A521" s="219"/>
      <c r="B521" s="16">
        <v>478</v>
      </c>
      <c r="C521" s="16" t="s">
        <v>815</v>
      </c>
      <c r="D521" s="16" t="s">
        <v>1587</v>
      </c>
      <c r="E521" s="16" t="s">
        <v>815</v>
      </c>
      <c r="F521" s="200" t="s">
        <v>816</v>
      </c>
      <c r="G521" s="189" t="str">
        <f>IFERROR(VLOOKUP(C521,#REF!,4,FALSE),"")</f>
        <v/>
      </c>
      <c r="H521" s="249">
        <f>VLOOKUP(C521,Dados!B:AW,11,0)</f>
        <v>1.21</v>
      </c>
      <c r="I521" s="16" t="str">
        <f>(VLOOKUP(C521,Dados!B:AW,48,0))</f>
        <v>Fase de Degradação</v>
      </c>
      <c r="J521" s="189" t="s">
        <v>735</v>
      </c>
      <c r="K521" s="177">
        <f>IFERROR((VLOOKUP(C521,Dados!B:AW,44,0)),0)</f>
        <v>0</v>
      </c>
      <c r="L521" s="177">
        <f>IFERROR((VLOOKUP(C521,Dados!B:AW,45,0)),0)</f>
        <v>0</v>
      </c>
      <c r="M521" s="177">
        <f>IFERROR((VLOOKUP(C521,Dados!B:AW,43,0)),0)</f>
        <v>0</v>
      </c>
      <c r="N521" s="179">
        <f>IFERROR((VLOOKUP(C521,Dados!B:AW,47,0)),0)</f>
        <v>0</v>
      </c>
      <c r="O521" s="197">
        <f t="shared" si="24"/>
        <v>1</v>
      </c>
      <c r="P521" s="1">
        <f t="shared" si="26"/>
        <v>0</v>
      </c>
      <c r="Q521" s="221"/>
      <c r="AC521">
        <v>-1</v>
      </c>
      <c r="AD521">
        <v>-1</v>
      </c>
      <c r="AE521">
        <v>-1</v>
      </c>
      <c r="AH521" t="s">
        <v>1064</v>
      </c>
      <c r="AI521" t="str">
        <f t="shared" si="25"/>
        <v>JAT016*</v>
      </c>
    </row>
    <row r="522" spans="1:35" ht="27" customHeight="1" x14ac:dyDescent="0.3">
      <c r="A522" s="219"/>
      <c r="B522" s="16">
        <v>607</v>
      </c>
      <c r="C522" s="16" t="s">
        <v>1166</v>
      </c>
      <c r="D522" s="16" t="s">
        <v>1587</v>
      </c>
      <c r="E522" s="16" t="s">
        <v>815</v>
      </c>
      <c r="F522" s="200" t="s">
        <v>1167</v>
      </c>
      <c r="G522" s="189" t="str">
        <f>IFERROR(VLOOKUP(C522,#REF!,4,FALSE),"")</f>
        <v/>
      </c>
      <c r="H522" s="249">
        <f>VLOOKUP(C522,Dados!B:AW,11,0)</f>
        <v>5</v>
      </c>
      <c r="I522" s="16" t="str">
        <f>(VLOOKUP(C522,Dados!B:AW,48,0))</f>
        <v>Fase de Degradação</v>
      </c>
      <c r="J522" s="189" t="s">
        <v>735</v>
      </c>
      <c r="K522" s="177">
        <f>IFERROR((VLOOKUP(C522,Dados!B:AW,44,0)),0)</f>
        <v>0</v>
      </c>
      <c r="L522" s="177">
        <f>IFERROR((VLOOKUP(C522,Dados!B:AW,45,0)),0)</f>
        <v>0</v>
      </c>
      <c r="M522" s="177">
        <f>IFERROR((VLOOKUP(C522,Dados!B:AW,43,0)),0)</f>
        <v>0</v>
      </c>
      <c r="N522" s="179">
        <f>IFERROR((VLOOKUP(C522,Dados!B:AW,47,0)),0)</f>
        <v>0</v>
      </c>
      <c r="O522" s="197">
        <f t="shared" si="24"/>
        <v>1</v>
      </c>
      <c r="P522" s="1">
        <f t="shared" si="26"/>
        <v>0</v>
      </c>
      <c r="Q522" s="221"/>
      <c r="AC522">
        <v>-1</v>
      </c>
      <c r="AD522">
        <v>-1</v>
      </c>
      <c r="AE522">
        <v>-1</v>
      </c>
      <c r="AH522" t="s">
        <v>661</v>
      </c>
      <c r="AI522" t="str">
        <f t="shared" si="25"/>
        <v>ROB068*</v>
      </c>
    </row>
    <row r="523" spans="1:35" ht="27" customHeight="1" x14ac:dyDescent="0.3">
      <c r="A523"/>
      <c r="B523" s="16">
        <v>479</v>
      </c>
      <c r="C523" s="16" t="s">
        <v>129</v>
      </c>
      <c r="D523" s="16" t="s">
        <v>1586</v>
      </c>
      <c r="E523" s="16" t="s">
        <v>129</v>
      </c>
      <c r="F523" s="200" t="s">
        <v>130</v>
      </c>
      <c r="G523" s="189" t="str">
        <f>IFERROR(VLOOKUP(C523,#REF!,4,FALSE),"")</f>
        <v/>
      </c>
      <c r="H523" s="249">
        <f>VLOOKUP(C523,Dados!B:AW,11,0)</f>
        <v>1.82</v>
      </c>
      <c r="I523" s="16" t="str">
        <f>(VLOOKUP(C523,Dados!B:AW,48,0))</f>
        <v>Fase de Degradação</v>
      </c>
      <c r="J523" s="189" t="s">
        <v>732</v>
      </c>
      <c r="K523" s="177">
        <f>IFERROR((VLOOKUP(C523,Dados!B:AW,44,0)),0)</f>
        <v>0</v>
      </c>
      <c r="L523" s="177">
        <f>IFERROR((VLOOKUP(C523,Dados!B:AW,45,0)),0)</f>
        <v>0</v>
      </c>
      <c r="M523" s="177">
        <f>IFERROR((VLOOKUP(C523,Dados!B:AW,43,0)),0)</f>
        <v>0</v>
      </c>
      <c r="N523" s="179">
        <f>IFERROR((VLOOKUP(C523,Dados!B:AW,47,0)),0)</f>
        <v>0</v>
      </c>
      <c r="O523" s="197">
        <f t="shared" si="24"/>
        <v>1</v>
      </c>
      <c r="P523" s="1">
        <f t="shared" si="26"/>
        <v>0</v>
      </c>
      <c r="Q523" s="221"/>
      <c r="AC523">
        <v>-1</v>
      </c>
      <c r="AD523">
        <v>-1</v>
      </c>
      <c r="AE523">
        <v>-1</v>
      </c>
      <c r="AH523" t="s">
        <v>769</v>
      </c>
      <c r="AI523" t="str">
        <f t="shared" si="25"/>
        <v>COQ004*</v>
      </c>
    </row>
    <row r="524" spans="1:35" ht="27" customHeight="1" x14ac:dyDescent="0.3">
      <c r="A524" s="219"/>
      <c r="B524" s="16">
        <v>482</v>
      </c>
      <c r="C524" s="16" t="s">
        <v>1858</v>
      </c>
      <c r="D524" s="16" t="s">
        <v>1587</v>
      </c>
      <c r="E524" s="16" t="s">
        <v>1858</v>
      </c>
      <c r="F524" s="200" t="s">
        <v>1727</v>
      </c>
      <c r="G524" s="189" t="str">
        <f>IFERROR(VLOOKUP(C524,#REF!,4,FALSE),"")</f>
        <v/>
      </c>
      <c r="H524" s="249">
        <f>VLOOKUP(C524,Dados!B:AW,11,0)</f>
        <v>1.24</v>
      </c>
      <c r="I524" s="16" t="str">
        <f>(VLOOKUP(C524,Dados!B:AW,48,0))</f>
        <v>Fase de Degradação</v>
      </c>
      <c r="J524" s="189" t="s">
        <v>735</v>
      </c>
      <c r="K524" s="177">
        <f>IFERROR((VLOOKUP(C524,Dados!B:AW,44,0)),0)</f>
        <v>0</v>
      </c>
      <c r="L524" s="177">
        <f>IFERROR((VLOOKUP(C524,Dados!B:AW,45,0)),0)</f>
        <v>0</v>
      </c>
      <c r="M524" s="177">
        <f>IFERROR((VLOOKUP(C524,Dados!B:AW,43,0)),0)</f>
        <v>0</v>
      </c>
      <c r="N524" s="179">
        <f>IFERROR((VLOOKUP(C524,Dados!B:AW,47,0)),0)</f>
        <v>0</v>
      </c>
      <c r="O524" s="197">
        <f t="shared" si="24"/>
        <v>1</v>
      </c>
      <c r="P524" s="1">
        <f t="shared" si="26"/>
        <v>0</v>
      </c>
      <c r="Q524" s="221"/>
      <c r="AC524">
        <v>-1</v>
      </c>
      <c r="AD524">
        <v>-1</v>
      </c>
      <c r="AE524">
        <v>-1</v>
      </c>
      <c r="AH524" t="s">
        <v>767</v>
      </c>
      <c r="AI524" t="str">
        <f t="shared" si="25"/>
        <v>COQ003*</v>
      </c>
    </row>
    <row r="525" spans="1:35" ht="27" customHeight="1" x14ac:dyDescent="0.3">
      <c r="A525"/>
      <c r="B525" s="16">
        <v>631</v>
      </c>
      <c r="C525" s="16" t="s">
        <v>1877</v>
      </c>
      <c r="D525" s="16" t="s">
        <v>1587</v>
      </c>
      <c r="E525" s="16" t="s">
        <v>1858</v>
      </c>
      <c r="F525" s="200" t="s">
        <v>1746</v>
      </c>
      <c r="G525" s="189" t="str">
        <f>IFERROR(VLOOKUP(C525,#REF!,4,FALSE),"")</f>
        <v/>
      </c>
      <c r="H525" s="249">
        <f>VLOOKUP(C525,Dados!B:AW,11,0)</f>
        <v>0.97</v>
      </c>
      <c r="I525" s="16" t="str">
        <f>(VLOOKUP(C525,Dados!B:AW,48,0))</f>
        <v>Confiabilidade em Crescimento</v>
      </c>
      <c r="J525" s="189" t="s">
        <v>735</v>
      </c>
      <c r="K525" s="177">
        <f>IFERROR((VLOOKUP(C525,Dados!B:AW,44,0)),0)</f>
        <v>0</v>
      </c>
      <c r="L525" s="177">
        <f>IFERROR((VLOOKUP(C525,Dados!B:AW,45,0)),0)</f>
        <v>0</v>
      </c>
      <c r="M525" s="177">
        <f>IFERROR((VLOOKUP(C525,Dados!B:AW,43,0)),0)</f>
        <v>0</v>
      </c>
      <c r="N525" s="179">
        <f>IFERROR((VLOOKUP(C525,Dados!B:AW,47,0)),0)</f>
        <v>0</v>
      </c>
      <c r="O525" s="197">
        <f t="shared" si="24"/>
        <v>2</v>
      </c>
      <c r="P525" s="1">
        <f t="shared" si="26"/>
        <v>0</v>
      </c>
      <c r="Q525" s="221"/>
      <c r="AC525">
        <v>-1</v>
      </c>
      <c r="AD525">
        <v>-1</v>
      </c>
      <c r="AE525">
        <v>-1</v>
      </c>
      <c r="AH525" t="s">
        <v>884</v>
      </c>
      <c r="AI525" t="str">
        <f t="shared" si="25"/>
        <v>BAL009*</v>
      </c>
    </row>
    <row r="526" spans="1:35" ht="27" customHeight="1" x14ac:dyDescent="0.3">
      <c r="A526"/>
      <c r="B526" s="16">
        <v>574</v>
      </c>
      <c r="C526" s="16" t="s">
        <v>699</v>
      </c>
      <c r="D526" s="16" t="s">
        <v>1586</v>
      </c>
      <c r="E526" s="16" t="s">
        <v>2105</v>
      </c>
      <c r="F526" s="200" t="s">
        <v>700</v>
      </c>
      <c r="G526" s="189" t="str">
        <f>IFERROR(VLOOKUP(C526,#REF!,4,FALSE),"")</f>
        <v/>
      </c>
      <c r="H526" s="249">
        <f>VLOOKUP(C526,Dados!B:AW,11,0)</f>
        <v>1.67</v>
      </c>
      <c r="I526" s="16" t="str">
        <f>(VLOOKUP(C526,Dados!B:AW,48,0))</f>
        <v>Fase de Degradação</v>
      </c>
      <c r="J526" s="189" t="s">
        <v>732</v>
      </c>
      <c r="K526" s="177">
        <f>IFERROR((VLOOKUP(C526,Dados!B:AW,44,0)),0)</f>
        <v>0</v>
      </c>
      <c r="L526" s="177">
        <f>IFERROR((VLOOKUP(C526,Dados!B:AW,45,0)),0)</f>
        <v>0</v>
      </c>
      <c r="M526" s="177">
        <f>IFERROR((VLOOKUP(C526,Dados!B:AW,43,0)),0)</f>
        <v>0</v>
      </c>
      <c r="N526" s="179">
        <f>IFERROR((VLOOKUP(C526,Dados!B:AW,47,0)),0)</f>
        <v>0</v>
      </c>
      <c r="O526" s="197">
        <f t="shared" si="24"/>
        <v>1</v>
      </c>
      <c r="P526" s="1">
        <f t="shared" si="26"/>
        <v>0</v>
      </c>
      <c r="Q526" s="221"/>
      <c r="AC526">
        <v>2</v>
      </c>
      <c r="AD526">
        <v>2</v>
      </c>
      <c r="AE526">
        <v>1</v>
      </c>
      <c r="AH526" t="s">
        <v>701</v>
      </c>
      <c r="AI526" t="str">
        <f t="shared" si="25"/>
        <v>FOR099*</v>
      </c>
    </row>
    <row r="527" spans="1:35" ht="27" customHeight="1" x14ac:dyDescent="0.3">
      <c r="A527"/>
      <c r="B527" s="16">
        <v>504</v>
      </c>
      <c r="C527" s="16" t="s">
        <v>1134</v>
      </c>
      <c r="D527" s="16" t="s">
        <v>1592</v>
      </c>
      <c r="E527" s="16" t="s">
        <v>2147</v>
      </c>
      <c r="F527" s="200" t="s">
        <v>1135</v>
      </c>
      <c r="G527" s="189" t="str">
        <f>IFERROR(VLOOKUP(C527,#REF!,4,FALSE),"")</f>
        <v/>
      </c>
      <c r="H527" s="248">
        <f>VLOOKUP(C527,Dados!B:AW,11,0)</f>
        <v>0.75</v>
      </c>
      <c r="I527" s="16" t="str">
        <f>(VLOOKUP(C527,Dados!B:AW,48,0))</f>
        <v>Confiabilidade em Crescimento</v>
      </c>
      <c r="J527" s="388" t="s">
        <v>733</v>
      </c>
      <c r="K527" s="177">
        <f>IFERROR((VLOOKUP(C527,Dados!B:AW,44,0)),0)</f>
        <v>0</v>
      </c>
      <c r="L527" s="177">
        <f>IFERROR((VLOOKUP(C527,Dados!B:AW,45,0)),0)</f>
        <v>0</v>
      </c>
      <c r="M527" s="177">
        <f>IFERROR((VLOOKUP(C527,Dados!B:AW,43,0)),0)</f>
        <v>0</v>
      </c>
      <c r="N527" s="179">
        <f>IFERROR((VLOOKUP(C527,Dados!B:AW,47,0)),0)</f>
        <v>0</v>
      </c>
      <c r="O527" s="197">
        <f t="shared" si="24"/>
        <v>-1</v>
      </c>
      <c r="P527" s="1">
        <f t="shared" si="26"/>
        <v>0</v>
      </c>
      <c r="Q527" s="221"/>
      <c r="AC527">
        <v>-1</v>
      </c>
      <c r="AD527">
        <v>-1</v>
      </c>
      <c r="AE527">
        <v>-1</v>
      </c>
      <c r="AH527" t="s">
        <v>1060</v>
      </c>
      <c r="AI527" t="str">
        <f t="shared" si="25"/>
        <v>INJ070*</v>
      </c>
    </row>
    <row r="528" spans="1:35" ht="27" customHeight="1" x14ac:dyDescent="0.3">
      <c r="A528"/>
      <c r="B528" s="16">
        <v>640</v>
      </c>
      <c r="C528" s="16" t="s">
        <v>1192</v>
      </c>
      <c r="D528" s="16" t="s">
        <v>1592</v>
      </c>
      <c r="E528" s="16" t="s">
        <v>2147</v>
      </c>
      <c r="F528" s="200" t="s">
        <v>1193</v>
      </c>
      <c r="G528" s="189" t="str">
        <f>IFERROR(VLOOKUP(C528,#REF!,4,FALSE),"")</f>
        <v/>
      </c>
      <c r="H528" s="249">
        <f>VLOOKUP(C528,Dados!B:AW,11,0)</f>
        <v>0.63</v>
      </c>
      <c r="I528" s="16" t="str">
        <f>(VLOOKUP(C528,Dados!B:AW,48,0))</f>
        <v>Confiabilidade em Crescimento</v>
      </c>
      <c r="J528" s="189" t="s">
        <v>735</v>
      </c>
      <c r="K528" s="177">
        <f>IFERROR((VLOOKUP(C528,Dados!B:AW,44,0)),0)</f>
        <v>0</v>
      </c>
      <c r="L528" s="177">
        <f>IFERROR((VLOOKUP(C528,Dados!B:AW,45,0)),0)</f>
        <v>0</v>
      </c>
      <c r="M528" s="177">
        <f>IFERROR((VLOOKUP(C528,Dados!B:AW,43,0)),0)</f>
        <v>0</v>
      </c>
      <c r="N528" s="179">
        <f>IFERROR((VLOOKUP(C528,Dados!B:AW,47,0)),0)</f>
        <v>0</v>
      </c>
      <c r="O528" s="197">
        <f t="shared" si="24"/>
        <v>2</v>
      </c>
      <c r="P528" s="1">
        <f t="shared" si="26"/>
        <v>0</v>
      </c>
      <c r="Q528" s="221"/>
      <c r="AC528">
        <v>-1</v>
      </c>
      <c r="AD528">
        <v>-1</v>
      </c>
      <c r="AE528">
        <v>-1</v>
      </c>
      <c r="AH528" t="s">
        <v>1116</v>
      </c>
      <c r="AI528" t="str">
        <f t="shared" si="25"/>
        <v>MOC012*</v>
      </c>
    </row>
    <row r="529" spans="1:35" ht="27" customHeight="1" x14ac:dyDescent="0.3">
      <c r="A529"/>
      <c r="B529" s="16">
        <v>540</v>
      </c>
      <c r="C529" s="336" t="s">
        <v>131</v>
      </c>
      <c r="D529" s="336" t="s">
        <v>1583</v>
      </c>
      <c r="E529" s="336" t="s">
        <v>2110</v>
      </c>
      <c r="F529" s="337" t="s">
        <v>132</v>
      </c>
      <c r="G529" s="338" t="str">
        <f>IFERROR(VLOOKUP(C529,#REF!,4,FALSE),"")</f>
        <v/>
      </c>
      <c r="H529" s="343">
        <f>VLOOKUP(C529,Dados!B:AW,11,0)</f>
        <v>1.46</v>
      </c>
      <c r="I529" s="336" t="str">
        <f>(VLOOKUP(C529,Dados!B:AW,48,0))</f>
        <v>Fase de Degradação</v>
      </c>
      <c r="J529" s="338" t="s">
        <v>733</v>
      </c>
      <c r="K529" s="340">
        <f>IFERROR((VLOOKUP(C529,Dados!B:AW,44,0)),0)</f>
        <v>0</v>
      </c>
      <c r="L529" s="340">
        <f>IFERROR((VLOOKUP(C529,Dados!B:AW,45,0)),0)</f>
        <v>0</v>
      </c>
      <c r="M529" s="340">
        <f>IFERROR((VLOOKUP(C529,Dados!B:AW,43,0)),0)</f>
        <v>0</v>
      </c>
      <c r="N529" s="341">
        <f>IFERROR((VLOOKUP(C529,Dados!B:AW,47,0)),0)</f>
        <v>0</v>
      </c>
      <c r="O529" s="342">
        <f t="shared" si="24"/>
        <v>-1</v>
      </c>
      <c r="P529" s="1">
        <f t="shared" si="26"/>
        <v>0</v>
      </c>
      <c r="Q529" s="221"/>
      <c r="AC529">
        <v>2</v>
      </c>
      <c r="AD529">
        <v>2</v>
      </c>
      <c r="AE529">
        <v>2</v>
      </c>
      <c r="AH529" t="s">
        <v>1118</v>
      </c>
      <c r="AI529" t="str">
        <f t="shared" si="25"/>
        <v>MOC013*</v>
      </c>
    </row>
    <row r="530" spans="1:35" ht="27" customHeight="1" x14ac:dyDescent="0.3">
      <c r="A530"/>
      <c r="B530" s="16">
        <v>550</v>
      </c>
      <c r="C530" s="336" t="s">
        <v>455</v>
      </c>
      <c r="D530" s="336" t="s">
        <v>1583</v>
      </c>
      <c r="E530" s="336" t="s">
        <v>2110</v>
      </c>
      <c r="F530" s="337" t="s">
        <v>483</v>
      </c>
      <c r="G530" s="338" t="str">
        <f>IFERROR(VLOOKUP(C530,#REF!,4,FALSE),"")</f>
        <v/>
      </c>
      <c r="H530" s="343">
        <f>VLOOKUP(C530,Dados!B:AW,11,0)</f>
        <v>1.03</v>
      </c>
      <c r="I530" s="336" t="str">
        <f>(VLOOKUP(C530,Dados!B:AW,48,0))</f>
        <v>Fase de Vida Útil</v>
      </c>
      <c r="J530" s="338" t="s">
        <v>733</v>
      </c>
      <c r="K530" s="340">
        <f>IFERROR((VLOOKUP(C530,Dados!B:AW,44,0)),0)</f>
        <v>0</v>
      </c>
      <c r="L530" s="340">
        <f>IFERROR((VLOOKUP(C530,Dados!B:AW,45,0)),0)</f>
        <v>0</v>
      </c>
      <c r="M530" s="340">
        <f>IFERROR((VLOOKUP(C530,Dados!B:AW,43,0)),0)</f>
        <v>0</v>
      </c>
      <c r="N530" s="341">
        <f>IFERROR((VLOOKUP(C530,Dados!B:AW,47,0)),0)</f>
        <v>0</v>
      </c>
      <c r="O530" s="342">
        <f t="shared" si="24"/>
        <v>-1</v>
      </c>
      <c r="P530" s="1">
        <f t="shared" si="26"/>
        <v>0</v>
      </c>
      <c r="Q530" s="221"/>
      <c r="AC530">
        <v>2</v>
      </c>
      <c r="AD530">
        <v>2</v>
      </c>
      <c r="AE530">
        <v>1</v>
      </c>
      <c r="AH530" t="s">
        <v>1170</v>
      </c>
      <c r="AI530" t="str">
        <f t="shared" si="25"/>
        <v>ROB091*</v>
      </c>
    </row>
    <row r="531" spans="1:35" ht="27" customHeight="1" x14ac:dyDescent="0.3">
      <c r="A531"/>
      <c r="B531" s="16">
        <v>554</v>
      </c>
      <c r="C531" s="336" t="s">
        <v>458</v>
      </c>
      <c r="D531" s="336" t="s">
        <v>1583</v>
      </c>
      <c r="E531" s="336" t="s">
        <v>2110</v>
      </c>
      <c r="F531" s="337" t="s">
        <v>486</v>
      </c>
      <c r="G531" s="338" t="str">
        <f>IFERROR(VLOOKUP(C531,#REF!,4,FALSE),"")</f>
        <v/>
      </c>
      <c r="H531" s="343">
        <f>VLOOKUP(C531,Dados!B:AW,11,0)</f>
        <v>0.92</v>
      </c>
      <c r="I531" s="336" t="str">
        <f>(VLOOKUP(C531,Dados!B:AW,48,0))</f>
        <v>Confiabilidade em Crescimento</v>
      </c>
      <c r="J531" s="338" t="s">
        <v>735</v>
      </c>
      <c r="K531" s="340">
        <f>IFERROR((VLOOKUP(C531,Dados!B:AW,44,0)),0)</f>
        <v>0</v>
      </c>
      <c r="L531" s="340">
        <f>IFERROR((VLOOKUP(C531,Dados!B:AW,45,0)),0)</f>
        <v>0</v>
      </c>
      <c r="M531" s="340">
        <f>IFERROR((VLOOKUP(C531,Dados!B:AW,43,0)),0)</f>
        <v>0</v>
      </c>
      <c r="N531" s="341">
        <f>IFERROR((VLOOKUP(C531,Dados!B:AW,47,0)),0)</f>
        <v>0</v>
      </c>
      <c r="O531" s="342">
        <f t="shared" si="24"/>
        <v>2</v>
      </c>
      <c r="P531" s="1">
        <f t="shared" si="26"/>
        <v>0</v>
      </c>
      <c r="Q531" s="221"/>
      <c r="AC531">
        <v>2</v>
      </c>
      <c r="AD531">
        <v>2</v>
      </c>
      <c r="AE531">
        <v>2</v>
      </c>
      <c r="AH531" t="s">
        <v>1172</v>
      </c>
      <c r="AI531" t="str">
        <f t="shared" si="25"/>
        <v>ROB092*</v>
      </c>
    </row>
    <row r="532" spans="1:35" ht="27" customHeight="1" x14ac:dyDescent="0.3">
      <c r="A532"/>
      <c r="B532" s="16">
        <v>569</v>
      </c>
      <c r="C532" s="336" t="s">
        <v>472</v>
      </c>
      <c r="D532" s="336" t="s">
        <v>1583</v>
      </c>
      <c r="E532" s="336" t="s">
        <v>2110</v>
      </c>
      <c r="F532" s="337" t="s">
        <v>500</v>
      </c>
      <c r="G532" s="338" t="str">
        <f>IFERROR(VLOOKUP(C532,#REF!,4,FALSE),"")</f>
        <v/>
      </c>
      <c r="H532" s="343">
        <f>VLOOKUP(C532,Dados!B:AW,11,0)</f>
        <v>2.2999999999999998</v>
      </c>
      <c r="I532" s="336" t="str">
        <f>(VLOOKUP(C532,Dados!B:AW,48,0))</f>
        <v>Fase de Degradação</v>
      </c>
      <c r="J532" s="338" t="s">
        <v>735</v>
      </c>
      <c r="K532" s="340">
        <f>IFERROR((VLOOKUP(C532,Dados!B:AW,44,0)),0)</f>
        <v>0</v>
      </c>
      <c r="L532" s="340">
        <f>IFERROR((VLOOKUP(C532,Dados!B:AW,45,0)),0)</f>
        <v>0</v>
      </c>
      <c r="M532" s="340">
        <f>IFERROR((VLOOKUP(C532,Dados!B:AW,43,0)),0)</f>
        <v>0</v>
      </c>
      <c r="N532" s="341">
        <f>IFERROR((VLOOKUP(C532,Dados!B:AW,47,0)),0)</f>
        <v>0</v>
      </c>
      <c r="O532" s="342">
        <f t="shared" si="24"/>
        <v>1</v>
      </c>
      <c r="P532" s="1">
        <f t="shared" si="26"/>
        <v>0</v>
      </c>
      <c r="Q532" s="221"/>
      <c r="AC532">
        <v>2</v>
      </c>
      <c r="AD532">
        <v>2</v>
      </c>
      <c r="AE532">
        <v>2</v>
      </c>
      <c r="AH532" t="s">
        <v>1174</v>
      </c>
      <c r="AI532" t="str">
        <f t="shared" si="25"/>
        <v>ROB093*</v>
      </c>
    </row>
    <row r="533" spans="1:35" ht="27" customHeight="1" x14ac:dyDescent="0.3">
      <c r="A533"/>
      <c r="B533" s="16">
        <v>92</v>
      </c>
      <c r="C533" s="16" t="s">
        <v>944</v>
      </c>
      <c r="D533" s="16" t="s">
        <v>1589</v>
      </c>
      <c r="E533" s="16" t="s">
        <v>2132</v>
      </c>
      <c r="F533" s="200" t="s">
        <v>945</v>
      </c>
      <c r="G533" s="189" t="str">
        <f>IFERROR(VLOOKUP(C533,#REF!,4,FALSE),"")</f>
        <v/>
      </c>
      <c r="H533" s="250">
        <f>VLOOKUP(C533,Dados!B:AW,11,0)</f>
        <v>0.77</v>
      </c>
      <c r="I533" s="16" t="str">
        <f>(VLOOKUP(C533,Dados!B:AW,48,0))</f>
        <v>Confiabilidade em Crescimento</v>
      </c>
      <c r="J533" s="189" t="s">
        <v>735</v>
      </c>
      <c r="K533" s="177">
        <f>IFERROR((VLOOKUP(C533,Dados!B:AW,44,0)),0)</f>
        <v>0</v>
      </c>
      <c r="L533" s="177">
        <f>IFERROR((VLOOKUP(C533,Dados!B:AW,45,0)),0)</f>
        <v>0</v>
      </c>
      <c r="M533" s="177">
        <f>IFERROR((VLOOKUP(C533,Dados!B:AW,43,0)),0)</f>
        <v>0</v>
      </c>
      <c r="N533" s="179">
        <f>IFERROR((VLOOKUP(C533,Dados!B:AW,47,0)),0)</f>
        <v>0</v>
      </c>
      <c r="O533" s="197">
        <f t="shared" si="24"/>
        <v>2</v>
      </c>
      <c r="P533" s="1">
        <f t="shared" si="26"/>
        <v>0</v>
      </c>
      <c r="Q533" s="221"/>
      <c r="AC533">
        <v>2</v>
      </c>
      <c r="AD533">
        <v>2</v>
      </c>
      <c r="AE533">
        <v>2</v>
      </c>
      <c r="AH533" t="s">
        <v>1176</v>
      </c>
      <c r="AI533" t="str">
        <f t="shared" si="25"/>
        <v>ROB094*</v>
      </c>
    </row>
    <row r="534" spans="1:35" ht="27" customHeight="1" x14ac:dyDescent="0.3">
      <c r="A534"/>
      <c r="B534" s="16">
        <v>70</v>
      </c>
      <c r="C534" s="16" t="s">
        <v>747</v>
      </c>
      <c r="D534" s="16" t="s">
        <v>1593</v>
      </c>
      <c r="E534" s="16" t="s">
        <v>2123</v>
      </c>
      <c r="F534" s="200" t="s">
        <v>748</v>
      </c>
      <c r="G534" s="189" t="str">
        <f>IFERROR(VLOOKUP(C534,#REF!,4,FALSE),"")</f>
        <v/>
      </c>
      <c r="H534" s="248">
        <f>VLOOKUP(C534,Dados!B:AW,11,0)</f>
        <v>0.96</v>
      </c>
      <c r="I534" s="16" t="str">
        <f>(VLOOKUP(C534,Dados!B:AW,48,0))</f>
        <v>Confiabilidade em Crescimento</v>
      </c>
      <c r="J534" s="189" t="s">
        <v>735</v>
      </c>
      <c r="K534" s="177">
        <f>IFERROR((VLOOKUP(C534,Dados!B:AW,44,0)),0)</f>
        <v>0</v>
      </c>
      <c r="L534" s="177">
        <f>IFERROR((VLOOKUP(C534,Dados!B:AW,45,0)),0)</f>
        <v>0</v>
      </c>
      <c r="M534" s="177">
        <f>IFERROR((VLOOKUP(C534,Dados!B:AW,43,0)),0)</f>
        <v>0</v>
      </c>
      <c r="N534" s="179">
        <f>IFERROR((VLOOKUP(C534,Dados!B:AW,47,0)),0)</f>
        <v>0</v>
      </c>
      <c r="O534" s="197">
        <f t="shared" si="24"/>
        <v>2</v>
      </c>
      <c r="P534" s="1">
        <f t="shared" si="26"/>
        <v>0</v>
      </c>
      <c r="Q534" s="221"/>
      <c r="AC534">
        <v>2</v>
      </c>
      <c r="AD534">
        <v>2</v>
      </c>
      <c r="AE534">
        <v>2</v>
      </c>
      <c r="AH534" t="s">
        <v>1178</v>
      </c>
      <c r="AI534" t="str">
        <f t="shared" si="25"/>
        <v>ROB095*</v>
      </c>
    </row>
    <row r="535" spans="1:35" ht="27" customHeight="1" x14ac:dyDescent="0.3">
      <c r="A535"/>
      <c r="B535" s="16">
        <v>244</v>
      </c>
      <c r="C535" s="336" t="s">
        <v>996</v>
      </c>
      <c r="D535" s="336" t="s">
        <v>1593</v>
      </c>
      <c r="E535" s="336" t="s">
        <v>2123</v>
      </c>
      <c r="F535" s="337" t="s">
        <v>997</v>
      </c>
      <c r="G535" s="338" t="str">
        <f>IFERROR(VLOOKUP(C535,#REF!,4,FALSE),"")</f>
        <v/>
      </c>
      <c r="H535" s="344">
        <f>VLOOKUP(C535,Dados!B:AW,11,0)</f>
        <v>0.86</v>
      </c>
      <c r="I535" s="336" t="str">
        <f>(VLOOKUP(C535,Dados!B:AW,48,0))</f>
        <v>Confiabilidade em Crescimento</v>
      </c>
      <c r="J535" s="338" t="s">
        <v>732</v>
      </c>
      <c r="K535" s="340">
        <f>IFERROR((VLOOKUP(C535,Dados!B:AW,44,0)),0)</f>
        <v>0</v>
      </c>
      <c r="L535" s="340">
        <f>IFERROR((VLOOKUP(C535,Dados!B:AW,45,0)),0)</f>
        <v>0</v>
      </c>
      <c r="M535" s="340">
        <f>IFERROR((VLOOKUP(C535,Dados!B:AW,43,0)),0)</f>
        <v>0</v>
      </c>
      <c r="N535" s="341">
        <f>IFERROR((VLOOKUP(C535,Dados!B:AW,47,0)),0)</f>
        <v>0</v>
      </c>
      <c r="O535" s="342">
        <f t="shared" si="24"/>
        <v>2</v>
      </c>
      <c r="P535" s="1">
        <f t="shared" si="26"/>
        <v>0</v>
      </c>
      <c r="Q535" s="221"/>
      <c r="AC535">
        <v>2</v>
      </c>
      <c r="AD535">
        <v>2</v>
      </c>
      <c r="AE535">
        <v>2</v>
      </c>
      <c r="AH535" t="s">
        <v>1180</v>
      </c>
      <c r="AI535" t="str">
        <f t="shared" si="25"/>
        <v>ROB100*</v>
      </c>
    </row>
    <row r="536" spans="1:35" ht="27" customHeight="1" x14ac:dyDescent="0.3">
      <c r="A536"/>
      <c r="B536" s="16">
        <v>409</v>
      </c>
      <c r="C536" s="16" t="s">
        <v>1066</v>
      </c>
      <c r="D536" s="16" t="s">
        <v>1585</v>
      </c>
      <c r="E536" s="16" t="s">
        <v>2123</v>
      </c>
      <c r="F536" s="200" t="s">
        <v>1067</v>
      </c>
      <c r="G536" s="189" t="str">
        <f>IFERROR(VLOOKUP(C536,#REF!,4,FALSE),"")</f>
        <v/>
      </c>
      <c r="H536" s="248">
        <f>VLOOKUP(C536,Dados!B:AW,11,0)</f>
        <v>1.42</v>
      </c>
      <c r="I536" s="16" t="str">
        <f>(VLOOKUP(C536,Dados!B:AW,48,0))</f>
        <v>Fase de Degradação</v>
      </c>
      <c r="J536" s="189" t="s">
        <v>735</v>
      </c>
      <c r="K536" s="177">
        <f>IFERROR((VLOOKUP(C536,Dados!B:AW,44,0)),0)</f>
        <v>0</v>
      </c>
      <c r="L536" s="177">
        <f>IFERROR((VLOOKUP(C536,Dados!B:AW,45,0)),0)</f>
        <v>0</v>
      </c>
      <c r="M536" s="177">
        <f>IFERROR((VLOOKUP(C536,Dados!B:AW,43,0)),0)</f>
        <v>0</v>
      </c>
      <c r="N536" s="179">
        <f>IFERROR((VLOOKUP(C536,Dados!B:AW,47,0)),0)</f>
        <v>0</v>
      </c>
      <c r="O536" s="197">
        <f t="shared" si="24"/>
        <v>1</v>
      </c>
      <c r="P536" s="1">
        <f t="shared" si="26"/>
        <v>0</v>
      </c>
      <c r="Q536" s="221"/>
      <c r="AC536">
        <v>2</v>
      </c>
      <c r="AD536">
        <v>2</v>
      </c>
      <c r="AE536">
        <v>1</v>
      </c>
      <c r="AH536" t="s">
        <v>1184</v>
      </c>
      <c r="AI536" t="str">
        <f t="shared" si="25"/>
        <v>ROB120*</v>
      </c>
    </row>
    <row r="537" spans="1:35" ht="27" customHeight="1" x14ac:dyDescent="0.3">
      <c r="A537"/>
      <c r="B537" s="16">
        <v>410</v>
      </c>
      <c r="C537" s="16" t="s">
        <v>631</v>
      </c>
      <c r="D537" s="16" t="s">
        <v>1585</v>
      </c>
      <c r="E537" s="16" t="s">
        <v>2123</v>
      </c>
      <c r="F537" s="200" t="s">
        <v>632</v>
      </c>
      <c r="G537" s="189" t="str">
        <f>IFERROR(VLOOKUP(C537,#REF!,4,FALSE),"")</f>
        <v/>
      </c>
      <c r="H537" s="248">
        <f>VLOOKUP(C537,Dados!B:AW,11,0)</f>
        <v>1.19</v>
      </c>
      <c r="I537" s="16" t="str">
        <f>(VLOOKUP(C537,Dados!B:AW,48,0))</f>
        <v>Fase de Degradação</v>
      </c>
      <c r="J537" s="189" t="s">
        <v>735</v>
      </c>
      <c r="K537" s="177">
        <f>IFERROR((VLOOKUP(C537,Dados!B:AW,44,0)),0)</f>
        <v>0</v>
      </c>
      <c r="L537" s="177">
        <f>IFERROR((VLOOKUP(C537,Dados!B:AW,45,0)),0)</f>
        <v>0</v>
      </c>
      <c r="M537" s="177">
        <f>IFERROR((VLOOKUP(C537,Dados!B:AW,43,0)),0)</f>
        <v>0</v>
      </c>
      <c r="N537" s="179">
        <f>IFERROR((VLOOKUP(C537,Dados!B:AW,47,0)),0)</f>
        <v>0</v>
      </c>
      <c r="O537" s="197">
        <f t="shared" si="24"/>
        <v>1</v>
      </c>
      <c r="P537" s="1">
        <f t="shared" si="26"/>
        <v>0</v>
      </c>
      <c r="Q537" s="221"/>
      <c r="AC537">
        <v>2</v>
      </c>
      <c r="AD537">
        <v>2</v>
      </c>
      <c r="AE537">
        <v>1</v>
      </c>
      <c r="AH537" t="s">
        <v>1186</v>
      </c>
      <c r="AI537" t="str">
        <f t="shared" si="25"/>
        <v>ROB121*</v>
      </c>
    </row>
    <row r="538" spans="1:35" ht="27" customHeight="1" x14ac:dyDescent="0.3">
      <c r="A538" s="219"/>
      <c r="B538" s="16">
        <v>411</v>
      </c>
      <c r="C538" s="16" t="s">
        <v>307</v>
      </c>
      <c r="D538" s="16" t="s">
        <v>1585</v>
      </c>
      <c r="E538" s="16" t="s">
        <v>2123</v>
      </c>
      <c r="F538" s="200" t="s">
        <v>308</v>
      </c>
      <c r="G538" s="189" t="str">
        <f>IFERROR(VLOOKUP(C538,#REF!,4,FALSE),"")</f>
        <v/>
      </c>
      <c r="H538" s="250">
        <f>VLOOKUP(C538,Dados!B:AW,11,0)</f>
        <v>1.34</v>
      </c>
      <c r="I538" s="16" t="str">
        <f>(VLOOKUP(C538,Dados!B:AW,48,0))</f>
        <v>Fase de Degradação</v>
      </c>
      <c r="J538" s="189" t="s">
        <v>735</v>
      </c>
      <c r="K538" s="177">
        <f>IFERROR((VLOOKUP(C538,Dados!B:AW,44,0)),0)</f>
        <v>0</v>
      </c>
      <c r="L538" s="177">
        <f>IFERROR((VLOOKUP(C538,Dados!B:AW,45,0)),0)</f>
        <v>0</v>
      </c>
      <c r="M538" s="177">
        <f>IFERROR((VLOOKUP(C538,Dados!B:AW,43,0)),0)</f>
        <v>0</v>
      </c>
      <c r="N538" s="179">
        <f>IFERROR((VLOOKUP(C538,Dados!B:AW,47,0)),0)</f>
        <v>0</v>
      </c>
      <c r="O538" s="197">
        <f t="shared" si="24"/>
        <v>1</v>
      </c>
      <c r="P538" s="1">
        <f t="shared" si="26"/>
        <v>0</v>
      </c>
      <c r="Q538" s="221"/>
      <c r="AC538">
        <v>2</v>
      </c>
      <c r="AD538">
        <v>2</v>
      </c>
      <c r="AE538">
        <v>2</v>
      </c>
      <c r="AH538" t="s">
        <v>1188</v>
      </c>
      <c r="AI538" t="str">
        <f t="shared" si="25"/>
        <v>ROB122*</v>
      </c>
    </row>
    <row r="539" spans="1:35" ht="27" customHeight="1" x14ac:dyDescent="0.3">
      <c r="A539"/>
      <c r="B539" s="16">
        <v>485</v>
      </c>
      <c r="C539" s="16" t="s">
        <v>1124</v>
      </c>
      <c r="D539" s="16" t="s">
        <v>1585</v>
      </c>
      <c r="E539" s="16" t="s">
        <v>2112</v>
      </c>
      <c r="F539" s="200" t="s">
        <v>1125</v>
      </c>
      <c r="G539" s="189" t="str">
        <f>IFERROR(VLOOKUP(C539,#REF!,4,FALSE),"")</f>
        <v/>
      </c>
      <c r="H539" s="249">
        <f>VLOOKUP(C539,Dados!B:AW,11,0)</f>
        <v>0.91</v>
      </c>
      <c r="I539" s="16" t="str">
        <f>(VLOOKUP(C539,Dados!B:AW,48,0))</f>
        <v>Confiabilidade em Crescimento</v>
      </c>
      <c r="J539" s="189" t="s">
        <v>732</v>
      </c>
      <c r="K539" s="177">
        <f>IFERROR((VLOOKUP(C539,Dados!B:AW,44,0)),0)</f>
        <v>0</v>
      </c>
      <c r="L539" s="177">
        <f>IFERROR((VLOOKUP(C539,Dados!B:AW,45,0)),0)</f>
        <v>0</v>
      </c>
      <c r="M539" s="177">
        <f>IFERROR((VLOOKUP(C539,Dados!B:AW,43,0)),0)</f>
        <v>0</v>
      </c>
      <c r="N539" s="179">
        <f>IFERROR((VLOOKUP(C539,Dados!B:AW,47,0)),0)</f>
        <v>0</v>
      </c>
      <c r="O539" s="197">
        <f t="shared" si="24"/>
        <v>2</v>
      </c>
      <c r="P539" s="1">
        <f t="shared" si="26"/>
        <v>0</v>
      </c>
      <c r="Q539" s="221"/>
      <c r="AC539">
        <v>-1</v>
      </c>
      <c r="AD539">
        <v>-1</v>
      </c>
      <c r="AE539">
        <v>-1</v>
      </c>
      <c r="AH539" t="s">
        <v>1199</v>
      </c>
      <c r="AI539" t="str">
        <f t="shared" si="25"/>
        <v>SOP009*</v>
      </c>
    </row>
    <row r="540" spans="1:35" ht="25" x14ac:dyDescent="0.3">
      <c r="B540" s="16">
        <v>486</v>
      </c>
      <c r="C540" s="16" t="s">
        <v>1126</v>
      </c>
      <c r="D540" s="16" t="s">
        <v>1585</v>
      </c>
      <c r="E540" s="16" t="s">
        <v>2112</v>
      </c>
      <c r="F540" s="200" t="s">
        <v>1127</v>
      </c>
      <c r="G540" s="189" t="str">
        <f>IFERROR(VLOOKUP(C540,#REF!,4,FALSE),"")</f>
        <v/>
      </c>
      <c r="H540" s="249">
        <f>VLOOKUP(C540,Dados!B:AW,11,0)</f>
        <v>4.9800000000000004</v>
      </c>
      <c r="I540" s="16" t="str">
        <f>(VLOOKUP(C540,Dados!B:AW,48,0))</f>
        <v>Fase de Degradação</v>
      </c>
      <c r="J540" s="189" t="s">
        <v>732</v>
      </c>
      <c r="K540" s="177">
        <f>IFERROR((VLOOKUP(C540,Dados!B:AW,44,0)),0)</f>
        <v>0</v>
      </c>
      <c r="L540" s="177">
        <f>IFERROR((VLOOKUP(C540,Dados!B:AW,45,0)),0)</f>
        <v>0</v>
      </c>
      <c r="M540" s="177">
        <f>IFERROR((VLOOKUP(C540,Dados!B:AW,43,0)),0)</f>
        <v>0</v>
      </c>
      <c r="N540" s="179">
        <f>IFERROR((VLOOKUP(C540,Dados!B:AW,47,0)),0)</f>
        <v>0</v>
      </c>
      <c r="O540" s="197">
        <f t="shared" si="24"/>
        <v>1</v>
      </c>
      <c r="P540" s="1">
        <f t="shared" si="26"/>
        <v>0</v>
      </c>
      <c r="Q540" s="221"/>
      <c r="AC540">
        <v>2</v>
      </c>
      <c r="AD540">
        <v>2</v>
      </c>
      <c r="AE540">
        <v>2</v>
      </c>
    </row>
    <row r="541" spans="1:35" ht="25" x14ac:dyDescent="0.3">
      <c r="B541" s="16">
        <v>487</v>
      </c>
      <c r="C541" s="16" t="s">
        <v>1128</v>
      </c>
      <c r="D541" s="16" t="s">
        <v>1583</v>
      </c>
      <c r="E541" s="16" t="s">
        <v>2112</v>
      </c>
      <c r="F541" s="200" t="s">
        <v>1129</v>
      </c>
      <c r="G541" s="189" t="str">
        <f>IFERROR(VLOOKUP(C541,#REF!,4,FALSE),"")</f>
        <v/>
      </c>
      <c r="H541" s="249">
        <f>VLOOKUP(C541,Dados!B:AW,11,0)</f>
        <v>0.89</v>
      </c>
      <c r="I541" s="16" t="str">
        <f>(VLOOKUP(C541,Dados!B:AW,48,0))</f>
        <v>Confiabilidade em Crescimento</v>
      </c>
      <c r="J541" s="189" t="s">
        <v>732</v>
      </c>
      <c r="K541" s="177">
        <f>IFERROR((VLOOKUP(C541,Dados!B:AW,44,0)),0)</f>
        <v>0</v>
      </c>
      <c r="L541" s="177">
        <f>IFERROR((VLOOKUP(C541,Dados!B:AW,45,0)),0)</f>
        <v>0</v>
      </c>
      <c r="M541" s="177">
        <f>IFERROR((VLOOKUP(C541,Dados!B:AW,43,0)),0)</f>
        <v>0</v>
      </c>
      <c r="N541" s="179">
        <f>IFERROR((VLOOKUP(C541,Dados!B:AW,47,0)),0)</f>
        <v>0</v>
      </c>
      <c r="O541" s="197">
        <f t="shared" si="24"/>
        <v>2</v>
      </c>
      <c r="P541" s="1">
        <f t="shared" si="26"/>
        <v>0</v>
      </c>
      <c r="Q541" s="221"/>
    </row>
    <row r="542" spans="1:35" ht="25" x14ac:dyDescent="0.3">
      <c r="B542" s="16">
        <v>488</v>
      </c>
      <c r="C542" s="16" t="s">
        <v>1130</v>
      </c>
      <c r="D542" s="16" t="s">
        <v>1583</v>
      </c>
      <c r="E542" s="16" t="s">
        <v>2112</v>
      </c>
      <c r="F542" s="200" t="s">
        <v>1131</v>
      </c>
      <c r="G542" s="189" t="str">
        <f>IFERROR(VLOOKUP(C542,#REF!,4,FALSE),"")</f>
        <v/>
      </c>
      <c r="H542" s="249">
        <f>VLOOKUP(C542,Dados!B:AW,11,0)</f>
        <v>1.32</v>
      </c>
      <c r="I542" s="16" t="str">
        <f>(VLOOKUP(C542,Dados!B:AW,48,0))</f>
        <v>Fase de Degradação</v>
      </c>
      <c r="J542" s="189" t="s">
        <v>732</v>
      </c>
      <c r="K542" s="177">
        <f>IFERROR((VLOOKUP(C542,Dados!B:AW,44,0)),0)</f>
        <v>0</v>
      </c>
      <c r="L542" s="177">
        <f>IFERROR((VLOOKUP(C542,Dados!B:AW,45,0)),0)</f>
        <v>0</v>
      </c>
      <c r="M542" s="177">
        <f>IFERROR((VLOOKUP(C542,Dados!B:AW,43,0)),0)</f>
        <v>0</v>
      </c>
      <c r="N542" s="179">
        <f>IFERROR((VLOOKUP(C542,Dados!B:AW,47,0)),0)</f>
        <v>0</v>
      </c>
      <c r="O542" s="197">
        <f t="shared" si="24"/>
        <v>1</v>
      </c>
      <c r="P542" s="1">
        <f t="shared" si="26"/>
        <v>0</v>
      </c>
      <c r="Q542" s="221"/>
    </row>
    <row r="543" spans="1:35" ht="25" x14ac:dyDescent="0.3">
      <c r="B543" s="16">
        <v>489</v>
      </c>
      <c r="C543" s="16" t="s">
        <v>1860</v>
      </c>
      <c r="D543" s="16" t="s">
        <v>1591</v>
      </c>
      <c r="E543" s="16" t="s">
        <v>2112</v>
      </c>
      <c r="F543" s="200" t="s">
        <v>1729</v>
      </c>
      <c r="G543" s="189" t="str">
        <f>IFERROR(VLOOKUP(C543,#REF!,4,FALSE),"")</f>
        <v/>
      </c>
      <c r="H543" s="249">
        <f>VLOOKUP(C543,Dados!B:AW,11,0)</f>
        <v>1.53</v>
      </c>
      <c r="I543" s="16" t="str">
        <f>(VLOOKUP(C543,Dados!B:AW,48,0))</f>
        <v>Fase de Degradação</v>
      </c>
      <c r="J543" s="189" t="s">
        <v>732</v>
      </c>
      <c r="K543" s="177">
        <f>IFERROR((VLOOKUP(C543,Dados!B:AW,44,0)),0)</f>
        <v>0</v>
      </c>
      <c r="L543" s="177">
        <f>IFERROR((VLOOKUP(C543,Dados!B:AW,45,0)),0)</f>
        <v>0</v>
      </c>
      <c r="M543" s="177">
        <f>IFERROR((VLOOKUP(C543,Dados!B:AW,43,0)),0)</f>
        <v>0</v>
      </c>
      <c r="N543" s="179">
        <f>IFERROR((VLOOKUP(C543,Dados!B:AW,47,0)),0)</f>
        <v>0</v>
      </c>
      <c r="O543" s="197">
        <f t="shared" si="24"/>
        <v>1</v>
      </c>
      <c r="P543" s="1">
        <f t="shared" si="26"/>
        <v>0</v>
      </c>
      <c r="Q543" s="221"/>
    </row>
    <row r="544" spans="1:35" ht="25" x14ac:dyDescent="0.3">
      <c r="B544" s="16">
        <v>495</v>
      </c>
      <c r="C544" s="16" t="s">
        <v>819</v>
      </c>
      <c r="D544" s="16" t="s">
        <v>1586</v>
      </c>
      <c r="E544" s="16" t="s">
        <v>819</v>
      </c>
      <c r="F544" s="200" t="s">
        <v>820</v>
      </c>
      <c r="G544" s="189" t="str">
        <f>IFERROR(VLOOKUP(C544,#REF!,4,FALSE),"")</f>
        <v/>
      </c>
      <c r="H544" s="249">
        <f>VLOOKUP(C544,Dados!B:AW,11,0)</f>
        <v>0.88</v>
      </c>
      <c r="I544" s="16" t="str">
        <f>(VLOOKUP(C544,Dados!B:AW,48,0))</f>
        <v>Confiabilidade em Crescimento</v>
      </c>
      <c r="J544" s="189" t="s">
        <v>734</v>
      </c>
      <c r="K544" s="177">
        <f>IFERROR((VLOOKUP(C544,Dados!B:AW,44,0)),0)</f>
        <v>0</v>
      </c>
      <c r="L544" s="177">
        <f>IFERROR((VLOOKUP(C544,Dados!B:AW,45,0)),0)</f>
        <v>0</v>
      </c>
      <c r="M544" s="177">
        <f>IFERROR((VLOOKUP(C544,Dados!B:AW,43,0)),0)</f>
        <v>0</v>
      </c>
      <c r="N544" s="179">
        <f>IFERROR((VLOOKUP(C544,Dados!B:AW,47,0)),0)</f>
        <v>0</v>
      </c>
      <c r="O544" s="197">
        <f t="shared" si="24"/>
        <v>2</v>
      </c>
      <c r="P544" s="1">
        <f t="shared" si="26"/>
        <v>0</v>
      </c>
      <c r="Q544" s="221"/>
    </row>
    <row r="545" spans="2:17" ht="25" x14ac:dyDescent="0.3">
      <c r="B545" s="16">
        <v>480</v>
      </c>
      <c r="C545" s="16" t="s">
        <v>817</v>
      </c>
      <c r="D545" s="16" t="s">
        <v>1586</v>
      </c>
      <c r="E545" s="16" t="s">
        <v>301</v>
      </c>
      <c r="F545" s="200" t="s">
        <v>818</v>
      </c>
      <c r="G545" s="189" t="str">
        <f>IFERROR(VLOOKUP(C545,#REF!,4,FALSE),"")</f>
        <v/>
      </c>
      <c r="H545" s="249">
        <f>VLOOKUP(C545,Dados!B:AW,11,0)</f>
        <v>1.1399999999999999</v>
      </c>
      <c r="I545" s="16" t="str">
        <f>(VLOOKUP(C545,Dados!B:AW,48,0))</f>
        <v>Fase de Degradação</v>
      </c>
      <c r="J545" s="189" t="s">
        <v>735</v>
      </c>
      <c r="K545" s="177">
        <f>IFERROR((VLOOKUP(C545,Dados!B:AW,44,0)),0)</f>
        <v>0</v>
      </c>
      <c r="L545" s="177">
        <f>IFERROR((VLOOKUP(C545,Dados!B:AW,45,0)),0)</f>
        <v>0</v>
      </c>
      <c r="M545" s="177">
        <f>IFERROR((VLOOKUP(C545,Dados!B:AW,43,0)),0)</f>
        <v>0</v>
      </c>
      <c r="N545" s="179">
        <f>IFERROR((VLOOKUP(C545,Dados!B:AW,47,0)),0)</f>
        <v>0</v>
      </c>
      <c r="O545" s="197">
        <f t="shared" si="24"/>
        <v>1</v>
      </c>
      <c r="P545" s="1">
        <f t="shared" si="26"/>
        <v>0</v>
      </c>
      <c r="Q545" s="221"/>
    </row>
    <row r="546" spans="2:17" ht="25" x14ac:dyDescent="0.3">
      <c r="B546" s="16">
        <v>496</v>
      </c>
      <c r="C546" s="16" t="s">
        <v>301</v>
      </c>
      <c r="D546" s="16" t="s">
        <v>1586</v>
      </c>
      <c r="E546" s="16" t="s">
        <v>301</v>
      </c>
      <c r="F546" s="200" t="s">
        <v>302</v>
      </c>
      <c r="G546" s="189" t="str">
        <f>IFERROR(VLOOKUP(C546,#REF!,4,FALSE),"")</f>
        <v/>
      </c>
      <c r="H546" s="249">
        <f>VLOOKUP(C546,Dados!B:AW,11,0)</f>
        <v>2.25</v>
      </c>
      <c r="I546" s="16" t="str">
        <f>(VLOOKUP(C546,Dados!B:AW,48,0))</f>
        <v>Fase de Degradação</v>
      </c>
      <c r="J546" s="189" t="s">
        <v>732</v>
      </c>
      <c r="K546" s="177">
        <f>IFERROR((VLOOKUP(C546,Dados!B:AW,44,0)),0)</f>
        <v>0</v>
      </c>
      <c r="L546" s="177">
        <f>IFERROR((VLOOKUP(C546,Dados!B:AW,45,0)),0)</f>
        <v>0</v>
      </c>
      <c r="M546" s="177">
        <f>IFERROR((VLOOKUP(C546,Dados!B:AW,43,0)),0)</f>
        <v>0</v>
      </c>
      <c r="N546" s="179">
        <f>IFERROR((VLOOKUP(C546,Dados!B:AW,47,0)),0)</f>
        <v>0</v>
      </c>
      <c r="O546" s="197">
        <f t="shared" si="24"/>
        <v>1</v>
      </c>
      <c r="P546" s="1">
        <f t="shared" si="26"/>
        <v>0</v>
      </c>
      <c r="Q546" s="221"/>
    </row>
    <row r="547" spans="2:17" ht="25" x14ac:dyDescent="0.3">
      <c r="B547" s="16">
        <v>499</v>
      </c>
      <c r="C547" s="16" t="s">
        <v>707</v>
      </c>
      <c r="D547" s="16" t="s">
        <v>1587</v>
      </c>
      <c r="E547" s="16" t="s">
        <v>707</v>
      </c>
      <c r="F547" s="200" t="s">
        <v>708</v>
      </c>
      <c r="G547" s="189" t="str">
        <f>IFERROR(VLOOKUP(C547,#REF!,4,FALSE),"")</f>
        <v/>
      </c>
      <c r="H547" s="250">
        <f>VLOOKUP(C547,Dados!B:AW,11,0)</f>
        <v>0.91</v>
      </c>
      <c r="I547" s="16" t="str">
        <f>(VLOOKUP(C547,Dados!B:AW,48,0))</f>
        <v>Confiabilidade em Crescimento</v>
      </c>
      <c r="J547" s="189" t="s">
        <v>732</v>
      </c>
      <c r="K547" s="177">
        <f>IFERROR((VLOOKUP(C547,Dados!B:AW,44,0)),0)</f>
        <v>0</v>
      </c>
      <c r="L547" s="177">
        <f>IFERROR((VLOOKUP(C547,Dados!B:AW,45,0)),0)</f>
        <v>0</v>
      </c>
      <c r="M547" s="177">
        <f>IFERROR((VLOOKUP(C547,Dados!B:AW,43,0)),0)</f>
        <v>0</v>
      </c>
      <c r="N547" s="179">
        <f>IFERROR((VLOOKUP(C547,Dados!B:AW,47,0)),0)</f>
        <v>0</v>
      </c>
      <c r="O547" s="197">
        <f t="shared" si="24"/>
        <v>2</v>
      </c>
      <c r="P547" s="1">
        <f t="shared" si="26"/>
        <v>0</v>
      </c>
      <c r="Q547" s="221"/>
    </row>
    <row r="548" spans="2:17" ht="25" x14ac:dyDescent="0.3">
      <c r="B548" s="16">
        <v>500</v>
      </c>
      <c r="C548" s="16" t="s">
        <v>663</v>
      </c>
      <c r="D548" s="16" t="s">
        <v>1587</v>
      </c>
      <c r="E548" s="16" t="s">
        <v>663</v>
      </c>
      <c r="F548" s="200" t="s">
        <v>664</v>
      </c>
      <c r="G548" s="189" t="str">
        <f>IFERROR(VLOOKUP(C548,#REF!,4,FALSE),"")</f>
        <v/>
      </c>
      <c r="H548" s="249">
        <f>VLOOKUP(C548,Dados!B:AW,11,0)</f>
        <v>1.54</v>
      </c>
      <c r="I548" s="16" t="str">
        <f>(VLOOKUP(C548,Dados!B:AW,48,0))</f>
        <v>Fase de Degradação</v>
      </c>
      <c r="J548" s="189" t="s">
        <v>732</v>
      </c>
      <c r="K548" s="177">
        <f>IFERROR((VLOOKUP(C548,Dados!B:AW,44,0)),0)</f>
        <v>0</v>
      </c>
      <c r="L548" s="177">
        <f>IFERROR((VLOOKUP(C548,Dados!B:AW,45,0)),0)</f>
        <v>0</v>
      </c>
      <c r="M548" s="177">
        <f>IFERROR((VLOOKUP(C548,Dados!B:AW,43,0)),0)</f>
        <v>0</v>
      </c>
      <c r="N548" s="179">
        <f>IFERROR((VLOOKUP(C548,Dados!B:AW,47,0)),0)</f>
        <v>0</v>
      </c>
      <c r="O548" s="197">
        <f t="shared" si="24"/>
        <v>1</v>
      </c>
      <c r="P548" s="1">
        <f t="shared" si="26"/>
        <v>0</v>
      </c>
      <c r="Q548" s="221"/>
    </row>
    <row r="549" spans="2:17" ht="25" x14ac:dyDescent="0.3">
      <c r="B549" s="16">
        <v>582</v>
      </c>
      <c r="C549" s="16" t="s">
        <v>289</v>
      </c>
      <c r="D549" s="16" t="s">
        <v>1587</v>
      </c>
      <c r="E549" s="16" t="s">
        <v>663</v>
      </c>
      <c r="F549" s="200" t="s">
        <v>290</v>
      </c>
      <c r="G549" s="189" t="str">
        <f>IFERROR(VLOOKUP(C549,#REF!,4,FALSE),"")</f>
        <v/>
      </c>
      <c r="H549" s="249">
        <f>VLOOKUP(C549,Dados!B:AW,11,0)</f>
        <v>0.6</v>
      </c>
      <c r="I549" s="16" t="str">
        <f>(VLOOKUP(C549,Dados!B:AW,48,0))</f>
        <v>Confiabilidade em Crescimento</v>
      </c>
      <c r="J549" s="189" t="s">
        <v>732</v>
      </c>
      <c r="K549" s="177">
        <f>IFERROR((VLOOKUP(C549,Dados!B:AW,44,0)),0)</f>
        <v>0</v>
      </c>
      <c r="L549" s="177">
        <f>IFERROR((VLOOKUP(C549,Dados!B:AW,45,0)),0)</f>
        <v>0</v>
      </c>
      <c r="M549" s="177">
        <f>IFERROR((VLOOKUP(C549,Dados!B:AW,43,0)),0)</f>
        <v>0</v>
      </c>
      <c r="N549" s="179">
        <f>IFERROR((VLOOKUP(C549,Dados!B:AW,47,0)),0)</f>
        <v>0</v>
      </c>
      <c r="O549" s="197">
        <f t="shared" si="24"/>
        <v>2</v>
      </c>
      <c r="P549" s="1">
        <f t="shared" si="26"/>
        <v>0</v>
      </c>
      <c r="Q549" s="221"/>
    </row>
    <row r="550" spans="2:17" ht="25" x14ac:dyDescent="0.3">
      <c r="B550" s="16">
        <v>501</v>
      </c>
      <c r="C550" s="16" t="s">
        <v>629</v>
      </c>
      <c r="D550" s="16" t="s">
        <v>1587</v>
      </c>
      <c r="E550" s="16" t="s">
        <v>629</v>
      </c>
      <c r="F550" s="200" t="s">
        <v>630</v>
      </c>
      <c r="G550" s="189" t="str">
        <f>IFERROR(VLOOKUP(C550,#REF!,4,FALSE),"")</f>
        <v/>
      </c>
      <c r="H550" s="248">
        <f>VLOOKUP(C550,Dados!B:AW,11,0)</f>
        <v>1.32</v>
      </c>
      <c r="I550" s="16" t="str">
        <f>(VLOOKUP(C550,Dados!B:AW,48,0))</f>
        <v>Fase de Degradação</v>
      </c>
      <c r="J550" s="189" t="s">
        <v>732</v>
      </c>
      <c r="K550" s="177">
        <f>IFERROR((VLOOKUP(C550,Dados!B:AW,44,0)),0)</f>
        <v>0</v>
      </c>
      <c r="L550" s="177">
        <f>IFERROR((VLOOKUP(C550,Dados!B:AW,45,0)),0)</f>
        <v>0</v>
      </c>
      <c r="M550" s="177">
        <f>IFERROR((VLOOKUP(C550,Dados!B:AW,43,0)),0)</f>
        <v>0</v>
      </c>
      <c r="N550" s="179">
        <f>IFERROR((VLOOKUP(C550,Dados!B:AW,47,0)),0)</f>
        <v>0</v>
      </c>
      <c r="O550" s="197">
        <f t="shared" si="24"/>
        <v>1</v>
      </c>
      <c r="P550" s="1">
        <f t="shared" si="26"/>
        <v>0</v>
      </c>
      <c r="Q550" s="221"/>
    </row>
    <row r="551" spans="2:17" ht="25" x14ac:dyDescent="0.3">
      <c r="B551" s="16">
        <v>433</v>
      </c>
      <c r="C551" s="16" t="s">
        <v>1844</v>
      </c>
      <c r="D551" s="16" t="s">
        <v>1582</v>
      </c>
      <c r="E551" s="16" t="s">
        <v>2116</v>
      </c>
      <c r="F551" s="200" t="s">
        <v>1720</v>
      </c>
      <c r="G551" s="189" t="str">
        <f>IFERROR(VLOOKUP(C551,#REF!,4,FALSE),"")</f>
        <v/>
      </c>
      <c r="H551" s="250">
        <f>VLOOKUP(C551,Dados!B:AW,11,0)</f>
        <v>1.26</v>
      </c>
      <c r="I551" s="16" t="str">
        <f>(VLOOKUP(C551,Dados!B:AW,48,0))</f>
        <v>Fase de Degradação</v>
      </c>
      <c r="J551" s="189" t="s">
        <v>735</v>
      </c>
      <c r="K551" s="177">
        <f>IFERROR((VLOOKUP(C551,Dados!B:AW,44,0)),0)</f>
        <v>0</v>
      </c>
      <c r="L551" s="177">
        <f>IFERROR((VLOOKUP(C551,Dados!B:AW,45,0)),0)</f>
        <v>0</v>
      </c>
      <c r="M551" s="177">
        <f>IFERROR((VLOOKUP(C551,Dados!B:AW,43,0)),0)</f>
        <v>0</v>
      </c>
      <c r="N551" s="179">
        <f>IFERROR((VLOOKUP(C551,Dados!B:AW,47,0)),0)</f>
        <v>0</v>
      </c>
      <c r="O551" s="197">
        <f t="shared" si="24"/>
        <v>1</v>
      </c>
      <c r="P551" s="1">
        <f t="shared" si="26"/>
        <v>0</v>
      </c>
      <c r="Q551" s="221"/>
    </row>
    <row r="552" spans="2:17" ht="25" x14ac:dyDescent="0.3">
      <c r="B552" s="16">
        <v>436</v>
      </c>
      <c r="C552" s="16" t="s">
        <v>1847</v>
      </c>
      <c r="D552" s="16" t="s">
        <v>1582</v>
      </c>
      <c r="E552" s="16" t="s">
        <v>2116</v>
      </c>
      <c r="F552" s="200" t="s">
        <v>1715</v>
      </c>
      <c r="G552" s="189" t="str">
        <f>IFERROR(VLOOKUP(C552,#REF!,4,FALSE),"")</f>
        <v/>
      </c>
      <c r="H552" s="248">
        <f>VLOOKUP(C552,Dados!B:AW,11,0)</f>
        <v>1.22</v>
      </c>
      <c r="I552" s="16" t="str">
        <f>(VLOOKUP(C552,Dados!B:AW,48,0))</f>
        <v>Fase de Degradação</v>
      </c>
      <c r="J552" s="189" t="s">
        <v>735</v>
      </c>
      <c r="K552" s="177">
        <f>IFERROR((VLOOKUP(C552,Dados!B:AW,44,0)),0)</f>
        <v>0</v>
      </c>
      <c r="L552" s="177">
        <f>IFERROR((VLOOKUP(C552,Dados!B:AW,45,0)),0)</f>
        <v>0</v>
      </c>
      <c r="M552" s="177">
        <f>IFERROR((VLOOKUP(C552,Dados!B:AW,43,0)),0)</f>
        <v>0</v>
      </c>
      <c r="N552" s="179">
        <f>IFERROR((VLOOKUP(C552,Dados!B:AW,47,0)),0)</f>
        <v>0</v>
      </c>
      <c r="O552" s="197">
        <f t="shared" si="24"/>
        <v>1</v>
      </c>
      <c r="P552" s="1">
        <f t="shared" si="26"/>
        <v>0</v>
      </c>
      <c r="Q552" s="221"/>
    </row>
    <row r="553" spans="2:17" ht="25" x14ac:dyDescent="0.3">
      <c r="B553" s="16">
        <v>437</v>
      </c>
      <c r="C553" s="16" t="s">
        <v>1848</v>
      </c>
      <c r="D553" s="16" t="s">
        <v>1582</v>
      </c>
      <c r="E553" s="16" t="s">
        <v>2116</v>
      </c>
      <c r="F553" s="200" t="s">
        <v>1716</v>
      </c>
      <c r="G553" s="189" t="str">
        <f>IFERROR(VLOOKUP(C553,#REF!,4,FALSE),"")</f>
        <v/>
      </c>
      <c r="H553" s="248">
        <f>VLOOKUP(C553,Dados!B:AW,11,0)</f>
        <v>1.55</v>
      </c>
      <c r="I553" s="16" t="str">
        <f>(VLOOKUP(C553,Dados!B:AW,48,0))</f>
        <v>Fase de Degradação</v>
      </c>
      <c r="J553" s="189" t="s">
        <v>735</v>
      </c>
      <c r="K553" s="177">
        <f>IFERROR((VLOOKUP(C553,Dados!B:AW,44,0)),0)</f>
        <v>0</v>
      </c>
      <c r="L553" s="177">
        <f>IFERROR((VLOOKUP(C553,Dados!B:AW,45,0)),0)</f>
        <v>0</v>
      </c>
      <c r="M553" s="177">
        <f>IFERROR((VLOOKUP(C553,Dados!B:AW,43,0)),0)</f>
        <v>0</v>
      </c>
      <c r="N553" s="179">
        <f>IFERROR((VLOOKUP(C553,Dados!B:AW,47,0)),0)</f>
        <v>0</v>
      </c>
      <c r="O553" s="197">
        <f t="shared" si="24"/>
        <v>1</v>
      </c>
      <c r="P553" s="1">
        <f t="shared" si="26"/>
        <v>0</v>
      </c>
      <c r="Q553" s="221"/>
    </row>
    <row r="554" spans="2:17" ht="25" x14ac:dyDescent="0.3">
      <c r="B554" s="16">
        <v>438</v>
      </c>
      <c r="C554" s="16" t="s">
        <v>1849</v>
      </c>
      <c r="D554" s="16" t="s">
        <v>1582</v>
      </c>
      <c r="E554" s="16" t="s">
        <v>2116</v>
      </c>
      <c r="F554" s="200" t="s">
        <v>1717</v>
      </c>
      <c r="G554" s="189" t="str">
        <f>IFERROR(VLOOKUP(C554,#REF!,4,FALSE),"")</f>
        <v/>
      </c>
      <c r="H554" s="250">
        <f>VLOOKUP(C554,Dados!B:AW,11,0)</f>
        <v>1.38</v>
      </c>
      <c r="I554" s="16" t="str">
        <f>(VLOOKUP(C554,Dados!B:AW,48,0))</f>
        <v>Fase de Degradação</v>
      </c>
      <c r="J554" s="189" t="s">
        <v>735</v>
      </c>
      <c r="K554" s="177">
        <f>IFERROR((VLOOKUP(C554,Dados!B:AW,44,0)),0)</f>
        <v>0</v>
      </c>
      <c r="L554" s="177">
        <f>IFERROR((VLOOKUP(C554,Dados!B:AW,45,0)),0)</f>
        <v>0</v>
      </c>
      <c r="M554" s="177">
        <f>IFERROR((VLOOKUP(C554,Dados!B:AW,43,0)),0)</f>
        <v>0</v>
      </c>
      <c r="N554" s="179">
        <f>IFERROR((VLOOKUP(C554,Dados!B:AW,47,0)),0)</f>
        <v>0</v>
      </c>
      <c r="O554" s="197">
        <f t="shared" si="24"/>
        <v>1</v>
      </c>
      <c r="P554" s="1">
        <f t="shared" si="26"/>
        <v>0</v>
      </c>
      <c r="Q554" s="221"/>
    </row>
    <row r="555" spans="2:17" ht="25" x14ac:dyDescent="0.3">
      <c r="B555" s="16">
        <v>439</v>
      </c>
      <c r="C555" s="16" t="s">
        <v>1850</v>
      </c>
      <c r="D555" s="16" t="s">
        <v>1582</v>
      </c>
      <c r="E555" s="16" t="s">
        <v>2116</v>
      </c>
      <c r="F555" s="200" t="s">
        <v>1718</v>
      </c>
      <c r="G555" s="189" t="str">
        <f>IFERROR(VLOOKUP(C555,#REF!,4,FALSE),"")</f>
        <v/>
      </c>
      <c r="H555" s="248">
        <f>VLOOKUP(C555,Dados!B:AW,11,0)</f>
        <v>1.43</v>
      </c>
      <c r="I555" s="16" t="str">
        <f>(VLOOKUP(C555,Dados!B:AW,48,0))</f>
        <v>Fase de Degradação</v>
      </c>
      <c r="J555" s="189" t="s">
        <v>735</v>
      </c>
      <c r="K555" s="177">
        <f>IFERROR((VLOOKUP(C555,Dados!B:AW,44,0)),0)</f>
        <v>0</v>
      </c>
      <c r="L555" s="177">
        <f>IFERROR((VLOOKUP(C555,Dados!B:AW,45,0)),0)</f>
        <v>0</v>
      </c>
      <c r="M555" s="177">
        <f>IFERROR((VLOOKUP(C555,Dados!B:AW,43,0)),0)</f>
        <v>0</v>
      </c>
      <c r="N555" s="179">
        <f>IFERROR((VLOOKUP(C555,Dados!B:AW,47,0)),0)</f>
        <v>0</v>
      </c>
      <c r="O555" s="197">
        <f t="shared" si="24"/>
        <v>1</v>
      </c>
      <c r="P555" s="1">
        <f t="shared" si="26"/>
        <v>0</v>
      </c>
      <c r="Q555" s="221"/>
    </row>
    <row r="556" spans="2:17" ht="25" x14ac:dyDescent="0.3">
      <c r="B556" s="16">
        <v>440</v>
      </c>
      <c r="C556" s="16" t="s">
        <v>1851</v>
      </c>
      <c r="D556" s="16" t="s">
        <v>1582</v>
      </c>
      <c r="E556" s="16" t="s">
        <v>2116</v>
      </c>
      <c r="F556" s="200" t="s">
        <v>1719</v>
      </c>
      <c r="G556" s="189" t="str">
        <f>IFERROR(VLOOKUP(C556,#REF!,4,FALSE),"")</f>
        <v/>
      </c>
      <c r="H556" s="248">
        <f>VLOOKUP(C556,Dados!B:AW,11,0)</f>
        <v>1.8</v>
      </c>
      <c r="I556" s="16" t="str">
        <f>(VLOOKUP(C556,Dados!B:AW,48,0))</f>
        <v>Fase de Degradação</v>
      </c>
      <c r="J556" s="189" t="s">
        <v>735</v>
      </c>
      <c r="K556" s="177">
        <f>IFERROR((VLOOKUP(C556,Dados!B:AW,44,0)),0)</f>
        <v>0</v>
      </c>
      <c r="L556" s="177">
        <f>IFERROR((VLOOKUP(C556,Dados!B:AW,45,0)),0)</f>
        <v>0</v>
      </c>
      <c r="M556" s="177">
        <f>IFERROR((VLOOKUP(C556,Dados!B:AW,43,0)),0)</f>
        <v>0</v>
      </c>
      <c r="N556" s="179">
        <f>IFERROR((VLOOKUP(C556,Dados!B:AW,47,0)),0)</f>
        <v>0</v>
      </c>
      <c r="O556" s="197">
        <f t="shared" si="24"/>
        <v>1</v>
      </c>
      <c r="P556" s="1">
        <f t="shared" si="26"/>
        <v>0</v>
      </c>
      <c r="Q556" s="221"/>
    </row>
    <row r="557" spans="2:17" ht="25" x14ac:dyDescent="0.3">
      <c r="B557" s="16">
        <v>506</v>
      </c>
      <c r="C557" s="16" t="s">
        <v>117</v>
      </c>
      <c r="D557" s="16" t="s">
        <v>1582</v>
      </c>
      <c r="E557" s="16" t="s">
        <v>2116</v>
      </c>
      <c r="F557" s="251" t="str">
        <f>VLOOKUP(C557,[9]Dados!B:C,2,0)</f>
        <v>REB002-REBARBAÇÃO ELETROQUÍMICA</v>
      </c>
      <c r="G557" s="189" t="str">
        <f>IFERROR(VLOOKUP(C557,#REF!,4,FALSE),"")</f>
        <v/>
      </c>
      <c r="H557" s="248">
        <f>VLOOKUP(C557,Dados!B:AW,11,0)</f>
        <v>1.24</v>
      </c>
      <c r="I557" s="16" t="str">
        <f>(VLOOKUP(C557,Dados!B:AW,48,0))</f>
        <v>Fase de Degradação</v>
      </c>
      <c r="J557" s="189" t="s">
        <v>734</v>
      </c>
      <c r="K557" s="177">
        <f>IFERROR((VLOOKUP(C557,Dados!B:AW,44,0)),0)</f>
        <v>0</v>
      </c>
      <c r="L557" s="177">
        <f>IFERROR((VLOOKUP(C557,Dados!B:AW,45,0)),0)</f>
        <v>0</v>
      </c>
      <c r="M557" s="177">
        <f>IFERROR((VLOOKUP(C557,Dados!B:AW,43,0)),0)</f>
        <v>0</v>
      </c>
      <c r="N557" s="179">
        <f>IFERROR((VLOOKUP(C557,Dados!B:AW,47,0)),0)</f>
        <v>0</v>
      </c>
      <c r="O557" s="197">
        <f t="shared" si="24"/>
        <v>1</v>
      </c>
      <c r="P557" s="1">
        <f t="shared" si="26"/>
        <v>0</v>
      </c>
      <c r="Q557" s="221"/>
    </row>
    <row r="558" spans="2:17" ht="25" x14ac:dyDescent="0.3">
      <c r="B558" s="16">
        <v>507</v>
      </c>
      <c r="C558" s="16" t="s">
        <v>41</v>
      </c>
      <c r="D558" s="16" t="s">
        <v>1582</v>
      </c>
      <c r="E558" s="16" t="s">
        <v>2116</v>
      </c>
      <c r="F558" s="251" t="str">
        <f>VLOOKUP(C558,[9]Dados!B:C,2,0)</f>
        <v>REB003-REBARBAÇÃO ELETROQUÍMICA</v>
      </c>
      <c r="G558" s="189" t="str">
        <f>IFERROR(VLOOKUP(C558,#REF!,4,FALSE),"")</f>
        <v/>
      </c>
      <c r="H558" s="249">
        <f>VLOOKUP(C558,Dados!B:AW,11,0)</f>
        <v>1.46</v>
      </c>
      <c r="I558" s="16" t="str">
        <f>(VLOOKUP(C558,Dados!B:AW,48,0))</f>
        <v>Fase de Degradação</v>
      </c>
      <c r="J558" s="189" t="s">
        <v>734</v>
      </c>
      <c r="K558" s="177">
        <f>IFERROR((VLOOKUP(C558,Dados!B:AW,44,0)),0)</f>
        <v>0</v>
      </c>
      <c r="L558" s="177">
        <f>IFERROR((VLOOKUP(C558,Dados!B:AW,45,0)),0)</f>
        <v>0</v>
      </c>
      <c r="M558" s="177">
        <f>IFERROR((VLOOKUP(C558,Dados!B:AW,43,0)),0)</f>
        <v>0</v>
      </c>
      <c r="N558" s="179">
        <f>IFERROR((VLOOKUP(C558,Dados!B:AW,47,0)),0)</f>
        <v>0</v>
      </c>
      <c r="O558" s="197">
        <f t="shared" ref="O558:O621" si="27">IF(AND(J558="Parcial",N558&gt;0,H558&gt;1),-1,IF(AND(J558="Parcial",N558&gt;0,H558&lt;1.1),1,IF(AND(J558="Parcial",N558&lt;0,H558&gt;1.09),-1,IF(J558="Total",-1,IF(H558&gt;1.09,1,2)))))</f>
        <v>1</v>
      </c>
      <c r="P558" s="1">
        <f t="shared" si="26"/>
        <v>0</v>
      </c>
      <c r="Q558" s="221"/>
    </row>
    <row r="559" spans="2:17" ht="25" x14ac:dyDescent="0.3">
      <c r="B559" s="16">
        <v>510</v>
      </c>
      <c r="C559" s="16" t="s">
        <v>823</v>
      </c>
      <c r="D559" s="16" t="s">
        <v>1582</v>
      </c>
      <c r="E559" s="16" t="s">
        <v>2116</v>
      </c>
      <c r="F559" s="200" t="s">
        <v>824</v>
      </c>
      <c r="G559" s="189" t="str">
        <f>IFERROR(VLOOKUP(C559,#REF!,4,FALSE),"")</f>
        <v/>
      </c>
      <c r="H559" s="249">
        <f>VLOOKUP(C559,Dados!B:AW,11,0)</f>
        <v>1.3</v>
      </c>
      <c r="I559" s="16" t="str">
        <f>(VLOOKUP(C559,Dados!B:AW,48,0))</f>
        <v>Fase de Degradação</v>
      </c>
      <c r="J559" s="189" t="s">
        <v>735</v>
      </c>
      <c r="K559" s="177">
        <f>IFERROR((VLOOKUP(C559,Dados!B:AW,44,0)),0)</f>
        <v>0</v>
      </c>
      <c r="L559" s="177">
        <f>IFERROR((VLOOKUP(C559,Dados!B:AW,45,0)),0)</f>
        <v>0</v>
      </c>
      <c r="M559" s="177">
        <f>IFERROR((VLOOKUP(C559,Dados!B:AW,43,0)),0)</f>
        <v>0</v>
      </c>
      <c r="N559" s="179">
        <f>IFERROR((VLOOKUP(C559,Dados!B:AW,47,0)),0)</f>
        <v>0</v>
      </c>
      <c r="O559" s="197">
        <f t="shared" si="27"/>
        <v>1</v>
      </c>
      <c r="P559" s="1">
        <f t="shared" si="26"/>
        <v>0</v>
      </c>
      <c r="Q559" s="221"/>
    </row>
    <row r="560" spans="2:17" ht="25" x14ac:dyDescent="0.3">
      <c r="B560" s="16">
        <v>511</v>
      </c>
      <c r="C560" s="16" t="s">
        <v>825</v>
      </c>
      <c r="D560" s="16" t="s">
        <v>1582</v>
      </c>
      <c r="E560" s="16" t="s">
        <v>2116</v>
      </c>
      <c r="F560" s="200" t="s">
        <v>826</v>
      </c>
      <c r="G560" s="189" t="str">
        <f>IFERROR(VLOOKUP(C560,#REF!,4,FALSE),"")</f>
        <v/>
      </c>
      <c r="H560" s="248">
        <f>VLOOKUP(C560,Dados!B:AW,11,0)</f>
        <v>1.48</v>
      </c>
      <c r="I560" s="16" t="str">
        <f>(VLOOKUP(C560,Dados!B:AW,48,0))</f>
        <v>Fase de Degradação</v>
      </c>
      <c r="J560" s="189" t="s">
        <v>735</v>
      </c>
      <c r="K560" s="177">
        <f>IFERROR((VLOOKUP(C560,Dados!B:AW,44,0)),0)</f>
        <v>0</v>
      </c>
      <c r="L560" s="177">
        <f>IFERROR((VLOOKUP(C560,Dados!B:AW,45,0)),0)</f>
        <v>0</v>
      </c>
      <c r="M560" s="177">
        <f>IFERROR((VLOOKUP(C560,Dados!B:AW,43,0)),0)</f>
        <v>0</v>
      </c>
      <c r="N560" s="179">
        <f>IFERROR((VLOOKUP(C560,Dados!B:AW,47,0)),0)</f>
        <v>0</v>
      </c>
      <c r="O560" s="197">
        <f t="shared" si="27"/>
        <v>1</v>
      </c>
      <c r="P560" s="1">
        <f t="shared" si="26"/>
        <v>0</v>
      </c>
      <c r="Q560" s="221"/>
    </row>
    <row r="561" spans="2:17" ht="25" x14ac:dyDescent="0.3">
      <c r="B561" s="16">
        <v>508</v>
      </c>
      <c r="C561" s="16" t="s">
        <v>115</v>
      </c>
      <c r="D561" s="16" t="s">
        <v>1582</v>
      </c>
      <c r="E561" s="16" t="s">
        <v>2117</v>
      </c>
      <c r="F561" s="251" t="str">
        <f>VLOOKUP(C561,[9]Dados!B:C,2,0)</f>
        <v>REB004-REBARBAÇÃO ELETROQUÍMICA</v>
      </c>
      <c r="G561" s="189" t="str">
        <f>IFERROR(VLOOKUP(C561,#REF!,4,FALSE),"")</f>
        <v/>
      </c>
      <c r="H561" s="250">
        <f>VLOOKUP(C561,Dados!B:AW,11,0)</f>
        <v>1.19</v>
      </c>
      <c r="I561" s="16" t="str">
        <f>(VLOOKUP(C561,Dados!B:AW,48,0))</f>
        <v>Fase de Degradação</v>
      </c>
      <c r="J561" s="189" t="s">
        <v>734</v>
      </c>
      <c r="K561" s="177">
        <f>IFERROR((VLOOKUP(C561,Dados!B:AW,44,0)),0)</f>
        <v>0</v>
      </c>
      <c r="L561" s="177">
        <f>IFERROR((VLOOKUP(C561,Dados!B:AW,45,0)),0)</f>
        <v>0</v>
      </c>
      <c r="M561" s="177">
        <f>IFERROR((VLOOKUP(C561,Dados!B:AW,43,0)),0)</f>
        <v>0</v>
      </c>
      <c r="N561" s="179">
        <f>IFERROR((VLOOKUP(C561,Dados!B:AW,47,0)),0)</f>
        <v>0</v>
      </c>
      <c r="O561" s="197">
        <f t="shared" si="27"/>
        <v>1</v>
      </c>
      <c r="P561" s="1">
        <f t="shared" si="26"/>
        <v>0</v>
      </c>
      <c r="Q561" s="221"/>
    </row>
    <row r="562" spans="2:17" ht="25" x14ac:dyDescent="0.3">
      <c r="B562" s="16">
        <v>509</v>
      </c>
      <c r="C562" s="16" t="s">
        <v>821</v>
      </c>
      <c r="D562" s="16" t="s">
        <v>1582</v>
      </c>
      <c r="E562" s="16" t="s">
        <v>2117</v>
      </c>
      <c r="F562" s="200" t="s">
        <v>822</v>
      </c>
      <c r="G562" s="189" t="str">
        <f>IFERROR(VLOOKUP(C562,#REF!,4,FALSE),"")</f>
        <v/>
      </c>
      <c r="H562" s="249">
        <f>VLOOKUP(C562,Dados!B:AW,11,0)</f>
        <v>1.07</v>
      </c>
      <c r="I562" s="16" t="str">
        <f>(VLOOKUP(C562,Dados!B:AW,48,0))</f>
        <v>Fase de Vida Útil</v>
      </c>
      <c r="J562" s="189" t="s">
        <v>734</v>
      </c>
      <c r="K562" s="177">
        <f>IFERROR((VLOOKUP(C562,Dados!B:AW,44,0)),0)</f>
        <v>0</v>
      </c>
      <c r="L562" s="177">
        <f>IFERROR((VLOOKUP(C562,Dados!B:AW,45,0)),0)</f>
        <v>0</v>
      </c>
      <c r="M562" s="177">
        <f>IFERROR((VLOOKUP(C562,Dados!B:AW,43,0)),0)</f>
        <v>0</v>
      </c>
      <c r="N562" s="179">
        <f>IFERROR((VLOOKUP(C562,Dados!B:AW,47,0)),0)</f>
        <v>0</v>
      </c>
      <c r="O562" s="197">
        <f t="shared" si="27"/>
        <v>2</v>
      </c>
      <c r="P562" s="1">
        <f t="shared" si="26"/>
        <v>0</v>
      </c>
      <c r="Q562" s="221"/>
    </row>
    <row r="563" spans="2:17" ht="25" x14ac:dyDescent="0.3">
      <c r="B563" s="16">
        <v>513</v>
      </c>
      <c r="C563" s="16" t="s">
        <v>827</v>
      </c>
      <c r="D563" s="16" t="s">
        <v>1582</v>
      </c>
      <c r="E563" s="16" t="s">
        <v>2117</v>
      </c>
      <c r="F563" s="200" t="s">
        <v>828</v>
      </c>
      <c r="G563" s="189" t="str">
        <f>IFERROR(VLOOKUP(C563,#REF!,4,FALSE),"")</f>
        <v/>
      </c>
      <c r="H563" s="249">
        <f>VLOOKUP(C563,Dados!B:AW,11,0)</f>
        <v>1.29</v>
      </c>
      <c r="I563" s="16" t="str">
        <f>(VLOOKUP(C563,Dados!B:AW,48,0))</f>
        <v>Fase de Degradação</v>
      </c>
      <c r="J563" s="189" t="s">
        <v>735</v>
      </c>
      <c r="K563" s="177">
        <f>IFERROR((VLOOKUP(C563,Dados!B:AW,44,0)),0)</f>
        <v>0</v>
      </c>
      <c r="L563" s="177">
        <f>IFERROR((VLOOKUP(C563,Dados!B:AW,45,0)),0)</f>
        <v>0</v>
      </c>
      <c r="M563" s="177">
        <f>IFERROR((VLOOKUP(C563,Dados!B:AW,43,0)),0)</f>
        <v>0</v>
      </c>
      <c r="N563" s="179">
        <f>IFERROR((VLOOKUP(C563,Dados!B:AW,47,0)),0)</f>
        <v>0</v>
      </c>
      <c r="O563" s="197">
        <f t="shared" si="27"/>
        <v>1</v>
      </c>
      <c r="P563" s="1">
        <f t="shared" si="26"/>
        <v>0</v>
      </c>
      <c r="Q563" s="221"/>
    </row>
    <row r="564" spans="2:17" ht="25" x14ac:dyDescent="0.3">
      <c r="B564" s="16">
        <v>514</v>
      </c>
      <c r="C564" s="16" t="s">
        <v>1861</v>
      </c>
      <c r="D564" s="16" t="s">
        <v>1582</v>
      </c>
      <c r="E564" s="16" t="s">
        <v>2117</v>
      </c>
      <c r="F564" s="200" t="s">
        <v>1730</v>
      </c>
      <c r="G564" s="189" t="str">
        <f>IFERROR(VLOOKUP(C564,#REF!,4,FALSE),"")</f>
        <v/>
      </c>
      <c r="H564" s="250">
        <f>VLOOKUP(C564,Dados!B:AW,11,0)</f>
        <v>3.36</v>
      </c>
      <c r="I564" s="16" t="str">
        <f>(VLOOKUP(C564,Dados!B:AW,48,0))</f>
        <v>Fase de Degradação</v>
      </c>
      <c r="J564" s="189" t="s">
        <v>735</v>
      </c>
      <c r="K564" s="177">
        <f>IFERROR((VLOOKUP(C564,Dados!B:AW,44,0)),0)</f>
        <v>0</v>
      </c>
      <c r="L564" s="177">
        <f>IFERROR((VLOOKUP(C564,Dados!B:AW,45,0)),0)</f>
        <v>0</v>
      </c>
      <c r="M564" s="177">
        <f>IFERROR((VLOOKUP(C564,Dados!B:AW,43,0)),0)</f>
        <v>0</v>
      </c>
      <c r="N564" s="179">
        <f>IFERROR((VLOOKUP(C564,Dados!B:AW,47,0)),0)</f>
        <v>0</v>
      </c>
      <c r="O564" s="197">
        <f t="shared" si="27"/>
        <v>1</v>
      </c>
      <c r="P564" s="1">
        <f t="shared" si="26"/>
        <v>0</v>
      </c>
      <c r="Q564" s="221"/>
    </row>
    <row r="565" spans="2:17" ht="25" x14ac:dyDescent="0.3">
      <c r="B565" s="16">
        <v>330</v>
      </c>
      <c r="C565" s="16" t="s">
        <v>388</v>
      </c>
      <c r="D565" s="16" t="s">
        <v>1583</v>
      </c>
      <c r="E565" s="16" t="s">
        <v>2120</v>
      </c>
      <c r="F565" s="200" t="s">
        <v>209</v>
      </c>
      <c r="G565" s="189" t="str">
        <f>IFERROR(VLOOKUP(C565,#REF!,4,FALSE),"")</f>
        <v/>
      </c>
      <c r="H565" s="249">
        <f>VLOOKUP(C565,Dados!B:AW,11,0)</f>
        <v>0.92</v>
      </c>
      <c r="I565" s="16" t="str">
        <f>(VLOOKUP(C565,Dados!B:AW,48,0))</f>
        <v>Confiabilidade em Crescimento</v>
      </c>
      <c r="J565" s="189" t="s">
        <v>734</v>
      </c>
      <c r="K565" s="177">
        <f>IFERROR((VLOOKUP(C565,Dados!B:AW,44,0)),0)</f>
        <v>0</v>
      </c>
      <c r="L565" s="177">
        <f>IFERROR((VLOOKUP(C565,Dados!B:AW,45,0)),0)</f>
        <v>0</v>
      </c>
      <c r="M565" s="177">
        <f>IFERROR((VLOOKUP(C565,Dados!B:AW,43,0)),0)</f>
        <v>0</v>
      </c>
      <c r="N565" s="179">
        <f>IFERROR((VLOOKUP(C565,Dados!B:AW,47,0)),0)</f>
        <v>0</v>
      </c>
      <c r="O565" s="197">
        <f t="shared" si="27"/>
        <v>2</v>
      </c>
      <c r="P565" s="1">
        <f t="shared" si="26"/>
        <v>0</v>
      </c>
      <c r="Q565" s="221"/>
    </row>
    <row r="566" spans="2:17" ht="25" x14ac:dyDescent="0.3">
      <c r="B566" s="16">
        <v>343</v>
      </c>
      <c r="C566" s="16" t="s">
        <v>1833</v>
      </c>
      <c r="D566" s="16" t="s">
        <v>1583</v>
      </c>
      <c r="E566" s="16" t="s">
        <v>2120</v>
      </c>
      <c r="F566" s="200" t="s">
        <v>1702</v>
      </c>
      <c r="G566" s="189" t="str">
        <f>IFERROR(VLOOKUP(C566,#REF!,4,FALSE),"")</f>
        <v/>
      </c>
      <c r="H566" s="249">
        <f>VLOOKUP(C566,Dados!B:AW,11,0)</f>
        <v>2.75</v>
      </c>
      <c r="I566" s="16" t="str">
        <f>(VLOOKUP(C566,Dados!B:AW,48,0))</f>
        <v>Fase de Degradação</v>
      </c>
      <c r="J566" s="189" t="s">
        <v>735</v>
      </c>
      <c r="K566" s="177">
        <f>IFERROR((VLOOKUP(C566,Dados!B:AW,44,0)),0)</f>
        <v>0</v>
      </c>
      <c r="L566" s="177">
        <f>IFERROR((VLOOKUP(C566,Dados!B:AW,45,0)),0)</f>
        <v>0</v>
      </c>
      <c r="M566" s="177">
        <f>IFERROR((VLOOKUP(C566,Dados!B:AW,43,0)),0)</f>
        <v>0</v>
      </c>
      <c r="N566" s="179">
        <f>IFERROR((VLOOKUP(C566,Dados!B:AW,47,0)),0)</f>
        <v>0</v>
      </c>
      <c r="O566" s="197">
        <f t="shared" si="27"/>
        <v>1</v>
      </c>
      <c r="P566" s="1">
        <f t="shared" si="26"/>
        <v>0</v>
      </c>
      <c r="Q566" s="221"/>
    </row>
    <row r="567" spans="2:17" ht="25" x14ac:dyDescent="0.3">
      <c r="B567" s="16">
        <v>322</v>
      </c>
      <c r="C567" s="16" t="s">
        <v>351</v>
      </c>
      <c r="D567" s="16" t="s">
        <v>1583</v>
      </c>
      <c r="E567" s="16" t="s">
        <v>2121</v>
      </c>
      <c r="F567" s="200" t="s">
        <v>172</v>
      </c>
      <c r="G567" s="189" t="str">
        <f>IFERROR(VLOOKUP(C567,#REF!,4,FALSE),"")</f>
        <v/>
      </c>
      <c r="H567" s="248">
        <f>VLOOKUP(C567,Dados!B:AW,11,0)</f>
        <v>1.36</v>
      </c>
      <c r="I567" s="16" t="str">
        <f>(VLOOKUP(C567,Dados!B:AW,48,0))</f>
        <v>Fase de Degradação</v>
      </c>
      <c r="J567" s="189" t="s">
        <v>735</v>
      </c>
      <c r="K567" s="177">
        <f>IFERROR((VLOOKUP(C567,Dados!B:AW,44,0)),0)</f>
        <v>0</v>
      </c>
      <c r="L567" s="177">
        <f>IFERROR((VLOOKUP(C567,Dados!B:AW,45,0)),0)</f>
        <v>0</v>
      </c>
      <c r="M567" s="177">
        <f>IFERROR((VLOOKUP(C567,Dados!B:AW,43,0)),0)</f>
        <v>0</v>
      </c>
      <c r="N567" s="179">
        <f>IFERROR((VLOOKUP(C567,Dados!B:AW,47,0)),0)</f>
        <v>0</v>
      </c>
      <c r="O567" s="197">
        <f t="shared" si="27"/>
        <v>1</v>
      </c>
      <c r="P567" s="1">
        <f t="shared" si="26"/>
        <v>0</v>
      </c>
      <c r="Q567" s="221"/>
    </row>
    <row r="568" spans="2:17" ht="25" x14ac:dyDescent="0.3">
      <c r="B568" s="16">
        <v>336</v>
      </c>
      <c r="C568" s="16" t="s">
        <v>793</v>
      </c>
      <c r="D568" s="16" t="s">
        <v>1583</v>
      </c>
      <c r="E568" s="16" t="s">
        <v>2121</v>
      </c>
      <c r="F568" s="200" t="s">
        <v>794</v>
      </c>
      <c r="G568" s="189" t="str">
        <f>IFERROR(VLOOKUP(C568,#REF!,4,FALSE),"")</f>
        <v/>
      </c>
      <c r="H568" s="249">
        <f>VLOOKUP(C568,Dados!B:AW,11,0)</f>
        <v>1.34</v>
      </c>
      <c r="I568" s="16" t="str">
        <f>(VLOOKUP(C568,Dados!B:AW,48,0))</f>
        <v>Fase de Degradação</v>
      </c>
      <c r="J568" s="189" t="s">
        <v>735</v>
      </c>
      <c r="K568" s="177">
        <f>IFERROR((VLOOKUP(C568,Dados!B:AW,44,0)),0)</f>
        <v>0</v>
      </c>
      <c r="L568" s="177">
        <f>IFERROR((VLOOKUP(C568,Dados!B:AW,45,0)),0)</f>
        <v>0</v>
      </c>
      <c r="M568" s="177">
        <f>IFERROR((VLOOKUP(C568,Dados!B:AW,43,0)),0)</f>
        <v>0</v>
      </c>
      <c r="N568" s="179">
        <f>IFERROR((VLOOKUP(C568,Dados!B:AW,47,0)),0)</f>
        <v>0</v>
      </c>
      <c r="O568" s="197">
        <f t="shared" si="27"/>
        <v>1</v>
      </c>
      <c r="P568" s="1">
        <f t="shared" si="26"/>
        <v>0</v>
      </c>
      <c r="Q568" s="221"/>
    </row>
    <row r="569" spans="2:17" ht="25" x14ac:dyDescent="0.3">
      <c r="B569" s="16">
        <v>337</v>
      </c>
      <c r="C569" s="16" t="s">
        <v>1026</v>
      </c>
      <c r="D569" s="16" t="s">
        <v>1583</v>
      </c>
      <c r="E569" s="16" t="s">
        <v>2121</v>
      </c>
      <c r="F569" s="200" t="s">
        <v>1027</v>
      </c>
      <c r="G569" s="189" t="str">
        <f>IFERROR(VLOOKUP(C569,#REF!,4,FALSE),"")</f>
        <v/>
      </c>
      <c r="H569" s="249">
        <f>VLOOKUP(C569,Dados!B:AW,11,0)</f>
        <v>0.46</v>
      </c>
      <c r="I569" s="16" t="str">
        <f>(VLOOKUP(C569,Dados!B:AW,48,0))</f>
        <v>Confiabilidade em Crescimento</v>
      </c>
      <c r="J569" s="189" t="s">
        <v>735</v>
      </c>
      <c r="K569" s="177">
        <f>IFERROR((VLOOKUP(C569,Dados!B:AW,44,0)),0)</f>
        <v>0</v>
      </c>
      <c r="L569" s="177">
        <f>IFERROR((VLOOKUP(C569,Dados!B:AW,45,0)),0)</f>
        <v>0</v>
      </c>
      <c r="M569" s="177">
        <f>IFERROR((VLOOKUP(C569,Dados!B:AW,43,0)),0)</f>
        <v>0</v>
      </c>
      <c r="N569" s="179">
        <f>IFERROR((VLOOKUP(C569,Dados!B:AW,47,0)),0)</f>
        <v>0</v>
      </c>
      <c r="O569" s="197">
        <f t="shared" si="27"/>
        <v>2</v>
      </c>
      <c r="P569" s="1">
        <f t="shared" si="26"/>
        <v>0</v>
      </c>
      <c r="Q569" s="221"/>
    </row>
    <row r="570" spans="2:17" ht="25" x14ac:dyDescent="0.3">
      <c r="B570" s="16">
        <v>318</v>
      </c>
      <c r="C570" s="16" t="s">
        <v>647</v>
      </c>
      <c r="D570" s="16" t="s">
        <v>1585</v>
      </c>
      <c r="E570" s="16" t="s">
        <v>2142</v>
      </c>
      <c r="F570" s="200" t="s">
        <v>648</v>
      </c>
      <c r="G570" s="189" t="str">
        <f>IFERROR(VLOOKUP(C570,#REF!,4,FALSE),"")</f>
        <v/>
      </c>
      <c r="H570" s="248">
        <f>VLOOKUP(C570,Dados!B:AW,11,0)</f>
        <v>1.61</v>
      </c>
      <c r="I570" s="16" t="str">
        <f>(VLOOKUP(C570,Dados!B:AW,48,0))</f>
        <v>Fase de Degradação</v>
      </c>
      <c r="J570" s="189" t="s">
        <v>735</v>
      </c>
      <c r="K570" s="177">
        <f>IFERROR((VLOOKUP(C570,Dados!B:AW,44,0)),0)</f>
        <v>0</v>
      </c>
      <c r="L570" s="177">
        <f>IFERROR((VLOOKUP(C570,Dados!B:AW,45,0)),0)</f>
        <v>0</v>
      </c>
      <c r="M570" s="177">
        <f>IFERROR((VLOOKUP(C570,Dados!B:AW,43,0)),0)</f>
        <v>0</v>
      </c>
      <c r="N570" s="179">
        <f>IFERROR((VLOOKUP(C570,Dados!B:AW,47,0)),0)</f>
        <v>0</v>
      </c>
      <c r="O570" s="197">
        <f t="shared" si="27"/>
        <v>1</v>
      </c>
      <c r="P570" s="1">
        <f t="shared" si="26"/>
        <v>0</v>
      </c>
      <c r="Q570" s="221"/>
    </row>
    <row r="571" spans="2:17" ht="25" x14ac:dyDescent="0.3">
      <c r="B571" s="16">
        <v>321</v>
      </c>
      <c r="C571" s="16" t="s">
        <v>623</v>
      </c>
      <c r="D571" s="16" t="s">
        <v>1585</v>
      </c>
      <c r="E571" s="16" t="s">
        <v>2142</v>
      </c>
      <c r="F571" s="200" t="s">
        <v>624</v>
      </c>
      <c r="G571" s="189" t="str">
        <f>IFERROR(VLOOKUP(C571,#REF!,4,FALSE),"")</f>
        <v/>
      </c>
      <c r="H571" s="248">
        <f>VLOOKUP(C571,Dados!B:AW,11,0)</f>
        <v>1.93</v>
      </c>
      <c r="I571" s="16" t="str">
        <f>(VLOOKUP(C571,Dados!B:AW,48,0))</f>
        <v>Fase de Degradação</v>
      </c>
      <c r="J571" s="189" t="s">
        <v>735</v>
      </c>
      <c r="K571" s="177">
        <f>IFERROR((VLOOKUP(C571,Dados!B:AW,44,0)),0)</f>
        <v>0</v>
      </c>
      <c r="L571" s="177">
        <f>IFERROR((VLOOKUP(C571,Dados!B:AW,45,0)),0)</f>
        <v>0</v>
      </c>
      <c r="M571" s="177">
        <f>IFERROR((VLOOKUP(C571,Dados!B:AW,43,0)),0)</f>
        <v>0</v>
      </c>
      <c r="N571" s="179">
        <f>IFERROR((VLOOKUP(C571,Dados!B:AW,47,0)),0)</f>
        <v>0</v>
      </c>
      <c r="O571" s="197">
        <f t="shared" si="27"/>
        <v>1</v>
      </c>
      <c r="P571" s="1">
        <f t="shared" si="26"/>
        <v>0</v>
      </c>
      <c r="Q571" s="221"/>
    </row>
    <row r="572" spans="2:17" ht="25" x14ac:dyDescent="0.3">
      <c r="B572" s="16">
        <v>334</v>
      </c>
      <c r="C572" s="16" t="s">
        <v>791</v>
      </c>
      <c r="D572" s="16" t="s">
        <v>1585</v>
      </c>
      <c r="E572" s="16" t="s">
        <v>2142</v>
      </c>
      <c r="F572" s="200" t="s">
        <v>792</v>
      </c>
      <c r="G572" s="189" t="str">
        <f>IFERROR(VLOOKUP(C572,#REF!,4,FALSE),"")</f>
        <v/>
      </c>
      <c r="H572" s="249">
        <f>VLOOKUP(C572,Dados!B:AW,11,0)</f>
        <v>0.63</v>
      </c>
      <c r="I572" s="16" t="str">
        <f>(VLOOKUP(C572,Dados!B:AW,48,0))</f>
        <v>Confiabilidade em Crescimento</v>
      </c>
      <c r="J572" s="189" t="s">
        <v>735</v>
      </c>
      <c r="K572" s="177">
        <f>IFERROR((VLOOKUP(C572,Dados!B:AW,44,0)),0)</f>
        <v>0</v>
      </c>
      <c r="L572" s="177">
        <f>IFERROR((VLOOKUP(C572,Dados!B:AW,45,0)),0)</f>
        <v>0</v>
      </c>
      <c r="M572" s="177">
        <f>IFERROR((VLOOKUP(C572,Dados!B:AW,43,0)),0)</f>
        <v>0</v>
      </c>
      <c r="N572" s="179">
        <f>IFERROR((VLOOKUP(C572,Dados!B:AW,47,0)),0)</f>
        <v>0</v>
      </c>
      <c r="O572" s="197">
        <f t="shared" si="27"/>
        <v>2</v>
      </c>
      <c r="P572" s="1">
        <f t="shared" si="26"/>
        <v>0</v>
      </c>
      <c r="Q572" s="221"/>
    </row>
    <row r="573" spans="2:17" ht="30.5" x14ac:dyDescent="0.3">
      <c r="B573" s="16">
        <v>304</v>
      </c>
      <c r="C573" s="387" t="s">
        <v>34</v>
      </c>
      <c r="D573" s="16" t="s">
        <v>1592</v>
      </c>
      <c r="E573" s="387" t="s">
        <v>2138</v>
      </c>
      <c r="F573" s="200" t="s">
        <v>9</v>
      </c>
      <c r="G573" s="388" t="str">
        <f>IFERROR(VLOOKUP(C573,#REF!,4,FALSE),"")</f>
        <v/>
      </c>
      <c r="H573" s="389">
        <f>VLOOKUP(C573,Dados!B:AW,11,0)</f>
        <v>1.08</v>
      </c>
      <c r="I573" s="387" t="str">
        <f>(VLOOKUP(C573,Dados!B:AW,48,0))</f>
        <v>Fase de Vida Útil</v>
      </c>
      <c r="J573" s="388" t="s">
        <v>733</v>
      </c>
      <c r="K573" s="390">
        <f>IFERROR((VLOOKUP(C573,Dados!B:AW,44,0)),0)</f>
        <v>0</v>
      </c>
      <c r="L573" s="390">
        <f>IFERROR((VLOOKUP(C573,Dados!B:AW,45,0)),0)</f>
        <v>0</v>
      </c>
      <c r="M573" s="390">
        <f>IFERROR((VLOOKUP(C573,Dados!B:AW,43,0)),0)</f>
        <v>0</v>
      </c>
      <c r="N573" s="391">
        <f>IFERROR((VLOOKUP(C573,Dados!B:AW,47,0)),0)</f>
        <v>0</v>
      </c>
      <c r="O573" s="392">
        <f t="shared" si="27"/>
        <v>-1</v>
      </c>
      <c r="P573" s="1">
        <f t="shared" si="26"/>
        <v>0</v>
      </c>
      <c r="Q573" s="221"/>
    </row>
    <row r="574" spans="2:17" ht="30.5" x14ac:dyDescent="0.3">
      <c r="B574" s="16">
        <v>519</v>
      </c>
      <c r="C574" s="387" t="s">
        <v>412</v>
      </c>
      <c r="D574" s="16" t="s">
        <v>1592</v>
      </c>
      <c r="E574" s="387" t="s">
        <v>2138</v>
      </c>
      <c r="F574" s="200" t="s">
        <v>233</v>
      </c>
      <c r="G574" s="388" t="str">
        <f>IFERROR(VLOOKUP(C574,#REF!,4,FALSE),"")</f>
        <v/>
      </c>
      <c r="H574" s="389">
        <f>VLOOKUP(C574,Dados!B:AW,11,0)</f>
        <v>1.1100000000000001</v>
      </c>
      <c r="I574" s="387" t="str">
        <f>(VLOOKUP(C574,Dados!B:AW,48,0))</f>
        <v>Fase de Degradação</v>
      </c>
      <c r="J574" s="388" t="s">
        <v>733</v>
      </c>
      <c r="K574" s="390">
        <f>IFERROR((VLOOKUP(C574,Dados!B:AW,44,0)),0)</f>
        <v>0</v>
      </c>
      <c r="L574" s="390">
        <f>IFERROR((VLOOKUP(C574,Dados!B:AW,45,0)),0)</f>
        <v>0</v>
      </c>
      <c r="M574" s="390">
        <f>IFERROR((VLOOKUP(C574,Dados!B:AW,43,0)),0)</f>
        <v>0</v>
      </c>
      <c r="N574" s="391">
        <f>IFERROR((VLOOKUP(C574,Dados!B:AW,47,0)),0)</f>
        <v>0</v>
      </c>
      <c r="O574" s="392">
        <f t="shared" si="27"/>
        <v>-1</v>
      </c>
      <c r="P574" s="1">
        <f t="shared" si="26"/>
        <v>0</v>
      </c>
      <c r="Q574" s="221"/>
    </row>
    <row r="575" spans="2:17" ht="25" x14ac:dyDescent="0.3">
      <c r="B575" s="16">
        <v>520</v>
      </c>
      <c r="C575" s="16" t="s">
        <v>42</v>
      </c>
      <c r="D575" s="16" t="s">
        <v>1592</v>
      </c>
      <c r="E575" s="16" t="s">
        <v>2138</v>
      </c>
      <c r="F575" s="200" t="s">
        <v>17</v>
      </c>
      <c r="G575" s="189" t="str">
        <f>IFERROR(VLOOKUP(C575,#REF!,4,FALSE),"")</f>
        <v/>
      </c>
      <c r="H575" s="248">
        <f>VLOOKUP(C575,Dados!B:AW,11,0)</f>
        <v>0.94</v>
      </c>
      <c r="I575" s="16" t="str">
        <f>(VLOOKUP(C575,Dados!B:AW,48,0))</f>
        <v>Confiabilidade em Crescimento</v>
      </c>
      <c r="J575" s="189" t="s">
        <v>735</v>
      </c>
      <c r="K575" s="177">
        <f>IFERROR((VLOOKUP(C575,Dados!B:AW,44,0)),0)</f>
        <v>0</v>
      </c>
      <c r="L575" s="177">
        <f>IFERROR((VLOOKUP(C575,Dados!B:AW,45,0)),0)</f>
        <v>0</v>
      </c>
      <c r="M575" s="177">
        <f>IFERROR((VLOOKUP(C575,Dados!B:AW,43,0)),0)</f>
        <v>0</v>
      </c>
      <c r="N575" s="179">
        <f>IFERROR((VLOOKUP(C575,Dados!B:AW,47,0)),0)</f>
        <v>0</v>
      </c>
      <c r="O575" s="197">
        <f t="shared" si="27"/>
        <v>2</v>
      </c>
      <c r="P575" s="1">
        <f t="shared" si="26"/>
        <v>0</v>
      </c>
      <c r="Q575" s="221"/>
    </row>
    <row r="576" spans="2:17" ht="25" x14ac:dyDescent="0.3">
      <c r="B576" s="16">
        <v>521</v>
      </c>
      <c r="C576" s="16" t="s">
        <v>43</v>
      </c>
      <c r="D576" s="16" t="s">
        <v>1592</v>
      </c>
      <c r="E576" s="16" t="s">
        <v>2138</v>
      </c>
      <c r="F576" s="200" t="s">
        <v>15</v>
      </c>
      <c r="G576" s="189" t="str">
        <f>IFERROR(VLOOKUP(C576,#REF!,4,FALSE),"")</f>
        <v/>
      </c>
      <c r="H576" s="248">
        <f>VLOOKUP(C576,Dados!B:AW,11,0)</f>
        <v>0.89</v>
      </c>
      <c r="I576" s="16" t="str">
        <f>(VLOOKUP(C576,Dados!B:AW,48,0))</f>
        <v>Confiabilidade em Crescimento</v>
      </c>
      <c r="J576" s="189" t="s">
        <v>735</v>
      </c>
      <c r="K576" s="177">
        <f>IFERROR((VLOOKUP(C576,Dados!B:AW,44,0)),0)</f>
        <v>0</v>
      </c>
      <c r="L576" s="177">
        <f>IFERROR((VLOOKUP(C576,Dados!B:AW,45,0)),0)</f>
        <v>0</v>
      </c>
      <c r="M576" s="177">
        <f>IFERROR((VLOOKUP(C576,Dados!B:AW,43,0)),0)</f>
        <v>0</v>
      </c>
      <c r="N576" s="179">
        <f>IFERROR((VLOOKUP(C576,Dados!B:AW,47,0)),0)</f>
        <v>0</v>
      </c>
      <c r="O576" s="197">
        <f t="shared" si="27"/>
        <v>2</v>
      </c>
      <c r="P576" s="1">
        <f t="shared" si="26"/>
        <v>0</v>
      </c>
      <c r="Q576" s="221"/>
    </row>
    <row r="577" spans="2:17" ht="25" x14ac:dyDescent="0.3">
      <c r="B577" s="16">
        <v>522</v>
      </c>
      <c r="C577" s="16" t="s">
        <v>19</v>
      </c>
      <c r="D577" s="16" t="s">
        <v>1592</v>
      </c>
      <c r="E577" s="16" t="s">
        <v>2138</v>
      </c>
      <c r="F577" s="200" t="s">
        <v>16</v>
      </c>
      <c r="G577" s="189" t="str">
        <f>IFERROR(VLOOKUP(C577,#REF!,4,FALSE),"")</f>
        <v/>
      </c>
      <c r="H577" s="248">
        <f>VLOOKUP(C577,Dados!B:AW,11,0)</f>
        <v>0.88</v>
      </c>
      <c r="I577" s="16" t="str">
        <f>(VLOOKUP(C577,Dados!B:AW,48,0))</f>
        <v>Confiabilidade em Crescimento</v>
      </c>
      <c r="J577" s="189" t="s">
        <v>735</v>
      </c>
      <c r="K577" s="177">
        <f>IFERROR((VLOOKUP(C577,Dados!B:AW,44,0)),0)</f>
        <v>0</v>
      </c>
      <c r="L577" s="177">
        <f>IFERROR((VLOOKUP(C577,Dados!B:AW,45,0)),0)</f>
        <v>0</v>
      </c>
      <c r="M577" s="177">
        <f>IFERROR((VLOOKUP(C577,Dados!B:AW,43,0)),0)</f>
        <v>0</v>
      </c>
      <c r="N577" s="179">
        <f>IFERROR((VLOOKUP(C577,Dados!B:AW,47,0)),0)</f>
        <v>0</v>
      </c>
      <c r="O577" s="197">
        <f t="shared" si="27"/>
        <v>2</v>
      </c>
      <c r="P577" s="1">
        <f t="shared" si="26"/>
        <v>0</v>
      </c>
      <c r="Q577" s="221"/>
    </row>
    <row r="578" spans="2:17" ht="25" x14ac:dyDescent="0.3">
      <c r="B578" s="16">
        <v>523</v>
      </c>
      <c r="C578" s="16" t="s">
        <v>313</v>
      </c>
      <c r="D578" s="16" t="s">
        <v>1592</v>
      </c>
      <c r="E578" s="16" t="s">
        <v>2138</v>
      </c>
      <c r="F578" s="200" t="s">
        <v>112</v>
      </c>
      <c r="G578" s="189" t="str">
        <f>IFERROR(VLOOKUP(C578,#REF!,4,FALSE),"")</f>
        <v/>
      </c>
      <c r="H578" s="250">
        <f>VLOOKUP(C578,Dados!B:AW,11,0)</f>
        <v>0.86</v>
      </c>
      <c r="I578" s="16" t="str">
        <f>(VLOOKUP(C578,Dados!B:AW,48,0))</f>
        <v>Confiabilidade em Crescimento</v>
      </c>
      <c r="J578" s="189" t="s">
        <v>735</v>
      </c>
      <c r="K578" s="177">
        <f>IFERROR((VLOOKUP(C578,Dados!B:AW,44,0)),0)</f>
        <v>0</v>
      </c>
      <c r="L578" s="177">
        <f>IFERROR((VLOOKUP(C578,Dados!B:AW,45,0)),0)</f>
        <v>0</v>
      </c>
      <c r="M578" s="177">
        <f>IFERROR((VLOOKUP(C578,Dados!B:AW,43,0)),0)</f>
        <v>0</v>
      </c>
      <c r="N578" s="179">
        <f>IFERROR((VLOOKUP(C578,Dados!B:AW,47,0)),0)</f>
        <v>0</v>
      </c>
      <c r="O578" s="197">
        <f t="shared" si="27"/>
        <v>2</v>
      </c>
      <c r="P578" s="1">
        <f t="shared" si="26"/>
        <v>0</v>
      </c>
      <c r="Q578" s="221"/>
    </row>
    <row r="579" spans="2:17" ht="25" x14ac:dyDescent="0.3">
      <c r="B579" s="16">
        <v>524</v>
      </c>
      <c r="C579" s="16" t="s">
        <v>44</v>
      </c>
      <c r="D579" s="16" t="s">
        <v>1592</v>
      </c>
      <c r="E579" s="16" t="s">
        <v>2138</v>
      </c>
      <c r="F579" s="200" t="s">
        <v>14</v>
      </c>
      <c r="G579" s="189" t="str">
        <f>IFERROR(VLOOKUP(C579,#REF!,4,FALSE),"")</f>
        <v/>
      </c>
      <c r="H579" s="249">
        <f>VLOOKUP(C579,Dados!B:AW,11,0)</f>
        <v>1.1200000000000001</v>
      </c>
      <c r="I579" s="16" t="str">
        <f>(VLOOKUP(C579,Dados!B:AW,48,0))</f>
        <v>Fase de Degradação</v>
      </c>
      <c r="J579" s="189" t="s">
        <v>735</v>
      </c>
      <c r="K579" s="177">
        <f>IFERROR((VLOOKUP(C579,Dados!B:AW,44,0)),0)</f>
        <v>0</v>
      </c>
      <c r="L579" s="177">
        <f>IFERROR((VLOOKUP(C579,Dados!B:AW,45,0)),0)</f>
        <v>0</v>
      </c>
      <c r="M579" s="177">
        <f>IFERROR((VLOOKUP(C579,Dados!B:AW,43,0)),0)</f>
        <v>0</v>
      </c>
      <c r="N579" s="179">
        <f>IFERROR((VLOOKUP(C579,Dados!B:AW,47,0)),0)</f>
        <v>0</v>
      </c>
      <c r="O579" s="197">
        <f t="shared" si="27"/>
        <v>1</v>
      </c>
      <c r="P579" s="1">
        <f t="shared" si="26"/>
        <v>0</v>
      </c>
      <c r="Q579" s="221"/>
    </row>
    <row r="580" spans="2:17" ht="25" x14ac:dyDescent="0.3">
      <c r="B580" s="16">
        <v>532</v>
      </c>
      <c r="C580" s="16" t="s">
        <v>311</v>
      </c>
      <c r="D580" s="16" t="s">
        <v>1592</v>
      </c>
      <c r="E580" s="16" t="s">
        <v>2138</v>
      </c>
      <c r="F580" s="200" t="s">
        <v>737</v>
      </c>
      <c r="G580" s="189" t="str">
        <f>IFERROR(VLOOKUP(C580,#REF!,4,FALSE),"")</f>
        <v/>
      </c>
      <c r="H580" s="249">
        <f>VLOOKUP(C580,Dados!B:AW,11,0)</f>
        <v>1.1399999999999999</v>
      </c>
      <c r="I580" s="16" t="str">
        <f>(VLOOKUP(C580,Dados!B:AW,48,0))</f>
        <v>Fase de Degradação</v>
      </c>
      <c r="J580" s="189" t="s">
        <v>735</v>
      </c>
      <c r="K580" s="177">
        <f>IFERROR((VLOOKUP(C580,Dados!B:AW,44,0)),0)</f>
        <v>0</v>
      </c>
      <c r="L580" s="177">
        <f>IFERROR((VLOOKUP(C580,Dados!B:AW,45,0)),0)</f>
        <v>0</v>
      </c>
      <c r="M580" s="177">
        <f>IFERROR((VLOOKUP(C580,Dados!B:AW,43,0)),0)</f>
        <v>0</v>
      </c>
      <c r="N580" s="179">
        <f>IFERROR((VLOOKUP(C580,Dados!B:AW,47,0)),0)</f>
        <v>0</v>
      </c>
      <c r="O580" s="197">
        <f t="shared" si="27"/>
        <v>1</v>
      </c>
      <c r="P580" s="1">
        <f t="shared" si="26"/>
        <v>0</v>
      </c>
      <c r="Q580" s="221"/>
    </row>
    <row r="581" spans="2:17" ht="25" x14ac:dyDescent="0.3">
      <c r="B581" s="16">
        <v>641</v>
      </c>
      <c r="C581" s="16" t="s">
        <v>1194</v>
      </c>
      <c r="D581" s="16" t="s">
        <v>1591</v>
      </c>
      <c r="E581" s="16" t="s">
        <v>1194</v>
      </c>
      <c r="F581" s="200" t="s">
        <v>1195</v>
      </c>
      <c r="G581" s="189" t="str">
        <f>IFERROR(VLOOKUP(C581,#REF!,4,FALSE),"")</f>
        <v/>
      </c>
      <c r="H581" s="249">
        <f>VLOOKUP(C581,Dados!B:AW,11,0)</f>
        <v>0.77</v>
      </c>
      <c r="I581" s="16" t="str">
        <f>(VLOOKUP(C581,Dados!B:AW,48,0))</f>
        <v>Confiabilidade em Crescimento</v>
      </c>
      <c r="J581" s="189" t="s">
        <v>735</v>
      </c>
      <c r="K581" s="177">
        <f>IFERROR((VLOOKUP(C581,Dados!B:AW,44,0)),0)</f>
        <v>0</v>
      </c>
      <c r="L581" s="177">
        <f>IFERROR((VLOOKUP(C581,Dados!B:AW,45,0)),0)</f>
        <v>0</v>
      </c>
      <c r="M581" s="177">
        <f>IFERROR((VLOOKUP(C581,Dados!B:AW,43,0)),0)</f>
        <v>0</v>
      </c>
      <c r="N581" s="179">
        <f>IFERROR((VLOOKUP(C581,Dados!B:AW,47,0)),0)</f>
        <v>0</v>
      </c>
      <c r="O581" s="197">
        <f t="shared" si="27"/>
        <v>2</v>
      </c>
      <c r="P581" s="1">
        <f t="shared" si="26"/>
        <v>0</v>
      </c>
      <c r="Q581" s="221"/>
    </row>
    <row r="582" spans="2:17" ht="25" x14ac:dyDescent="0.3">
      <c r="B582" s="16">
        <v>642</v>
      </c>
      <c r="C582" s="16" t="s">
        <v>586</v>
      </c>
      <c r="D582" s="16" t="s">
        <v>1591</v>
      </c>
      <c r="E582" s="16" t="s">
        <v>586</v>
      </c>
      <c r="F582" s="200" t="s">
        <v>587</v>
      </c>
      <c r="G582" s="189" t="str">
        <f>IFERROR(VLOOKUP(C582,#REF!,4,FALSE),"")</f>
        <v/>
      </c>
      <c r="H582" s="249">
        <f>VLOOKUP(C582,Dados!B:AW,11,0)</f>
        <v>1.05</v>
      </c>
      <c r="I582" s="16" t="str">
        <f>(VLOOKUP(C582,Dados!B:AW,48,0))</f>
        <v>Fase de Vida Útil</v>
      </c>
      <c r="J582" s="189" t="s">
        <v>735</v>
      </c>
      <c r="K582" s="177">
        <f>IFERROR((VLOOKUP(C582,Dados!B:AW,44,0)),0)</f>
        <v>0</v>
      </c>
      <c r="L582" s="177">
        <f>IFERROR((VLOOKUP(C582,Dados!B:AW,45,0)),0)</f>
        <v>0</v>
      </c>
      <c r="M582" s="177">
        <f>IFERROR((VLOOKUP(C582,Dados!B:AW,43,0)),0)</f>
        <v>0</v>
      </c>
      <c r="N582" s="179">
        <f>IFERROR((VLOOKUP(C582,Dados!B:AW,47,0)),0)</f>
        <v>0</v>
      </c>
      <c r="O582" s="197">
        <f t="shared" si="27"/>
        <v>2</v>
      </c>
      <c r="P582" s="1">
        <f t="shared" ref="P582:P645" si="28">IF(G582="",0,IF(H582&gt;G582,-1,1))</f>
        <v>0</v>
      </c>
      <c r="Q582" s="221"/>
    </row>
    <row r="583" spans="2:17" ht="25" x14ac:dyDescent="0.3">
      <c r="B583" s="16">
        <v>643</v>
      </c>
      <c r="C583" s="16" t="s">
        <v>1196</v>
      </c>
      <c r="D583" s="16" t="s">
        <v>1591</v>
      </c>
      <c r="E583" s="16" t="s">
        <v>1196</v>
      </c>
      <c r="F583" s="200" t="s">
        <v>1197</v>
      </c>
      <c r="G583" s="189" t="str">
        <f>IFERROR(VLOOKUP(C583,#REF!,4,FALSE),"")</f>
        <v/>
      </c>
      <c r="H583" s="249">
        <f>VLOOKUP(C583,Dados!B:AW,11,0)</f>
        <v>1.35</v>
      </c>
      <c r="I583" s="16" t="str">
        <f>(VLOOKUP(C583,Dados!B:AW,48,0))</f>
        <v>Fase de Degradação</v>
      </c>
      <c r="J583" s="189" t="s">
        <v>735</v>
      </c>
      <c r="K583" s="177">
        <f>IFERROR((VLOOKUP(C583,Dados!B:AW,44,0)),0)</f>
        <v>0</v>
      </c>
      <c r="L583" s="177">
        <f>IFERROR((VLOOKUP(C583,Dados!B:AW,45,0)),0)</f>
        <v>0</v>
      </c>
      <c r="M583" s="177">
        <f>IFERROR((VLOOKUP(C583,Dados!B:AW,43,0)),0)</f>
        <v>0</v>
      </c>
      <c r="N583" s="179">
        <f>IFERROR((VLOOKUP(C583,Dados!B:AW,47,0)),0)</f>
        <v>0</v>
      </c>
      <c r="O583" s="197">
        <f t="shared" si="27"/>
        <v>1</v>
      </c>
      <c r="P583" s="1">
        <f t="shared" si="28"/>
        <v>0</v>
      </c>
      <c r="Q583" s="221"/>
    </row>
    <row r="584" spans="2:17" ht="25" x14ac:dyDescent="0.3">
      <c r="B584" s="16">
        <v>644</v>
      </c>
      <c r="C584" s="16" t="s">
        <v>1885</v>
      </c>
      <c r="D584" s="16" t="s">
        <v>1591</v>
      </c>
      <c r="E584" s="16" t="s">
        <v>1885</v>
      </c>
      <c r="F584" s="200" t="s">
        <v>1198</v>
      </c>
      <c r="G584" s="189" t="str">
        <f>IFERROR(VLOOKUP(C584,#REF!,4,FALSE),"")</f>
        <v/>
      </c>
      <c r="H584" s="249">
        <f>VLOOKUP(C584,Dados!B:AW,11,0)</f>
        <v>0.8</v>
      </c>
      <c r="I584" s="16" t="str">
        <f>(VLOOKUP(C584,Dados!B:AW,48,0))</f>
        <v>Confiabilidade em Crescimento</v>
      </c>
      <c r="J584" s="189" t="s">
        <v>735</v>
      </c>
      <c r="K584" s="177">
        <f>IFERROR((VLOOKUP(C584,Dados!B:AW,44,0)),0)</f>
        <v>0</v>
      </c>
      <c r="L584" s="177">
        <f>IFERROR((VLOOKUP(C584,Dados!B:AW,45,0)),0)</f>
        <v>0</v>
      </c>
      <c r="M584" s="177">
        <f>IFERROR((VLOOKUP(C584,Dados!B:AW,43,0)),0)</f>
        <v>0</v>
      </c>
      <c r="N584" s="179">
        <f>IFERROR((VLOOKUP(C584,Dados!B:AW,47,0)),0)</f>
        <v>0</v>
      </c>
      <c r="O584" s="197">
        <f t="shared" si="27"/>
        <v>2</v>
      </c>
      <c r="P584" s="1">
        <f t="shared" si="28"/>
        <v>0</v>
      </c>
      <c r="Q584" s="221"/>
    </row>
    <row r="585" spans="2:17" ht="25" x14ac:dyDescent="0.3">
      <c r="B585" s="16">
        <v>556</v>
      </c>
      <c r="C585" s="16" t="s">
        <v>460</v>
      </c>
      <c r="D585" s="16" t="s">
        <v>1585</v>
      </c>
      <c r="E585" s="16" t="s">
        <v>2148</v>
      </c>
      <c r="F585" s="252" t="str">
        <f>VLOOKUP(C585,[9]Dados!B:C,2,0)</f>
        <v>ROB023-ROBÔ</v>
      </c>
      <c r="G585" s="189" t="str">
        <f>IFERROR(VLOOKUP(C585,#REF!,4,FALSE),"")</f>
        <v/>
      </c>
      <c r="H585" s="249">
        <f>VLOOKUP(C585,Dados!B:AW,11,0)</f>
        <v>0.69</v>
      </c>
      <c r="I585" s="16" t="str">
        <f>(VLOOKUP(C585,Dados!B:AW,48,0))</f>
        <v>Confiabilidade em Crescimento</v>
      </c>
      <c r="J585" s="189" t="s">
        <v>733</v>
      </c>
      <c r="K585" s="177">
        <f>IFERROR((VLOOKUP(C585,Dados!B:AW,44,0)),0)</f>
        <v>0</v>
      </c>
      <c r="L585" s="177">
        <f>IFERROR((VLOOKUP(C585,Dados!B:AW,45,0)),0)</f>
        <v>0</v>
      </c>
      <c r="M585" s="177">
        <f>IFERROR((VLOOKUP(C585,Dados!B:AW,43,0)),0)</f>
        <v>0</v>
      </c>
      <c r="N585" s="179">
        <f>IFERROR((VLOOKUP(C585,Dados!B:AW,47,0)),0)</f>
        <v>0</v>
      </c>
      <c r="O585" s="197">
        <f t="shared" si="27"/>
        <v>-1</v>
      </c>
      <c r="P585" s="1">
        <f t="shared" si="28"/>
        <v>0</v>
      </c>
      <c r="Q585" s="221"/>
    </row>
    <row r="586" spans="2:17" ht="25" x14ac:dyDescent="0.3">
      <c r="B586" s="16">
        <v>645</v>
      </c>
      <c r="C586" s="16" t="s">
        <v>853</v>
      </c>
      <c r="D586" s="16" t="s">
        <v>1585</v>
      </c>
      <c r="E586" s="16" t="s">
        <v>2148</v>
      </c>
      <c r="F586" s="200" t="s">
        <v>854</v>
      </c>
      <c r="G586" s="189" t="str">
        <f>IFERROR(VLOOKUP(C586,#REF!,4,FALSE),"")</f>
        <v/>
      </c>
      <c r="H586" s="249">
        <f>VLOOKUP(C586,Dados!B:AW,11,0)</f>
        <v>0.69</v>
      </c>
      <c r="I586" s="16" t="str">
        <f>(VLOOKUP(C586,Dados!B:AW,48,0))</f>
        <v>Confiabilidade em Crescimento</v>
      </c>
      <c r="J586" s="189" t="s">
        <v>732</v>
      </c>
      <c r="K586" s="177">
        <f>IFERROR((VLOOKUP(C586,Dados!B:AW,44,0)),0)</f>
        <v>0</v>
      </c>
      <c r="L586" s="177">
        <f>IFERROR((VLOOKUP(C586,Dados!B:AW,45,0)),0)</f>
        <v>0</v>
      </c>
      <c r="M586" s="177">
        <f>IFERROR((VLOOKUP(C586,Dados!B:AW,43,0)),0)</f>
        <v>0</v>
      </c>
      <c r="N586" s="179">
        <f>IFERROR((VLOOKUP(C586,Dados!B:AW,47,0)),0)</f>
        <v>0</v>
      </c>
      <c r="O586" s="197">
        <f t="shared" si="27"/>
        <v>2</v>
      </c>
      <c r="P586" s="1">
        <f t="shared" si="28"/>
        <v>0</v>
      </c>
      <c r="Q586" s="221"/>
    </row>
    <row r="587" spans="2:17" ht="25" x14ac:dyDescent="0.3">
      <c r="B587" s="16">
        <v>646</v>
      </c>
      <c r="C587" s="16" t="s">
        <v>855</v>
      </c>
      <c r="D587" s="16" t="s">
        <v>1585</v>
      </c>
      <c r="E587" s="16" t="s">
        <v>2148</v>
      </c>
      <c r="F587" s="200" t="s">
        <v>856</v>
      </c>
      <c r="G587" s="189" t="str">
        <f>IFERROR(VLOOKUP(C587,#REF!,4,FALSE),"")</f>
        <v/>
      </c>
      <c r="H587" s="249">
        <f>VLOOKUP(C587,Dados!B:AW,11,0)</f>
        <v>1.05</v>
      </c>
      <c r="I587" s="16" t="str">
        <f>(VLOOKUP(C587,Dados!B:AW,48,0))</f>
        <v>Fase de Vida Útil</v>
      </c>
      <c r="J587" s="189" t="s">
        <v>732</v>
      </c>
      <c r="K587" s="177">
        <f>IFERROR((VLOOKUP(C587,Dados!B:AW,44,0)),0)</f>
        <v>0</v>
      </c>
      <c r="L587" s="177">
        <f>IFERROR((VLOOKUP(C587,Dados!B:AW,45,0)),0)</f>
        <v>0</v>
      </c>
      <c r="M587" s="177">
        <f>IFERROR((VLOOKUP(C587,Dados!B:AW,43,0)),0)</f>
        <v>0</v>
      </c>
      <c r="N587" s="179">
        <f>IFERROR((VLOOKUP(C587,Dados!B:AW,47,0)),0)</f>
        <v>0</v>
      </c>
      <c r="O587" s="197">
        <f t="shared" si="27"/>
        <v>2</v>
      </c>
      <c r="P587" s="1">
        <f t="shared" si="28"/>
        <v>0</v>
      </c>
      <c r="Q587" s="221"/>
    </row>
    <row r="588" spans="2:17" ht="25" x14ac:dyDescent="0.3">
      <c r="B588" s="16">
        <v>647</v>
      </c>
      <c r="C588" s="16" t="s">
        <v>857</v>
      </c>
      <c r="D588" s="16" t="s">
        <v>1585</v>
      </c>
      <c r="E588" s="16" t="s">
        <v>2148</v>
      </c>
      <c r="F588" s="200" t="s">
        <v>858</v>
      </c>
      <c r="G588" s="189" t="str">
        <f>IFERROR(VLOOKUP(C588,#REF!,4,FALSE),"")</f>
        <v/>
      </c>
      <c r="H588" s="249">
        <f>VLOOKUP(C588,Dados!B:AW,11,0)</f>
        <v>1.07</v>
      </c>
      <c r="I588" s="16" t="str">
        <f>(VLOOKUP(C588,Dados!B:AW,48,0))</f>
        <v>Fase de Vida Útil</v>
      </c>
      <c r="J588" s="189" t="s">
        <v>732</v>
      </c>
      <c r="K588" s="177">
        <f>IFERROR((VLOOKUP(C588,Dados!B:AW,44,0)),0)</f>
        <v>0</v>
      </c>
      <c r="L588" s="177">
        <f>IFERROR((VLOOKUP(C588,Dados!B:AW,45,0)),0)</f>
        <v>0</v>
      </c>
      <c r="M588" s="177">
        <f>IFERROR((VLOOKUP(C588,Dados!B:AW,43,0)),0)</f>
        <v>0</v>
      </c>
      <c r="N588" s="179">
        <f>IFERROR((VLOOKUP(C588,Dados!B:AW,47,0)),0)</f>
        <v>0</v>
      </c>
      <c r="O588" s="197">
        <f t="shared" si="27"/>
        <v>2</v>
      </c>
      <c r="P588" s="1">
        <f t="shared" si="28"/>
        <v>0</v>
      </c>
      <c r="Q588" s="221"/>
    </row>
    <row r="589" spans="2:17" ht="25" x14ac:dyDescent="0.3">
      <c r="B589" s="16">
        <v>648</v>
      </c>
      <c r="C589" s="16" t="s">
        <v>859</v>
      </c>
      <c r="D589" s="16" t="s">
        <v>1585</v>
      </c>
      <c r="E589" s="16" t="s">
        <v>2148</v>
      </c>
      <c r="F589" s="200" t="s">
        <v>860</v>
      </c>
      <c r="G589" s="189" t="str">
        <f>IFERROR(VLOOKUP(C589,#REF!,4,FALSE),"")</f>
        <v/>
      </c>
      <c r="H589" s="249">
        <f>VLOOKUP(C589,Dados!B:AW,11,0)</f>
        <v>1.19</v>
      </c>
      <c r="I589" s="16" t="str">
        <f>(VLOOKUP(C589,Dados!B:AW,48,0))</f>
        <v>Fase de Degradação</v>
      </c>
      <c r="J589" s="189" t="s">
        <v>735</v>
      </c>
      <c r="K589" s="177">
        <f>IFERROR((VLOOKUP(C589,Dados!B:AW,44,0)),0)</f>
        <v>0</v>
      </c>
      <c r="L589" s="177">
        <f>IFERROR((VLOOKUP(C589,Dados!B:AW,45,0)),0)</f>
        <v>0</v>
      </c>
      <c r="M589" s="177">
        <f>IFERROR((VLOOKUP(C589,Dados!B:AW,43,0)),0)</f>
        <v>0</v>
      </c>
      <c r="N589" s="179">
        <f>IFERROR((VLOOKUP(C589,Dados!B:AW,47,0)),0)</f>
        <v>0</v>
      </c>
      <c r="O589" s="197">
        <f t="shared" si="27"/>
        <v>1</v>
      </c>
      <c r="P589" s="1">
        <f t="shared" si="28"/>
        <v>0</v>
      </c>
      <c r="Q589" s="221"/>
    </row>
    <row r="590" spans="2:17" ht="25" x14ac:dyDescent="0.3">
      <c r="B590" s="16">
        <v>649</v>
      </c>
      <c r="C590" s="16" t="s">
        <v>861</v>
      </c>
      <c r="D590" s="16" t="s">
        <v>1585</v>
      </c>
      <c r="E590" s="16" t="s">
        <v>2148</v>
      </c>
      <c r="F590" s="200" t="s">
        <v>862</v>
      </c>
      <c r="G590" s="189" t="str">
        <f>IFERROR(VLOOKUP(C590,#REF!,4,FALSE),"")</f>
        <v/>
      </c>
      <c r="H590" s="249">
        <f>VLOOKUP(C590,Dados!B:AW,11,0)</f>
        <v>1.69</v>
      </c>
      <c r="I590" s="16" t="str">
        <f>(VLOOKUP(C590,Dados!B:AW,48,0))</f>
        <v>Fase de Degradação</v>
      </c>
      <c r="J590" s="189" t="s">
        <v>735</v>
      </c>
      <c r="K590" s="177">
        <f>IFERROR((VLOOKUP(C590,Dados!B:AW,44,0)),0)</f>
        <v>0</v>
      </c>
      <c r="L590" s="177">
        <f>IFERROR((VLOOKUP(C590,Dados!B:AW,45,0)),0)</f>
        <v>0</v>
      </c>
      <c r="M590" s="177">
        <f>IFERROR((VLOOKUP(C590,Dados!B:AW,43,0)),0)</f>
        <v>0</v>
      </c>
      <c r="N590" s="179">
        <f>IFERROR((VLOOKUP(C590,Dados!B:AW,47,0)),0)</f>
        <v>0</v>
      </c>
      <c r="O590" s="197">
        <f t="shared" si="27"/>
        <v>1</v>
      </c>
      <c r="P590" s="1">
        <f t="shared" si="28"/>
        <v>0</v>
      </c>
      <c r="Q590" s="221"/>
    </row>
    <row r="591" spans="2:17" ht="25" x14ac:dyDescent="0.3">
      <c r="B591" s="16">
        <v>650</v>
      </c>
      <c r="C591" s="16" t="s">
        <v>863</v>
      </c>
      <c r="D591" s="16" t="s">
        <v>1585</v>
      </c>
      <c r="E591" s="16" t="s">
        <v>2148</v>
      </c>
      <c r="F591" s="200" t="s">
        <v>864</v>
      </c>
      <c r="G591" s="189" t="str">
        <f>IFERROR(VLOOKUP(C591,#REF!,4,FALSE),"")</f>
        <v/>
      </c>
      <c r="H591" s="249">
        <f>VLOOKUP(C591,Dados!B:AW,11,0)</f>
        <v>2.04</v>
      </c>
      <c r="I591" s="16" t="str">
        <f>(VLOOKUP(C591,Dados!B:AW,48,0))</f>
        <v>Fase de Degradação</v>
      </c>
      <c r="J591" s="189" t="s">
        <v>735</v>
      </c>
      <c r="K591" s="177">
        <f>IFERROR((VLOOKUP(C591,Dados!B:AW,44,0)),0)</f>
        <v>0</v>
      </c>
      <c r="L591" s="177">
        <f>IFERROR((VLOOKUP(C591,Dados!B:AW,45,0)),0)</f>
        <v>0</v>
      </c>
      <c r="M591" s="177">
        <f>IFERROR((VLOOKUP(C591,Dados!B:AW,43,0)),0)</f>
        <v>0</v>
      </c>
      <c r="N591" s="179">
        <f>IFERROR((VLOOKUP(C591,Dados!B:AW,47,0)),0)</f>
        <v>0</v>
      </c>
      <c r="O591" s="197">
        <f t="shared" si="27"/>
        <v>1</v>
      </c>
      <c r="P591" s="1">
        <f t="shared" si="28"/>
        <v>0</v>
      </c>
      <c r="Q591" s="221"/>
    </row>
    <row r="592" spans="2:17" ht="25" x14ac:dyDescent="0.3">
      <c r="B592" s="16">
        <v>651</v>
      </c>
      <c r="C592" s="16" t="s">
        <v>1199</v>
      </c>
      <c r="D592" s="16" t="s">
        <v>1585</v>
      </c>
      <c r="E592" s="16" t="s">
        <v>2148</v>
      </c>
      <c r="F592" s="200" t="s">
        <v>1200</v>
      </c>
      <c r="G592" s="189" t="str">
        <f>IFERROR(VLOOKUP(C592,#REF!,4,FALSE),"")</f>
        <v/>
      </c>
      <c r="H592" s="249">
        <f>VLOOKUP(C592,Dados!B:AW,11,0)</f>
        <v>0.84</v>
      </c>
      <c r="I592" s="16" t="str">
        <f>(VLOOKUP(C592,Dados!B:AW,48,0))</f>
        <v>Confiabilidade em Crescimento</v>
      </c>
      <c r="J592" s="189" t="s">
        <v>735</v>
      </c>
      <c r="K592" s="177">
        <f>IFERROR((VLOOKUP(C592,Dados!B:AW,44,0)),0)</f>
        <v>0</v>
      </c>
      <c r="L592" s="177">
        <f>IFERROR((VLOOKUP(C592,Dados!B:AW,45,0)),0)</f>
        <v>0</v>
      </c>
      <c r="M592" s="177">
        <f>IFERROR((VLOOKUP(C592,Dados!B:AW,43,0)),0)</f>
        <v>0</v>
      </c>
      <c r="N592" s="179">
        <f>IFERROR((VLOOKUP(C592,Dados!B:AW,47,0)),0)</f>
        <v>0</v>
      </c>
      <c r="O592" s="197">
        <f t="shared" si="27"/>
        <v>2</v>
      </c>
      <c r="P592" s="1">
        <f t="shared" si="28"/>
        <v>0</v>
      </c>
      <c r="Q592" s="221"/>
    </row>
    <row r="593" spans="2:17" ht="25" x14ac:dyDescent="0.3">
      <c r="B593" s="16">
        <v>660</v>
      </c>
      <c r="C593" s="16" t="s">
        <v>416</v>
      </c>
      <c r="D593" s="16" t="s">
        <v>1587</v>
      </c>
      <c r="E593" s="16" t="s">
        <v>416</v>
      </c>
      <c r="F593" s="200" t="s">
        <v>237</v>
      </c>
      <c r="G593" s="189" t="str">
        <f>IFERROR(VLOOKUP(C593,#REF!,4,FALSE),"")</f>
        <v/>
      </c>
      <c r="H593" s="249">
        <f>VLOOKUP(C593,Dados!B:AW,11,0)</f>
        <v>1.38</v>
      </c>
      <c r="I593" s="16" t="str">
        <f>(VLOOKUP(C593,Dados!B:AW,48,0))</f>
        <v>Fase de Degradação</v>
      </c>
      <c r="J593" s="189" t="s">
        <v>734</v>
      </c>
      <c r="K593" s="177">
        <f>IFERROR((VLOOKUP(C593,Dados!B:AW,44,0)),0)</f>
        <v>0</v>
      </c>
      <c r="L593" s="177">
        <f>IFERROR((VLOOKUP(C593,Dados!B:AW,45,0)),0)</f>
        <v>0</v>
      </c>
      <c r="M593" s="177">
        <f>IFERROR((VLOOKUP(C593,Dados!B:AW,43,0)),0)</f>
        <v>0</v>
      </c>
      <c r="N593" s="179">
        <f>IFERROR((VLOOKUP(C593,Dados!B:AW,47,0)),0)</f>
        <v>0</v>
      </c>
      <c r="O593" s="197">
        <f t="shared" si="27"/>
        <v>1</v>
      </c>
      <c r="P593" s="1">
        <f t="shared" si="28"/>
        <v>0</v>
      </c>
      <c r="Q593" s="221"/>
    </row>
    <row r="594" spans="2:17" ht="25" x14ac:dyDescent="0.3">
      <c r="B594" s="16">
        <v>663</v>
      </c>
      <c r="C594" s="16" t="s">
        <v>415</v>
      </c>
      <c r="D594" s="16" t="s">
        <v>1587</v>
      </c>
      <c r="E594" s="16" t="s">
        <v>415</v>
      </c>
      <c r="F594" s="200" t="s">
        <v>236</v>
      </c>
      <c r="G594" s="189" t="str">
        <f>IFERROR(VLOOKUP(C594,#REF!,4,FALSE),"")</f>
        <v/>
      </c>
      <c r="H594" s="249">
        <f>VLOOKUP(C594,Dados!B:AW,11,0)</f>
        <v>1.35</v>
      </c>
      <c r="I594" s="16" t="str">
        <f>(VLOOKUP(C594,Dados!B:AW,48,0))</f>
        <v>Fase de Degradação</v>
      </c>
      <c r="J594" s="189" t="s">
        <v>734</v>
      </c>
      <c r="K594" s="177">
        <f>IFERROR((VLOOKUP(C594,Dados!B:AW,44,0)),0)</f>
        <v>0</v>
      </c>
      <c r="L594" s="177">
        <f>IFERROR((VLOOKUP(C594,Dados!B:AW,45,0)),0)</f>
        <v>0</v>
      </c>
      <c r="M594" s="177">
        <f>IFERROR((VLOOKUP(C594,Dados!B:AW,43,0)),0)</f>
        <v>0</v>
      </c>
      <c r="N594" s="179">
        <f>IFERROR((VLOOKUP(C594,Dados!B:AW,47,0)),0)</f>
        <v>0</v>
      </c>
      <c r="O594" s="197">
        <f t="shared" si="27"/>
        <v>1</v>
      </c>
      <c r="P594" s="1">
        <f t="shared" si="28"/>
        <v>0</v>
      </c>
      <c r="Q594" s="221"/>
    </row>
    <row r="595" spans="2:17" ht="25" x14ac:dyDescent="0.3">
      <c r="B595" s="16">
        <v>666</v>
      </c>
      <c r="C595" s="16" t="s">
        <v>422</v>
      </c>
      <c r="D595" s="16" t="s">
        <v>1587</v>
      </c>
      <c r="E595" s="16" t="s">
        <v>422</v>
      </c>
      <c r="F595" s="200" t="s">
        <v>244</v>
      </c>
      <c r="G595" s="189" t="str">
        <f>IFERROR(VLOOKUP(C595,#REF!,4,FALSE),"")</f>
        <v/>
      </c>
      <c r="H595" s="249">
        <f>VLOOKUP(C595,Dados!B:AW,11,0)</f>
        <v>1.58</v>
      </c>
      <c r="I595" s="16" t="str">
        <f>(VLOOKUP(C595,Dados!B:AW,48,0))</f>
        <v>Fase de Degradação</v>
      </c>
      <c r="J595" s="189" t="s">
        <v>735</v>
      </c>
      <c r="K595" s="177">
        <f>IFERROR((VLOOKUP(C595,Dados!B:AW,44,0)),0)</f>
        <v>0</v>
      </c>
      <c r="L595" s="177">
        <f>IFERROR((VLOOKUP(C595,Dados!B:AW,45,0)),0)</f>
        <v>0</v>
      </c>
      <c r="M595" s="177">
        <f>IFERROR((VLOOKUP(C595,Dados!B:AW,43,0)),0)</f>
        <v>0</v>
      </c>
      <c r="N595" s="179">
        <f>IFERROR((VLOOKUP(C595,Dados!B:AW,47,0)),0)</f>
        <v>0</v>
      </c>
      <c r="O595" s="197">
        <f t="shared" si="27"/>
        <v>1</v>
      </c>
      <c r="P595" s="1">
        <f t="shared" si="28"/>
        <v>0</v>
      </c>
      <c r="Q595" s="221"/>
    </row>
    <row r="596" spans="2:17" ht="25" x14ac:dyDescent="0.3">
      <c r="B596" s="16">
        <v>667</v>
      </c>
      <c r="C596" s="16" t="s">
        <v>399</v>
      </c>
      <c r="D596" s="16" t="s">
        <v>1587</v>
      </c>
      <c r="E596" s="16" t="s">
        <v>399</v>
      </c>
      <c r="F596" s="200" t="s">
        <v>220</v>
      </c>
      <c r="G596" s="189" t="str">
        <f>IFERROR(VLOOKUP(C596,#REF!,4,FALSE),"")</f>
        <v/>
      </c>
      <c r="H596" s="249">
        <f>VLOOKUP(C596,Dados!B:AW,11,0)</f>
        <v>1.83</v>
      </c>
      <c r="I596" s="16" t="str">
        <f>(VLOOKUP(C596,Dados!B:AW,48,0))</f>
        <v>Fase de Degradação</v>
      </c>
      <c r="J596" s="189" t="s">
        <v>735</v>
      </c>
      <c r="K596" s="177">
        <f>IFERROR((VLOOKUP(C596,Dados!B:AW,44,0)),0)</f>
        <v>0</v>
      </c>
      <c r="L596" s="177">
        <f>IFERROR((VLOOKUP(C596,Dados!B:AW,45,0)),0)</f>
        <v>0</v>
      </c>
      <c r="M596" s="177">
        <f>IFERROR((VLOOKUP(C596,Dados!B:AW,43,0)),0)</f>
        <v>0</v>
      </c>
      <c r="N596" s="179">
        <f>IFERROR((VLOOKUP(C596,Dados!B:AW,47,0)),0)</f>
        <v>0</v>
      </c>
      <c r="O596" s="197">
        <f t="shared" si="27"/>
        <v>1</v>
      </c>
      <c r="P596" s="1">
        <f t="shared" si="28"/>
        <v>0</v>
      </c>
      <c r="Q596" s="221"/>
    </row>
    <row r="597" spans="2:17" ht="25" x14ac:dyDescent="0.3">
      <c r="B597" s="16">
        <v>675</v>
      </c>
      <c r="C597" s="16" t="s">
        <v>1888</v>
      </c>
      <c r="D597" s="16" t="s">
        <v>1587</v>
      </c>
      <c r="E597" s="16" t="s">
        <v>1888</v>
      </c>
      <c r="F597" s="200" t="s">
        <v>1756</v>
      </c>
      <c r="G597" s="189" t="str">
        <f>IFERROR(VLOOKUP(C597,#REF!,4,FALSE),"")</f>
        <v/>
      </c>
      <c r="H597" s="249">
        <f>VLOOKUP(C597,Dados!B:AW,11,0)</f>
        <v>0</v>
      </c>
      <c r="I597" s="16">
        <f>(VLOOKUP(C597,Dados!B:AW,48,0))</f>
        <v>0</v>
      </c>
      <c r="J597" s="189" t="s">
        <v>735</v>
      </c>
      <c r="K597" s="177">
        <f>IFERROR((VLOOKUP(C597,Dados!B:AW,44,0)),0)</f>
        <v>0</v>
      </c>
      <c r="L597" s="177">
        <f>IFERROR((VLOOKUP(C597,Dados!B:AW,45,0)),0)</f>
        <v>0</v>
      </c>
      <c r="M597" s="177">
        <f>IFERROR((VLOOKUP(C597,Dados!B:AW,43,0)),0)</f>
        <v>0</v>
      </c>
      <c r="N597" s="179">
        <f>IFERROR((VLOOKUP(C597,Dados!B:AW,47,0)),0)</f>
        <v>0</v>
      </c>
      <c r="O597" s="197">
        <f t="shared" si="27"/>
        <v>2</v>
      </c>
      <c r="P597" s="1">
        <f t="shared" si="28"/>
        <v>0</v>
      </c>
      <c r="Q597" s="221"/>
    </row>
    <row r="598" spans="2:17" ht="25" x14ac:dyDescent="0.3">
      <c r="B598" s="16">
        <v>676</v>
      </c>
      <c r="C598" s="16" t="s">
        <v>1889</v>
      </c>
      <c r="D598" s="16" t="s">
        <v>1587</v>
      </c>
      <c r="E598" s="16" t="s">
        <v>1889</v>
      </c>
      <c r="F598" s="200" t="s">
        <v>1757</v>
      </c>
      <c r="G598" s="189" t="str">
        <f>IFERROR(VLOOKUP(C598,#REF!,4,FALSE),"")</f>
        <v/>
      </c>
      <c r="H598" s="249">
        <f>VLOOKUP(C598,Dados!B:AW,11,0)</f>
        <v>0</v>
      </c>
      <c r="I598" s="16">
        <f>(VLOOKUP(C598,Dados!B:AW,48,0))</f>
        <v>0</v>
      </c>
      <c r="J598" s="189" t="s">
        <v>735</v>
      </c>
      <c r="K598" s="177">
        <f>IFERROR((VLOOKUP(C598,Dados!B:AW,44,0)),0)</f>
        <v>0</v>
      </c>
      <c r="L598" s="177">
        <f>IFERROR((VLOOKUP(C598,Dados!B:AW,45,0)),0)</f>
        <v>0</v>
      </c>
      <c r="M598" s="177">
        <f>IFERROR((VLOOKUP(C598,Dados!B:AW,43,0)),0)</f>
        <v>0</v>
      </c>
      <c r="N598" s="179">
        <f>IFERROR((VLOOKUP(C598,Dados!B:AW,47,0)),0)</f>
        <v>0</v>
      </c>
      <c r="O598" s="197">
        <f t="shared" si="27"/>
        <v>2</v>
      </c>
      <c r="P598" s="1">
        <f t="shared" si="28"/>
        <v>0</v>
      </c>
      <c r="Q598" s="221"/>
    </row>
    <row r="599" spans="2:17" ht="25" x14ac:dyDescent="0.3">
      <c r="B599" s="16">
        <v>678</v>
      </c>
      <c r="C599" s="16" t="s">
        <v>1213</v>
      </c>
      <c r="D599" s="16" t="s">
        <v>1593</v>
      </c>
      <c r="E599" s="16" t="s">
        <v>2150</v>
      </c>
      <c r="F599" s="200" t="s">
        <v>1214</v>
      </c>
      <c r="G599" s="189" t="str">
        <f>IFERROR(VLOOKUP(C599,#REF!,4,FALSE),"")</f>
        <v/>
      </c>
      <c r="H599" s="249">
        <f>VLOOKUP(C599,Dados!B:AW,11,0)</f>
        <v>0.91</v>
      </c>
      <c r="I599" s="16" t="str">
        <f>(VLOOKUP(C599,Dados!B:AW,48,0))</f>
        <v>Confiabilidade em Crescimento</v>
      </c>
      <c r="J599" s="189" t="s">
        <v>735</v>
      </c>
      <c r="K599" s="177">
        <f>IFERROR((VLOOKUP(C599,Dados!B:AW,44,0)),0)</f>
        <v>0</v>
      </c>
      <c r="L599" s="177">
        <f>IFERROR((VLOOKUP(C599,Dados!B:AW,45,0)),0)</f>
        <v>0</v>
      </c>
      <c r="M599" s="177">
        <f>IFERROR((VLOOKUP(C599,Dados!B:AW,43,0)),0)</f>
        <v>0</v>
      </c>
      <c r="N599" s="179">
        <f>IFERROR((VLOOKUP(C599,Dados!B:AW,47,0)),0)</f>
        <v>0</v>
      </c>
      <c r="O599" s="197">
        <f t="shared" si="27"/>
        <v>2</v>
      </c>
      <c r="P599" s="1">
        <f t="shared" si="28"/>
        <v>0</v>
      </c>
      <c r="Q599" s="221"/>
    </row>
    <row r="600" spans="2:17" ht="25" x14ac:dyDescent="0.3">
      <c r="B600" s="16">
        <v>679</v>
      </c>
      <c r="C600" s="16" t="s">
        <v>1215</v>
      </c>
      <c r="D600" s="16" t="s">
        <v>1593</v>
      </c>
      <c r="E600" s="16" t="s">
        <v>2150</v>
      </c>
      <c r="F600" s="200" t="s">
        <v>1216</v>
      </c>
      <c r="G600" s="189" t="str">
        <f>IFERROR(VLOOKUP(C600,#REF!,4,FALSE),"")</f>
        <v/>
      </c>
      <c r="H600" s="249">
        <f>VLOOKUP(C600,Dados!B:AW,11,0)</f>
        <v>1.37</v>
      </c>
      <c r="I600" s="16" t="str">
        <f>(VLOOKUP(C600,Dados!B:AW,48,0))</f>
        <v>Fase de Degradação</v>
      </c>
      <c r="J600" s="189" t="s">
        <v>735</v>
      </c>
      <c r="K600" s="177">
        <f>IFERROR((VLOOKUP(C600,Dados!B:AW,44,0)),0)</f>
        <v>0</v>
      </c>
      <c r="L600" s="177">
        <f>IFERROR((VLOOKUP(C600,Dados!B:AW,45,0)),0)</f>
        <v>0</v>
      </c>
      <c r="M600" s="177">
        <f>IFERROR((VLOOKUP(C600,Dados!B:AW,43,0)),0)</f>
        <v>0</v>
      </c>
      <c r="N600" s="179">
        <f>IFERROR((VLOOKUP(C600,Dados!B:AW,47,0)),0)</f>
        <v>0</v>
      </c>
      <c r="O600" s="197">
        <f t="shared" si="27"/>
        <v>1</v>
      </c>
      <c r="P600" s="1">
        <f t="shared" si="28"/>
        <v>0</v>
      </c>
      <c r="Q600" s="221"/>
    </row>
    <row r="601" spans="2:17" ht="25" x14ac:dyDescent="0.3">
      <c r="B601" s="16">
        <v>680</v>
      </c>
      <c r="C601" s="16" t="s">
        <v>1217</v>
      </c>
      <c r="D601" s="16" t="s">
        <v>1593</v>
      </c>
      <c r="E601" s="16" t="s">
        <v>2150</v>
      </c>
      <c r="F601" s="200" t="s">
        <v>1218</v>
      </c>
      <c r="G601" s="189" t="str">
        <f>IFERROR(VLOOKUP(C601,#REF!,4,FALSE),"")</f>
        <v/>
      </c>
      <c r="H601" s="249">
        <f>VLOOKUP(C601,Dados!B:AW,11,0)</f>
        <v>1.32</v>
      </c>
      <c r="I601" s="16" t="str">
        <f>(VLOOKUP(C601,Dados!B:AW,48,0))</f>
        <v>Fase de Degradação</v>
      </c>
      <c r="J601" s="189" t="s">
        <v>735</v>
      </c>
      <c r="K601" s="177">
        <f>IFERROR((VLOOKUP(C601,Dados!B:AW,44,0)),0)</f>
        <v>0</v>
      </c>
      <c r="L601" s="177">
        <f>IFERROR((VLOOKUP(C601,Dados!B:AW,45,0)),0)</f>
        <v>0</v>
      </c>
      <c r="M601" s="177">
        <f>IFERROR((VLOOKUP(C601,Dados!B:AW,43,0)),0)</f>
        <v>0</v>
      </c>
      <c r="N601" s="179">
        <f>IFERROR((VLOOKUP(C601,Dados!B:AW,47,0)),0)</f>
        <v>0</v>
      </c>
      <c r="O601" s="197">
        <f t="shared" si="27"/>
        <v>1</v>
      </c>
      <c r="P601" s="1">
        <f t="shared" si="28"/>
        <v>0</v>
      </c>
      <c r="Q601" s="221"/>
    </row>
    <row r="602" spans="2:17" ht="25" x14ac:dyDescent="0.3">
      <c r="B602" s="16">
        <v>681</v>
      </c>
      <c r="C602" s="16" t="s">
        <v>1219</v>
      </c>
      <c r="D602" s="16" t="s">
        <v>1593</v>
      </c>
      <c r="E602" s="16" t="s">
        <v>2150</v>
      </c>
      <c r="F602" s="200" t="s">
        <v>1220</v>
      </c>
      <c r="G602" s="189" t="str">
        <f>IFERROR(VLOOKUP(C602,#REF!,4,FALSE),"")</f>
        <v/>
      </c>
      <c r="H602" s="249">
        <f>VLOOKUP(C602,Dados!B:AW,11,0)</f>
        <v>0.93</v>
      </c>
      <c r="I602" s="16" t="str">
        <f>(VLOOKUP(C602,Dados!B:AW,48,0))</f>
        <v>Confiabilidade em Crescimento</v>
      </c>
      <c r="J602" s="189" t="s">
        <v>735</v>
      </c>
      <c r="K602" s="177">
        <f>IFERROR((VLOOKUP(C602,Dados!B:AW,44,0)),0)</f>
        <v>0</v>
      </c>
      <c r="L602" s="177">
        <f>IFERROR((VLOOKUP(C602,Dados!B:AW,45,0)),0)</f>
        <v>0</v>
      </c>
      <c r="M602" s="177">
        <f>IFERROR((VLOOKUP(C602,Dados!B:AW,43,0)),0)</f>
        <v>0</v>
      </c>
      <c r="N602" s="179">
        <f>IFERROR((VLOOKUP(C602,Dados!B:AW,47,0)),0)</f>
        <v>0</v>
      </c>
      <c r="O602" s="197">
        <f t="shared" si="27"/>
        <v>2</v>
      </c>
      <c r="P602" s="1">
        <f t="shared" si="28"/>
        <v>0</v>
      </c>
      <c r="Q602" s="221"/>
    </row>
    <row r="603" spans="2:17" ht="25" x14ac:dyDescent="0.3">
      <c r="B603" s="16">
        <v>319</v>
      </c>
      <c r="C603" s="16" t="s">
        <v>659</v>
      </c>
      <c r="D603" s="16" t="s">
        <v>1592</v>
      </c>
      <c r="E603" s="16" t="s">
        <v>2143</v>
      </c>
      <c r="F603" s="200" t="s">
        <v>660</v>
      </c>
      <c r="G603" s="189" t="str">
        <f>IFERROR(VLOOKUP(C603,#REF!,4,FALSE),"")</f>
        <v/>
      </c>
      <c r="H603" s="250">
        <f>VLOOKUP(C603,Dados!B:AW,11,0)</f>
        <v>1.19</v>
      </c>
      <c r="I603" s="16" t="str">
        <f>(VLOOKUP(C603,Dados!B:AW,48,0))</f>
        <v>Fase de Degradação</v>
      </c>
      <c r="J603" s="189" t="s">
        <v>735</v>
      </c>
      <c r="K603" s="177">
        <f>IFERROR((VLOOKUP(C603,Dados!B:AW,44,0)),0)</f>
        <v>0</v>
      </c>
      <c r="L603" s="177">
        <f>IFERROR((VLOOKUP(C603,Dados!B:AW,45,0)),0)</f>
        <v>0</v>
      </c>
      <c r="M603" s="177">
        <f>IFERROR((VLOOKUP(C603,Dados!B:AW,43,0)),0)</f>
        <v>0</v>
      </c>
      <c r="N603" s="179">
        <f>IFERROR((VLOOKUP(C603,Dados!B:AW,47,0)),0)</f>
        <v>0</v>
      </c>
      <c r="O603" s="197">
        <f t="shared" si="27"/>
        <v>1</v>
      </c>
      <c r="P603" s="1">
        <f t="shared" si="28"/>
        <v>0</v>
      </c>
      <c r="Q603" s="221"/>
    </row>
    <row r="604" spans="2:17" ht="30.5" x14ac:dyDescent="0.3">
      <c r="B604" s="16">
        <v>526</v>
      </c>
      <c r="C604" s="387" t="s">
        <v>669</v>
      </c>
      <c r="D604" s="16" t="s">
        <v>1592</v>
      </c>
      <c r="E604" s="387" t="s">
        <v>2143</v>
      </c>
      <c r="F604" s="200" t="s">
        <v>670</v>
      </c>
      <c r="G604" s="388" t="str">
        <f>IFERROR(VLOOKUP(C604,#REF!,4,FALSE),"")</f>
        <v/>
      </c>
      <c r="H604" s="389">
        <f>VLOOKUP(C604,Dados!B:AW,11,0)</f>
        <v>1.34</v>
      </c>
      <c r="I604" s="387" t="str">
        <f>(VLOOKUP(C604,Dados!B:AW,48,0))</f>
        <v>Fase de Degradação</v>
      </c>
      <c r="J604" s="388" t="s">
        <v>734</v>
      </c>
      <c r="K604" s="390">
        <f>IFERROR((VLOOKUP(C604,Dados!B:AW,44,0)),0)</f>
        <v>0</v>
      </c>
      <c r="L604" s="390">
        <f>IFERROR((VLOOKUP(C604,Dados!B:AW,45,0)),0)</f>
        <v>0</v>
      </c>
      <c r="M604" s="390">
        <f>IFERROR((VLOOKUP(C604,Dados!B:AW,43,0)),0)</f>
        <v>0</v>
      </c>
      <c r="N604" s="391">
        <f>IFERROR((VLOOKUP(C604,Dados!B:AW,47,0)),0)</f>
        <v>0</v>
      </c>
      <c r="O604" s="392">
        <f t="shared" si="27"/>
        <v>1</v>
      </c>
      <c r="P604" s="1">
        <f t="shared" si="28"/>
        <v>0</v>
      </c>
      <c r="Q604" s="221"/>
    </row>
    <row r="605" spans="2:17" ht="30.5" x14ac:dyDescent="0.3">
      <c r="B605" s="16">
        <v>639</v>
      </c>
      <c r="C605" s="387" t="s">
        <v>1190</v>
      </c>
      <c r="D605" s="16" t="s">
        <v>1592</v>
      </c>
      <c r="E605" s="387" t="s">
        <v>2143</v>
      </c>
      <c r="F605" s="200" t="s">
        <v>1191</v>
      </c>
      <c r="G605" s="388" t="str">
        <f>IFERROR(VLOOKUP(C605,#REF!,4,FALSE),"")</f>
        <v/>
      </c>
      <c r="H605" s="389">
        <f>VLOOKUP(C605,Dados!B:AW,11,0)</f>
        <v>1.0900000000000001</v>
      </c>
      <c r="I605" s="387" t="str">
        <f>(VLOOKUP(C605,Dados!B:AW,48,0))</f>
        <v>Fase de Vida Útil</v>
      </c>
      <c r="J605" s="388" t="s">
        <v>733</v>
      </c>
      <c r="K605" s="390">
        <f>IFERROR((VLOOKUP(C605,Dados!B:AW,44,0)),0)</f>
        <v>0</v>
      </c>
      <c r="L605" s="390">
        <f>IFERROR((VLOOKUP(C605,Dados!B:AW,45,0)),0)</f>
        <v>0</v>
      </c>
      <c r="M605" s="390">
        <f>IFERROR((VLOOKUP(C605,Dados!B:AW,43,0)),0)</f>
        <v>0</v>
      </c>
      <c r="N605" s="391">
        <f>IFERROR((VLOOKUP(C605,Dados!B:AW,47,0)),0)</f>
        <v>0</v>
      </c>
      <c r="O605" s="392">
        <f t="shared" si="27"/>
        <v>-1</v>
      </c>
      <c r="P605" s="1">
        <f t="shared" si="28"/>
        <v>0</v>
      </c>
      <c r="Q605" s="221"/>
    </row>
    <row r="606" spans="2:17" ht="30.5" x14ac:dyDescent="0.3">
      <c r="B606" s="16">
        <v>656</v>
      </c>
      <c r="C606" s="387" t="s">
        <v>379</v>
      </c>
      <c r="D606" s="16" t="s">
        <v>1592</v>
      </c>
      <c r="E606" s="387" t="s">
        <v>2143</v>
      </c>
      <c r="F606" s="200" t="s">
        <v>200</v>
      </c>
      <c r="G606" s="388" t="str">
        <f>IFERROR(VLOOKUP(C606,#REF!,4,FALSE),"")</f>
        <v/>
      </c>
      <c r="H606" s="389">
        <f>VLOOKUP(C606,Dados!B:AW,11,0)</f>
        <v>1.03</v>
      </c>
      <c r="I606" s="387" t="str">
        <f>(VLOOKUP(C606,Dados!B:AW,48,0))</f>
        <v>Fase de Vida Útil</v>
      </c>
      <c r="J606" s="388" t="s">
        <v>734</v>
      </c>
      <c r="K606" s="390">
        <f>IFERROR((VLOOKUP(C606,Dados!B:AW,44,0)),0)</f>
        <v>0</v>
      </c>
      <c r="L606" s="390">
        <f>IFERROR((VLOOKUP(C606,Dados!B:AW,45,0)),0)</f>
        <v>0</v>
      </c>
      <c r="M606" s="390">
        <f>IFERROR((VLOOKUP(C606,Dados!B:AW,43,0)),0)</f>
        <v>0</v>
      </c>
      <c r="N606" s="391">
        <f>IFERROR((VLOOKUP(C606,Dados!B:AW,47,0)),0)</f>
        <v>0</v>
      </c>
      <c r="O606" s="392">
        <f t="shared" si="27"/>
        <v>2</v>
      </c>
      <c r="P606" s="1">
        <f t="shared" si="28"/>
        <v>0</v>
      </c>
      <c r="Q606" s="221"/>
    </row>
    <row r="607" spans="2:17" ht="30.5" x14ac:dyDescent="0.3">
      <c r="B607" s="16">
        <v>1</v>
      </c>
      <c r="C607" s="387" t="s">
        <v>880</v>
      </c>
      <c r="D607" s="16" t="s">
        <v>1592</v>
      </c>
      <c r="E607" s="387" t="s">
        <v>2127</v>
      </c>
      <c r="F607" s="200" t="s">
        <v>881</v>
      </c>
      <c r="G607" s="388" t="str">
        <f>IFERROR(VLOOKUP(C607,#REF!,4,FALSE),"")</f>
        <v/>
      </c>
      <c r="H607" s="389">
        <f>VLOOKUP(C607,Dados!B:AW,11,0)</f>
        <v>1.27</v>
      </c>
      <c r="I607" s="387" t="str">
        <f>(VLOOKUP(C607,Dados!B:AW,48,0))</f>
        <v>Fase de Degradação</v>
      </c>
      <c r="J607" s="388" t="s">
        <v>734</v>
      </c>
      <c r="K607" s="390">
        <f>IFERROR((VLOOKUP(C607,Dados!B:AW,44,0)),0)</f>
        <v>0</v>
      </c>
      <c r="L607" s="390">
        <f>IFERROR((VLOOKUP(C607,Dados!B:AW,45,0)),0)</f>
        <v>0</v>
      </c>
      <c r="M607" s="390">
        <f>IFERROR((VLOOKUP(C607,Dados!B:AW,43,0)),0)</f>
        <v>0</v>
      </c>
      <c r="N607" s="391">
        <f>IFERROR((VLOOKUP(C607,Dados!B:AW,47,0)),0)</f>
        <v>0</v>
      </c>
      <c r="O607" s="392">
        <f t="shared" si="27"/>
        <v>1</v>
      </c>
      <c r="P607" s="1">
        <f t="shared" si="28"/>
        <v>0</v>
      </c>
      <c r="Q607" s="221"/>
    </row>
    <row r="608" spans="2:17" ht="25" x14ac:dyDescent="0.3">
      <c r="B608" s="16">
        <v>104</v>
      </c>
      <c r="C608" s="16" t="s">
        <v>956</v>
      </c>
      <c r="D608" s="16" t="s">
        <v>1594</v>
      </c>
      <c r="E608" s="16" t="s">
        <v>2127</v>
      </c>
      <c r="F608" s="200" t="s">
        <v>957</v>
      </c>
      <c r="G608" s="189" t="str">
        <f>IFERROR(VLOOKUP(C608,#REF!,4,FALSE),"")</f>
        <v/>
      </c>
      <c r="H608" s="248">
        <f>VLOOKUP(C608,Dados!B:AW,11,0)</f>
        <v>1.17</v>
      </c>
      <c r="I608" s="16" t="str">
        <f>(VLOOKUP(C608,Dados!B:AW,48,0))</f>
        <v>Fase de Degradação</v>
      </c>
      <c r="J608" s="189" t="s">
        <v>735</v>
      </c>
      <c r="K608" s="177">
        <f>IFERROR((VLOOKUP(C608,Dados!B:AW,44,0)),0)</f>
        <v>0</v>
      </c>
      <c r="L608" s="177">
        <f>IFERROR((VLOOKUP(C608,Dados!B:AW,45,0)),0)</f>
        <v>0</v>
      </c>
      <c r="M608" s="177">
        <f>IFERROR((VLOOKUP(C608,Dados!B:AW,43,0)),0)</f>
        <v>0</v>
      </c>
      <c r="N608" s="179">
        <f>IFERROR((VLOOKUP(C608,Dados!B:AW,47,0)),0)</f>
        <v>0</v>
      </c>
      <c r="O608" s="197">
        <f t="shared" si="27"/>
        <v>1</v>
      </c>
      <c r="P608" s="1">
        <f t="shared" si="28"/>
        <v>0</v>
      </c>
      <c r="Q608" s="221"/>
    </row>
    <row r="609" spans="2:17" ht="25" x14ac:dyDescent="0.3">
      <c r="B609" s="16">
        <v>105</v>
      </c>
      <c r="C609" s="16" t="s">
        <v>1819</v>
      </c>
      <c r="D609" s="16" t="s">
        <v>1594</v>
      </c>
      <c r="E609" s="16" t="s">
        <v>2127</v>
      </c>
      <c r="F609" s="200" t="s">
        <v>1688</v>
      </c>
      <c r="G609" s="189" t="str">
        <f>IFERROR(VLOOKUP(C609,#REF!,4,FALSE),"")</f>
        <v/>
      </c>
      <c r="H609" s="248">
        <f>VLOOKUP(C609,Dados!B:AW,11,0)</f>
        <v>1.01</v>
      </c>
      <c r="I609" s="16" t="str">
        <f>(VLOOKUP(C609,Dados!B:AW,48,0))</f>
        <v>Fase de Vida Útil</v>
      </c>
      <c r="J609" s="189" t="s">
        <v>735</v>
      </c>
      <c r="K609" s="177">
        <f>IFERROR((VLOOKUP(C609,Dados!B:AW,44,0)),0)</f>
        <v>0</v>
      </c>
      <c r="L609" s="177">
        <f>IFERROR((VLOOKUP(C609,Dados!B:AW,45,0)),0)</f>
        <v>0</v>
      </c>
      <c r="M609" s="177">
        <f>IFERROR((VLOOKUP(C609,Dados!B:AW,43,0)),0)</f>
        <v>0</v>
      </c>
      <c r="N609" s="179">
        <f>IFERROR((VLOOKUP(C609,Dados!B:AW,47,0)),0)</f>
        <v>0</v>
      </c>
      <c r="O609" s="197">
        <f t="shared" si="27"/>
        <v>2</v>
      </c>
      <c r="P609" s="1">
        <f t="shared" si="28"/>
        <v>0</v>
      </c>
      <c r="Q609" s="221"/>
    </row>
    <row r="610" spans="2:17" ht="30.5" x14ac:dyDescent="0.3">
      <c r="B610" s="16">
        <v>245</v>
      </c>
      <c r="C610" s="387" t="s">
        <v>998</v>
      </c>
      <c r="D610" s="16" t="s">
        <v>1592</v>
      </c>
      <c r="E610" s="387" t="s">
        <v>2127</v>
      </c>
      <c r="F610" s="200" t="s">
        <v>999</v>
      </c>
      <c r="G610" s="388" t="str">
        <f>IFERROR(VLOOKUP(C610,#REF!,4,FALSE),"")</f>
        <v/>
      </c>
      <c r="H610" s="393">
        <f>VLOOKUP(C610,Dados!B:AW,11,0)</f>
        <v>1.1599999999999999</v>
      </c>
      <c r="I610" s="387" t="str">
        <f>(VLOOKUP(C610,Dados!B:AW,48,0))</f>
        <v>Fase de Degradação</v>
      </c>
      <c r="J610" s="388" t="s">
        <v>734</v>
      </c>
      <c r="K610" s="390">
        <f>IFERROR((VLOOKUP(C610,Dados!B:AW,44,0)),0)</f>
        <v>0</v>
      </c>
      <c r="L610" s="390">
        <f>IFERROR((VLOOKUP(C610,Dados!B:AW,45,0)),0)</f>
        <v>0</v>
      </c>
      <c r="M610" s="390">
        <f>IFERROR((VLOOKUP(C610,Dados!B:AW,43,0)),0)</f>
        <v>0</v>
      </c>
      <c r="N610" s="391">
        <f>IFERROR((VLOOKUP(C610,Dados!B:AW,47,0)),0)</f>
        <v>0</v>
      </c>
      <c r="O610" s="392">
        <f t="shared" si="27"/>
        <v>1</v>
      </c>
      <c r="P610" s="1">
        <f t="shared" si="28"/>
        <v>0</v>
      </c>
      <c r="Q610" s="221"/>
    </row>
    <row r="611" spans="2:17" ht="25" x14ac:dyDescent="0.3">
      <c r="B611" s="16">
        <v>310</v>
      </c>
      <c r="C611" s="16" t="s">
        <v>386</v>
      </c>
      <c r="D611" s="16" t="s">
        <v>1594</v>
      </c>
      <c r="E611" s="16" t="s">
        <v>2127</v>
      </c>
      <c r="F611" s="200" t="s">
        <v>207</v>
      </c>
      <c r="G611" s="189" t="str">
        <f>IFERROR(VLOOKUP(C611,#REF!,4,FALSE),"")</f>
        <v/>
      </c>
      <c r="H611" s="248">
        <f>VLOOKUP(C611,Dados!B:AW,11,0)</f>
        <v>1.59</v>
      </c>
      <c r="I611" s="16" t="str">
        <f>(VLOOKUP(C611,Dados!B:AW,48,0))</f>
        <v>Fase de Degradação</v>
      </c>
      <c r="J611" s="189" t="s">
        <v>733</v>
      </c>
      <c r="K611" s="177">
        <f>IFERROR((VLOOKUP(C611,Dados!B:AW,44,0)),0)</f>
        <v>0</v>
      </c>
      <c r="L611" s="177">
        <f>IFERROR((VLOOKUP(C611,Dados!B:AW,45,0)),0)</f>
        <v>0</v>
      </c>
      <c r="M611" s="177">
        <f>IFERROR((VLOOKUP(C611,Dados!B:AW,43,0)),0)</f>
        <v>0</v>
      </c>
      <c r="N611" s="179">
        <f>IFERROR((VLOOKUP(C611,Dados!B:AW,47,0)),0)</f>
        <v>0</v>
      </c>
      <c r="O611" s="197">
        <f t="shared" si="27"/>
        <v>-1</v>
      </c>
      <c r="P611" s="1">
        <f t="shared" si="28"/>
        <v>0</v>
      </c>
      <c r="Q611" s="221"/>
    </row>
    <row r="612" spans="2:17" ht="25" x14ac:dyDescent="0.3">
      <c r="B612" s="16">
        <v>311</v>
      </c>
      <c r="C612" s="16" t="s">
        <v>1024</v>
      </c>
      <c r="D612" s="16" t="s">
        <v>1594</v>
      </c>
      <c r="E612" s="16" t="s">
        <v>2127</v>
      </c>
      <c r="F612" s="200" t="s">
        <v>1025</v>
      </c>
      <c r="G612" s="189" t="str">
        <f>IFERROR(VLOOKUP(C612,#REF!,4,FALSE),"")</f>
        <v/>
      </c>
      <c r="H612" s="249">
        <f>VLOOKUP(C612,Dados!B:AW,11,0)</f>
        <v>1.1399999999999999</v>
      </c>
      <c r="I612" s="16" t="str">
        <f>(VLOOKUP(C612,Dados!B:AW,48,0))</f>
        <v>Fase de Degradação</v>
      </c>
      <c r="J612" s="189" t="s">
        <v>734</v>
      </c>
      <c r="K612" s="177">
        <f>IFERROR((VLOOKUP(C612,Dados!B:AW,44,0)),0)</f>
        <v>0</v>
      </c>
      <c r="L612" s="177">
        <f>IFERROR((VLOOKUP(C612,Dados!B:AW,45,0)),0)</f>
        <v>0</v>
      </c>
      <c r="M612" s="177">
        <f>IFERROR((VLOOKUP(C612,Dados!B:AW,43,0)),0)</f>
        <v>0</v>
      </c>
      <c r="N612" s="179">
        <f>IFERROR((VLOOKUP(C612,Dados!B:AW,47,0)),0)</f>
        <v>0</v>
      </c>
      <c r="O612" s="197">
        <f t="shared" si="27"/>
        <v>1</v>
      </c>
      <c r="P612" s="1">
        <f t="shared" si="28"/>
        <v>0</v>
      </c>
      <c r="Q612" s="221"/>
    </row>
    <row r="613" spans="2:17" ht="25" x14ac:dyDescent="0.3">
      <c r="B613" s="16">
        <v>312</v>
      </c>
      <c r="C613" s="16" t="s">
        <v>665</v>
      </c>
      <c r="D613" s="16" t="s">
        <v>1592</v>
      </c>
      <c r="E613" s="16" t="s">
        <v>2127</v>
      </c>
      <c r="F613" s="200" t="s">
        <v>666</v>
      </c>
      <c r="G613" s="189" t="str">
        <f>IFERROR(VLOOKUP(C613,#REF!,4,FALSE),"")</f>
        <v/>
      </c>
      <c r="H613" s="248">
        <f>VLOOKUP(C613,Dados!B:AW,11,0)</f>
        <v>0.96</v>
      </c>
      <c r="I613" s="16" t="str">
        <f>(VLOOKUP(C613,Dados!B:AW,48,0))</f>
        <v>Confiabilidade em Crescimento</v>
      </c>
      <c r="J613" s="189" t="s">
        <v>734</v>
      </c>
      <c r="K613" s="177">
        <f>IFERROR((VLOOKUP(C613,Dados!B:AW,44,0)),0)</f>
        <v>0</v>
      </c>
      <c r="L613" s="177">
        <f>IFERROR((VLOOKUP(C613,Dados!B:AW,45,0)),0)</f>
        <v>0</v>
      </c>
      <c r="M613" s="177">
        <f>IFERROR((VLOOKUP(C613,Dados!B:AW,43,0)),0)</f>
        <v>0</v>
      </c>
      <c r="N613" s="179">
        <f>IFERROR((VLOOKUP(C613,Dados!B:AW,47,0)),0)</f>
        <v>0</v>
      </c>
      <c r="O613" s="197">
        <f t="shared" si="27"/>
        <v>2</v>
      </c>
      <c r="P613" s="1">
        <f t="shared" si="28"/>
        <v>0</v>
      </c>
      <c r="Q613" s="221"/>
    </row>
    <row r="614" spans="2:17" ht="25" x14ac:dyDescent="0.3">
      <c r="B614" s="16">
        <v>313</v>
      </c>
      <c r="C614" s="16" t="s">
        <v>584</v>
      </c>
      <c r="D614" s="16" t="s">
        <v>1592</v>
      </c>
      <c r="E614" s="16" t="s">
        <v>2127</v>
      </c>
      <c r="F614" s="200" t="s">
        <v>585</v>
      </c>
      <c r="G614" s="189" t="str">
        <f>IFERROR(VLOOKUP(C614,#REF!,4,FALSE),"")</f>
        <v/>
      </c>
      <c r="H614" s="248">
        <f>VLOOKUP(C614,Dados!B:AW,11,0)</f>
        <v>0.76</v>
      </c>
      <c r="I614" s="16" t="str">
        <f>(VLOOKUP(C614,Dados!B:AW,48,0))</f>
        <v>Confiabilidade em Crescimento</v>
      </c>
      <c r="J614" s="189" t="s">
        <v>734</v>
      </c>
      <c r="K614" s="177">
        <f>IFERROR((VLOOKUP(C614,Dados!B:AW,44,0)),0)</f>
        <v>0</v>
      </c>
      <c r="L614" s="177">
        <f>IFERROR((VLOOKUP(C614,Dados!B:AW,45,0)),0)</f>
        <v>0</v>
      </c>
      <c r="M614" s="177">
        <f>IFERROR((VLOOKUP(C614,Dados!B:AW,43,0)),0)</f>
        <v>0</v>
      </c>
      <c r="N614" s="179">
        <f>IFERROR((VLOOKUP(C614,Dados!B:AW,47,0)),0)</f>
        <v>0</v>
      </c>
      <c r="O614" s="197">
        <f t="shared" si="27"/>
        <v>2</v>
      </c>
      <c r="P614" s="1">
        <f t="shared" si="28"/>
        <v>0</v>
      </c>
      <c r="Q614" s="221"/>
    </row>
    <row r="615" spans="2:17" ht="30.5" x14ac:dyDescent="0.3">
      <c r="B615" s="16">
        <v>314</v>
      </c>
      <c r="C615" s="387" t="s">
        <v>113</v>
      </c>
      <c r="D615" s="16" t="s">
        <v>1592</v>
      </c>
      <c r="E615" s="387" t="s">
        <v>2127</v>
      </c>
      <c r="F615" s="200" t="s">
        <v>114</v>
      </c>
      <c r="G615" s="388" t="str">
        <f>IFERROR(VLOOKUP(C615,#REF!,4,FALSE),"")</f>
        <v/>
      </c>
      <c r="H615" s="393">
        <f>VLOOKUP(C615,Dados!B:AW,11,0)</f>
        <v>0.98</v>
      </c>
      <c r="I615" s="387" t="str">
        <f>(VLOOKUP(C615,Dados!B:AW,48,0))</f>
        <v>Confiabilidade em Crescimento</v>
      </c>
      <c r="J615" s="388" t="s">
        <v>733</v>
      </c>
      <c r="K615" s="390">
        <f>IFERROR((VLOOKUP(C615,Dados!B:AW,44,0)),0)</f>
        <v>0</v>
      </c>
      <c r="L615" s="390">
        <f>IFERROR((VLOOKUP(C615,Dados!B:AW,45,0)),0)</f>
        <v>0</v>
      </c>
      <c r="M615" s="390">
        <f>IFERROR((VLOOKUP(C615,Dados!B:AW,43,0)),0)</f>
        <v>0</v>
      </c>
      <c r="N615" s="391">
        <f>IFERROR((VLOOKUP(C615,Dados!B:AW,47,0)),0)</f>
        <v>0</v>
      </c>
      <c r="O615" s="392">
        <f t="shared" si="27"/>
        <v>-1</v>
      </c>
      <c r="P615" s="1">
        <f t="shared" si="28"/>
        <v>0</v>
      </c>
      <c r="Q615" s="221"/>
    </row>
    <row r="616" spans="2:17" ht="30.5" x14ac:dyDescent="0.3">
      <c r="B616" s="16">
        <v>315</v>
      </c>
      <c r="C616" s="387" t="s">
        <v>121</v>
      </c>
      <c r="D616" s="16" t="s">
        <v>1592</v>
      </c>
      <c r="E616" s="387" t="s">
        <v>2127</v>
      </c>
      <c r="F616" s="200" t="s">
        <v>122</v>
      </c>
      <c r="G616" s="388" t="str">
        <f>IFERROR(VLOOKUP(C616,#REF!,4,FALSE),"")</f>
        <v/>
      </c>
      <c r="H616" s="389">
        <f>VLOOKUP(C616,Dados!B:AW,11,0)</f>
        <v>0.94</v>
      </c>
      <c r="I616" s="387" t="str">
        <f>(VLOOKUP(C616,Dados!B:AW,48,0))</f>
        <v>Confiabilidade em Crescimento</v>
      </c>
      <c r="J616" s="388" t="s">
        <v>733</v>
      </c>
      <c r="K616" s="390">
        <f>IFERROR((VLOOKUP(C616,Dados!B:AW,44,0)),0)</f>
        <v>0</v>
      </c>
      <c r="L616" s="390">
        <f>IFERROR((VLOOKUP(C616,Dados!B:AW,45,0)),0)</f>
        <v>0</v>
      </c>
      <c r="M616" s="390">
        <f>IFERROR((VLOOKUP(C616,Dados!B:AW,43,0)),0)</f>
        <v>0</v>
      </c>
      <c r="N616" s="391">
        <f>IFERROR((VLOOKUP(C616,Dados!B:AW,47,0)),0)</f>
        <v>0</v>
      </c>
      <c r="O616" s="392">
        <f t="shared" si="27"/>
        <v>-1</v>
      </c>
      <c r="P616" s="1">
        <f t="shared" si="28"/>
        <v>0</v>
      </c>
      <c r="Q616" s="221"/>
    </row>
    <row r="617" spans="2:17" ht="25" x14ac:dyDescent="0.3">
      <c r="B617" s="16">
        <v>316</v>
      </c>
      <c r="C617" s="16" t="s">
        <v>245</v>
      </c>
      <c r="D617" s="16" t="s">
        <v>1592</v>
      </c>
      <c r="E617" s="16" t="s">
        <v>2127</v>
      </c>
      <c r="F617" s="200" t="s">
        <v>246</v>
      </c>
      <c r="G617" s="189" t="str">
        <f>IFERROR(VLOOKUP(C617,#REF!,4,FALSE),"")</f>
        <v/>
      </c>
      <c r="H617" s="248">
        <f>VLOOKUP(C617,Dados!B:AW,11,0)</f>
        <v>0.9</v>
      </c>
      <c r="I617" s="16" t="str">
        <f>(VLOOKUP(C617,Dados!B:AW,48,0))</f>
        <v>Confiabilidade em Crescimento</v>
      </c>
      <c r="J617" s="189" t="s">
        <v>734</v>
      </c>
      <c r="K617" s="177">
        <f>IFERROR((VLOOKUP(C617,Dados!B:AW,44,0)),0)</f>
        <v>0</v>
      </c>
      <c r="L617" s="177">
        <f>IFERROR((VLOOKUP(C617,Dados!B:AW,45,0)),0)</f>
        <v>0</v>
      </c>
      <c r="M617" s="177">
        <f>IFERROR((VLOOKUP(C617,Dados!B:AW,43,0)),0)</f>
        <v>0</v>
      </c>
      <c r="N617" s="179">
        <f>IFERROR((VLOOKUP(C617,Dados!B:AW,47,0)),0)</f>
        <v>0</v>
      </c>
      <c r="O617" s="197">
        <f t="shared" si="27"/>
        <v>2</v>
      </c>
      <c r="P617" s="1">
        <f t="shared" si="28"/>
        <v>0</v>
      </c>
      <c r="Q617" s="221"/>
    </row>
    <row r="618" spans="2:17" ht="25" x14ac:dyDescent="0.3">
      <c r="B618" s="16">
        <v>317</v>
      </c>
      <c r="C618" s="16" t="s">
        <v>685</v>
      </c>
      <c r="D618" s="16" t="s">
        <v>1585</v>
      </c>
      <c r="E618" s="16" t="s">
        <v>2127</v>
      </c>
      <c r="F618" s="200" t="s">
        <v>686</v>
      </c>
      <c r="G618" s="189" t="str">
        <f>IFERROR(VLOOKUP(C618,#REF!,4,FALSE),"")</f>
        <v/>
      </c>
      <c r="H618" s="248">
        <f>VLOOKUP(C618,Dados!B:AW,11,0)</f>
        <v>1.85</v>
      </c>
      <c r="I618" s="16" t="str">
        <f>(VLOOKUP(C618,Dados!B:AW,48,0))</f>
        <v>Fase de Degradação</v>
      </c>
      <c r="J618" s="189" t="s">
        <v>735</v>
      </c>
      <c r="K618" s="177">
        <f>IFERROR((VLOOKUP(C618,Dados!B:AW,44,0)),0)</f>
        <v>0</v>
      </c>
      <c r="L618" s="177">
        <f>IFERROR((VLOOKUP(C618,Dados!B:AW,45,0)),0)</f>
        <v>0</v>
      </c>
      <c r="M618" s="177">
        <f>IFERROR((VLOOKUP(C618,Dados!B:AW,43,0)),0)</f>
        <v>0</v>
      </c>
      <c r="N618" s="179">
        <f>IFERROR((VLOOKUP(C618,Dados!B:AW,47,0)),0)</f>
        <v>0</v>
      </c>
      <c r="O618" s="197">
        <f t="shared" si="27"/>
        <v>1</v>
      </c>
      <c r="P618" s="1">
        <f t="shared" si="28"/>
        <v>0</v>
      </c>
      <c r="Q618" s="221"/>
    </row>
    <row r="619" spans="2:17" ht="30.5" x14ac:dyDescent="0.3">
      <c r="B619" s="16">
        <v>323</v>
      </c>
      <c r="C619" s="387" t="s">
        <v>241</v>
      </c>
      <c r="D619" s="16" t="s">
        <v>1592</v>
      </c>
      <c r="E619" s="387" t="s">
        <v>2127</v>
      </c>
      <c r="F619" s="200" t="s">
        <v>242</v>
      </c>
      <c r="G619" s="388" t="str">
        <f>IFERROR(VLOOKUP(C619,#REF!,4,FALSE),"")</f>
        <v/>
      </c>
      <c r="H619" s="389">
        <f>VLOOKUP(C619,Dados!B:AW,11,0)</f>
        <v>1.55</v>
      </c>
      <c r="I619" s="387" t="str">
        <f>(VLOOKUP(C619,Dados!B:AW,48,0))</f>
        <v>Fase de Degradação</v>
      </c>
      <c r="J619" s="388" t="s">
        <v>734</v>
      </c>
      <c r="K619" s="390">
        <f>IFERROR((VLOOKUP(C619,Dados!B:AW,44,0)),0)</f>
        <v>0</v>
      </c>
      <c r="L619" s="390">
        <f>IFERROR((VLOOKUP(C619,Dados!B:AW,45,0)),0)</f>
        <v>0</v>
      </c>
      <c r="M619" s="390">
        <f>IFERROR((VLOOKUP(C619,Dados!B:AW,43,0)),0)</f>
        <v>0</v>
      </c>
      <c r="N619" s="391">
        <f>IFERROR((VLOOKUP(C619,Dados!B:AW,47,0)),0)</f>
        <v>0</v>
      </c>
      <c r="O619" s="392">
        <f t="shared" si="27"/>
        <v>1</v>
      </c>
      <c r="P619" s="1">
        <f t="shared" si="28"/>
        <v>0</v>
      </c>
      <c r="Q619" s="221"/>
    </row>
    <row r="620" spans="2:17" ht="25" x14ac:dyDescent="0.3">
      <c r="B620" s="16">
        <v>324</v>
      </c>
      <c r="C620" s="16" t="s">
        <v>667</v>
      </c>
      <c r="D620" s="16" t="s">
        <v>1585</v>
      </c>
      <c r="E620" s="16" t="s">
        <v>2127</v>
      </c>
      <c r="F620" s="200" t="s">
        <v>668</v>
      </c>
      <c r="G620" s="189" t="str">
        <f>IFERROR(VLOOKUP(C620,#REF!,4,FALSE),"")</f>
        <v/>
      </c>
      <c r="H620" s="250">
        <f>VLOOKUP(C620,Dados!B:AW,11,0)</f>
        <v>1.63</v>
      </c>
      <c r="I620" s="16" t="str">
        <f>(VLOOKUP(C620,Dados!B:AW,48,0))</f>
        <v>Fase de Degradação</v>
      </c>
      <c r="J620" s="189" t="s">
        <v>735</v>
      </c>
      <c r="K620" s="177">
        <f>IFERROR((VLOOKUP(C620,Dados!B:AW,44,0)),0)</f>
        <v>0</v>
      </c>
      <c r="L620" s="177">
        <f>IFERROR((VLOOKUP(C620,Dados!B:AW,45,0)),0)</f>
        <v>0</v>
      </c>
      <c r="M620" s="177">
        <f>IFERROR((VLOOKUP(C620,Dados!B:AW,43,0)),0)</f>
        <v>0</v>
      </c>
      <c r="N620" s="179">
        <f>IFERROR((VLOOKUP(C620,Dados!B:AW,47,0)),0)</f>
        <v>0</v>
      </c>
      <c r="O620" s="197">
        <f t="shared" si="27"/>
        <v>1</v>
      </c>
      <c r="P620" s="1">
        <f t="shared" si="28"/>
        <v>0</v>
      </c>
      <c r="Q620" s="221"/>
    </row>
    <row r="621" spans="2:17" ht="25" x14ac:dyDescent="0.3">
      <c r="B621" s="16">
        <v>326</v>
      </c>
      <c r="C621" s="16" t="s">
        <v>649</v>
      </c>
      <c r="D621" s="16" t="s">
        <v>1585</v>
      </c>
      <c r="E621" s="16" t="s">
        <v>2127</v>
      </c>
      <c r="F621" s="200" t="s">
        <v>650</v>
      </c>
      <c r="G621" s="189" t="str">
        <f>IFERROR(VLOOKUP(C621,#REF!,4,FALSE),"")</f>
        <v/>
      </c>
      <c r="H621" s="249">
        <f>VLOOKUP(C621,Dados!B:AW,11,0)</f>
        <v>1.66</v>
      </c>
      <c r="I621" s="16" t="str">
        <f>(VLOOKUP(C621,Dados!B:AW,48,0))</f>
        <v>Fase de Degradação</v>
      </c>
      <c r="J621" s="189" t="s">
        <v>735</v>
      </c>
      <c r="K621" s="177">
        <f>IFERROR((VLOOKUP(C621,Dados!B:AW,44,0)),0)</f>
        <v>0</v>
      </c>
      <c r="L621" s="177">
        <f>IFERROR((VLOOKUP(C621,Dados!B:AW,45,0)),0)</f>
        <v>0</v>
      </c>
      <c r="M621" s="177">
        <f>IFERROR((VLOOKUP(C621,Dados!B:AW,43,0)),0)</f>
        <v>0</v>
      </c>
      <c r="N621" s="179">
        <f>IFERROR((VLOOKUP(C621,Dados!B:AW,47,0)),0)</f>
        <v>0</v>
      </c>
      <c r="O621" s="197">
        <f t="shared" si="27"/>
        <v>1</v>
      </c>
      <c r="P621" s="1">
        <f t="shared" si="28"/>
        <v>0</v>
      </c>
      <c r="Q621" s="221"/>
    </row>
    <row r="622" spans="2:17" ht="25" x14ac:dyDescent="0.3">
      <c r="B622" s="16">
        <v>329</v>
      </c>
      <c r="C622" s="16" t="s">
        <v>314</v>
      </c>
      <c r="D622" s="16" t="s">
        <v>1594</v>
      </c>
      <c r="E622" s="16" t="s">
        <v>2127</v>
      </c>
      <c r="F622" s="200" t="s">
        <v>135</v>
      </c>
      <c r="G622" s="189" t="str">
        <f>IFERROR(VLOOKUP(C622,#REF!,4,FALSE),"")</f>
        <v/>
      </c>
      <c r="H622" s="249">
        <f>VLOOKUP(C622,Dados!B:AW,11,0)</f>
        <v>0.87</v>
      </c>
      <c r="I622" s="16" t="str">
        <f>(VLOOKUP(C622,Dados!B:AW,48,0))</f>
        <v>Confiabilidade em Crescimento</v>
      </c>
      <c r="J622" s="189" t="s">
        <v>735</v>
      </c>
      <c r="K622" s="177">
        <f>IFERROR((VLOOKUP(C622,Dados!B:AW,44,0)),0)</f>
        <v>0</v>
      </c>
      <c r="L622" s="177">
        <f>IFERROR((VLOOKUP(C622,Dados!B:AW,45,0)),0)</f>
        <v>0</v>
      </c>
      <c r="M622" s="177">
        <f>IFERROR((VLOOKUP(C622,Dados!B:AW,43,0)),0)</f>
        <v>0</v>
      </c>
      <c r="N622" s="179">
        <f>IFERROR((VLOOKUP(C622,Dados!B:AW,47,0)),0)</f>
        <v>0</v>
      </c>
      <c r="O622" s="197">
        <f t="shared" ref="O622:O685" si="29">IF(AND(J622="Parcial",N622&gt;0,H622&gt;1),-1,IF(AND(J622="Parcial",N622&gt;0,H622&lt;1.1),1,IF(AND(J622="Parcial",N622&lt;0,H622&gt;1.09),-1,IF(J622="Total",-1,IF(H622&gt;1.09,1,2)))))</f>
        <v>2</v>
      </c>
      <c r="P622" s="1">
        <f t="shared" si="28"/>
        <v>0</v>
      </c>
      <c r="Q622" s="221"/>
    </row>
    <row r="623" spans="2:17" ht="25" x14ac:dyDescent="0.3">
      <c r="B623" s="16">
        <v>333</v>
      </c>
      <c r="C623" s="16" t="s">
        <v>655</v>
      </c>
      <c r="D623" s="16" t="s">
        <v>1594</v>
      </c>
      <c r="E623" s="16" t="s">
        <v>2127</v>
      </c>
      <c r="F623" s="200" t="s">
        <v>656</v>
      </c>
      <c r="G623" s="189" t="str">
        <f>IFERROR(VLOOKUP(C623,#REF!,4,FALSE),"")</f>
        <v/>
      </c>
      <c r="H623" s="249">
        <f>VLOOKUP(C623,Dados!B:AW,11,0)</f>
        <v>0.88</v>
      </c>
      <c r="I623" s="16" t="str">
        <f>(VLOOKUP(C623,Dados!B:AW,48,0))</f>
        <v>Confiabilidade em Crescimento</v>
      </c>
      <c r="J623" s="189" t="s">
        <v>735</v>
      </c>
      <c r="K623" s="177">
        <f>IFERROR((VLOOKUP(C623,Dados!B:AW,44,0)),0)</f>
        <v>0</v>
      </c>
      <c r="L623" s="177">
        <f>IFERROR((VLOOKUP(C623,Dados!B:AW,45,0)),0)</f>
        <v>0</v>
      </c>
      <c r="M623" s="177">
        <f>IFERROR((VLOOKUP(C623,Dados!B:AW,43,0)),0)</f>
        <v>0</v>
      </c>
      <c r="N623" s="179">
        <f>IFERROR((VLOOKUP(C623,Dados!B:AW,47,0)),0)</f>
        <v>0</v>
      </c>
      <c r="O623" s="197">
        <f t="shared" si="29"/>
        <v>2</v>
      </c>
      <c r="P623" s="1">
        <f t="shared" si="28"/>
        <v>0</v>
      </c>
      <c r="Q623" s="221"/>
    </row>
    <row r="624" spans="2:17" ht="25" x14ac:dyDescent="0.3">
      <c r="B624" s="16">
        <v>335</v>
      </c>
      <c r="C624" s="16" t="s">
        <v>701</v>
      </c>
      <c r="D624" s="16" t="s">
        <v>1594</v>
      </c>
      <c r="E624" s="16" t="s">
        <v>2127</v>
      </c>
      <c r="F624" s="200" t="s">
        <v>702</v>
      </c>
      <c r="G624" s="189" t="str">
        <f>IFERROR(VLOOKUP(C624,#REF!,4,FALSE),"")</f>
        <v/>
      </c>
      <c r="H624" s="249">
        <f>VLOOKUP(C624,Dados!B:AW,11,0)</f>
        <v>0.46</v>
      </c>
      <c r="I624" s="16" t="str">
        <f>(VLOOKUP(C624,Dados!B:AW,48,0))</f>
        <v>Confiabilidade em Crescimento</v>
      </c>
      <c r="J624" s="189" t="s">
        <v>735</v>
      </c>
      <c r="K624" s="177">
        <f>IFERROR((VLOOKUP(C624,Dados!B:AW,44,0)),0)</f>
        <v>0</v>
      </c>
      <c r="L624" s="177">
        <f>IFERROR((VLOOKUP(C624,Dados!B:AW,45,0)),0)</f>
        <v>0</v>
      </c>
      <c r="M624" s="177">
        <f>IFERROR((VLOOKUP(C624,Dados!B:AW,43,0)),0)</f>
        <v>0</v>
      </c>
      <c r="N624" s="179">
        <f>IFERROR((VLOOKUP(C624,Dados!B:AW,47,0)),0)</f>
        <v>0</v>
      </c>
      <c r="O624" s="197">
        <f t="shared" si="29"/>
        <v>2</v>
      </c>
      <c r="P624" s="1">
        <f t="shared" si="28"/>
        <v>0</v>
      </c>
      <c r="Q624" s="221"/>
    </row>
    <row r="625" spans="2:17" ht="25" x14ac:dyDescent="0.3">
      <c r="B625" s="16">
        <v>338</v>
      </c>
      <c r="C625" s="16" t="s">
        <v>1028</v>
      </c>
      <c r="D625" s="16" t="s">
        <v>1585</v>
      </c>
      <c r="E625" s="16" t="s">
        <v>2127</v>
      </c>
      <c r="F625" s="200" t="s">
        <v>1029</v>
      </c>
      <c r="G625" s="189" t="str">
        <f>IFERROR(VLOOKUP(C625,#REF!,4,FALSE),"")</f>
        <v/>
      </c>
      <c r="H625" s="249">
        <f>VLOOKUP(C625,Dados!B:AW,11,0)</f>
        <v>1.91</v>
      </c>
      <c r="I625" s="16" t="str">
        <f>(VLOOKUP(C625,Dados!B:AW,48,0))</f>
        <v>Fase de Degradação</v>
      </c>
      <c r="J625" s="189" t="s">
        <v>735</v>
      </c>
      <c r="K625" s="177">
        <f>IFERROR((VLOOKUP(C625,Dados!B:AW,44,0)),0)</f>
        <v>0</v>
      </c>
      <c r="L625" s="177">
        <f>IFERROR((VLOOKUP(C625,Dados!B:AW,45,0)),0)</f>
        <v>0</v>
      </c>
      <c r="M625" s="177">
        <f>IFERROR((VLOOKUP(C625,Dados!B:AW,43,0)),0)</f>
        <v>0</v>
      </c>
      <c r="N625" s="179">
        <f>IFERROR((VLOOKUP(C625,Dados!B:AW,47,0)),0)</f>
        <v>0</v>
      </c>
      <c r="O625" s="197">
        <f t="shared" si="29"/>
        <v>1</v>
      </c>
      <c r="P625" s="1">
        <f t="shared" si="28"/>
        <v>0</v>
      </c>
      <c r="Q625" s="221"/>
    </row>
    <row r="626" spans="2:17" ht="25" x14ac:dyDescent="0.3">
      <c r="B626" s="16">
        <v>339</v>
      </c>
      <c r="C626" s="16" t="s">
        <v>1030</v>
      </c>
      <c r="D626" s="16" t="s">
        <v>1594</v>
      </c>
      <c r="E626" s="16" t="s">
        <v>2127</v>
      </c>
      <c r="F626" s="200" t="s">
        <v>1031</v>
      </c>
      <c r="G626" s="189" t="str">
        <f>IFERROR(VLOOKUP(C626,#REF!,4,FALSE),"")</f>
        <v/>
      </c>
      <c r="H626" s="249">
        <f>VLOOKUP(C626,Dados!B:AW,11,0)</f>
        <v>1.01</v>
      </c>
      <c r="I626" s="16" t="str">
        <f>(VLOOKUP(C626,Dados!B:AW,48,0))</f>
        <v>Fase de Vida Útil</v>
      </c>
      <c r="J626" s="189" t="s">
        <v>735</v>
      </c>
      <c r="K626" s="177">
        <f>IFERROR((VLOOKUP(C626,Dados!B:AW,44,0)),0)</f>
        <v>0</v>
      </c>
      <c r="L626" s="177">
        <f>IFERROR((VLOOKUP(C626,Dados!B:AW,45,0)),0)</f>
        <v>0</v>
      </c>
      <c r="M626" s="177">
        <f>IFERROR((VLOOKUP(C626,Dados!B:AW,43,0)),0)</f>
        <v>0</v>
      </c>
      <c r="N626" s="179">
        <f>IFERROR((VLOOKUP(C626,Dados!B:AW,47,0)),0)</f>
        <v>0</v>
      </c>
      <c r="O626" s="197">
        <f t="shared" si="29"/>
        <v>2</v>
      </c>
      <c r="P626" s="1">
        <f t="shared" si="28"/>
        <v>0</v>
      </c>
      <c r="Q626" s="221"/>
    </row>
    <row r="627" spans="2:17" ht="25" x14ac:dyDescent="0.3">
      <c r="B627" s="16">
        <v>340</v>
      </c>
      <c r="C627" s="16" t="s">
        <v>1032</v>
      </c>
      <c r="D627" s="16" t="s">
        <v>1585</v>
      </c>
      <c r="E627" s="16" t="s">
        <v>2127</v>
      </c>
      <c r="F627" s="200" t="s">
        <v>1033</v>
      </c>
      <c r="G627" s="189" t="str">
        <f>IFERROR(VLOOKUP(C627,#REF!,4,FALSE),"")</f>
        <v/>
      </c>
      <c r="H627" s="249">
        <f>VLOOKUP(C627,Dados!B:AW,11,0)</f>
        <v>1.31</v>
      </c>
      <c r="I627" s="16" t="str">
        <f>(VLOOKUP(C627,Dados!B:AW,48,0))</f>
        <v>Fase de Degradação</v>
      </c>
      <c r="J627" s="189" t="s">
        <v>735</v>
      </c>
      <c r="K627" s="177">
        <f>IFERROR((VLOOKUP(C627,Dados!B:AW,44,0)),0)</f>
        <v>0</v>
      </c>
      <c r="L627" s="177">
        <f>IFERROR((VLOOKUP(C627,Dados!B:AW,45,0)),0)</f>
        <v>0</v>
      </c>
      <c r="M627" s="177">
        <f>IFERROR((VLOOKUP(C627,Dados!B:AW,43,0)),0)</f>
        <v>0</v>
      </c>
      <c r="N627" s="179">
        <f>IFERROR((VLOOKUP(C627,Dados!B:AW,47,0)),0)</f>
        <v>0</v>
      </c>
      <c r="O627" s="197">
        <f t="shared" si="29"/>
        <v>1</v>
      </c>
      <c r="P627" s="1">
        <f t="shared" si="28"/>
        <v>0</v>
      </c>
      <c r="Q627" s="221"/>
    </row>
    <row r="628" spans="2:17" ht="25" x14ac:dyDescent="0.3">
      <c r="B628" s="16">
        <v>341</v>
      </c>
      <c r="C628" s="16" t="s">
        <v>1034</v>
      </c>
      <c r="D628" s="16" t="s">
        <v>1585</v>
      </c>
      <c r="E628" s="16" t="s">
        <v>2127</v>
      </c>
      <c r="F628" s="200" t="s">
        <v>1035</v>
      </c>
      <c r="G628" s="189" t="str">
        <f>IFERROR(VLOOKUP(C628,#REF!,4,FALSE),"")</f>
        <v/>
      </c>
      <c r="H628" s="249">
        <f>VLOOKUP(C628,Dados!B:AW,11,0)</f>
        <v>1.1299999999999999</v>
      </c>
      <c r="I628" s="16" t="str">
        <f>(VLOOKUP(C628,Dados!B:AW,48,0))</f>
        <v>Fase de Degradação</v>
      </c>
      <c r="J628" s="189" t="s">
        <v>735</v>
      </c>
      <c r="K628" s="177">
        <f>IFERROR((VLOOKUP(C628,Dados!B:AW,44,0)),0)</f>
        <v>0</v>
      </c>
      <c r="L628" s="177">
        <f>IFERROR((VLOOKUP(C628,Dados!B:AW,45,0)),0)</f>
        <v>0</v>
      </c>
      <c r="M628" s="177">
        <f>IFERROR((VLOOKUP(C628,Dados!B:AW,43,0)),0)</f>
        <v>0</v>
      </c>
      <c r="N628" s="179">
        <f>IFERROR((VLOOKUP(C628,Dados!B:AW,47,0)),0)</f>
        <v>0</v>
      </c>
      <c r="O628" s="197">
        <f t="shared" si="29"/>
        <v>1</v>
      </c>
      <c r="P628" s="1">
        <f t="shared" si="28"/>
        <v>0</v>
      </c>
      <c r="Q628" s="221"/>
    </row>
    <row r="629" spans="2:17" ht="25" x14ac:dyDescent="0.3">
      <c r="B629" s="16">
        <v>344</v>
      </c>
      <c r="C629" s="16" t="s">
        <v>1834</v>
      </c>
      <c r="D629" s="16" t="s">
        <v>1594</v>
      </c>
      <c r="E629" s="16" t="s">
        <v>2127</v>
      </c>
      <c r="F629" s="200" t="s">
        <v>1703</v>
      </c>
      <c r="G629" s="189" t="str">
        <f>IFERROR(VLOOKUP(C629,#REF!,4,FALSE),"")</f>
        <v/>
      </c>
      <c r="H629" s="250">
        <f>VLOOKUP(C629,Dados!B:AW,11,0)</f>
        <v>0.38</v>
      </c>
      <c r="I629" s="16" t="str">
        <f>(VLOOKUP(C629,Dados!B:AW,48,0))</f>
        <v>Confiabilidade em Crescimento</v>
      </c>
      <c r="J629" s="189" t="s">
        <v>735</v>
      </c>
      <c r="K629" s="177">
        <f>IFERROR((VLOOKUP(C629,Dados!B:AW,44,0)),0)</f>
        <v>0</v>
      </c>
      <c r="L629" s="177">
        <f>IFERROR((VLOOKUP(C629,Dados!B:AW,45,0)),0)</f>
        <v>0</v>
      </c>
      <c r="M629" s="177">
        <f>IFERROR((VLOOKUP(C629,Dados!B:AW,43,0)),0)</f>
        <v>0</v>
      </c>
      <c r="N629" s="179">
        <f>IFERROR((VLOOKUP(C629,Dados!B:AW,47,0)),0)</f>
        <v>0</v>
      </c>
      <c r="O629" s="197">
        <f t="shared" si="29"/>
        <v>2</v>
      </c>
      <c r="P629" s="1">
        <f t="shared" si="28"/>
        <v>0</v>
      </c>
      <c r="Q629" s="221"/>
    </row>
    <row r="630" spans="2:17" ht="25" x14ac:dyDescent="0.3">
      <c r="B630" s="16">
        <v>354</v>
      </c>
      <c r="C630" s="16" t="s">
        <v>1048</v>
      </c>
      <c r="D630" s="16" t="s">
        <v>1594</v>
      </c>
      <c r="E630" s="16" t="s">
        <v>2127</v>
      </c>
      <c r="F630" s="200" t="s">
        <v>1049</v>
      </c>
      <c r="G630" s="189" t="str">
        <f>IFERROR(VLOOKUP(C630,#REF!,4,FALSE),"")</f>
        <v/>
      </c>
      <c r="H630" s="249">
        <f>VLOOKUP(C630,Dados!B:AW,11,0)</f>
        <v>1.21</v>
      </c>
      <c r="I630" s="16" t="str">
        <f>(VLOOKUP(C630,Dados!B:AW,48,0))</f>
        <v>Fase de Degradação</v>
      </c>
      <c r="J630" s="189" t="s">
        <v>734</v>
      </c>
      <c r="K630" s="177">
        <f>IFERROR((VLOOKUP(C630,Dados!B:AW,44,0)),0)</f>
        <v>0</v>
      </c>
      <c r="L630" s="177">
        <f>IFERROR((VLOOKUP(C630,Dados!B:AW,45,0)),0)</f>
        <v>0</v>
      </c>
      <c r="M630" s="177">
        <f>IFERROR((VLOOKUP(C630,Dados!B:AW,43,0)),0)</f>
        <v>0</v>
      </c>
      <c r="N630" s="179">
        <f>IFERROR((VLOOKUP(C630,Dados!B:AW,47,0)),0)</f>
        <v>0</v>
      </c>
      <c r="O630" s="197">
        <f t="shared" si="29"/>
        <v>1</v>
      </c>
      <c r="P630" s="1">
        <f t="shared" si="28"/>
        <v>0</v>
      </c>
      <c r="Q630" s="221"/>
    </row>
    <row r="631" spans="2:17" ht="25" x14ac:dyDescent="0.3">
      <c r="B631" s="16">
        <v>355</v>
      </c>
      <c r="C631" s="16" t="s">
        <v>1050</v>
      </c>
      <c r="D631" s="16" t="s">
        <v>1594</v>
      </c>
      <c r="E631" s="16" t="s">
        <v>2127</v>
      </c>
      <c r="F631" s="200" t="s">
        <v>1051</v>
      </c>
      <c r="G631" s="189" t="str">
        <f>IFERROR(VLOOKUP(C631,#REF!,4,FALSE),"")</f>
        <v/>
      </c>
      <c r="H631" s="248">
        <f>VLOOKUP(C631,Dados!B:AW,11,0)</f>
        <v>1.41</v>
      </c>
      <c r="I631" s="16" t="str">
        <f>(VLOOKUP(C631,Dados!B:AW,48,0))</f>
        <v>Fase de Degradação</v>
      </c>
      <c r="J631" s="189" t="s">
        <v>735</v>
      </c>
      <c r="K631" s="177">
        <f>IFERROR((VLOOKUP(C631,Dados!B:AW,44,0)),0)</f>
        <v>0</v>
      </c>
      <c r="L631" s="177">
        <f>IFERROR((VLOOKUP(C631,Dados!B:AW,45,0)),0)</f>
        <v>0</v>
      </c>
      <c r="M631" s="177">
        <f>IFERROR((VLOOKUP(C631,Dados!B:AW,43,0)),0)</f>
        <v>0</v>
      </c>
      <c r="N631" s="179">
        <f>IFERROR((VLOOKUP(C631,Dados!B:AW,47,0)),0)</f>
        <v>0</v>
      </c>
      <c r="O631" s="197">
        <f t="shared" si="29"/>
        <v>1</v>
      </c>
      <c r="P631" s="1">
        <f t="shared" si="28"/>
        <v>0</v>
      </c>
      <c r="Q631" s="221"/>
    </row>
    <row r="632" spans="2:17" ht="25" x14ac:dyDescent="0.3">
      <c r="B632" s="16">
        <v>404</v>
      </c>
      <c r="C632" s="16" t="s">
        <v>588</v>
      </c>
      <c r="D632" s="16" t="s">
        <v>1594</v>
      </c>
      <c r="E632" s="16" t="s">
        <v>2127</v>
      </c>
      <c r="F632" s="200" t="s">
        <v>589</v>
      </c>
      <c r="G632" s="189" t="str">
        <f>IFERROR(VLOOKUP(C632,#REF!,4,FALSE),"")</f>
        <v/>
      </c>
      <c r="H632" s="248">
        <f>VLOOKUP(C632,Dados!B:AW,11,0)</f>
        <v>2.35</v>
      </c>
      <c r="I632" s="16" t="str">
        <f>(VLOOKUP(C632,Dados!B:AW,48,0))</f>
        <v>Fase de Degradação</v>
      </c>
      <c r="J632" s="189" t="s">
        <v>734</v>
      </c>
      <c r="K632" s="177">
        <f>IFERROR((VLOOKUP(C632,Dados!B:AW,44,0)),0)</f>
        <v>0</v>
      </c>
      <c r="L632" s="177">
        <f>IFERROR((VLOOKUP(C632,Dados!B:AW,45,0)),0)</f>
        <v>0</v>
      </c>
      <c r="M632" s="177">
        <f>IFERROR((VLOOKUP(C632,Dados!B:AW,43,0)),0)</f>
        <v>0</v>
      </c>
      <c r="N632" s="179">
        <f>IFERROR((VLOOKUP(C632,Dados!B:AW,47,0)),0)</f>
        <v>0</v>
      </c>
      <c r="O632" s="197">
        <f t="shared" si="29"/>
        <v>1</v>
      </c>
      <c r="P632" s="1">
        <f t="shared" si="28"/>
        <v>0</v>
      </c>
      <c r="Q632" s="221"/>
    </row>
    <row r="633" spans="2:17" ht="25" x14ac:dyDescent="0.3">
      <c r="B633" s="16">
        <v>434</v>
      </c>
      <c r="C633" s="16" t="s">
        <v>1845</v>
      </c>
      <c r="D633" s="16" t="s">
        <v>1594</v>
      </c>
      <c r="E633" s="16" t="s">
        <v>2127</v>
      </c>
      <c r="F633" s="200" t="s">
        <v>1713</v>
      </c>
      <c r="G633" s="189" t="str">
        <f>IFERROR(VLOOKUP(C633,#REF!,4,FALSE),"")</f>
        <v/>
      </c>
      <c r="H633" s="248">
        <f>VLOOKUP(C633,Dados!B:AW,11,0)</f>
        <v>0.84</v>
      </c>
      <c r="I633" s="16" t="str">
        <f>(VLOOKUP(C633,Dados!B:AW,48,0))</f>
        <v>Confiabilidade em Crescimento</v>
      </c>
      <c r="J633" s="189" t="s">
        <v>735</v>
      </c>
      <c r="K633" s="177">
        <f>IFERROR((VLOOKUP(C633,Dados!B:AW,44,0)),0)</f>
        <v>0</v>
      </c>
      <c r="L633" s="177">
        <f>IFERROR((VLOOKUP(C633,Dados!B:AW,45,0)),0)</f>
        <v>0</v>
      </c>
      <c r="M633" s="177">
        <f>IFERROR((VLOOKUP(C633,Dados!B:AW,43,0)),0)</f>
        <v>0</v>
      </c>
      <c r="N633" s="179">
        <f>IFERROR((VLOOKUP(C633,Dados!B:AW,47,0)),0)</f>
        <v>0</v>
      </c>
      <c r="O633" s="197">
        <f t="shared" si="29"/>
        <v>2</v>
      </c>
      <c r="P633" s="1">
        <f t="shared" si="28"/>
        <v>0</v>
      </c>
      <c r="Q633" s="221"/>
    </row>
    <row r="634" spans="2:17" ht="25" x14ac:dyDescent="0.3">
      <c r="B634" s="16">
        <v>435</v>
      </c>
      <c r="C634" s="16" t="s">
        <v>1846</v>
      </c>
      <c r="D634" s="16" t="s">
        <v>1594</v>
      </c>
      <c r="E634" s="16" t="s">
        <v>2127</v>
      </c>
      <c r="F634" s="200" t="s">
        <v>1714</v>
      </c>
      <c r="G634" s="189" t="str">
        <f>IFERROR(VLOOKUP(C634,#REF!,4,FALSE),"")</f>
        <v/>
      </c>
      <c r="H634" s="250">
        <f>VLOOKUP(C634,Dados!B:AW,11,0)</f>
        <v>1.03</v>
      </c>
      <c r="I634" s="16" t="str">
        <f>(VLOOKUP(C634,Dados!B:AW,48,0))</f>
        <v>Fase de Vida Útil</v>
      </c>
      <c r="J634" s="189" t="s">
        <v>735</v>
      </c>
      <c r="K634" s="177">
        <f>IFERROR((VLOOKUP(C634,Dados!B:AW,44,0)),0)</f>
        <v>0</v>
      </c>
      <c r="L634" s="177">
        <f>IFERROR((VLOOKUP(C634,Dados!B:AW,45,0)),0)</f>
        <v>0</v>
      </c>
      <c r="M634" s="177">
        <f>IFERROR((VLOOKUP(C634,Dados!B:AW,43,0)),0)</f>
        <v>0</v>
      </c>
      <c r="N634" s="179">
        <f>IFERROR((VLOOKUP(C634,Dados!B:AW,47,0)),0)</f>
        <v>0</v>
      </c>
      <c r="O634" s="197">
        <f t="shared" si="29"/>
        <v>2</v>
      </c>
      <c r="P634" s="1">
        <f t="shared" si="28"/>
        <v>0</v>
      </c>
      <c r="Q634" s="221"/>
    </row>
    <row r="635" spans="2:17" ht="25" x14ac:dyDescent="0.3">
      <c r="B635" s="16">
        <v>456</v>
      </c>
      <c r="C635" s="16" t="s">
        <v>266</v>
      </c>
      <c r="D635" s="16" t="s">
        <v>1594</v>
      </c>
      <c r="E635" s="16" t="s">
        <v>2127</v>
      </c>
      <c r="F635" s="200" t="s">
        <v>267</v>
      </c>
      <c r="G635" s="189" t="str">
        <f>IFERROR(VLOOKUP(C635,#REF!,4,FALSE),"")</f>
        <v/>
      </c>
      <c r="H635" s="249">
        <f>VLOOKUP(C635,Dados!B:AW,11,0)</f>
        <v>1.03</v>
      </c>
      <c r="I635" s="16" t="str">
        <f>(VLOOKUP(C635,Dados!B:AW,48,0))</f>
        <v>Fase de Vida Útil</v>
      </c>
      <c r="J635" s="189" t="s">
        <v>735</v>
      </c>
      <c r="K635" s="177">
        <f>IFERROR((VLOOKUP(C635,Dados!B:AW,44,0)),0)</f>
        <v>0</v>
      </c>
      <c r="L635" s="177">
        <f>IFERROR((VLOOKUP(C635,Dados!B:AW,45,0)),0)</f>
        <v>0</v>
      </c>
      <c r="M635" s="177">
        <f>IFERROR((VLOOKUP(C635,Dados!B:AW,43,0)),0)</f>
        <v>0</v>
      </c>
      <c r="N635" s="179">
        <f>IFERROR((VLOOKUP(C635,Dados!B:AW,47,0)),0)</f>
        <v>0</v>
      </c>
      <c r="O635" s="197">
        <f t="shared" si="29"/>
        <v>2</v>
      </c>
      <c r="P635" s="1">
        <f t="shared" si="28"/>
        <v>0</v>
      </c>
      <c r="Q635" s="221"/>
    </row>
    <row r="636" spans="2:17" ht="30.5" x14ac:dyDescent="0.3">
      <c r="B636" s="16">
        <v>483</v>
      </c>
      <c r="C636" s="387" t="s">
        <v>370</v>
      </c>
      <c r="D636" s="16" t="s">
        <v>1592</v>
      </c>
      <c r="E636" s="387" t="s">
        <v>2127</v>
      </c>
      <c r="F636" s="200" t="s">
        <v>191</v>
      </c>
      <c r="G636" s="388" t="str">
        <f>IFERROR(VLOOKUP(C636,#REF!,4,FALSE),"")</f>
        <v/>
      </c>
      <c r="H636" s="393">
        <f>VLOOKUP(C636,Dados!B:AW,11,0)</f>
        <v>1.73</v>
      </c>
      <c r="I636" s="387" t="str">
        <f>(VLOOKUP(C636,Dados!B:AW,48,0))</f>
        <v>Fase de Degradação</v>
      </c>
      <c r="J636" s="388" t="s">
        <v>733</v>
      </c>
      <c r="K636" s="390">
        <f>IFERROR((VLOOKUP(C636,Dados!B:AW,44,0)),0)</f>
        <v>0</v>
      </c>
      <c r="L636" s="390">
        <f>IFERROR((VLOOKUP(C636,Dados!B:AW,45,0)),0)</f>
        <v>0</v>
      </c>
      <c r="M636" s="390">
        <f>IFERROR((VLOOKUP(C636,Dados!B:AW,43,0)),0)</f>
        <v>0</v>
      </c>
      <c r="N636" s="391">
        <f>IFERROR((VLOOKUP(C636,Dados!B:AW,47,0)),0)</f>
        <v>0</v>
      </c>
      <c r="O636" s="392">
        <f t="shared" si="29"/>
        <v>-1</v>
      </c>
      <c r="P636" s="1">
        <f t="shared" si="28"/>
        <v>0</v>
      </c>
      <c r="Q636" s="221"/>
    </row>
    <row r="637" spans="2:17" ht="30.5" x14ac:dyDescent="0.3">
      <c r="B637" s="16">
        <v>492</v>
      </c>
      <c r="C637" s="387" t="s">
        <v>592</v>
      </c>
      <c r="D637" s="16" t="s">
        <v>1592</v>
      </c>
      <c r="E637" s="387" t="s">
        <v>2127</v>
      </c>
      <c r="F637" s="200" t="s">
        <v>593</v>
      </c>
      <c r="G637" s="388" t="str">
        <f>IFERROR(VLOOKUP(C637,#REF!,4,FALSE),"")</f>
        <v/>
      </c>
      <c r="H637" s="393">
        <f>VLOOKUP(C637,Dados!B:AW,11,0)</f>
        <v>0.8</v>
      </c>
      <c r="I637" s="387" t="str">
        <f>(VLOOKUP(C637,Dados!B:AW,48,0))</f>
        <v>Confiabilidade em Crescimento</v>
      </c>
      <c r="J637" s="388" t="s">
        <v>733</v>
      </c>
      <c r="K637" s="390">
        <f>IFERROR((VLOOKUP(C637,Dados!B:AW,44,0)),0)</f>
        <v>0</v>
      </c>
      <c r="L637" s="390">
        <f>IFERROR((VLOOKUP(C637,Dados!B:AW,45,0)),0)</f>
        <v>0</v>
      </c>
      <c r="M637" s="390">
        <f>IFERROR((VLOOKUP(C637,Dados!B:AW,43,0)),0)</f>
        <v>0</v>
      </c>
      <c r="N637" s="391">
        <f>IFERROR((VLOOKUP(C637,Dados!B:AW,47,0)),0)</f>
        <v>0</v>
      </c>
      <c r="O637" s="392">
        <f t="shared" si="29"/>
        <v>-1</v>
      </c>
      <c r="P637" s="1">
        <f t="shared" si="28"/>
        <v>0</v>
      </c>
      <c r="Q637" s="221"/>
    </row>
    <row r="638" spans="2:17" ht="25" x14ac:dyDescent="0.3">
      <c r="B638" s="16">
        <v>653</v>
      </c>
      <c r="C638" s="16" t="s">
        <v>1201</v>
      </c>
      <c r="D638" s="16" t="s">
        <v>1585</v>
      </c>
      <c r="E638" s="16" t="s">
        <v>2127</v>
      </c>
      <c r="F638" s="200" t="s">
        <v>1202</v>
      </c>
      <c r="G638" s="189" t="str">
        <f>IFERROR(VLOOKUP(C638,#REF!,4,FALSE),"")</f>
        <v/>
      </c>
      <c r="H638" s="249">
        <f>VLOOKUP(C638,Dados!B:AW,11,0)</f>
        <v>2.69</v>
      </c>
      <c r="I638" s="16" t="str">
        <f>(VLOOKUP(C638,Dados!B:AW,48,0))</f>
        <v>Fase de Degradação</v>
      </c>
      <c r="J638" s="189" t="s">
        <v>735</v>
      </c>
      <c r="K638" s="177">
        <f>IFERROR((VLOOKUP(C638,Dados!B:AW,44,0)),0)</f>
        <v>0</v>
      </c>
      <c r="L638" s="177">
        <f>IFERROR((VLOOKUP(C638,Dados!B:AW,45,0)),0)</f>
        <v>0</v>
      </c>
      <c r="M638" s="177">
        <f>IFERROR((VLOOKUP(C638,Dados!B:AW,43,0)),0)</f>
        <v>0</v>
      </c>
      <c r="N638" s="179">
        <f>IFERROR((VLOOKUP(C638,Dados!B:AW,47,0)),0)</f>
        <v>0</v>
      </c>
      <c r="O638" s="197">
        <f t="shared" si="29"/>
        <v>1</v>
      </c>
      <c r="P638" s="1">
        <f t="shared" si="28"/>
        <v>0</v>
      </c>
      <c r="Q638" s="221"/>
    </row>
    <row r="639" spans="2:17" ht="25" x14ac:dyDescent="0.3">
      <c r="B639" s="16">
        <v>654</v>
      </c>
      <c r="C639" s="16" t="s">
        <v>1203</v>
      </c>
      <c r="D639" s="16" t="s">
        <v>1585</v>
      </c>
      <c r="E639" s="16" t="s">
        <v>2127</v>
      </c>
      <c r="F639" s="200" t="s">
        <v>1204</v>
      </c>
      <c r="G639" s="189" t="str">
        <f>IFERROR(VLOOKUP(C639,#REF!,4,FALSE),"")</f>
        <v/>
      </c>
      <c r="H639" s="249">
        <f>VLOOKUP(C639,Dados!B:AW,11,0)</f>
        <v>1.46</v>
      </c>
      <c r="I639" s="16" t="str">
        <f>(VLOOKUP(C639,Dados!B:AW,48,0))</f>
        <v>Fase de Degradação</v>
      </c>
      <c r="J639" s="189" t="s">
        <v>735</v>
      </c>
      <c r="K639" s="177">
        <f>IFERROR((VLOOKUP(C639,Dados!B:AW,44,0)),0)</f>
        <v>0</v>
      </c>
      <c r="L639" s="177">
        <f>IFERROR((VLOOKUP(C639,Dados!B:AW,45,0)),0)</f>
        <v>0</v>
      </c>
      <c r="M639" s="177">
        <f>IFERROR((VLOOKUP(C639,Dados!B:AW,43,0)),0)</f>
        <v>0</v>
      </c>
      <c r="N639" s="179">
        <f>IFERROR((VLOOKUP(C639,Dados!B:AW,47,0)),0)</f>
        <v>0</v>
      </c>
      <c r="O639" s="197">
        <f t="shared" si="29"/>
        <v>1</v>
      </c>
      <c r="P639" s="1">
        <f t="shared" si="28"/>
        <v>0</v>
      </c>
      <c r="Q639" s="221"/>
    </row>
    <row r="640" spans="2:17" ht="25" x14ac:dyDescent="0.3">
      <c r="B640" s="16">
        <v>655</v>
      </c>
      <c r="C640" s="16" t="s">
        <v>1886</v>
      </c>
      <c r="D640" s="16" t="s">
        <v>1592</v>
      </c>
      <c r="E640" s="16" t="s">
        <v>2127</v>
      </c>
      <c r="F640" s="200" t="s">
        <v>1754</v>
      </c>
      <c r="G640" s="189" t="str">
        <f>IFERROR(VLOOKUP(C640,#REF!,4,FALSE),"")</f>
        <v/>
      </c>
      <c r="H640" s="249">
        <f>VLOOKUP(C640,Dados!B:AW,11,0)</f>
        <v>1.28</v>
      </c>
      <c r="I640" s="16" t="str">
        <f>(VLOOKUP(C640,Dados!B:AW,48,0))</f>
        <v>Fase de Degradação</v>
      </c>
      <c r="J640" s="189" t="s">
        <v>735</v>
      </c>
      <c r="K640" s="177">
        <f>IFERROR((VLOOKUP(C640,Dados!B:AW,44,0)),0)</f>
        <v>0</v>
      </c>
      <c r="L640" s="177">
        <f>IFERROR((VLOOKUP(C640,Dados!B:AW,45,0)),0)</f>
        <v>0</v>
      </c>
      <c r="M640" s="177">
        <f>IFERROR((VLOOKUP(C640,Dados!B:AW,43,0)),0)</f>
        <v>0</v>
      </c>
      <c r="N640" s="179">
        <f>IFERROR((VLOOKUP(C640,Dados!B:AW,47,0)),0)</f>
        <v>0</v>
      </c>
      <c r="O640" s="197">
        <f t="shared" si="29"/>
        <v>1</v>
      </c>
      <c r="P640" s="1">
        <f t="shared" si="28"/>
        <v>0</v>
      </c>
      <c r="Q640" s="221"/>
    </row>
    <row r="641" spans="2:17" ht="25" x14ac:dyDescent="0.3">
      <c r="B641" s="16">
        <v>8</v>
      </c>
      <c r="C641" s="16" t="s">
        <v>595</v>
      </c>
      <c r="D641" s="16" t="s">
        <v>1594</v>
      </c>
      <c r="E641" s="16" t="s">
        <v>2125</v>
      </c>
      <c r="F641" s="200" t="s">
        <v>596</v>
      </c>
      <c r="G641" s="189" t="str">
        <f>IFERROR(VLOOKUP(C641,#REF!,4,FALSE),"")</f>
        <v/>
      </c>
      <c r="H641" s="248">
        <f>VLOOKUP(C641,Dados!B:AW,11,0)</f>
        <v>1.1499999999999999</v>
      </c>
      <c r="I641" s="16" t="str">
        <f>(VLOOKUP(C641,Dados!B:AW,48,0))</f>
        <v>Fase de Degradação</v>
      </c>
      <c r="J641" s="189" t="s">
        <v>734</v>
      </c>
      <c r="K641" s="177">
        <f>IFERROR((VLOOKUP(C641,Dados!B:AW,44,0)),0)</f>
        <v>0</v>
      </c>
      <c r="L641" s="177">
        <f>IFERROR((VLOOKUP(C641,Dados!B:AW,45,0)),0)</f>
        <v>0</v>
      </c>
      <c r="M641" s="177">
        <f>IFERROR((VLOOKUP(C641,Dados!B:AW,43,0)),0)</f>
        <v>0</v>
      </c>
      <c r="N641" s="179">
        <f>IFERROR((VLOOKUP(C641,Dados!B:AW,47,0)),0)</f>
        <v>0</v>
      </c>
      <c r="O641" s="197">
        <f t="shared" si="29"/>
        <v>1</v>
      </c>
      <c r="P641" s="1">
        <f t="shared" si="28"/>
        <v>0</v>
      </c>
      <c r="Q641" s="221"/>
    </row>
    <row r="642" spans="2:17" ht="25" x14ac:dyDescent="0.3">
      <c r="B642" s="16">
        <v>430</v>
      </c>
      <c r="C642" s="16" t="s">
        <v>1074</v>
      </c>
      <c r="D642" s="16" t="s">
        <v>1594</v>
      </c>
      <c r="E642" s="16" t="s">
        <v>2125</v>
      </c>
      <c r="F642" s="200" t="s">
        <v>1075</v>
      </c>
      <c r="G642" s="189" t="str">
        <f>IFERROR(VLOOKUP(C642,#REF!,4,FALSE),"")</f>
        <v/>
      </c>
      <c r="H642" s="250">
        <f>VLOOKUP(C642,Dados!B:AW,11,0)</f>
        <v>1.34</v>
      </c>
      <c r="I642" s="16" t="str">
        <f>(VLOOKUP(C642,Dados!B:AW,48,0))</f>
        <v>Fase de Degradação</v>
      </c>
      <c r="J642" s="189" t="s">
        <v>732</v>
      </c>
      <c r="K642" s="177">
        <f>IFERROR((VLOOKUP(C642,Dados!B:AW,44,0)),0)</f>
        <v>0</v>
      </c>
      <c r="L642" s="177">
        <f>IFERROR((VLOOKUP(C642,Dados!B:AW,45,0)),0)</f>
        <v>0</v>
      </c>
      <c r="M642" s="177">
        <f>IFERROR((VLOOKUP(C642,Dados!B:AW,43,0)),0)</f>
        <v>0</v>
      </c>
      <c r="N642" s="179">
        <f>IFERROR((VLOOKUP(C642,Dados!B:AW,47,0)),0)</f>
        <v>0</v>
      </c>
      <c r="O642" s="197">
        <f t="shared" si="29"/>
        <v>1</v>
      </c>
      <c r="P642" s="1">
        <f t="shared" si="28"/>
        <v>0</v>
      </c>
      <c r="Q642" s="221"/>
    </row>
    <row r="643" spans="2:17" ht="25" x14ac:dyDescent="0.3">
      <c r="B643" s="16">
        <v>431</v>
      </c>
      <c r="C643" s="16" t="s">
        <v>1076</v>
      </c>
      <c r="D643" s="16" t="s">
        <v>1594</v>
      </c>
      <c r="E643" s="16" t="s">
        <v>2125</v>
      </c>
      <c r="F643" s="200" t="s">
        <v>1077</v>
      </c>
      <c r="G643" s="189" t="str">
        <f>IFERROR(VLOOKUP(C643,#REF!,4,FALSE),"")</f>
        <v/>
      </c>
      <c r="H643" s="250">
        <f>VLOOKUP(C643,Dados!B:AW,11,0)</f>
        <v>1.18</v>
      </c>
      <c r="I643" s="16" t="str">
        <f>(VLOOKUP(C643,Dados!B:AW,48,0))</f>
        <v>Fase de Degradação</v>
      </c>
      <c r="J643" s="189" t="s">
        <v>732</v>
      </c>
      <c r="K643" s="177">
        <f>IFERROR((VLOOKUP(C643,Dados!B:AW,44,0)),0)</f>
        <v>0</v>
      </c>
      <c r="L643" s="177">
        <f>IFERROR((VLOOKUP(C643,Dados!B:AW,45,0)),0)</f>
        <v>0</v>
      </c>
      <c r="M643" s="177">
        <f>IFERROR((VLOOKUP(C643,Dados!B:AW,43,0)),0)</f>
        <v>0</v>
      </c>
      <c r="N643" s="179">
        <f>IFERROR((VLOOKUP(C643,Dados!B:AW,47,0)),0)</f>
        <v>0</v>
      </c>
      <c r="O643" s="197">
        <f t="shared" si="29"/>
        <v>1</v>
      </c>
      <c r="P643" s="1">
        <f t="shared" si="28"/>
        <v>0</v>
      </c>
      <c r="Q643" s="221"/>
    </row>
    <row r="644" spans="2:17" ht="25" x14ac:dyDescent="0.3">
      <c r="B644" s="16">
        <v>461</v>
      </c>
      <c r="C644" s="16" t="s">
        <v>1854</v>
      </c>
      <c r="D644" s="16" t="s">
        <v>1594</v>
      </c>
      <c r="E644" s="16" t="s">
        <v>2125</v>
      </c>
      <c r="F644" s="200" t="s">
        <v>1723</v>
      </c>
      <c r="G644" s="189" t="str">
        <f>IFERROR(VLOOKUP(C644,#REF!,4,FALSE),"")</f>
        <v/>
      </c>
      <c r="H644" s="250">
        <f>VLOOKUP(C644,Dados!B:AW,11,0)</f>
        <v>0.98</v>
      </c>
      <c r="I644" s="16" t="str">
        <f>(VLOOKUP(C644,Dados!B:AW,48,0))</f>
        <v>Confiabilidade em Crescimento</v>
      </c>
      <c r="J644" s="189" t="s">
        <v>735</v>
      </c>
      <c r="K644" s="177">
        <f>IFERROR((VLOOKUP(C644,Dados!B:AW,44,0)),0)</f>
        <v>0</v>
      </c>
      <c r="L644" s="177">
        <f>IFERROR((VLOOKUP(C644,Dados!B:AW,45,0)),0)</f>
        <v>0</v>
      </c>
      <c r="M644" s="177">
        <f>IFERROR((VLOOKUP(C644,Dados!B:AW,43,0)),0)</f>
        <v>0</v>
      </c>
      <c r="N644" s="179">
        <f>IFERROR((VLOOKUP(C644,Dados!B:AW,47,0)),0)</f>
        <v>0</v>
      </c>
      <c r="O644" s="197">
        <f t="shared" si="29"/>
        <v>2</v>
      </c>
      <c r="P644" s="1">
        <f t="shared" si="28"/>
        <v>0</v>
      </c>
      <c r="Q644" s="221"/>
    </row>
    <row r="645" spans="2:17" ht="25" x14ac:dyDescent="0.3">
      <c r="B645" s="16">
        <v>493</v>
      </c>
      <c r="C645" s="16" t="s">
        <v>653</v>
      </c>
      <c r="D645" s="16" t="s">
        <v>1594</v>
      </c>
      <c r="E645" s="16" t="s">
        <v>2125</v>
      </c>
      <c r="F645" s="200" t="s">
        <v>654</v>
      </c>
      <c r="G645" s="189" t="str">
        <f>IFERROR(VLOOKUP(C645,#REF!,4,FALSE),"")</f>
        <v/>
      </c>
      <c r="H645" s="249">
        <f>VLOOKUP(C645,Dados!B:AW,11,0)</f>
        <v>1.62</v>
      </c>
      <c r="I645" s="16" t="str">
        <f>(VLOOKUP(C645,Dados!B:AW,48,0))</f>
        <v>Fase de Degradação</v>
      </c>
      <c r="J645" s="189" t="s">
        <v>734</v>
      </c>
      <c r="K645" s="177">
        <f>IFERROR((VLOOKUP(C645,Dados!B:AW,44,0)),0)</f>
        <v>0</v>
      </c>
      <c r="L645" s="177">
        <f>IFERROR((VLOOKUP(C645,Dados!B:AW,45,0)),0)</f>
        <v>0</v>
      </c>
      <c r="M645" s="177">
        <f>IFERROR((VLOOKUP(C645,Dados!B:AW,43,0)),0)</f>
        <v>0</v>
      </c>
      <c r="N645" s="179">
        <f>IFERROR((VLOOKUP(C645,Dados!B:AW,47,0)),0)</f>
        <v>0</v>
      </c>
      <c r="O645" s="197">
        <f t="shared" si="29"/>
        <v>1</v>
      </c>
      <c r="P645" s="1">
        <f t="shared" si="28"/>
        <v>0</v>
      </c>
      <c r="Q645" s="221"/>
    </row>
    <row r="646" spans="2:17" ht="25" x14ac:dyDescent="0.3">
      <c r="B646" s="16">
        <v>494</v>
      </c>
      <c r="C646" s="16" t="s">
        <v>619</v>
      </c>
      <c r="D646" s="16" t="s">
        <v>1594</v>
      </c>
      <c r="E646" s="16" t="s">
        <v>2125</v>
      </c>
      <c r="F646" s="200" t="s">
        <v>620</v>
      </c>
      <c r="G646" s="189" t="str">
        <f>IFERROR(VLOOKUP(C646,#REF!,4,FALSE),"")</f>
        <v/>
      </c>
      <c r="H646" s="249">
        <f>VLOOKUP(C646,Dados!B:AW,11,0)</f>
        <v>1.29</v>
      </c>
      <c r="I646" s="16" t="str">
        <f>(VLOOKUP(C646,Dados!B:AW,48,0))</f>
        <v>Fase de Degradação</v>
      </c>
      <c r="J646" s="189" t="s">
        <v>734</v>
      </c>
      <c r="K646" s="177">
        <f>IFERROR((VLOOKUP(C646,Dados!B:AW,44,0)),0)</f>
        <v>0</v>
      </c>
      <c r="L646" s="177">
        <f>IFERROR((VLOOKUP(C646,Dados!B:AW,45,0)),0)</f>
        <v>0</v>
      </c>
      <c r="M646" s="177">
        <f>IFERROR((VLOOKUP(C646,Dados!B:AW,43,0)),0)</f>
        <v>0</v>
      </c>
      <c r="N646" s="179">
        <f>IFERROR((VLOOKUP(C646,Dados!B:AW,47,0)),0)</f>
        <v>0</v>
      </c>
      <c r="O646" s="197">
        <f t="shared" si="29"/>
        <v>1</v>
      </c>
      <c r="P646" s="1">
        <f t="shared" ref="P646:P688" si="30">IF(G646="",0,IF(H646&gt;G646,-1,1))</f>
        <v>0</v>
      </c>
      <c r="Q646" s="221"/>
    </row>
    <row r="647" spans="2:17" ht="25" x14ac:dyDescent="0.3">
      <c r="B647" s="16">
        <v>497</v>
      </c>
      <c r="C647" s="16" t="s">
        <v>607</v>
      </c>
      <c r="D647" s="16" t="s">
        <v>1594</v>
      </c>
      <c r="E647" s="16" t="s">
        <v>2125</v>
      </c>
      <c r="F647" s="200" t="s">
        <v>608</v>
      </c>
      <c r="G647" s="189" t="str">
        <f>IFERROR(VLOOKUP(C647,#REF!,4,FALSE),"")</f>
        <v/>
      </c>
      <c r="H647" s="249">
        <f>VLOOKUP(C647,Dados!B:AW,11,0)</f>
        <v>0.93</v>
      </c>
      <c r="I647" s="16" t="str">
        <f>(VLOOKUP(C647,Dados!B:AW,48,0))</f>
        <v>Confiabilidade em Crescimento</v>
      </c>
      <c r="J647" s="189" t="s">
        <v>735</v>
      </c>
      <c r="K647" s="177">
        <f>IFERROR((VLOOKUP(C647,Dados!B:AW,44,0)),0)</f>
        <v>0</v>
      </c>
      <c r="L647" s="177">
        <f>IFERROR((VLOOKUP(C647,Dados!B:AW,45,0)),0)</f>
        <v>0</v>
      </c>
      <c r="M647" s="177">
        <f>IFERROR((VLOOKUP(C647,Dados!B:AW,43,0)),0)</f>
        <v>0</v>
      </c>
      <c r="N647" s="179">
        <f>IFERROR((VLOOKUP(C647,Dados!B:AW,47,0)),0)</f>
        <v>0</v>
      </c>
      <c r="O647" s="197">
        <f t="shared" si="29"/>
        <v>2</v>
      </c>
      <c r="P647" s="1">
        <f t="shared" si="30"/>
        <v>0</v>
      </c>
      <c r="Q647" s="221"/>
    </row>
    <row r="648" spans="2:17" ht="25" x14ac:dyDescent="0.3">
      <c r="B648" s="16">
        <v>503</v>
      </c>
      <c r="C648" s="16" t="s">
        <v>1599</v>
      </c>
      <c r="D648" s="16" t="s">
        <v>1594</v>
      </c>
      <c r="E648" s="16" t="s">
        <v>2125</v>
      </c>
      <c r="F648" s="200" t="s">
        <v>1598</v>
      </c>
      <c r="G648" s="189" t="str">
        <f>IFERROR(VLOOKUP(C648,#REF!,4,FALSE),"")</f>
        <v/>
      </c>
      <c r="H648" s="248">
        <f>VLOOKUP(C648,Dados!B:AW,11,0)</f>
        <v>0.99</v>
      </c>
      <c r="I648" s="16" t="str">
        <f>(VLOOKUP(C648,Dados!B:AW,48,0))</f>
        <v>Confiabilidade em Crescimento</v>
      </c>
      <c r="J648" s="189" t="s">
        <v>735</v>
      </c>
      <c r="K648" s="177">
        <f>IFERROR((VLOOKUP(C648,Dados!B:AW,44,0)),0)</f>
        <v>0</v>
      </c>
      <c r="L648" s="177">
        <f>IFERROR((VLOOKUP(C648,Dados!B:AW,45,0)),0)</f>
        <v>0</v>
      </c>
      <c r="M648" s="177">
        <f>IFERROR((VLOOKUP(C648,Dados!B:AW,43,0)),0)</f>
        <v>0</v>
      </c>
      <c r="N648" s="179">
        <f>IFERROR((VLOOKUP(C648,Dados!B:AW,47,0)),0)</f>
        <v>0</v>
      </c>
      <c r="O648" s="197">
        <f t="shared" si="29"/>
        <v>2</v>
      </c>
      <c r="P648" s="1">
        <f t="shared" si="30"/>
        <v>0</v>
      </c>
      <c r="Q648" s="221"/>
    </row>
    <row r="649" spans="2:17" ht="25" x14ac:dyDescent="0.3">
      <c r="B649" s="16">
        <v>512</v>
      </c>
      <c r="C649" s="16" t="s">
        <v>1138</v>
      </c>
      <c r="D649" s="16" t="s">
        <v>1594</v>
      </c>
      <c r="E649" s="16" t="s">
        <v>2125</v>
      </c>
      <c r="F649" s="200" t="s">
        <v>1139</v>
      </c>
      <c r="G649" s="189" t="str">
        <f>IFERROR(VLOOKUP(C649,#REF!,4,FALSE),"")</f>
        <v/>
      </c>
      <c r="H649" s="248">
        <f>VLOOKUP(C649,Dados!B:AW,11,0)</f>
        <v>1.25</v>
      </c>
      <c r="I649" s="16" t="str">
        <f>(VLOOKUP(C649,Dados!B:AW,48,0))</f>
        <v>Fase de Degradação</v>
      </c>
      <c r="J649" s="189" t="s">
        <v>735</v>
      </c>
      <c r="K649" s="177">
        <f>IFERROR((VLOOKUP(C649,Dados!B:AW,44,0)),0)</f>
        <v>0</v>
      </c>
      <c r="L649" s="177">
        <f>IFERROR((VLOOKUP(C649,Dados!B:AW,45,0)),0)</f>
        <v>0</v>
      </c>
      <c r="M649" s="177">
        <f>IFERROR((VLOOKUP(C649,Dados!B:AW,43,0)),0)</f>
        <v>0</v>
      </c>
      <c r="N649" s="179">
        <f>IFERROR((VLOOKUP(C649,Dados!B:AW,47,0)),0)</f>
        <v>0</v>
      </c>
      <c r="O649" s="197">
        <f t="shared" si="29"/>
        <v>1</v>
      </c>
      <c r="P649" s="1">
        <f t="shared" si="30"/>
        <v>0</v>
      </c>
      <c r="Q649" s="221"/>
    </row>
    <row r="650" spans="2:17" ht="25" x14ac:dyDescent="0.3">
      <c r="B650" s="16">
        <v>515</v>
      </c>
      <c r="C650" s="16" t="s">
        <v>374</v>
      </c>
      <c r="D650" s="16" t="s">
        <v>1594</v>
      </c>
      <c r="E650" s="16" t="s">
        <v>2125</v>
      </c>
      <c r="F650" s="200" t="s">
        <v>195</v>
      </c>
      <c r="G650" s="189" t="str">
        <f>IFERROR(VLOOKUP(C650,#REF!,4,FALSE),"")</f>
        <v/>
      </c>
      <c r="H650" s="248">
        <f>VLOOKUP(C650,Dados!B:AW,11,0)</f>
        <v>1.93</v>
      </c>
      <c r="I650" s="16" t="str">
        <f>(VLOOKUP(C650,Dados!B:AW,48,0))</f>
        <v>Fase de Degradação</v>
      </c>
      <c r="J650" s="189" t="s">
        <v>735</v>
      </c>
      <c r="K650" s="177">
        <f>IFERROR((VLOOKUP(C650,Dados!B:AW,44,0)),0)</f>
        <v>0</v>
      </c>
      <c r="L650" s="177">
        <f>IFERROR((VLOOKUP(C650,Dados!B:AW,45,0)),0)</f>
        <v>0</v>
      </c>
      <c r="M650" s="177">
        <f>IFERROR((VLOOKUP(C650,Dados!B:AW,43,0)),0)</f>
        <v>0</v>
      </c>
      <c r="N650" s="179">
        <f>IFERROR((VLOOKUP(C650,Dados!B:AW,47,0)),0)</f>
        <v>0</v>
      </c>
      <c r="O650" s="197">
        <f t="shared" si="29"/>
        <v>1</v>
      </c>
      <c r="P650" s="1">
        <f t="shared" si="30"/>
        <v>0</v>
      </c>
      <c r="Q650" s="221"/>
    </row>
    <row r="651" spans="2:17" ht="25" x14ac:dyDescent="0.3">
      <c r="B651" s="16">
        <v>516</v>
      </c>
      <c r="C651" s="16" t="s">
        <v>829</v>
      </c>
      <c r="D651" s="16" t="s">
        <v>1594</v>
      </c>
      <c r="E651" s="16" t="s">
        <v>2125</v>
      </c>
      <c r="F651" s="200" t="s">
        <v>830</v>
      </c>
      <c r="G651" s="189" t="str">
        <f>IFERROR(VLOOKUP(C651,#REF!,4,FALSE),"")</f>
        <v/>
      </c>
      <c r="H651" s="250">
        <f>VLOOKUP(C651,Dados!B:AW,11,0)</f>
        <v>1.35</v>
      </c>
      <c r="I651" s="16" t="str">
        <f>(VLOOKUP(C651,Dados!B:AW,48,0))</f>
        <v>Fase de Degradação</v>
      </c>
      <c r="J651" s="189" t="s">
        <v>733</v>
      </c>
      <c r="K651" s="177">
        <f>IFERROR((VLOOKUP(C651,Dados!B:AW,44,0)),0)</f>
        <v>0</v>
      </c>
      <c r="L651" s="177">
        <f>IFERROR((VLOOKUP(C651,Dados!B:AW,45,0)),0)</f>
        <v>0</v>
      </c>
      <c r="M651" s="177">
        <f>IFERROR((VLOOKUP(C651,Dados!B:AW,43,0)),0)</f>
        <v>0</v>
      </c>
      <c r="N651" s="179">
        <f>IFERROR((VLOOKUP(C651,Dados!B:AW,47,0)),0)</f>
        <v>0</v>
      </c>
      <c r="O651" s="197">
        <f t="shared" si="29"/>
        <v>-1</v>
      </c>
      <c r="P651" s="1">
        <f t="shared" si="30"/>
        <v>0</v>
      </c>
      <c r="Q651" s="221"/>
    </row>
    <row r="652" spans="2:17" ht="25" x14ac:dyDescent="0.3">
      <c r="B652" s="16">
        <v>517</v>
      </c>
      <c r="C652" s="16" t="s">
        <v>347</v>
      </c>
      <c r="D652" s="16" t="s">
        <v>1594</v>
      </c>
      <c r="E652" s="16" t="s">
        <v>2125</v>
      </c>
      <c r="F652" s="200" t="s">
        <v>168</v>
      </c>
      <c r="G652" s="189" t="str">
        <f>IFERROR(VLOOKUP(C652,#REF!,4,FALSE),"")</f>
        <v/>
      </c>
      <c r="H652" s="248">
        <f>VLOOKUP(C652,Dados!B:AW,11,0)</f>
        <v>1.53</v>
      </c>
      <c r="I652" s="16" t="str">
        <f>(VLOOKUP(C652,Dados!B:AW,48,0))</f>
        <v>Fase de Degradação</v>
      </c>
      <c r="J652" s="189" t="s">
        <v>735</v>
      </c>
      <c r="K652" s="177">
        <f>IFERROR((VLOOKUP(C652,Dados!B:AW,44,0)),0)</f>
        <v>0</v>
      </c>
      <c r="L652" s="177">
        <f>IFERROR((VLOOKUP(C652,Dados!B:AW,45,0)),0)</f>
        <v>0</v>
      </c>
      <c r="M652" s="177">
        <f>IFERROR((VLOOKUP(C652,Dados!B:AW,43,0)),0)</f>
        <v>0</v>
      </c>
      <c r="N652" s="179">
        <f>IFERROR((VLOOKUP(C652,Dados!B:AW,47,0)),0)</f>
        <v>0</v>
      </c>
      <c r="O652" s="197">
        <f t="shared" si="29"/>
        <v>1</v>
      </c>
      <c r="P652" s="1">
        <f t="shared" si="30"/>
        <v>0</v>
      </c>
      <c r="Q652" s="221"/>
    </row>
    <row r="653" spans="2:17" ht="25" x14ac:dyDescent="0.3">
      <c r="B653" s="16">
        <v>518</v>
      </c>
      <c r="C653" s="16" t="s">
        <v>380</v>
      </c>
      <c r="D653" s="16" t="s">
        <v>1594</v>
      </c>
      <c r="E653" s="16" t="s">
        <v>2125</v>
      </c>
      <c r="F653" s="200" t="s">
        <v>201</v>
      </c>
      <c r="G653" s="189" t="str">
        <f>IFERROR(VLOOKUP(C653,#REF!,4,FALSE),"")</f>
        <v/>
      </c>
      <c r="H653" s="248">
        <f>VLOOKUP(C653,Dados!B:AW,11,0)</f>
        <v>1.47</v>
      </c>
      <c r="I653" s="16" t="str">
        <f>(VLOOKUP(C653,Dados!B:AW,48,0))</f>
        <v>Fase de Degradação</v>
      </c>
      <c r="J653" s="189" t="s">
        <v>735</v>
      </c>
      <c r="K653" s="177">
        <f>IFERROR((VLOOKUP(C653,Dados!B:AW,44,0)),0)</f>
        <v>0</v>
      </c>
      <c r="L653" s="177">
        <f>IFERROR((VLOOKUP(C653,Dados!B:AW,45,0)),0)</f>
        <v>0</v>
      </c>
      <c r="M653" s="177">
        <f>IFERROR((VLOOKUP(C653,Dados!B:AW,43,0)),0)</f>
        <v>0</v>
      </c>
      <c r="N653" s="179">
        <f>IFERROR((VLOOKUP(C653,Dados!B:AW,47,0)),0)</f>
        <v>0</v>
      </c>
      <c r="O653" s="197">
        <f t="shared" si="29"/>
        <v>1</v>
      </c>
      <c r="P653" s="1">
        <f t="shared" si="30"/>
        <v>0</v>
      </c>
      <c r="Q653" s="221"/>
    </row>
    <row r="654" spans="2:17" ht="25" x14ac:dyDescent="0.3">
      <c r="B654" s="16">
        <v>528</v>
      </c>
      <c r="C654" s="16" t="s">
        <v>635</v>
      </c>
      <c r="D654" s="16" t="s">
        <v>1594</v>
      </c>
      <c r="E654" s="16" t="s">
        <v>2125</v>
      </c>
      <c r="F654" s="200" t="str">
        <f>VLOOKUP(C654,[9]Dados!B:C,2,0)</f>
        <v>RET024-RETÍFICA DE ROSCAS</v>
      </c>
      <c r="G654" s="189" t="str">
        <f>IFERROR(VLOOKUP(C654,#REF!,4,FALSE),"")</f>
        <v/>
      </c>
      <c r="H654" s="249">
        <f>VLOOKUP(C654,Dados!B:AW,11,0)</f>
        <v>1.49</v>
      </c>
      <c r="I654" s="16" t="str">
        <f>(VLOOKUP(C654,Dados!B:AW,48,0))</f>
        <v>Fase de Degradação</v>
      </c>
      <c r="J654" s="189" t="s">
        <v>733</v>
      </c>
      <c r="K654" s="177">
        <f>IFERROR((VLOOKUP(C654,Dados!B:AW,44,0)),0)</f>
        <v>0</v>
      </c>
      <c r="L654" s="177">
        <f>IFERROR((VLOOKUP(C654,Dados!B:AW,45,0)),0)</f>
        <v>0</v>
      </c>
      <c r="M654" s="177">
        <f>IFERROR((VLOOKUP(C654,Dados!B:AW,43,0)),0)</f>
        <v>0</v>
      </c>
      <c r="N654" s="179">
        <f>IFERROR((VLOOKUP(C654,Dados!B:AW,47,0)),0)</f>
        <v>0</v>
      </c>
      <c r="O654" s="197">
        <f t="shared" si="29"/>
        <v>-1</v>
      </c>
      <c r="P654" s="1">
        <f t="shared" si="30"/>
        <v>0</v>
      </c>
      <c r="Q654" s="221"/>
    </row>
    <row r="655" spans="2:17" ht="25" x14ac:dyDescent="0.3">
      <c r="B655" s="16">
        <v>529</v>
      </c>
      <c r="C655" s="16" t="s">
        <v>615</v>
      </c>
      <c r="D655" s="16" t="s">
        <v>1594</v>
      </c>
      <c r="E655" s="16" t="s">
        <v>2125</v>
      </c>
      <c r="F655" s="200" t="str">
        <f>VLOOKUP(C655,[9]Dados!B:C,2,0)</f>
        <v>RET026- RETÍFICA</v>
      </c>
      <c r="G655" s="189" t="str">
        <f>IFERROR(VLOOKUP(C655,#REF!,4,FALSE),"")</f>
        <v/>
      </c>
      <c r="H655" s="249">
        <f>VLOOKUP(C655,Dados!B:AW,11,0)</f>
        <v>1.1200000000000001</v>
      </c>
      <c r="I655" s="16" t="str">
        <f>(VLOOKUP(C655,Dados!B:AW,48,0))</f>
        <v>Fase de Degradação</v>
      </c>
      <c r="J655" s="189" t="s">
        <v>735</v>
      </c>
      <c r="K655" s="177">
        <f>IFERROR((VLOOKUP(C655,Dados!B:AW,44,0)),0)</f>
        <v>0</v>
      </c>
      <c r="L655" s="177">
        <f>IFERROR((VLOOKUP(C655,Dados!B:AW,45,0)),0)</f>
        <v>0</v>
      </c>
      <c r="M655" s="177">
        <f>IFERROR((VLOOKUP(C655,Dados!B:AW,43,0)),0)</f>
        <v>0</v>
      </c>
      <c r="N655" s="179">
        <f>IFERROR((VLOOKUP(C655,Dados!B:AW,47,0)),0)</f>
        <v>0</v>
      </c>
      <c r="O655" s="197">
        <f t="shared" si="29"/>
        <v>1</v>
      </c>
      <c r="P655" s="1">
        <f t="shared" si="30"/>
        <v>0</v>
      </c>
      <c r="Q655" s="221"/>
    </row>
    <row r="656" spans="2:17" ht="25" x14ac:dyDescent="0.3">
      <c r="B656" s="16">
        <v>531</v>
      </c>
      <c r="C656" s="16" t="s">
        <v>831</v>
      </c>
      <c r="D656" s="16" t="s">
        <v>1594</v>
      </c>
      <c r="E656" s="16" t="s">
        <v>2125</v>
      </c>
      <c r="F656" s="200" t="s">
        <v>832</v>
      </c>
      <c r="G656" s="189" t="str">
        <f>IFERROR(VLOOKUP(C656,#REF!,4,FALSE),"")</f>
        <v/>
      </c>
      <c r="H656" s="249">
        <f>VLOOKUP(C656,Dados!B:AW,11,0)</f>
        <v>1.05</v>
      </c>
      <c r="I656" s="16" t="str">
        <f>(VLOOKUP(C656,Dados!B:AW,48,0))</f>
        <v>Fase de Vida Útil</v>
      </c>
      <c r="J656" s="189" t="s">
        <v>733</v>
      </c>
      <c r="K656" s="177">
        <f>IFERROR((VLOOKUP(C656,Dados!B:AW,44,0)),0)</f>
        <v>0</v>
      </c>
      <c r="L656" s="177">
        <f>IFERROR((VLOOKUP(C656,Dados!B:AW,45,0)),0)</f>
        <v>0</v>
      </c>
      <c r="M656" s="177">
        <f>IFERROR((VLOOKUP(C656,Dados!B:AW,43,0)),0)</f>
        <v>0</v>
      </c>
      <c r="N656" s="179">
        <f>IFERROR((VLOOKUP(C656,Dados!B:AW,47,0)),0)</f>
        <v>0</v>
      </c>
      <c r="O656" s="197">
        <f t="shared" si="29"/>
        <v>-1</v>
      </c>
      <c r="P656" s="1">
        <f t="shared" si="30"/>
        <v>0</v>
      </c>
      <c r="Q656" s="221"/>
    </row>
    <row r="657" spans="2:17" ht="25" x14ac:dyDescent="0.3">
      <c r="B657" s="16">
        <v>534</v>
      </c>
      <c r="C657" s="16" t="s">
        <v>657</v>
      </c>
      <c r="D657" s="16" t="s">
        <v>1594</v>
      </c>
      <c r="E657" s="16" t="s">
        <v>2125</v>
      </c>
      <c r="F657" s="200" t="s">
        <v>658</v>
      </c>
      <c r="G657" s="189" t="str">
        <f>IFERROR(VLOOKUP(C657,#REF!,4,FALSE),"")</f>
        <v/>
      </c>
      <c r="H657" s="248">
        <f>VLOOKUP(C657,Dados!B:AW,11,0)</f>
        <v>1.1599999999999999</v>
      </c>
      <c r="I657" s="16" t="str">
        <f>(VLOOKUP(C657,Dados!B:AW,48,0))</f>
        <v>Fase de Degradação</v>
      </c>
      <c r="J657" s="189" t="s">
        <v>735</v>
      </c>
      <c r="K657" s="177">
        <f>IFERROR((VLOOKUP(C657,Dados!B:AW,44,0)),0)</f>
        <v>0</v>
      </c>
      <c r="L657" s="177">
        <f>IFERROR((VLOOKUP(C657,Dados!B:AW,45,0)),0)</f>
        <v>0</v>
      </c>
      <c r="M657" s="177">
        <f>IFERROR((VLOOKUP(C657,Dados!B:AW,43,0)),0)</f>
        <v>0</v>
      </c>
      <c r="N657" s="179">
        <f>IFERROR((VLOOKUP(C657,Dados!B:AW,47,0)),0)</f>
        <v>0</v>
      </c>
      <c r="O657" s="197">
        <f t="shared" si="29"/>
        <v>1</v>
      </c>
      <c r="P657" s="1">
        <f t="shared" si="30"/>
        <v>0</v>
      </c>
      <c r="Q657" s="221"/>
    </row>
    <row r="658" spans="2:17" ht="25" x14ac:dyDescent="0.3">
      <c r="B658" s="16">
        <v>535</v>
      </c>
      <c r="C658" s="16" t="s">
        <v>675</v>
      </c>
      <c r="D658" s="16" t="s">
        <v>1594</v>
      </c>
      <c r="E658" s="16" t="s">
        <v>2125</v>
      </c>
      <c r="F658" s="200" t="s">
        <v>676</v>
      </c>
      <c r="G658" s="189" t="str">
        <f>IFERROR(VLOOKUP(C658,#REF!,4,FALSE),"")</f>
        <v/>
      </c>
      <c r="H658" s="249">
        <f>VLOOKUP(C658,Dados!B:AW,11,0)</f>
        <v>1.24</v>
      </c>
      <c r="I658" s="16" t="str">
        <f>(VLOOKUP(C658,Dados!B:AW,48,0))</f>
        <v>Fase de Degradação</v>
      </c>
      <c r="J658" s="189" t="s">
        <v>735</v>
      </c>
      <c r="K658" s="177">
        <f>IFERROR((VLOOKUP(C658,Dados!B:AW,44,0)),0)</f>
        <v>0</v>
      </c>
      <c r="L658" s="177">
        <f>IFERROR((VLOOKUP(C658,Dados!B:AW,45,0)),0)</f>
        <v>0</v>
      </c>
      <c r="M658" s="177">
        <f>IFERROR((VLOOKUP(C658,Dados!B:AW,43,0)),0)</f>
        <v>0</v>
      </c>
      <c r="N658" s="179">
        <f>IFERROR((VLOOKUP(C658,Dados!B:AW,47,0)),0)</f>
        <v>0</v>
      </c>
      <c r="O658" s="197">
        <f t="shared" si="29"/>
        <v>1</v>
      </c>
      <c r="P658" s="1">
        <f t="shared" si="30"/>
        <v>0</v>
      </c>
      <c r="Q658" s="221"/>
    </row>
    <row r="659" spans="2:17" ht="25" x14ac:dyDescent="0.3">
      <c r="B659" s="16">
        <v>537</v>
      </c>
      <c r="C659" s="16" t="s">
        <v>1862</v>
      </c>
      <c r="D659" s="16" t="s">
        <v>1594</v>
      </c>
      <c r="E659" s="16" t="s">
        <v>2125</v>
      </c>
      <c r="F659" s="200" t="s">
        <v>1731</v>
      </c>
      <c r="G659" s="189" t="str">
        <f>IFERROR(VLOOKUP(C659,#REF!,4,FALSE),"")</f>
        <v/>
      </c>
      <c r="H659" s="249">
        <f>VLOOKUP(C659,Dados!B:AW,11,0)</f>
        <v>1.37</v>
      </c>
      <c r="I659" s="16" t="str">
        <f>(VLOOKUP(C659,Dados!B:AW,48,0))</f>
        <v>Fase de Degradação</v>
      </c>
      <c r="J659" s="189" t="s">
        <v>735</v>
      </c>
      <c r="K659" s="177">
        <f>IFERROR((VLOOKUP(C659,Dados!B:AW,44,0)),0)</f>
        <v>0</v>
      </c>
      <c r="L659" s="177">
        <f>IFERROR((VLOOKUP(C659,Dados!B:AW,45,0)),0)</f>
        <v>0</v>
      </c>
      <c r="M659" s="177">
        <f>IFERROR((VLOOKUP(C659,Dados!B:AW,43,0)),0)</f>
        <v>0</v>
      </c>
      <c r="N659" s="179">
        <f>IFERROR((VLOOKUP(C659,Dados!B:AW,47,0)),0)</f>
        <v>0</v>
      </c>
      <c r="O659" s="197">
        <f t="shared" si="29"/>
        <v>1</v>
      </c>
      <c r="P659" s="1">
        <f t="shared" si="30"/>
        <v>0</v>
      </c>
      <c r="Q659" s="221"/>
    </row>
    <row r="660" spans="2:17" ht="25" x14ac:dyDescent="0.3">
      <c r="B660" s="16">
        <v>539</v>
      </c>
      <c r="C660" s="16" t="s">
        <v>1864</v>
      </c>
      <c r="D660" s="16" t="s">
        <v>1594</v>
      </c>
      <c r="E660" s="16" t="s">
        <v>2125</v>
      </c>
      <c r="F660" s="200" t="s">
        <v>1733</v>
      </c>
      <c r="G660" s="189" t="str">
        <f>IFERROR(VLOOKUP(C660,#REF!,4,FALSE),"")</f>
        <v/>
      </c>
      <c r="H660" s="249">
        <f>VLOOKUP(C660,Dados!B:AW,11,0)</f>
        <v>1.06</v>
      </c>
      <c r="I660" s="16" t="str">
        <f>(VLOOKUP(C660,Dados!B:AW,48,0))</f>
        <v>Fase de Vida Útil</v>
      </c>
      <c r="J660" s="189" t="s">
        <v>735</v>
      </c>
      <c r="K660" s="177">
        <f>IFERROR((VLOOKUP(C660,Dados!B:AW,44,0)),0)</f>
        <v>0</v>
      </c>
      <c r="L660" s="177">
        <f>IFERROR((VLOOKUP(C660,Dados!B:AW,45,0)),0)</f>
        <v>0</v>
      </c>
      <c r="M660" s="177">
        <f>IFERROR((VLOOKUP(C660,Dados!B:AW,43,0)),0)</f>
        <v>0</v>
      </c>
      <c r="N660" s="179">
        <f>IFERROR((VLOOKUP(C660,Dados!B:AW,47,0)),0)</f>
        <v>0</v>
      </c>
      <c r="O660" s="197">
        <f t="shared" si="29"/>
        <v>2</v>
      </c>
      <c r="P660" s="1">
        <f t="shared" si="30"/>
        <v>0</v>
      </c>
      <c r="Q660" s="221"/>
    </row>
    <row r="661" spans="2:17" ht="25" x14ac:dyDescent="0.3">
      <c r="B661" s="16">
        <v>561</v>
      </c>
      <c r="C661" s="16" t="s">
        <v>413</v>
      </c>
      <c r="D661" s="16" t="s">
        <v>1594</v>
      </c>
      <c r="E661" s="16" t="s">
        <v>2125</v>
      </c>
      <c r="F661" s="200" t="s">
        <v>234</v>
      </c>
      <c r="G661" s="189" t="str">
        <f>IFERROR(VLOOKUP(C661,#REF!,4,FALSE),"")</f>
        <v/>
      </c>
      <c r="H661" s="249">
        <f>VLOOKUP(C661,Dados!B:AW,11,0)</f>
        <v>1.25</v>
      </c>
      <c r="I661" s="16" t="str">
        <f>(VLOOKUP(C661,Dados!B:AW,48,0))</f>
        <v>Fase de Degradação</v>
      </c>
      <c r="J661" s="189" t="s">
        <v>735</v>
      </c>
      <c r="K661" s="177">
        <f>IFERROR((VLOOKUP(C661,Dados!B:AW,44,0)),0)</f>
        <v>0</v>
      </c>
      <c r="L661" s="177">
        <f>IFERROR((VLOOKUP(C661,Dados!B:AW,45,0)),0)</f>
        <v>0</v>
      </c>
      <c r="M661" s="177">
        <f>IFERROR((VLOOKUP(C661,Dados!B:AW,43,0)),0)</f>
        <v>0</v>
      </c>
      <c r="N661" s="179">
        <f>IFERROR((VLOOKUP(C661,Dados!B:AW,47,0)),0)</f>
        <v>0</v>
      </c>
      <c r="O661" s="197">
        <f t="shared" si="29"/>
        <v>1</v>
      </c>
      <c r="P661" s="1">
        <f t="shared" si="30"/>
        <v>0</v>
      </c>
      <c r="Q661" s="221"/>
    </row>
    <row r="662" spans="2:17" ht="25" x14ac:dyDescent="0.3">
      <c r="B662" s="16">
        <v>578</v>
      </c>
      <c r="C662" s="16" t="s">
        <v>681</v>
      </c>
      <c r="D662" s="16" t="s">
        <v>1594</v>
      </c>
      <c r="E662" s="16" t="s">
        <v>2125</v>
      </c>
      <c r="F662" s="200" t="s">
        <v>682</v>
      </c>
      <c r="G662" s="189" t="str">
        <f>IFERROR(VLOOKUP(C662,#REF!,4,FALSE),"")</f>
        <v/>
      </c>
      <c r="H662" s="249">
        <f>VLOOKUP(C662,Dados!B:AW,11,0)</f>
        <v>0.97</v>
      </c>
      <c r="I662" s="16" t="str">
        <f>(VLOOKUP(C662,Dados!B:AW,48,0))</f>
        <v>Confiabilidade em Crescimento</v>
      </c>
      <c r="J662" s="189" t="s">
        <v>734</v>
      </c>
      <c r="K662" s="177">
        <f>IFERROR((VLOOKUP(C662,Dados!B:AW,44,0)),0)</f>
        <v>0</v>
      </c>
      <c r="L662" s="177">
        <f>IFERROR((VLOOKUP(C662,Dados!B:AW,45,0)),0)</f>
        <v>0</v>
      </c>
      <c r="M662" s="177">
        <f>IFERROR((VLOOKUP(C662,Dados!B:AW,43,0)),0)</f>
        <v>0</v>
      </c>
      <c r="N662" s="179">
        <f>IFERROR((VLOOKUP(C662,Dados!B:AW,47,0)),0)</f>
        <v>0</v>
      </c>
      <c r="O662" s="197">
        <f t="shared" si="29"/>
        <v>2</v>
      </c>
      <c r="P662" s="1">
        <f t="shared" si="30"/>
        <v>0</v>
      </c>
      <c r="Q662" s="221"/>
    </row>
    <row r="663" spans="2:17" ht="25" x14ac:dyDescent="0.3">
      <c r="B663" s="16">
        <v>591</v>
      </c>
      <c r="C663" s="16" t="s">
        <v>839</v>
      </c>
      <c r="D663" s="16" t="s">
        <v>1594</v>
      </c>
      <c r="E663" s="16" t="s">
        <v>2125</v>
      </c>
      <c r="F663" s="200" t="s">
        <v>840</v>
      </c>
      <c r="G663" s="189" t="str">
        <f>IFERROR(VLOOKUP(C663,#REF!,4,FALSE),"")</f>
        <v/>
      </c>
      <c r="H663" s="249">
        <f>VLOOKUP(C663,Dados!B:AW,11,0)</f>
        <v>0.97</v>
      </c>
      <c r="I663" s="16" t="str">
        <f>(VLOOKUP(C663,Dados!B:AW,48,0))</f>
        <v>Confiabilidade em Crescimento</v>
      </c>
      <c r="J663" s="189" t="s">
        <v>735</v>
      </c>
      <c r="K663" s="177">
        <f>IFERROR((VLOOKUP(C663,Dados!B:AW,44,0)),0)</f>
        <v>0</v>
      </c>
      <c r="L663" s="177">
        <f>IFERROR((VLOOKUP(C663,Dados!B:AW,45,0)),0)</f>
        <v>0</v>
      </c>
      <c r="M663" s="177">
        <f>IFERROR((VLOOKUP(C663,Dados!B:AW,43,0)),0)</f>
        <v>0</v>
      </c>
      <c r="N663" s="179">
        <f>IFERROR((VLOOKUP(C663,Dados!B:AW,47,0)),0)</f>
        <v>0</v>
      </c>
      <c r="O663" s="197">
        <f t="shared" si="29"/>
        <v>2</v>
      </c>
      <c r="P663" s="1">
        <f t="shared" si="30"/>
        <v>0</v>
      </c>
      <c r="Q663" s="221"/>
    </row>
    <row r="664" spans="2:17" ht="25" x14ac:dyDescent="0.3">
      <c r="B664" s="16">
        <v>619</v>
      </c>
      <c r="C664" s="16" t="s">
        <v>1865</v>
      </c>
      <c r="D664" s="16" t="s">
        <v>1594</v>
      </c>
      <c r="E664" s="16" t="s">
        <v>2125</v>
      </c>
      <c r="F664" s="200" t="s">
        <v>1734</v>
      </c>
      <c r="G664" s="189" t="str">
        <f>IFERROR(VLOOKUP(C664,#REF!,4,FALSE),"")</f>
        <v/>
      </c>
      <c r="H664" s="249">
        <f>VLOOKUP(C664,Dados!B:AW,11,0)</f>
        <v>1.1200000000000001</v>
      </c>
      <c r="I664" s="16" t="str">
        <f>(VLOOKUP(C664,Dados!B:AW,48,0))</f>
        <v>Fase de Degradação</v>
      </c>
      <c r="J664" s="189" t="s">
        <v>735</v>
      </c>
      <c r="K664" s="177">
        <f>IFERROR((VLOOKUP(C664,Dados!B:AW,44,0)),0)</f>
        <v>0</v>
      </c>
      <c r="L664" s="177">
        <f>IFERROR((VLOOKUP(C664,Dados!B:AW,45,0)),0)</f>
        <v>0</v>
      </c>
      <c r="M664" s="177">
        <f>IFERROR((VLOOKUP(C664,Dados!B:AW,43,0)),0)</f>
        <v>0</v>
      </c>
      <c r="N664" s="179">
        <f>IFERROR((VLOOKUP(C664,Dados!B:AW,47,0)),0)</f>
        <v>0</v>
      </c>
      <c r="O664" s="197">
        <f t="shared" si="29"/>
        <v>1</v>
      </c>
      <c r="P664" s="1">
        <f t="shared" si="30"/>
        <v>0</v>
      </c>
      <c r="Q664" s="221"/>
    </row>
    <row r="665" spans="2:17" ht="25" x14ac:dyDescent="0.3">
      <c r="B665" s="16">
        <v>658</v>
      </c>
      <c r="C665" s="16" t="s">
        <v>402</v>
      </c>
      <c r="D665" s="16" t="s">
        <v>1594</v>
      </c>
      <c r="E665" s="16" t="s">
        <v>2125</v>
      </c>
      <c r="F665" s="200" t="str">
        <f>VLOOKUP(C665,[9]Dados!B:C,2,0)</f>
        <v>TOR020-TORNO</v>
      </c>
      <c r="G665" s="189" t="str">
        <f>IFERROR(VLOOKUP(C665,#REF!,4,FALSE),"")</f>
        <v/>
      </c>
      <c r="H665" s="249">
        <f>VLOOKUP(C665,Dados!B:AW,11,0)</f>
        <v>2.11</v>
      </c>
      <c r="I665" s="16" t="str">
        <f>(VLOOKUP(C665,Dados!B:AW,48,0))</f>
        <v>Fase de Degradação</v>
      </c>
      <c r="J665" s="189" t="s">
        <v>734</v>
      </c>
      <c r="K665" s="177">
        <f>IFERROR((VLOOKUP(C665,Dados!B:AW,44,0)),0)</f>
        <v>0</v>
      </c>
      <c r="L665" s="177">
        <f>IFERROR((VLOOKUP(C665,Dados!B:AW,45,0)),0)</f>
        <v>0</v>
      </c>
      <c r="M665" s="177">
        <f>IFERROR((VLOOKUP(C665,Dados!B:AW,43,0)),0)</f>
        <v>0</v>
      </c>
      <c r="N665" s="179">
        <f>IFERROR((VLOOKUP(C665,Dados!B:AW,47,0)),0)</f>
        <v>0</v>
      </c>
      <c r="O665" s="197">
        <f t="shared" si="29"/>
        <v>1</v>
      </c>
      <c r="P665" s="1">
        <f t="shared" si="30"/>
        <v>0</v>
      </c>
      <c r="Q665" s="221"/>
    </row>
    <row r="666" spans="2:17" ht="25" x14ac:dyDescent="0.3">
      <c r="B666" s="16">
        <v>661</v>
      </c>
      <c r="C666" s="16" t="s">
        <v>621</v>
      </c>
      <c r="D666" s="16" t="s">
        <v>1594</v>
      </c>
      <c r="E666" s="16" t="s">
        <v>2125</v>
      </c>
      <c r="F666" s="200" t="s">
        <v>622</v>
      </c>
      <c r="G666" s="189" t="str">
        <f>IFERROR(VLOOKUP(C666,#REF!,4,FALSE),"")</f>
        <v/>
      </c>
      <c r="H666" s="249">
        <f>VLOOKUP(C666,Dados!B:AW,11,0)</f>
        <v>1.43</v>
      </c>
      <c r="I666" s="16" t="str">
        <f>(VLOOKUP(C666,Dados!B:AW,48,0))</f>
        <v>Fase de Degradação</v>
      </c>
      <c r="J666" s="189" t="s">
        <v>734</v>
      </c>
      <c r="K666" s="177">
        <f>IFERROR((VLOOKUP(C666,Dados!B:AW,44,0)),0)</f>
        <v>0</v>
      </c>
      <c r="L666" s="177">
        <f>IFERROR((VLOOKUP(C666,Dados!B:AW,45,0)),0)</f>
        <v>0</v>
      </c>
      <c r="M666" s="177">
        <f>IFERROR((VLOOKUP(C666,Dados!B:AW,43,0)),0)</f>
        <v>0</v>
      </c>
      <c r="N666" s="179">
        <f>IFERROR((VLOOKUP(C666,Dados!B:AW,47,0)),0)</f>
        <v>0</v>
      </c>
      <c r="O666" s="197">
        <f t="shared" si="29"/>
        <v>1</v>
      </c>
      <c r="P666" s="1">
        <f t="shared" si="30"/>
        <v>0</v>
      </c>
      <c r="Q666" s="221"/>
    </row>
    <row r="667" spans="2:17" ht="25" x14ac:dyDescent="0.3">
      <c r="B667" s="16">
        <v>664</v>
      </c>
      <c r="C667" s="16" t="s">
        <v>613</v>
      </c>
      <c r="D667" s="16" t="s">
        <v>1594</v>
      </c>
      <c r="E667" s="16" t="s">
        <v>2125</v>
      </c>
      <c r="F667" s="200" t="s">
        <v>614</v>
      </c>
      <c r="G667" s="189" t="str">
        <f>IFERROR(VLOOKUP(C667,#REF!,4,FALSE),"")</f>
        <v/>
      </c>
      <c r="H667" s="249">
        <f>VLOOKUP(C667,Dados!B:AW,11,0)</f>
        <v>2.4500000000000002</v>
      </c>
      <c r="I667" s="16" t="str">
        <f>(VLOOKUP(C667,Dados!B:AW,48,0))</f>
        <v>Fase de Degradação</v>
      </c>
      <c r="J667" s="189" t="s">
        <v>734</v>
      </c>
      <c r="K667" s="177">
        <f>IFERROR((VLOOKUP(C667,Dados!B:AW,44,0)),0)</f>
        <v>0</v>
      </c>
      <c r="L667" s="177">
        <f>IFERROR((VLOOKUP(C667,Dados!B:AW,45,0)),0)</f>
        <v>0</v>
      </c>
      <c r="M667" s="177">
        <f>IFERROR((VLOOKUP(C667,Dados!B:AW,43,0)),0)</f>
        <v>0</v>
      </c>
      <c r="N667" s="179">
        <f>IFERROR((VLOOKUP(C667,Dados!B:AW,47,0)),0)</f>
        <v>0</v>
      </c>
      <c r="O667" s="197">
        <f t="shared" si="29"/>
        <v>1</v>
      </c>
      <c r="P667" s="1">
        <f t="shared" si="30"/>
        <v>0</v>
      </c>
      <c r="Q667" s="221"/>
    </row>
    <row r="668" spans="2:17" ht="25" x14ac:dyDescent="0.3">
      <c r="B668" s="16">
        <v>668</v>
      </c>
      <c r="C668" s="16" t="s">
        <v>1603</v>
      </c>
      <c r="D668" s="16" t="s">
        <v>1594</v>
      </c>
      <c r="E668" s="16" t="s">
        <v>2125</v>
      </c>
      <c r="F668" s="200" t="s">
        <v>1600</v>
      </c>
      <c r="G668" s="189" t="str">
        <f>IFERROR(VLOOKUP(C668,#REF!,4,FALSE),"")</f>
        <v/>
      </c>
      <c r="H668" s="249">
        <f>VLOOKUP(C668,Dados!B:AW,11,0)</f>
        <v>0.66</v>
      </c>
      <c r="I668" s="16" t="str">
        <f>(VLOOKUP(C668,Dados!B:AW,48,0))</f>
        <v>Confiabilidade em Crescimento</v>
      </c>
      <c r="J668" s="189" t="s">
        <v>735</v>
      </c>
      <c r="K668" s="177">
        <f>IFERROR((VLOOKUP(C668,Dados!B:AW,44,0)),0)</f>
        <v>0</v>
      </c>
      <c r="L668" s="177">
        <f>IFERROR((VLOOKUP(C668,Dados!B:AW,45,0)),0)</f>
        <v>0</v>
      </c>
      <c r="M668" s="177">
        <f>IFERROR((VLOOKUP(C668,Dados!B:AW,43,0)),0)</f>
        <v>0</v>
      </c>
      <c r="N668" s="179">
        <f>IFERROR((VLOOKUP(C668,Dados!B:AW,47,0)),0)</f>
        <v>0</v>
      </c>
      <c r="O668" s="197">
        <f t="shared" si="29"/>
        <v>2</v>
      </c>
      <c r="P668" s="1">
        <f t="shared" si="30"/>
        <v>0</v>
      </c>
      <c r="Q668" s="221"/>
    </row>
    <row r="669" spans="2:17" ht="25" x14ac:dyDescent="0.3">
      <c r="B669" s="16">
        <v>671</v>
      </c>
      <c r="C669" s="16" t="s">
        <v>1605</v>
      </c>
      <c r="D669" s="16" t="s">
        <v>1594</v>
      </c>
      <c r="E669" s="16" t="s">
        <v>2125</v>
      </c>
      <c r="F669" s="200" t="s">
        <v>1602</v>
      </c>
      <c r="G669" s="189" t="str">
        <f>IFERROR(VLOOKUP(C669,#REF!,4,FALSE),"")</f>
        <v/>
      </c>
      <c r="H669" s="249">
        <f>VLOOKUP(C669,Dados!B:AW,11,0)</f>
        <v>1.07</v>
      </c>
      <c r="I669" s="16" t="str">
        <f>(VLOOKUP(C669,Dados!B:AW,48,0))</f>
        <v>Fase de Vida Útil</v>
      </c>
      <c r="J669" s="189" t="s">
        <v>735</v>
      </c>
      <c r="K669" s="177">
        <f>IFERROR((VLOOKUP(C669,Dados!B:AW,44,0)),0)</f>
        <v>0</v>
      </c>
      <c r="L669" s="177">
        <f>IFERROR((VLOOKUP(C669,Dados!B:AW,45,0)),0)</f>
        <v>0</v>
      </c>
      <c r="M669" s="177">
        <f>IFERROR((VLOOKUP(C669,Dados!B:AW,43,0)),0)</f>
        <v>0</v>
      </c>
      <c r="N669" s="179">
        <f>IFERROR((VLOOKUP(C669,Dados!B:AW,47,0)),0)</f>
        <v>0</v>
      </c>
      <c r="O669" s="197">
        <f t="shared" si="29"/>
        <v>2</v>
      </c>
      <c r="P669" s="1">
        <f t="shared" si="30"/>
        <v>0</v>
      </c>
      <c r="Q669" s="221"/>
    </row>
    <row r="670" spans="2:17" ht="25" x14ac:dyDescent="0.3">
      <c r="B670" s="16">
        <v>674</v>
      </c>
      <c r="C670" s="16" t="s">
        <v>1887</v>
      </c>
      <c r="D670" s="16" t="s">
        <v>1594</v>
      </c>
      <c r="E670" s="16" t="s">
        <v>2125</v>
      </c>
      <c r="F670" s="200" t="s">
        <v>1755</v>
      </c>
      <c r="G670" s="189" t="str">
        <f>IFERROR(VLOOKUP(C670,#REF!,4,FALSE),"")</f>
        <v/>
      </c>
      <c r="H670" s="249">
        <f>VLOOKUP(C670,Dados!B:AW,11,0)</f>
        <v>0.41</v>
      </c>
      <c r="I670" s="16" t="str">
        <f>(VLOOKUP(C670,Dados!B:AW,48,0))</f>
        <v>Confiabilidade em Crescimento</v>
      </c>
      <c r="J670" s="189" t="s">
        <v>735</v>
      </c>
      <c r="K670" s="177">
        <f>IFERROR((VLOOKUP(C670,Dados!B:AW,44,0)),0)</f>
        <v>0</v>
      </c>
      <c r="L670" s="177">
        <f>IFERROR((VLOOKUP(C670,Dados!B:AW,45,0)),0)</f>
        <v>0</v>
      </c>
      <c r="M670" s="177">
        <f>IFERROR((VLOOKUP(C670,Dados!B:AW,43,0)),0)</f>
        <v>0</v>
      </c>
      <c r="N670" s="179">
        <f>IFERROR((VLOOKUP(C670,Dados!B:AW,47,0)),0)</f>
        <v>0</v>
      </c>
      <c r="O670" s="197">
        <f t="shared" si="29"/>
        <v>2</v>
      </c>
      <c r="P670" s="1">
        <f t="shared" si="30"/>
        <v>0</v>
      </c>
      <c r="Q670" s="221"/>
    </row>
    <row r="671" spans="2:17" ht="25" x14ac:dyDescent="0.3">
      <c r="B671" s="16">
        <v>192</v>
      </c>
      <c r="C671" s="16" t="s">
        <v>327</v>
      </c>
      <c r="D671" s="16" t="s">
        <v>1594</v>
      </c>
      <c r="E671" s="16" t="s">
        <v>2135</v>
      </c>
      <c r="F671" s="200" t="s">
        <v>148</v>
      </c>
      <c r="G671" s="189" t="str">
        <f>IFERROR(VLOOKUP(C671,#REF!,4,FALSE),"")</f>
        <v/>
      </c>
      <c r="H671" s="249">
        <f>VLOOKUP(C671,Dados!B:AW,11,0)</f>
        <v>1.4</v>
      </c>
      <c r="I671" s="16" t="str">
        <f>(VLOOKUP(C671,Dados!B:AW,48,0))</f>
        <v>Fase de Degradação</v>
      </c>
      <c r="J671" s="189" t="s">
        <v>735</v>
      </c>
      <c r="K671" s="177">
        <f>IFERROR((VLOOKUP(C671,Dados!B:AW,44,0)),0)</f>
        <v>0</v>
      </c>
      <c r="L671" s="177">
        <f>IFERROR((VLOOKUP(C671,Dados!B:AW,45,0)),0)</f>
        <v>0</v>
      </c>
      <c r="M671" s="177">
        <f>IFERROR((VLOOKUP(C671,Dados!B:AW,43,0)),0)</f>
        <v>0</v>
      </c>
      <c r="N671" s="179">
        <f>IFERROR((VLOOKUP(C671,Dados!B:AW,47,0)),0)</f>
        <v>0</v>
      </c>
      <c r="O671" s="197">
        <f t="shared" si="29"/>
        <v>1</v>
      </c>
      <c r="P671" s="1">
        <f t="shared" si="30"/>
        <v>0</v>
      </c>
      <c r="Q671" s="221"/>
    </row>
    <row r="672" spans="2:17" ht="25" x14ac:dyDescent="0.3">
      <c r="B672" s="16">
        <v>196</v>
      </c>
      <c r="C672" s="16" t="s">
        <v>336</v>
      </c>
      <c r="D672" s="16" t="s">
        <v>1594</v>
      </c>
      <c r="E672" s="16" t="s">
        <v>2135</v>
      </c>
      <c r="F672" s="200" t="s">
        <v>157</v>
      </c>
      <c r="G672" s="189" t="str">
        <f>IFERROR(VLOOKUP(C672,#REF!,4,FALSE),"")</f>
        <v/>
      </c>
      <c r="H672" s="248">
        <f>VLOOKUP(C672,Dados!B:AW,11,0)</f>
        <v>1.57</v>
      </c>
      <c r="I672" s="16" t="str">
        <f>(VLOOKUP(C672,Dados!B:AW,48,0))</f>
        <v>Fase de Degradação</v>
      </c>
      <c r="J672" s="189" t="s">
        <v>735</v>
      </c>
      <c r="K672" s="177">
        <f>IFERROR((VLOOKUP(C672,Dados!B:AW,44,0)),0)</f>
        <v>0</v>
      </c>
      <c r="L672" s="177">
        <f>IFERROR((VLOOKUP(C672,Dados!B:AW,45,0)),0)</f>
        <v>0</v>
      </c>
      <c r="M672" s="177">
        <f>IFERROR((VLOOKUP(C672,Dados!B:AW,43,0)),0)</f>
        <v>0</v>
      </c>
      <c r="N672" s="179">
        <f>IFERROR((VLOOKUP(C672,Dados!B:AW,47,0)),0)</f>
        <v>0</v>
      </c>
      <c r="O672" s="197">
        <f t="shared" si="29"/>
        <v>1</v>
      </c>
      <c r="P672" s="1">
        <f t="shared" si="30"/>
        <v>0</v>
      </c>
      <c r="Q672" s="221"/>
    </row>
    <row r="673" spans="2:17" ht="25" x14ac:dyDescent="0.3">
      <c r="B673" s="16">
        <v>669</v>
      </c>
      <c r="C673" s="16" t="s">
        <v>1604</v>
      </c>
      <c r="D673" s="16" t="s">
        <v>1594</v>
      </c>
      <c r="E673" s="16" t="s">
        <v>2135</v>
      </c>
      <c r="F673" s="200" t="s">
        <v>1601</v>
      </c>
      <c r="G673" s="189" t="str">
        <f>IFERROR(VLOOKUP(C673,#REF!,4,FALSE),"")</f>
        <v/>
      </c>
      <c r="H673" s="249">
        <f>VLOOKUP(C673,Dados!B:AW,11,0)</f>
        <v>0.97</v>
      </c>
      <c r="I673" s="16" t="str">
        <f>(VLOOKUP(C673,Dados!B:AW,48,0))</f>
        <v>Confiabilidade em Crescimento</v>
      </c>
      <c r="J673" s="189" t="s">
        <v>735</v>
      </c>
      <c r="K673" s="177">
        <f>IFERROR((VLOOKUP(C673,Dados!B:AW,44,0)),0)</f>
        <v>0</v>
      </c>
      <c r="L673" s="177">
        <f>IFERROR((VLOOKUP(C673,Dados!B:AW,45,0)),0)</f>
        <v>0</v>
      </c>
      <c r="M673" s="177">
        <f>IFERROR((VLOOKUP(C673,Dados!B:AW,43,0)),0)</f>
        <v>0</v>
      </c>
      <c r="N673" s="179">
        <f>IFERROR((VLOOKUP(C673,Dados!B:AW,47,0)),0)</f>
        <v>0</v>
      </c>
      <c r="O673" s="197">
        <f t="shared" si="29"/>
        <v>2</v>
      </c>
      <c r="P673" s="1">
        <f t="shared" si="30"/>
        <v>0</v>
      </c>
      <c r="Q673" s="221"/>
    </row>
    <row r="674" spans="2:17" ht="25" x14ac:dyDescent="0.3">
      <c r="B674" s="16">
        <v>307</v>
      </c>
      <c r="C674" s="16" t="s">
        <v>785</v>
      </c>
      <c r="D674" s="16" t="s">
        <v>1587</v>
      </c>
      <c r="E674" s="16" t="s">
        <v>2141</v>
      </c>
      <c r="F674" s="200" t="s">
        <v>786</v>
      </c>
      <c r="G674" s="189" t="str">
        <f>IFERROR(VLOOKUP(C674,#REF!,4,FALSE),"")</f>
        <v/>
      </c>
      <c r="H674" s="250">
        <f>VLOOKUP(C674,Dados!B:AW,11,0)</f>
        <v>1.34</v>
      </c>
      <c r="I674" s="16" t="str">
        <f>(VLOOKUP(C674,Dados!B:AW,48,0))</f>
        <v>Fase de Degradação</v>
      </c>
      <c r="J674" s="189" t="s">
        <v>735</v>
      </c>
      <c r="K674" s="177">
        <f>IFERROR((VLOOKUP(C674,Dados!B:AW,44,0)),0)</f>
        <v>0</v>
      </c>
      <c r="L674" s="177">
        <f>IFERROR((VLOOKUP(C674,Dados!B:AW,45,0)),0)</f>
        <v>0</v>
      </c>
      <c r="M674" s="177">
        <f>IFERROR((VLOOKUP(C674,Dados!B:AW,43,0)),0)</f>
        <v>0</v>
      </c>
      <c r="N674" s="179">
        <f>IFERROR((VLOOKUP(C674,Dados!B:AW,47,0)),0)</f>
        <v>0</v>
      </c>
      <c r="O674" s="197">
        <f t="shared" si="29"/>
        <v>1</v>
      </c>
      <c r="P674" s="1">
        <f t="shared" si="30"/>
        <v>0</v>
      </c>
      <c r="Q674" s="221"/>
    </row>
    <row r="675" spans="2:17" ht="25" x14ac:dyDescent="0.3">
      <c r="B675" s="16">
        <v>308</v>
      </c>
      <c r="C675" s="16" t="s">
        <v>787</v>
      </c>
      <c r="D675" s="16" t="s">
        <v>1587</v>
      </c>
      <c r="E675" s="16" t="s">
        <v>2141</v>
      </c>
      <c r="F675" s="200" t="s">
        <v>788</v>
      </c>
      <c r="G675" s="189" t="str">
        <f>IFERROR(VLOOKUP(C675,#REF!,4,FALSE),"")</f>
        <v/>
      </c>
      <c r="H675" s="248">
        <f>VLOOKUP(C675,Dados!B:AW,11,0)</f>
        <v>1.32</v>
      </c>
      <c r="I675" s="16" t="str">
        <f>(VLOOKUP(C675,Dados!B:AW,48,0))</f>
        <v>Fase de Degradação</v>
      </c>
      <c r="J675" s="189" t="s">
        <v>735</v>
      </c>
      <c r="K675" s="177">
        <f>IFERROR((VLOOKUP(C675,Dados!B:AW,44,0)),0)</f>
        <v>0</v>
      </c>
      <c r="L675" s="177">
        <f>IFERROR((VLOOKUP(C675,Dados!B:AW,45,0)),0)</f>
        <v>0</v>
      </c>
      <c r="M675" s="177">
        <f>IFERROR((VLOOKUP(C675,Dados!B:AW,43,0)),0)</f>
        <v>0</v>
      </c>
      <c r="N675" s="179">
        <f>IFERROR((VLOOKUP(C675,Dados!B:AW,47,0)),0)</f>
        <v>0</v>
      </c>
      <c r="O675" s="197">
        <f t="shared" si="29"/>
        <v>1</v>
      </c>
      <c r="P675" s="1">
        <f t="shared" si="30"/>
        <v>0</v>
      </c>
      <c r="Q675" s="221"/>
    </row>
    <row r="676" spans="2:17" ht="25" x14ac:dyDescent="0.3">
      <c r="B676" s="16">
        <v>2</v>
      </c>
      <c r="C676" s="16" t="s">
        <v>739</v>
      </c>
      <c r="D676" s="16" t="s">
        <v>1802</v>
      </c>
      <c r="E676" s="16" t="s">
        <v>2124</v>
      </c>
      <c r="F676" s="200" t="s">
        <v>740</v>
      </c>
      <c r="G676" s="189" t="str">
        <f>IFERROR(VLOOKUP(C676,#REF!,4,FALSE),"")</f>
        <v/>
      </c>
      <c r="H676" s="248">
        <f>VLOOKUP(C676,Dados!B:AW,11,0)</f>
        <v>0.75</v>
      </c>
      <c r="I676" s="16" t="str">
        <f>(VLOOKUP(C676,Dados!B:AW,48,0))</f>
        <v>Confiabilidade em Crescimento</v>
      </c>
      <c r="J676" s="189" t="s">
        <v>735</v>
      </c>
      <c r="K676" s="177">
        <f>IFERROR((VLOOKUP(C676,Dados!B:AW,44,0)),0)</f>
        <v>0</v>
      </c>
      <c r="L676" s="177">
        <f>IFERROR((VLOOKUP(C676,Dados!B:AW,45,0)),0)</f>
        <v>0</v>
      </c>
      <c r="M676" s="177">
        <f>IFERROR((VLOOKUP(C676,Dados!B:AW,43,0)),0)</f>
        <v>0</v>
      </c>
      <c r="N676" s="179">
        <f>IFERROR((VLOOKUP(C676,Dados!B:AW,47,0)),0)</f>
        <v>0</v>
      </c>
      <c r="O676" s="197">
        <f t="shared" si="29"/>
        <v>2</v>
      </c>
      <c r="P676" s="1">
        <f t="shared" si="30"/>
        <v>0</v>
      </c>
      <c r="Q676" s="221"/>
    </row>
    <row r="677" spans="2:17" ht="25" x14ac:dyDescent="0.3">
      <c r="B677" s="16">
        <v>3</v>
      </c>
      <c r="C677" s="16" t="s">
        <v>741</v>
      </c>
      <c r="D677" s="16" t="s">
        <v>1802</v>
      </c>
      <c r="E677" s="16" t="s">
        <v>2124</v>
      </c>
      <c r="F677" s="200" t="s">
        <v>742</v>
      </c>
      <c r="G677" s="189" t="str">
        <f>IFERROR(VLOOKUP(C677,#REF!,4,FALSE),"")</f>
        <v/>
      </c>
      <c r="H677" s="250">
        <f>VLOOKUP(C677,Dados!B:AW,11,0)</f>
        <v>1.1200000000000001</v>
      </c>
      <c r="I677" s="16" t="str">
        <f>(VLOOKUP(C677,Dados!B:AW,48,0))</f>
        <v>Fase de Degradação</v>
      </c>
      <c r="J677" s="189" t="s">
        <v>735</v>
      </c>
      <c r="K677" s="177">
        <f>IFERROR((VLOOKUP(C677,Dados!B:AW,44,0)),0)</f>
        <v>0</v>
      </c>
      <c r="L677" s="177">
        <f>IFERROR((VLOOKUP(C677,Dados!B:AW,45,0)),0)</f>
        <v>0</v>
      </c>
      <c r="M677" s="177">
        <f>IFERROR((VLOOKUP(C677,Dados!B:AW,43,0)),0)</f>
        <v>0</v>
      </c>
      <c r="N677" s="179">
        <f>IFERROR((VLOOKUP(C677,Dados!B:AW,47,0)),0)</f>
        <v>0</v>
      </c>
      <c r="O677" s="197">
        <f t="shared" si="29"/>
        <v>1</v>
      </c>
      <c r="P677" s="1">
        <f t="shared" si="30"/>
        <v>0</v>
      </c>
      <c r="Q677" s="221"/>
    </row>
    <row r="678" spans="2:17" ht="25" x14ac:dyDescent="0.3">
      <c r="B678" s="16">
        <v>4</v>
      </c>
      <c r="C678" s="16" t="s">
        <v>743</v>
      </c>
      <c r="D678" s="16" t="s">
        <v>1802</v>
      </c>
      <c r="E678" s="16" t="s">
        <v>2124</v>
      </c>
      <c r="F678" s="200" t="s">
        <v>744</v>
      </c>
      <c r="G678" s="189" t="str">
        <f>IFERROR(VLOOKUP(C678,#REF!,4,FALSE),"")</f>
        <v/>
      </c>
      <c r="H678" s="250">
        <f>VLOOKUP(C678,Dados!B:AW,11,0)</f>
        <v>1.1200000000000001</v>
      </c>
      <c r="I678" s="16" t="str">
        <f>(VLOOKUP(C678,Dados!B:AW,48,0))</f>
        <v>Fase de Degradação</v>
      </c>
      <c r="J678" s="189" t="s">
        <v>735</v>
      </c>
      <c r="K678" s="177">
        <f>IFERROR((VLOOKUP(C678,Dados!B:AW,44,0)),0)</f>
        <v>0</v>
      </c>
      <c r="L678" s="177">
        <f>IFERROR((VLOOKUP(C678,Dados!B:AW,45,0)),0)</f>
        <v>0</v>
      </c>
      <c r="M678" s="177">
        <f>IFERROR((VLOOKUP(C678,Dados!B:AW,43,0)),0)</f>
        <v>0</v>
      </c>
      <c r="N678" s="179">
        <f>IFERROR((VLOOKUP(C678,Dados!B:AW,47,0)),0)</f>
        <v>0</v>
      </c>
      <c r="O678" s="197">
        <f t="shared" si="29"/>
        <v>1</v>
      </c>
      <c r="P678" s="1">
        <f t="shared" si="30"/>
        <v>0</v>
      </c>
      <c r="Q678" s="221"/>
    </row>
    <row r="679" spans="2:17" ht="25" x14ac:dyDescent="0.3">
      <c r="B679" s="16">
        <v>5</v>
      </c>
      <c r="C679" s="16" t="s">
        <v>1667</v>
      </c>
      <c r="D679" s="16" t="s">
        <v>1802</v>
      </c>
      <c r="E679" s="16" t="s">
        <v>2124</v>
      </c>
      <c r="F679" s="200" t="s">
        <v>1228</v>
      </c>
      <c r="G679" s="189" t="str">
        <f>IFERROR(VLOOKUP(C679,#REF!,4,FALSE),"")</f>
        <v/>
      </c>
      <c r="H679" s="249">
        <f>VLOOKUP(C679,Dados!B:AW,11,0)</f>
        <v>0.89</v>
      </c>
      <c r="I679" s="16" t="str">
        <f>(VLOOKUP(C679,Dados!B:AW,48,0))</f>
        <v>Confiabilidade em Crescimento</v>
      </c>
      <c r="J679" s="189" t="s">
        <v>735</v>
      </c>
      <c r="K679" s="177">
        <f>IFERROR((VLOOKUP(C679,Dados!B:AW,44,0)),0)</f>
        <v>0</v>
      </c>
      <c r="L679" s="177">
        <f>IFERROR((VLOOKUP(C679,Dados!B:AW,45,0)),0)</f>
        <v>0</v>
      </c>
      <c r="M679" s="177">
        <f>IFERROR((VLOOKUP(C679,Dados!B:AW,43,0)),0)</f>
        <v>0</v>
      </c>
      <c r="N679" s="179">
        <f>IFERROR((VLOOKUP(C679,Dados!B:AW,47,0)),0)</f>
        <v>0</v>
      </c>
      <c r="O679" s="197">
        <f t="shared" si="29"/>
        <v>2</v>
      </c>
      <c r="P679" s="1">
        <f t="shared" si="30"/>
        <v>0</v>
      </c>
      <c r="Q679" s="221"/>
    </row>
    <row r="680" spans="2:17" ht="25" x14ac:dyDescent="0.3">
      <c r="B680" s="16">
        <v>6</v>
      </c>
      <c r="C680" s="16" t="s">
        <v>882</v>
      </c>
      <c r="D680" s="16" t="s">
        <v>1802</v>
      </c>
      <c r="E680" s="16" t="s">
        <v>2124</v>
      </c>
      <c r="F680" s="200" t="s">
        <v>883</v>
      </c>
      <c r="G680" s="189" t="str">
        <f>IFERROR(VLOOKUP(C680,#REF!,4,FALSE),"")</f>
        <v/>
      </c>
      <c r="H680" s="249">
        <f>VLOOKUP(C680,Dados!B:AW,11,0)</f>
        <v>0.92</v>
      </c>
      <c r="I680" s="16" t="str">
        <f>(VLOOKUP(C680,Dados!B:AW,48,0))</f>
        <v>Confiabilidade em Crescimento</v>
      </c>
      <c r="J680" s="189" t="s">
        <v>735</v>
      </c>
      <c r="K680" s="177">
        <f>IFERROR((VLOOKUP(C680,Dados!B:AW,44,0)),0)</f>
        <v>0</v>
      </c>
      <c r="L680" s="177">
        <f>IFERROR((VLOOKUP(C680,Dados!B:AW,45,0)),0)</f>
        <v>0</v>
      </c>
      <c r="M680" s="177">
        <f>IFERROR((VLOOKUP(C680,Dados!B:AW,43,0)),0)</f>
        <v>0</v>
      </c>
      <c r="N680" s="179">
        <f>IFERROR((VLOOKUP(C680,Dados!B:AW,47,0)),0)</f>
        <v>0</v>
      </c>
      <c r="O680" s="197">
        <f t="shared" si="29"/>
        <v>2</v>
      </c>
      <c r="P680" s="1">
        <f t="shared" si="30"/>
        <v>0</v>
      </c>
      <c r="Q680" s="221"/>
    </row>
    <row r="681" spans="2:17" ht="25" x14ac:dyDescent="0.3">
      <c r="B681" s="16">
        <v>452</v>
      </c>
      <c r="C681" s="16" t="s">
        <v>1100</v>
      </c>
      <c r="D681" s="16" t="s">
        <v>1802</v>
      </c>
      <c r="E681" s="16" t="s">
        <v>2124</v>
      </c>
      <c r="F681" s="200" t="s">
        <v>1101</v>
      </c>
      <c r="G681" s="189" t="str">
        <f>IFERROR(VLOOKUP(C681,#REF!,4,FALSE),"")</f>
        <v/>
      </c>
      <c r="H681" s="248">
        <f>VLOOKUP(C681,Dados!B:AW,11,0)</f>
        <v>1.32</v>
      </c>
      <c r="I681" s="16" t="str">
        <f>(VLOOKUP(C681,Dados!B:AW,48,0))</f>
        <v>Fase de Degradação</v>
      </c>
      <c r="J681" s="189" t="s">
        <v>735</v>
      </c>
      <c r="K681" s="177">
        <f>IFERROR((VLOOKUP(C681,Dados!B:AW,44,0)),0)</f>
        <v>0</v>
      </c>
      <c r="L681" s="177">
        <f>IFERROR((VLOOKUP(C681,Dados!B:AW,45,0)),0)</f>
        <v>0</v>
      </c>
      <c r="M681" s="177">
        <f>IFERROR((VLOOKUP(C681,Dados!B:AW,43,0)),0)</f>
        <v>0</v>
      </c>
      <c r="N681" s="179">
        <f>IFERROR((VLOOKUP(C681,Dados!B:AW,47,0)),0)</f>
        <v>0</v>
      </c>
      <c r="O681" s="197">
        <f t="shared" si="29"/>
        <v>1</v>
      </c>
      <c r="P681" s="1">
        <f t="shared" si="30"/>
        <v>0</v>
      </c>
      <c r="Q681" s="221"/>
    </row>
    <row r="682" spans="2:17" ht="25" x14ac:dyDescent="0.3">
      <c r="B682" s="16">
        <v>453</v>
      </c>
      <c r="C682" s="16" t="s">
        <v>423</v>
      </c>
      <c r="D682" s="16" t="s">
        <v>1802</v>
      </c>
      <c r="E682" s="16" t="s">
        <v>2124</v>
      </c>
      <c r="F682" s="200" t="s">
        <v>249</v>
      </c>
      <c r="G682" s="189" t="str">
        <f>IFERROR(VLOOKUP(C682,#REF!,4,FALSE),"")</f>
        <v/>
      </c>
      <c r="H682" s="248">
        <f>VLOOKUP(C682,Dados!B:AW,11,0)</f>
        <v>1.23</v>
      </c>
      <c r="I682" s="16" t="str">
        <f>(VLOOKUP(C682,Dados!B:AW,48,0))</f>
        <v>Fase de Degradação</v>
      </c>
      <c r="J682" s="189" t="s">
        <v>735</v>
      </c>
      <c r="K682" s="177">
        <f>IFERROR((VLOOKUP(C682,Dados!B:AW,44,0)),0)</f>
        <v>0</v>
      </c>
      <c r="L682" s="177">
        <f>IFERROR((VLOOKUP(C682,Dados!B:AW,45,0)),0)</f>
        <v>0</v>
      </c>
      <c r="M682" s="177">
        <f>IFERROR((VLOOKUP(C682,Dados!B:AW,43,0)),0)</f>
        <v>0</v>
      </c>
      <c r="N682" s="179">
        <f>IFERROR((VLOOKUP(C682,Dados!B:AW,47,0)),0)</f>
        <v>0</v>
      </c>
      <c r="O682" s="197">
        <f t="shared" si="29"/>
        <v>1</v>
      </c>
      <c r="P682" s="1">
        <f t="shared" si="30"/>
        <v>0</v>
      </c>
      <c r="Q682" s="221"/>
    </row>
    <row r="683" spans="2:17" ht="25" x14ac:dyDescent="0.3">
      <c r="B683" s="16">
        <v>454</v>
      </c>
      <c r="C683" s="16" t="s">
        <v>1102</v>
      </c>
      <c r="D683" s="16" t="s">
        <v>1802</v>
      </c>
      <c r="E683" s="16" t="s">
        <v>2124</v>
      </c>
      <c r="F683" s="200" t="s">
        <v>1103</v>
      </c>
      <c r="G683" s="189" t="str">
        <f>IFERROR(VLOOKUP(C683,#REF!,4,FALSE),"")</f>
        <v/>
      </c>
      <c r="H683" s="248">
        <f>VLOOKUP(C683,Dados!B:AW,11,0)</f>
        <v>4.04</v>
      </c>
      <c r="I683" s="16" t="str">
        <f>(VLOOKUP(C683,Dados!B:AW,48,0))</f>
        <v>Fase de Degradação</v>
      </c>
      <c r="J683" s="189" t="s">
        <v>735</v>
      </c>
      <c r="K683" s="177">
        <f>IFERROR((VLOOKUP(C683,Dados!B:AW,44,0)),0)</f>
        <v>0</v>
      </c>
      <c r="L683" s="177">
        <f>IFERROR((VLOOKUP(C683,Dados!B:AW,45,0)),0)</f>
        <v>0</v>
      </c>
      <c r="M683" s="177">
        <f>IFERROR((VLOOKUP(C683,Dados!B:AW,43,0)),0)</f>
        <v>0</v>
      </c>
      <c r="N683" s="179">
        <f>IFERROR((VLOOKUP(C683,Dados!B:AW,47,0)),0)</f>
        <v>0</v>
      </c>
      <c r="O683" s="197">
        <f t="shared" si="29"/>
        <v>1</v>
      </c>
      <c r="P683" s="1">
        <f t="shared" si="30"/>
        <v>0</v>
      </c>
      <c r="Q683" s="221"/>
    </row>
    <row r="684" spans="2:17" ht="25" x14ac:dyDescent="0.3">
      <c r="B684" s="16">
        <v>659</v>
      </c>
      <c r="C684" s="16" t="s">
        <v>420</v>
      </c>
      <c r="D684" s="16" t="s">
        <v>1802</v>
      </c>
      <c r="E684" s="16" t="s">
        <v>2124</v>
      </c>
      <c r="F684" s="251" t="str">
        <f>VLOOKUP(C684,[9]Dados!B:C,2,0)</f>
        <v>TOR021-TORNO</v>
      </c>
      <c r="G684" s="189" t="str">
        <f>IFERROR(VLOOKUP(C684,#REF!,4,FALSE),"")</f>
        <v/>
      </c>
      <c r="H684" s="249">
        <f>VLOOKUP(C684,Dados!B:AW,11,0)</f>
        <v>2.15</v>
      </c>
      <c r="I684" s="16" t="str">
        <f>(VLOOKUP(C684,Dados!B:AW,48,0))</f>
        <v>Fase de Degradação</v>
      </c>
      <c r="J684" s="189" t="s">
        <v>733</v>
      </c>
      <c r="K684" s="177">
        <f>IFERROR((VLOOKUP(C684,Dados!B:AW,44,0)),0)</f>
        <v>0</v>
      </c>
      <c r="L684" s="177">
        <f>IFERROR((VLOOKUP(C684,Dados!B:AW,45,0)),0)</f>
        <v>0</v>
      </c>
      <c r="M684" s="177">
        <f>IFERROR((VLOOKUP(C684,Dados!B:AW,43,0)),0)</f>
        <v>0</v>
      </c>
      <c r="N684" s="179">
        <f>IFERROR((VLOOKUP(C684,Dados!B:AW,47,0)),0)</f>
        <v>0</v>
      </c>
      <c r="O684" s="197">
        <f t="shared" si="29"/>
        <v>-1</v>
      </c>
      <c r="P684" s="1">
        <f t="shared" si="30"/>
        <v>0</v>
      </c>
      <c r="Q684" s="221"/>
    </row>
    <row r="685" spans="2:17" ht="25" x14ac:dyDescent="0.3">
      <c r="B685" s="16">
        <v>665</v>
      </c>
      <c r="C685" s="16" t="s">
        <v>394</v>
      </c>
      <c r="D685" s="16" t="s">
        <v>1802</v>
      </c>
      <c r="E685" s="16" t="s">
        <v>2124</v>
      </c>
      <c r="F685" s="200" t="s">
        <v>215</v>
      </c>
      <c r="G685" s="189" t="str">
        <f>IFERROR(VLOOKUP(C685,#REF!,4,FALSE),"")</f>
        <v/>
      </c>
      <c r="H685" s="249">
        <f>VLOOKUP(C685,Dados!B:AW,11,0)</f>
        <v>2.2200000000000002</v>
      </c>
      <c r="I685" s="16" t="str">
        <f>(VLOOKUP(C685,Dados!B:AW,48,0))</f>
        <v>Fase de Degradação</v>
      </c>
      <c r="J685" s="189" t="s">
        <v>735</v>
      </c>
      <c r="K685" s="177">
        <f>IFERROR((VLOOKUP(C685,Dados!B:AW,44,0)),0)</f>
        <v>0</v>
      </c>
      <c r="L685" s="177">
        <f>IFERROR((VLOOKUP(C685,Dados!B:AW,45,0)),0)</f>
        <v>0</v>
      </c>
      <c r="M685" s="177">
        <f>IFERROR((VLOOKUP(C685,Dados!B:AW,43,0)),0)</f>
        <v>0</v>
      </c>
      <c r="N685" s="179">
        <f>IFERROR((VLOOKUP(C685,Dados!B:AW,47,0)),0)</f>
        <v>0</v>
      </c>
      <c r="O685" s="197">
        <f t="shared" si="29"/>
        <v>1</v>
      </c>
      <c r="P685" s="1">
        <f t="shared" si="30"/>
        <v>0</v>
      </c>
      <c r="Q685" s="221"/>
    </row>
    <row r="686" spans="2:17" ht="25" x14ac:dyDescent="0.3">
      <c r="B686" s="16">
        <v>672</v>
      </c>
      <c r="C686" s="16" t="s">
        <v>1209</v>
      </c>
      <c r="D686" s="16" t="s">
        <v>1802</v>
      </c>
      <c r="E686" s="16" t="s">
        <v>2124</v>
      </c>
      <c r="F686" s="200" t="s">
        <v>1210</v>
      </c>
      <c r="G686" s="189" t="str">
        <f>IFERROR(VLOOKUP(C686,#REF!,4,FALSE),"")</f>
        <v/>
      </c>
      <c r="H686" s="249">
        <f>VLOOKUP(C686,Dados!B:AW,11,0)</f>
        <v>0.75</v>
      </c>
      <c r="I686" s="16" t="str">
        <f>(VLOOKUP(C686,Dados!B:AW,48,0))</f>
        <v>Confiabilidade em Crescimento</v>
      </c>
      <c r="J686" s="189" t="s">
        <v>735</v>
      </c>
      <c r="K686" s="177">
        <f>IFERROR((VLOOKUP(C686,Dados!B:AW,44,0)),0)</f>
        <v>0</v>
      </c>
      <c r="L686" s="177">
        <f>IFERROR((VLOOKUP(C686,Dados!B:AW,45,0)),0)</f>
        <v>0</v>
      </c>
      <c r="M686" s="177">
        <f>IFERROR((VLOOKUP(C686,Dados!B:AW,43,0)),0)</f>
        <v>0</v>
      </c>
      <c r="N686" s="179">
        <f>IFERROR((VLOOKUP(C686,Dados!B:AW,47,0)),0)</f>
        <v>0</v>
      </c>
      <c r="O686" s="197">
        <f t="shared" ref="O686:O688" si="31">IF(AND(J686="Parcial",N686&gt;0,H686&gt;1),-1,IF(AND(J686="Parcial",N686&gt;0,H686&lt;1.1),1,IF(AND(J686="Parcial",N686&lt;0,H686&gt;1.09),-1,IF(J686="Total",-1,IF(H686&gt;1.09,1,2)))))</f>
        <v>2</v>
      </c>
      <c r="P686" s="1">
        <f t="shared" si="30"/>
        <v>0</v>
      </c>
      <c r="Q686" s="221"/>
    </row>
    <row r="687" spans="2:17" ht="25" x14ac:dyDescent="0.3">
      <c r="B687" s="16">
        <v>673</v>
      </c>
      <c r="C687" s="16" t="s">
        <v>1211</v>
      </c>
      <c r="D687" s="16" t="s">
        <v>1802</v>
      </c>
      <c r="E687" s="16" t="s">
        <v>2124</v>
      </c>
      <c r="F687" s="200" t="s">
        <v>1212</v>
      </c>
      <c r="G687" s="189" t="str">
        <f>IFERROR(VLOOKUP(C687,#REF!,4,FALSE),"")</f>
        <v/>
      </c>
      <c r="H687" s="249">
        <f>VLOOKUP(C687,Dados!B:AW,11,0)</f>
        <v>0.92</v>
      </c>
      <c r="I687" s="16" t="str">
        <f>(VLOOKUP(C687,Dados!B:AW,48,0))</f>
        <v>Confiabilidade em Crescimento</v>
      </c>
      <c r="J687" s="189" t="s">
        <v>735</v>
      </c>
      <c r="K687" s="177">
        <f>IFERROR((VLOOKUP(C687,Dados!B:AW,44,0)),0)</f>
        <v>0</v>
      </c>
      <c r="L687" s="177">
        <f>IFERROR((VLOOKUP(C687,Dados!B:AW,45,0)),0)</f>
        <v>0</v>
      </c>
      <c r="M687" s="177">
        <f>IFERROR((VLOOKUP(C687,Dados!B:AW,43,0)),0)</f>
        <v>0</v>
      </c>
      <c r="N687" s="179">
        <f>IFERROR((VLOOKUP(C687,Dados!B:AW,47,0)),0)</f>
        <v>0</v>
      </c>
      <c r="O687" s="197">
        <f t="shared" si="31"/>
        <v>2</v>
      </c>
      <c r="P687" s="1">
        <f t="shared" si="30"/>
        <v>0</v>
      </c>
      <c r="Q687" s="221"/>
    </row>
    <row r="688" spans="2:17" ht="25" x14ac:dyDescent="0.3">
      <c r="B688" s="16">
        <v>677</v>
      </c>
      <c r="C688" s="16" t="s">
        <v>1805</v>
      </c>
      <c r="D688" s="16" t="s">
        <v>1802</v>
      </c>
      <c r="E688" s="16" t="s">
        <v>2124</v>
      </c>
      <c r="F688" s="200" t="s">
        <v>1758</v>
      </c>
      <c r="G688" s="189" t="str">
        <f>IFERROR(VLOOKUP(C688,#REF!,4,FALSE),"")</f>
        <v/>
      </c>
      <c r="H688" s="249">
        <f>VLOOKUP(C688,Dados!B:AW,11,0)</f>
        <v>0</v>
      </c>
      <c r="I688" s="16">
        <f>(VLOOKUP(C688,Dados!B:AW,48,0))</f>
        <v>0</v>
      </c>
      <c r="J688" s="189" t="s">
        <v>735</v>
      </c>
      <c r="K688" s="177">
        <f>IFERROR((VLOOKUP(C688,Dados!B:AW,44,0)),0)</f>
        <v>0</v>
      </c>
      <c r="L688" s="177">
        <f>IFERROR((VLOOKUP(C688,Dados!B:AW,45,0)),0)</f>
        <v>0</v>
      </c>
      <c r="M688" s="177">
        <f>IFERROR((VLOOKUP(C688,Dados!B:AW,43,0)),0)</f>
        <v>0</v>
      </c>
      <c r="N688" s="179">
        <f>IFERROR((VLOOKUP(C688,Dados!B:AW,47,0)),0)</f>
        <v>0</v>
      </c>
      <c r="O688" s="197">
        <f t="shared" si="31"/>
        <v>2</v>
      </c>
      <c r="P688" s="1">
        <f t="shared" si="30"/>
        <v>0</v>
      </c>
      <c r="Q688" s="221"/>
    </row>
  </sheetData>
  <autoFilter ref="A5:AI688" xr:uid="{00000000-0009-0000-0000-000001000000}"/>
  <mergeCells count="6">
    <mergeCell ref="B2:O2"/>
    <mergeCell ref="F4:F5"/>
    <mergeCell ref="B4:B5"/>
    <mergeCell ref="C4:C5"/>
    <mergeCell ref="D4:D5"/>
    <mergeCell ref="E4:E5"/>
  </mergeCells>
  <conditionalFormatting sqref="C388:C539">
    <cfRule type="duplicateValues" dxfId="26" priority="27"/>
  </conditionalFormatting>
  <conditionalFormatting sqref="C458:C539 C1:C387 C541:C1048576">
    <cfRule type="duplicateValues" dxfId="25" priority="29"/>
  </conditionalFormatting>
  <conditionalFormatting sqref="C540:C688">
    <cfRule type="duplicateValues" dxfId="24" priority="11"/>
    <cfRule type="duplicateValues" dxfId="23" priority="12"/>
  </conditionalFormatting>
  <conditionalFormatting sqref="O6:O73 O75:O539">
    <cfRule type="iconSet" priority="579">
      <iconSet iconSet="3TrafficLights2" showValue="0">
        <cfvo type="percent" val="0"/>
        <cfvo type="num" val="1"/>
        <cfvo type="num" val="1" gte="0"/>
      </iconSet>
    </cfRule>
  </conditionalFormatting>
  <conditionalFormatting sqref="O7 O9:O73 O75:O539">
    <cfRule type="iconSet" priority="576">
      <iconSet iconSet="3TrafficLights2" showValue="0">
        <cfvo type="percent" val="0"/>
        <cfvo type="num" val="1"/>
        <cfvo type="num" val="1" gte="0"/>
      </iconSet>
    </cfRule>
  </conditionalFormatting>
  <conditionalFormatting sqref="O8">
    <cfRule type="iconSet" priority="24">
      <iconSet iconSet="3TrafficLights2" showValue="0">
        <cfvo type="percent" val="0"/>
        <cfvo type="num" val="1"/>
        <cfvo type="num" val="1" gte="0"/>
      </iconSet>
    </cfRule>
  </conditionalFormatting>
  <conditionalFormatting sqref="O74">
    <cfRule type="iconSet" priority="3">
      <iconSet iconSet="3TrafficLights2" showValue="0">
        <cfvo type="percent" val="0"/>
        <cfvo type="num" val="1"/>
        <cfvo type="num" val="1" gte="0"/>
      </iconSet>
    </cfRule>
    <cfRule type="iconSet" priority="4">
      <iconSet iconSet="3TrafficLights2" showValue="0">
        <cfvo type="percent" val="0"/>
        <cfvo type="num" val="1"/>
        <cfvo type="num" val="1" gte="0"/>
      </iconSet>
    </cfRule>
  </conditionalFormatting>
  <conditionalFormatting sqref="O534">
    <cfRule type="iconSet" priority="20">
      <iconSet iconSet="3TrafficLights2" showValue="0">
        <cfvo type="percent" val="0"/>
        <cfvo type="num" val="1"/>
        <cfvo type="num" val="1" gte="0"/>
      </iconSet>
    </cfRule>
  </conditionalFormatting>
  <conditionalFormatting sqref="O535">
    <cfRule type="iconSet" priority="21">
      <iconSet iconSet="3TrafficLights2" showValue="0">
        <cfvo type="percent" val="0"/>
        <cfvo type="num" val="1"/>
        <cfvo type="num" val="1" gte="0"/>
      </iconSet>
    </cfRule>
  </conditionalFormatting>
  <conditionalFormatting sqref="O536">
    <cfRule type="iconSet" priority="22">
      <iconSet iconSet="3TrafficLights2" showValue="0">
        <cfvo type="percent" val="0"/>
        <cfvo type="num" val="1"/>
        <cfvo type="num" val="1" gte="0"/>
      </iconSet>
    </cfRule>
  </conditionalFormatting>
  <conditionalFormatting sqref="O540:O688">
    <cfRule type="iconSet" priority="9">
      <iconSet iconSet="3TrafficLights2" showValue="0">
        <cfvo type="percent" val="0"/>
        <cfvo type="num" val="1"/>
        <cfvo type="num" val="1" gte="0"/>
      </iconSet>
    </cfRule>
    <cfRule type="iconSet" priority="10">
      <iconSet iconSet="3TrafficLights2" showValue="0">
        <cfvo type="percent" val="0"/>
        <cfvo type="num" val="1"/>
        <cfvo type="num" val="1" gte="0"/>
      </iconSet>
    </cfRule>
    <cfRule type="iconSet" priority="13">
      <iconSet iconSet="3TrafficLights2" showValue="0">
        <cfvo type="percent" val="0"/>
        <cfvo type="num" val="1"/>
        <cfvo type="num" val="1" gte="0"/>
      </iconSet>
    </cfRule>
  </conditionalFormatting>
  <conditionalFormatting sqref="P6:P688">
    <cfRule type="cellIs" dxfId="22" priority="1" operator="lessThan">
      <formula>0</formula>
    </cfRule>
    <cfRule type="cellIs" dxfId="21" priority="2" operator="greaterThan">
      <formula>0</formula>
    </cfRule>
  </conditionalFormatting>
  <conditionalFormatting sqref="S5">
    <cfRule type="iconSet" priority="18">
      <iconSet iconSet="3TrafficLights2" showValue="0">
        <cfvo type="percent" val="0"/>
        <cfvo type="num" val="1"/>
        <cfvo type="num" val="1" gte="0"/>
      </iconSet>
    </cfRule>
  </conditionalFormatting>
  <conditionalFormatting sqref="S6">
    <cfRule type="iconSet" priority="37">
      <iconSet iconSet="3TrafficLights2" showValue="0">
        <cfvo type="percent" val="0"/>
        <cfvo type="num" val="1"/>
        <cfvo type="num" val="1" gte="0"/>
      </iconSet>
    </cfRule>
  </conditionalFormatting>
  <conditionalFormatting sqref="S7">
    <cfRule type="iconSet" priority="36">
      <iconSet iconSet="3TrafficLights2" showValue="0">
        <cfvo type="percent" val="0"/>
        <cfvo type="num" val="1"/>
        <cfvo type="num" val="1" gte="0"/>
      </iconSet>
    </cfRule>
  </conditionalFormatting>
  <conditionalFormatting sqref="S8">
    <cfRule type="iconSet" priority="30">
      <iconSet iconSet="3TrafficLights2" showValue="0">
        <cfvo type="percent" val="0"/>
        <cfvo type="num" val="1"/>
        <cfvo type="num" val="1" gte="0"/>
      </iconSet>
    </cfRule>
  </conditionalFormatting>
  <pageMargins left="0.51181102362204722" right="0.51181102362204722" top="0.78740157480314965" bottom="0.78740157480314965" header="0.31496062992125984" footer="0.31496062992125984"/>
  <pageSetup paperSize="9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0" tint="-0.14999847407452621"/>
    <pageSetUpPr fitToPage="1"/>
  </sheetPr>
  <dimension ref="A1:BL743"/>
  <sheetViews>
    <sheetView showGridLines="0" zoomScale="115" zoomScaleNormal="115" workbookViewId="0">
      <pane xSplit="7" ySplit="1" topLeftCell="J418" activePane="bottomRight" state="frozen"/>
      <selection activeCell="C55" sqref="C1:C1048576"/>
      <selection pane="topRight" activeCell="C55" sqref="C1:C1048576"/>
      <selection pane="bottomLeft" activeCell="C55" sqref="C1:C1048576"/>
      <selection pane="bottomRight" activeCell="N1" sqref="N1"/>
    </sheetView>
  </sheetViews>
  <sheetFormatPr defaultRowHeight="14" x14ac:dyDescent="0.3"/>
  <cols>
    <col min="1" max="1" width="3.83203125" style="180" customWidth="1"/>
    <col min="2" max="2" width="7.5" style="180" customWidth="1"/>
    <col min="3" max="3" width="34.83203125" style="180" customWidth="1"/>
    <col min="4" max="4" width="10.58203125" style="180" customWidth="1"/>
    <col min="5" max="5" width="22.58203125" style="180" customWidth="1"/>
    <col min="6" max="6" width="10" style="180" customWidth="1"/>
    <col min="7" max="7" width="11.83203125" style="180" customWidth="1"/>
    <col min="8" max="8" width="12" style="180" customWidth="1"/>
    <col min="9" max="9" width="17.5" style="180" customWidth="1"/>
    <col min="10" max="10" width="15.25" style="180" customWidth="1"/>
    <col min="11" max="11" width="17.08203125" style="180" customWidth="1"/>
    <col min="12" max="12" width="10.83203125" style="181" customWidth="1"/>
    <col min="13" max="13" width="12.58203125" style="181" customWidth="1"/>
    <col min="14" max="14" width="13.33203125" style="182" customWidth="1"/>
    <col min="15" max="15" width="9.33203125" style="180" customWidth="1"/>
    <col min="16" max="17" width="8.75" style="368" customWidth="1"/>
    <col min="18" max="19" width="9.25" style="368" customWidth="1"/>
    <col min="20" max="22" width="9.58203125" style="368" customWidth="1"/>
    <col min="23" max="23" width="13" style="180" customWidth="1"/>
    <col min="24" max="24" width="15.25" style="180" customWidth="1"/>
    <col min="25" max="25" width="8.58203125" style="180" customWidth="1"/>
    <col min="26" max="26" width="12.25" style="180" customWidth="1"/>
    <col min="27" max="27" width="12.5" style="180" customWidth="1"/>
    <col min="28" max="28" width="13.33203125" style="180" customWidth="1"/>
    <col min="29" max="35" width="6.58203125" style="180" customWidth="1"/>
    <col min="36" max="36" width="13.33203125" style="180" customWidth="1"/>
    <col min="37" max="37" width="6" style="180" customWidth="1"/>
    <col min="38" max="43" width="6.25" style="180" customWidth="1"/>
    <col min="44" max="44" width="18.75" style="180" customWidth="1"/>
    <col min="45" max="46" width="15.5" style="180" customWidth="1"/>
    <col min="47" max="47" width="8.75" style="180" customWidth="1"/>
    <col min="48" max="48" width="8.25" style="180" customWidth="1"/>
    <col min="49" max="49" width="19.58203125" style="180" customWidth="1"/>
    <col min="50" max="50" width="7.25" style="180" customWidth="1"/>
    <col min="51" max="52" width="8.75" style="180" customWidth="1"/>
    <col min="53" max="53" width="8.75" customWidth="1"/>
    <col min="54" max="56" width="9" customWidth="1"/>
  </cols>
  <sheetData>
    <row r="1" spans="1:58" ht="20" x14ac:dyDescent="0.3">
      <c r="A1" s="293" t="s">
        <v>18</v>
      </c>
      <c r="B1" s="294" t="s">
        <v>46</v>
      </c>
      <c r="C1" s="294" t="s">
        <v>49</v>
      </c>
      <c r="D1" s="294" t="s">
        <v>0</v>
      </c>
      <c r="E1" s="294" t="s">
        <v>2034</v>
      </c>
      <c r="F1" s="294" t="s">
        <v>47</v>
      </c>
      <c r="G1" s="294" t="s">
        <v>48</v>
      </c>
      <c r="H1" s="294" t="s">
        <v>50</v>
      </c>
      <c r="I1" s="294" t="s">
        <v>508</v>
      </c>
      <c r="J1" s="294" t="s">
        <v>509</v>
      </c>
      <c r="K1" s="294" t="s">
        <v>519</v>
      </c>
      <c r="L1" s="317" t="s">
        <v>517</v>
      </c>
      <c r="M1" s="295" t="s">
        <v>879</v>
      </c>
      <c r="N1" s="295" t="s">
        <v>518</v>
      </c>
      <c r="O1" s="295" t="s">
        <v>867</v>
      </c>
      <c r="P1" s="367" t="s">
        <v>868</v>
      </c>
      <c r="Q1" s="367" t="s">
        <v>869</v>
      </c>
      <c r="R1" s="367" t="s">
        <v>870</v>
      </c>
      <c r="S1" s="367" t="s">
        <v>871</v>
      </c>
      <c r="T1" s="367" t="s">
        <v>872</v>
      </c>
      <c r="U1" s="367" t="s">
        <v>873</v>
      </c>
      <c r="V1" s="367" t="s">
        <v>874</v>
      </c>
      <c r="W1" s="294" t="s">
        <v>430</v>
      </c>
      <c r="X1" s="294" t="s">
        <v>431</v>
      </c>
      <c r="Y1" s="294" t="s">
        <v>21</v>
      </c>
      <c r="Z1" s="294" t="s">
        <v>717</v>
      </c>
      <c r="AA1" s="294" t="s">
        <v>718</v>
      </c>
      <c r="AB1" s="276" t="s">
        <v>715</v>
      </c>
      <c r="AC1" s="276" t="s">
        <v>1890</v>
      </c>
      <c r="AD1" s="276" t="s">
        <v>1891</v>
      </c>
      <c r="AE1" s="276" t="s">
        <v>1892</v>
      </c>
      <c r="AF1" s="276" t="s">
        <v>1893</v>
      </c>
      <c r="AG1" s="276" t="s">
        <v>1894</v>
      </c>
      <c r="AH1" s="276" t="s">
        <v>1895</v>
      </c>
      <c r="AI1" s="276" t="s">
        <v>1896</v>
      </c>
      <c r="AJ1" s="276" t="s">
        <v>716</v>
      </c>
      <c r="AK1" s="276" t="s">
        <v>1897</v>
      </c>
      <c r="AL1" s="276" t="s">
        <v>1898</v>
      </c>
      <c r="AM1" s="276" t="s">
        <v>1899</v>
      </c>
      <c r="AN1" s="276" t="s">
        <v>1900</v>
      </c>
      <c r="AO1" s="276" t="s">
        <v>1901</v>
      </c>
      <c r="AP1" s="276" t="s">
        <v>1902</v>
      </c>
      <c r="AQ1" s="276" t="s">
        <v>1903</v>
      </c>
      <c r="AR1" s="276" t="s">
        <v>719</v>
      </c>
      <c r="AS1" s="276" t="s">
        <v>722</v>
      </c>
      <c r="AT1" s="276" t="s">
        <v>723</v>
      </c>
      <c r="AU1" s="277" t="s">
        <v>725</v>
      </c>
      <c r="AV1" s="277" t="s">
        <v>110</v>
      </c>
      <c r="AW1" s="277" t="s">
        <v>726</v>
      </c>
      <c r="AX1" s="276" t="s">
        <v>876</v>
      </c>
      <c r="AY1" s="278" t="s">
        <v>2033</v>
      </c>
      <c r="AZ1" s="278" t="s">
        <v>1606</v>
      </c>
      <c r="BB1" s="296"/>
      <c r="BC1" s="297"/>
      <c r="BE1" s="296" t="s">
        <v>1904</v>
      </c>
      <c r="BF1" s="297">
        <f>(COUNTIF($AZ:$AZ,"X")/COUNT(Tabela1[ID]))</f>
        <v>0.93704245973645683</v>
      </c>
    </row>
    <row r="2" spans="1:58" ht="15" hidden="1" customHeight="1" x14ac:dyDescent="0.3">
      <c r="A2" s="253">
        <v>1</v>
      </c>
      <c r="B2" s="201" t="s">
        <v>880</v>
      </c>
      <c r="C2" s="211" t="s">
        <v>881</v>
      </c>
      <c r="D2" s="201">
        <v>10000457</v>
      </c>
      <c r="E2" s="253" t="s">
        <v>1225</v>
      </c>
      <c r="F2" s="253">
        <v>2511</v>
      </c>
      <c r="G2" s="201">
        <v>2200100100</v>
      </c>
      <c r="H2" s="201">
        <v>2004</v>
      </c>
      <c r="I2" s="216">
        <v>70007.009999999995</v>
      </c>
      <c r="J2" s="214">
        <v>0</v>
      </c>
      <c r="K2" s="170">
        <v>811304.92000000051</v>
      </c>
      <c r="L2" s="215">
        <v>1.27</v>
      </c>
      <c r="M2" s="320">
        <v>5020</v>
      </c>
      <c r="N2" s="212">
        <v>195391</v>
      </c>
      <c r="O2" s="171">
        <v>420</v>
      </c>
      <c r="P2" s="271" t="str">
        <f>IFERROR(VLOOKUP(Tabela1[[#This Row],[TAG]],#REF!,14,FALSE),"")</f>
        <v/>
      </c>
      <c r="Q2" s="204" t="e">
        <f t="shared" ref="Q2:Q33" si="0">P2+P2</f>
        <v>#VALUE!</v>
      </c>
      <c r="R2" s="204" t="e">
        <f t="shared" ref="R2:R33" si="1">Q2+P2</f>
        <v>#VALUE!</v>
      </c>
      <c r="S2" s="204" t="e">
        <f t="shared" ref="S2:S33" si="2">R2+P2</f>
        <v>#VALUE!</v>
      </c>
      <c r="T2" s="204" t="e">
        <f t="shared" ref="T2:T33" si="3">S2+P2</f>
        <v>#VALUE!</v>
      </c>
      <c r="U2" s="204" t="e">
        <f t="shared" ref="U2:U33" si="4">T2+P2</f>
        <v>#VALUE!</v>
      </c>
      <c r="V2" s="204" t="e">
        <f t="shared" ref="V2:V33" si="5">U2+P2</f>
        <v>#VALUE!</v>
      </c>
      <c r="W2" s="304">
        <v>966.83</v>
      </c>
      <c r="X2" s="304">
        <v>4873.49</v>
      </c>
      <c r="Y2" s="203">
        <v>0.1</v>
      </c>
      <c r="Z2" s="203">
        <f>IF(Tabela1[[#This Row],[Ano Aquisição]]=2023,0,IFERROR(VLOOKUP(H2,inflação!$F:$H,3,FALSE),""))</f>
        <v>1.1001000000000001</v>
      </c>
      <c r="AA2" s="203">
        <v>0.8</v>
      </c>
      <c r="AB2" s="202">
        <f t="shared" ref="AB2:AB33" si="6">I2*-1</f>
        <v>-70007.009999999995</v>
      </c>
      <c r="AC2" s="204" t="e">
        <f t="shared" ref="AC2:AC7" si="7">-(((P2*$W2)+($X2*12))*((1+$Y2)^AC$1))</f>
        <v>#VALUE!</v>
      </c>
      <c r="AD2" s="204" t="e">
        <f t="shared" ref="AD2:AI5" si="8">-((((Q2-P2)*$W2)+($X2*12))*((1+$Y2)^AD$1))</f>
        <v>#VALUE!</v>
      </c>
      <c r="AE2" s="204" t="e">
        <f t="shared" si="8"/>
        <v>#VALUE!</v>
      </c>
      <c r="AF2" s="204" t="e">
        <f t="shared" si="8"/>
        <v>#VALUE!</v>
      </c>
      <c r="AG2" s="204" t="e">
        <f t="shared" si="8"/>
        <v>#VALUE!</v>
      </c>
      <c r="AH2" s="204" t="e">
        <f t="shared" si="8"/>
        <v>#VALUE!</v>
      </c>
      <c r="AI2" s="204" t="e">
        <f t="shared" si="8"/>
        <v>#VALUE!</v>
      </c>
      <c r="AJ2" s="205">
        <f t="shared" ref="AJ2:AJ33" si="9">-(I2*(1+Z2))</f>
        <v>-147021.721701</v>
      </c>
      <c r="AK2" s="204" t="e">
        <f t="shared" ref="AK2:AK33" si="10">AC2*(1-$AA2)</f>
        <v>#VALUE!</v>
      </c>
      <c r="AL2" s="204" t="e">
        <f t="shared" ref="AL2:AL33" si="11">AD2*(1-$AA2)</f>
        <v>#VALUE!</v>
      </c>
      <c r="AM2" s="204" t="e">
        <f t="shared" ref="AM2:AM33" si="12">AE2*(1-$AA2)</f>
        <v>#VALUE!</v>
      </c>
      <c r="AN2" s="204" t="e">
        <f t="shared" ref="AN2:AN33" si="13">AF2*(1-$AA2)</f>
        <v>#VALUE!</v>
      </c>
      <c r="AO2" s="204" t="e">
        <f t="shared" ref="AO2:AO33" si="14">AG2*(1-$AA2)</f>
        <v>#VALUE!</v>
      </c>
      <c r="AP2" s="204" t="e">
        <f t="shared" ref="AP2:AP33" si="15">AH2*(1-$AA2)</f>
        <v>#VALUE!</v>
      </c>
      <c r="AQ2" s="204" t="e">
        <f t="shared" ref="AQ2:AQ33" si="16">AI2*(1-$AA2)</f>
        <v>#VALUE!</v>
      </c>
      <c r="AR2" s="206" t="e">
        <f t="shared" ref="AR2:AR33" si="17">(NPV(Y2,AK2,AL2,AM2,AN2,AO2,AP2,AQ2)+(SUM(AJ2,(J2*-1))))-(NPV(Y2,AC2,AD2,AE2,AF2,AG2,AH2,AI2))</f>
        <v>#VALUE!</v>
      </c>
      <c r="AS2" s="170" t="e">
        <f t="shared" ref="AS2:AS33" si="18">SUM(AC2:AI2)</f>
        <v>#VALUE!</v>
      </c>
      <c r="AT2" s="170" t="e">
        <f t="shared" ref="AT2:AT33" si="19">SUM(AK2:AQ2)</f>
        <v>#VALUE!</v>
      </c>
      <c r="AU2" s="207" t="e">
        <f t="shared" ref="AU2:AU33" si="20">(((AVERAGE(AC2:AI2)/1000)-(AVERAGE(AK2:AQ2)/1000))+(((AJ2/1000)*-1)/7)+((J2/1000)/7))*-1</f>
        <v>#VALUE!</v>
      </c>
      <c r="AV2" s="208" t="e">
        <f t="shared" ref="AV2:AV33" si="21">AU2/(((J2/1000)+((AJ2*-1)/1000)))</f>
        <v>#VALUE!</v>
      </c>
      <c r="AW2" s="201" t="str">
        <f t="shared" ref="AW2:AW33" si="22">IF(L2&gt;1.1,"Fase de Degradação",IF(L2&lt;1,"Confiabilidade em Crescimento","Fase de Vida Útil"))</f>
        <v>Fase de Degradação</v>
      </c>
      <c r="AX2" s="253" t="e">
        <f>VLOOKUP(D2,#REF!,5,FALSE)</f>
        <v>#REF!</v>
      </c>
      <c r="AY2" s="201"/>
      <c r="AZ2" s="273" t="s">
        <v>1224</v>
      </c>
      <c r="BB2">
        <f>IFERROR(VLOOKUP(Tabela1[[#This Row],[Denominação]],[10]Planilha1!$A:$B,2,FALSE),"")</f>
        <v>811304.92000000051</v>
      </c>
    </row>
    <row r="3" spans="1:58" ht="15" hidden="1" customHeight="1" x14ac:dyDescent="0.3">
      <c r="A3" s="268">
        <v>2</v>
      </c>
      <c r="B3" s="255" t="s">
        <v>739</v>
      </c>
      <c r="C3" s="256" t="s">
        <v>740</v>
      </c>
      <c r="D3" s="255">
        <v>10003740</v>
      </c>
      <c r="E3" s="253" t="s">
        <v>1226</v>
      </c>
      <c r="F3" s="257">
        <v>4548</v>
      </c>
      <c r="G3" s="255" t="s">
        <v>1666</v>
      </c>
      <c r="H3" s="255">
        <v>2008</v>
      </c>
      <c r="I3" s="258">
        <v>184344.2</v>
      </c>
      <c r="J3" s="218">
        <v>0</v>
      </c>
      <c r="K3" s="170">
        <v>135505.04</v>
      </c>
      <c r="L3" s="259">
        <v>0.75</v>
      </c>
      <c r="M3" s="212">
        <v>4433</v>
      </c>
      <c r="N3" s="260">
        <v>116075</v>
      </c>
      <c r="O3" s="254">
        <v>175</v>
      </c>
      <c r="P3" s="271" t="str">
        <f>IFERROR(VLOOKUP(Tabela1[[#This Row],[TAG]],#REF!,14,FALSE),"")</f>
        <v/>
      </c>
      <c r="Q3" s="262" t="e">
        <f t="shared" si="0"/>
        <v>#VALUE!</v>
      </c>
      <c r="R3" s="262" t="e">
        <f t="shared" si="1"/>
        <v>#VALUE!</v>
      </c>
      <c r="S3" s="262" t="e">
        <f t="shared" si="2"/>
        <v>#VALUE!</v>
      </c>
      <c r="T3" s="262" t="e">
        <f t="shared" si="3"/>
        <v>#VALUE!</v>
      </c>
      <c r="U3" s="262" t="e">
        <f t="shared" si="4"/>
        <v>#VALUE!</v>
      </c>
      <c r="V3" s="262" t="e">
        <f t="shared" si="5"/>
        <v>#VALUE!</v>
      </c>
      <c r="W3" s="218">
        <v>257.32</v>
      </c>
      <c r="X3" s="218">
        <v>312.04000000000002</v>
      </c>
      <c r="Y3" s="261">
        <v>0.1</v>
      </c>
      <c r="Z3" s="261">
        <f>IF(Tabela1[[#This Row],[Ano Aquisição]]=2023,0,IFERROR(VLOOKUP(H3,inflação!$F:$H,3,FALSE),""))</f>
        <v>0.89119999999999999</v>
      </c>
      <c r="AA3" s="261">
        <v>0.8</v>
      </c>
      <c r="AB3" s="202">
        <f t="shared" si="6"/>
        <v>-184344.2</v>
      </c>
      <c r="AC3" s="262" t="e">
        <f t="shared" si="7"/>
        <v>#VALUE!</v>
      </c>
      <c r="AD3" s="262" t="e">
        <f t="shared" si="8"/>
        <v>#VALUE!</v>
      </c>
      <c r="AE3" s="262" t="e">
        <f t="shared" si="8"/>
        <v>#VALUE!</v>
      </c>
      <c r="AF3" s="262" t="e">
        <f t="shared" si="8"/>
        <v>#VALUE!</v>
      </c>
      <c r="AG3" s="262" t="e">
        <f t="shared" si="8"/>
        <v>#VALUE!</v>
      </c>
      <c r="AH3" s="262" t="e">
        <f t="shared" si="8"/>
        <v>#VALUE!</v>
      </c>
      <c r="AI3" s="262" t="e">
        <f t="shared" si="8"/>
        <v>#VALUE!</v>
      </c>
      <c r="AJ3" s="263">
        <f t="shared" si="9"/>
        <v>-348631.75104</v>
      </c>
      <c r="AK3" s="262" t="e">
        <f t="shared" si="10"/>
        <v>#VALUE!</v>
      </c>
      <c r="AL3" s="262" t="e">
        <f t="shared" si="11"/>
        <v>#VALUE!</v>
      </c>
      <c r="AM3" s="262" t="e">
        <f t="shared" si="12"/>
        <v>#VALUE!</v>
      </c>
      <c r="AN3" s="262" t="e">
        <f t="shared" si="13"/>
        <v>#VALUE!</v>
      </c>
      <c r="AO3" s="262" t="e">
        <f t="shared" si="14"/>
        <v>#VALUE!</v>
      </c>
      <c r="AP3" s="262" t="e">
        <f t="shared" si="15"/>
        <v>#VALUE!</v>
      </c>
      <c r="AQ3" s="262" t="e">
        <f t="shared" si="16"/>
        <v>#VALUE!</v>
      </c>
      <c r="AR3" s="264" t="e">
        <f t="shared" si="17"/>
        <v>#VALUE!</v>
      </c>
      <c r="AS3" s="265" t="e">
        <f t="shared" si="18"/>
        <v>#VALUE!</v>
      </c>
      <c r="AT3" s="265" t="e">
        <f t="shared" si="19"/>
        <v>#VALUE!</v>
      </c>
      <c r="AU3" s="259" t="e">
        <f t="shared" si="20"/>
        <v>#VALUE!</v>
      </c>
      <c r="AV3" s="266" t="e">
        <f t="shared" si="21"/>
        <v>#VALUE!</v>
      </c>
      <c r="AW3" s="255" t="str">
        <f t="shared" si="22"/>
        <v>Confiabilidade em Crescimento</v>
      </c>
      <c r="AX3" s="253" t="e">
        <f>VLOOKUP(D3,#REF!,5,FALSE)</f>
        <v>#REF!</v>
      </c>
      <c r="AY3" s="201"/>
      <c r="AZ3" s="274" t="s">
        <v>1224</v>
      </c>
      <c r="BB3">
        <f>IFERROR(VLOOKUP(Tabela1[[#This Row],[Denominação]],[10]Planilha1!$A:$B,2,FALSE),"")</f>
        <v>135505.04</v>
      </c>
    </row>
    <row r="4" spans="1:58" ht="15" hidden="1" customHeight="1" x14ac:dyDescent="0.3">
      <c r="A4" s="253">
        <v>3</v>
      </c>
      <c r="B4" s="201" t="s">
        <v>741</v>
      </c>
      <c r="C4" s="211" t="s">
        <v>742</v>
      </c>
      <c r="D4" s="201">
        <v>10006290</v>
      </c>
      <c r="E4" s="253" t="s">
        <v>1227</v>
      </c>
      <c r="F4" s="253">
        <v>4548</v>
      </c>
      <c r="G4" s="201">
        <v>36407</v>
      </c>
      <c r="H4" s="201">
        <v>2009</v>
      </c>
      <c r="I4" s="216">
        <v>184344.2</v>
      </c>
      <c r="J4" s="214">
        <v>0</v>
      </c>
      <c r="K4" s="170">
        <v>284121.64</v>
      </c>
      <c r="L4" s="207">
        <v>1.1200000000000001</v>
      </c>
      <c r="M4" s="212">
        <v>4433</v>
      </c>
      <c r="N4" s="212">
        <v>71239</v>
      </c>
      <c r="O4" s="171">
        <v>253</v>
      </c>
      <c r="P4" s="271" t="str">
        <f>IFERROR(VLOOKUP(Tabela1[[#This Row],[TAG]],#REF!,14,FALSE),"")</f>
        <v/>
      </c>
      <c r="Q4" s="262" t="e">
        <f t="shared" si="0"/>
        <v>#VALUE!</v>
      </c>
      <c r="R4" s="262" t="e">
        <f t="shared" si="1"/>
        <v>#VALUE!</v>
      </c>
      <c r="S4" s="262" t="e">
        <f t="shared" si="2"/>
        <v>#VALUE!</v>
      </c>
      <c r="T4" s="262" t="e">
        <f t="shared" si="3"/>
        <v>#VALUE!</v>
      </c>
      <c r="U4" s="262" t="e">
        <f t="shared" si="4"/>
        <v>#VALUE!</v>
      </c>
      <c r="V4" s="262" t="e">
        <f t="shared" si="5"/>
        <v>#VALUE!</v>
      </c>
      <c r="W4" s="218">
        <v>412.47</v>
      </c>
      <c r="X4" s="218">
        <v>831.28</v>
      </c>
      <c r="Y4" s="203">
        <v>0.1</v>
      </c>
      <c r="Z4" s="203">
        <f>IF(Tabela1[[#This Row],[Ano Aquisição]]=2023,0,IFERROR(VLOOKUP(H4,inflação!$F:$H,3,FALSE),""))</f>
        <v>0.83220000000000005</v>
      </c>
      <c r="AA4" s="203">
        <v>0.8</v>
      </c>
      <c r="AB4" s="202">
        <f t="shared" si="6"/>
        <v>-184344.2</v>
      </c>
      <c r="AC4" s="204" t="e">
        <f t="shared" si="7"/>
        <v>#VALUE!</v>
      </c>
      <c r="AD4" s="204" t="e">
        <f t="shared" si="8"/>
        <v>#VALUE!</v>
      </c>
      <c r="AE4" s="204" t="e">
        <f t="shared" si="8"/>
        <v>#VALUE!</v>
      </c>
      <c r="AF4" s="204" t="e">
        <f t="shared" si="8"/>
        <v>#VALUE!</v>
      </c>
      <c r="AG4" s="204" t="e">
        <f t="shared" si="8"/>
        <v>#VALUE!</v>
      </c>
      <c r="AH4" s="204" t="e">
        <f t="shared" si="8"/>
        <v>#VALUE!</v>
      </c>
      <c r="AI4" s="204" t="e">
        <f t="shared" si="8"/>
        <v>#VALUE!</v>
      </c>
      <c r="AJ4" s="205">
        <f t="shared" si="9"/>
        <v>-337755.44324000005</v>
      </c>
      <c r="AK4" s="204" t="e">
        <f t="shared" si="10"/>
        <v>#VALUE!</v>
      </c>
      <c r="AL4" s="204" t="e">
        <f t="shared" si="11"/>
        <v>#VALUE!</v>
      </c>
      <c r="AM4" s="204" t="e">
        <f t="shared" si="12"/>
        <v>#VALUE!</v>
      </c>
      <c r="AN4" s="204" t="e">
        <f t="shared" si="13"/>
        <v>#VALUE!</v>
      </c>
      <c r="AO4" s="204" t="e">
        <f t="shared" si="14"/>
        <v>#VALUE!</v>
      </c>
      <c r="AP4" s="204" t="e">
        <f t="shared" si="15"/>
        <v>#VALUE!</v>
      </c>
      <c r="AQ4" s="204" t="e">
        <f t="shared" si="16"/>
        <v>#VALUE!</v>
      </c>
      <c r="AR4" s="206" t="e">
        <f t="shared" si="17"/>
        <v>#VALUE!</v>
      </c>
      <c r="AS4" s="170" t="e">
        <f t="shared" si="18"/>
        <v>#VALUE!</v>
      </c>
      <c r="AT4" s="170" t="e">
        <f t="shared" si="19"/>
        <v>#VALUE!</v>
      </c>
      <c r="AU4" s="207" t="e">
        <f t="shared" si="20"/>
        <v>#VALUE!</v>
      </c>
      <c r="AV4" s="208" t="e">
        <f t="shared" si="21"/>
        <v>#VALUE!</v>
      </c>
      <c r="AW4" s="201" t="str">
        <f t="shared" si="22"/>
        <v>Fase de Degradação</v>
      </c>
      <c r="AX4" s="253" t="e">
        <f>VLOOKUP(D4,#REF!,5,FALSE)</f>
        <v>#REF!</v>
      </c>
      <c r="AY4" s="201"/>
      <c r="AZ4" s="275" t="s">
        <v>1224</v>
      </c>
      <c r="BB4">
        <f>IFERROR(VLOOKUP(Tabela1[[#This Row],[Denominação]],[10]Planilha1!$A:$B,2,FALSE),"")</f>
        <v>284121.64</v>
      </c>
    </row>
    <row r="5" spans="1:58" ht="15" hidden="1" customHeight="1" x14ac:dyDescent="0.3">
      <c r="A5" s="268">
        <v>4</v>
      </c>
      <c r="B5" s="201" t="s">
        <v>743</v>
      </c>
      <c r="C5" s="211" t="s">
        <v>744</v>
      </c>
      <c r="D5" s="201">
        <v>10006845</v>
      </c>
      <c r="E5" s="253" t="s">
        <v>1671</v>
      </c>
      <c r="F5" s="253">
        <v>4548</v>
      </c>
      <c r="G5" s="201">
        <v>46611</v>
      </c>
      <c r="H5" s="201">
        <v>2016</v>
      </c>
      <c r="I5" s="216">
        <v>560982.64</v>
      </c>
      <c r="J5" s="214">
        <v>206356</v>
      </c>
      <c r="K5" s="170">
        <v>2171.91</v>
      </c>
      <c r="L5" s="207">
        <v>1.1200000000000001</v>
      </c>
      <c r="M5" s="212">
        <v>4433</v>
      </c>
      <c r="N5" s="212">
        <v>39853</v>
      </c>
      <c r="O5" s="171">
        <v>146</v>
      </c>
      <c r="P5" s="271" t="str">
        <f>IFERROR(VLOOKUP(Tabela1[[#This Row],[TAG]],#REF!,14,FALSE),"")</f>
        <v/>
      </c>
      <c r="Q5" s="204" t="e">
        <f t="shared" si="0"/>
        <v>#VALUE!</v>
      </c>
      <c r="R5" s="204" t="e">
        <f t="shared" si="1"/>
        <v>#VALUE!</v>
      </c>
      <c r="S5" s="204" t="e">
        <f t="shared" si="2"/>
        <v>#VALUE!</v>
      </c>
      <c r="T5" s="204" t="e">
        <f t="shared" si="3"/>
        <v>#VALUE!</v>
      </c>
      <c r="U5" s="204" t="e">
        <f t="shared" si="4"/>
        <v>#VALUE!</v>
      </c>
      <c r="V5" s="204" t="e">
        <f t="shared" si="5"/>
        <v>#VALUE!</v>
      </c>
      <c r="W5" s="218">
        <v>513.03</v>
      </c>
      <c r="X5" s="218">
        <v>433.37</v>
      </c>
      <c r="Y5" s="203">
        <v>0.1</v>
      </c>
      <c r="Z5" s="203">
        <f>IF(Tabela1[[#This Row],[Ano Aquisição]]=2023,0,IFERROR(VLOOKUP(H5,inflação!$F:$H,3,FALSE),""))</f>
        <v>0.37669999999999998</v>
      </c>
      <c r="AA5" s="203">
        <v>0.8</v>
      </c>
      <c r="AB5" s="202">
        <f t="shared" si="6"/>
        <v>-560982.64</v>
      </c>
      <c r="AC5" s="204" t="e">
        <f t="shared" si="7"/>
        <v>#VALUE!</v>
      </c>
      <c r="AD5" s="204" t="e">
        <f t="shared" si="8"/>
        <v>#VALUE!</v>
      </c>
      <c r="AE5" s="204" t="e">
        <f t="shared" si="8"/>
        <v>#VALUE!</v>
      </c>
      <c r="AF5" s="204" t="e">
        <f t="shared" si="8"/>
        <v>#VALUE!</v>
      </c>
      <c r="AG5" s="204" t="e">
        <f t="shared" si="8"/>
        <v>#VALUE!</v>
      </c>
      <c r="AH5" s="204" t="e">
        <f t="shared" si="8"/>
        <v>#VALUE!</v>
      </c>
      <c r="AI5" s="204" t="e">
        <f t="shared" si="8"/>
        <v>#VALUE!</v>
      </c>
      <c r="AJ5" s="205">
        <f t="shared" si="9"/>
        <v>-772304.80048800004</v>
      </c>
      <c r="AK5" s="204" t="e">
        <f t="shared" si="10"/>
        <v>#VALUE!</v>
      </c>
      <c r="AL5" s="204" t="e">
        <f t="shared" si="11"/>
        <v>#VALUE!</v>
      </c>
      <c r="AM5" s="204" t="e">
        <f t="shared" si="12"/>
        <v>#VALUE!</v>
      </c>
      <c r="AN5" s="204" t="e">
        <f t="shared" si="13"/>
        <v>#VALUE!</v>
      </c>
      <c r="AO5" s="204" t="e">
        <f t="shared" si="14"/>
        <v>#VALUE!</v>
      </c>
      <c r="AP5" s="204" t="e">
        <f t="shared" si="15"/>
        <v>#VALUE!</v>
      </c>
      <c r="AQ5" s="204" t="e">
        <f t="shared" si="16"/>
        <v>#VALUE!</v>
      </c>
      <c r="AR5" s="206" t="e">
        <f t="shared" si="17"/>
        <v>#VALUE!</v>
      </c>
      <c r="AS5" s="170" t="e">
        <f t="shared" si="18"/>
        <v>#VALUE!</v>
      </c>
      <c r="AT5" s="170" t="e">
        <f t="shared" si="19"/>
        <v>#VALUE!</v>
      </c>
      <c r="AU5" s="207" t="e">
        <f t="shared" si="20"/>
        <v>#VALUE!</v>
      </c>
      <c r="AV5" s="208" t="e">
        <f t="shared" si="21"/>
        <v>#VALUE!</v>
      </c>
      <c r="AW5" s="201" t="str">
        <f t="shared" si="22"/>
        <v>Fase de Degradação</v>
      </c>
      <c r="AX5" s="253" t="e">
        <f>VLOOKUP(D5,#REF!,5,FALSE)</f>
        <v>#REF!</v>
      </c>
      <c r="AY5" s="201"/>
      <c r="AZ5" s="275" t="s">
        <v>1224</v>
      </c>
      <c r="BB5">
        <f>IFERROR(VLOOKUP(Tabela1[[#This Row],[Denominação]],[10]Planilha1!$A:$B,2,FALSE),"")</f>
        <v>2171.91</v>
      </c>
    </row>
    <row r="6" spans="1:58" ht="15" hidden="1" customHeight="1" x14ac:dyDescent="0.3">
      <c r="A6" s="253">
        <v>5</v>
      </c>
      <c r="B6" s="201" t="s">
        <v>1667</v>
      </c>
      <c r="C6" s="211" t="s">
        <v>1228</v>
      </c>
      <c r="D6" s="201">
        <v>10006406</v>
      </c>
      <c r="E6" s="253" t="s">
        <v>1229</v>
      </c>
      <c r="F6" s="253">
        <v>4548</v>
      </c>
      <c r="G6" s="201">
        <v>53931</v>
      </c>
      <c r="H6" s="201">
        <v>2021</v>
      </c>
      <c r="I6" s="216">
        <v>792392.34</v>
      </c>
      <c r="J6" s="214">
        <v>690145</v>
      </c>
      <c r="K6" s="170">
        <v>144168.46999999997</v>
      </c>
      <c r="L6" s="207">
        <v>0.89</v>
      </c>
      <c r="M6" s="212">
        <v>4433</v>
      </c>
      <c r="N6" s="212">
        <v>57501</v>
      </c>
      <c r="O6" s="171">
        <v>169</v>
      </c>
      <c r="P6" s="271" t="str">
        <f>IFERROR(VLOOKUP(Tabela1[[#This Row],[TAG]],#REF!,14,FALSE),"")</f>
        <v/>
      </c>
      <c r="Q6" s="204" t="e">
        <f t="shared" si="0"/>
        <v>#VALUE!</v>
      </c>
      <c r="R6" s="204" t="e">
        <f t="shared" si="1"/>
        <v>#VALUE!</v>
      </c>
      <c r="S6" s="204" t="e">
        <f t="shared" si="2"/>
        <v>#VALUE!</v>
      </c>
      <c r="T6" s="204" t="e">
        <f t="shared" si="3"/>
        <v>#VALUE!</v>
      </c>
      <c r="U6" s="204" t="e">
        <f t="shared" si="4"/>
        <v>#VALUE!</v>
      </c>
      <c r="V6" s="204" t="e">
        <f t="shared" si="5"/>
        <v>#VALUE!</v>
      </c>
      <c r="W6" s="218">
        <v>217.83</v>
      </c>
      <c r="X6" s="218">
        <v>490.13</v>
      </c>
      <c r="Y6" s="203">
        <v>0.1</v>
      </c>
      <c r="Z6" s="203">
        <f>IF(Tabela1[[#This Row],[Ano Aquisição]]=2023,0,IFERROR(VLOOKUP(H6,inflação!$F:$H,3,FALSE),""))</f>
        <v>0.1585</v>
      </c>
      <c r="AA6" s="203">
        <v>0.8</v>
      </c>
      <c r="AB6" s="202">
        <f t="shared" si="6"/>
        <v>-792392.34</v>
      </c>
      <c r="AC6" s="204" t="e">
        <f t="shared" si="7"/>
        <v>#VALUE!</v>
      </c>
      <c r="AD6" s="204" t="e">
        <f t="shared" ref="AD6:AD7" si="23">-((((Q6-P6)*$W6)+($X6*12))*((1+$Y6)^AD$1))</f>
        <v>#VALUE!</v>
      </c>
      <c r="AE6" s="204" t="e">
        <f t="shared" ref="AE6:AE7" si="24">-((((R6-Q6)*$W6)+($X6*12))*((1+$Y6)^AE$1))</f>
        <v>#VALUE!</v>
      </c>
      <c r="AF6" s="204" t="e">
        <f t="shared" ref="AF6:AF7" si="25">-((((S6-R6)*$W6)+($X6*12))*((1+$Y6)^AF$1))</f>
        <v>#VALUE!</v>
      </c>
      <c r="AG6" s="204" t="e">
        <f t="shared" ref="AG6:AG7" si="26">-((((T6-S6)*$W6)+($X6*12))*((1+$Y6)^AG$1))</f>
        <v>#VALUE!</v>
      </c>
      <c r="AH6" s="204" t="e">
        <f t="shared" ref="AH6:AH7" si="27">-((((U6-T6)*$W6)+($X6*12))*((1+$Y6)^AH$1))</f>
        <v>#VALUE!</v>
      </c>
      <c r="AI6" s="204" t="e">
        <f t="shared" ref="AI6:AI7" si="28">-((((V6-U6)*$W6)+($X6*12))*((1+$Y6)^AI$1))</f>
        <v>#VALUE!</v>
      </c>
      <c r="AJ6" s="205">
        <f t="shared" si="9"/>
        <v>-917986.52589000005</v>
      </c>
      <c r="AK6" s="204" t="e">
        <f t="shared" ref="AK6:AK7" si="29">AC6*(1-$AA6)</f>
        <v>#VALUE!</v>
      </c>
      <c r="AL6" s="204" t="e">
        <f t="shared" ref="AL6:AL7" si="30">AD6*(1-$AA6)</f>
        <v>#VALUE!</v>
      </c>
      <c r="AM6" s="204" t="e">
        <f t="shared" ref="AM6:AM7" si="31">AE6*(1-$AA6)</f>
        <v>#VALUE!</v>
      </c>
      <c r="AN6" s="204" t="e">
        <f t="shared" ref="AN6:AN7" si="32">AF6*(1-$AA6)</f>
        <v>#VALUE!</v>
      </c>
      <c r="AO6" s="204" t="e">
        <f t="shared" ref="AO6:AO7" si="33">AG6*(1-$AA6)</f>
        <v>#VALUE!</v>
      </c>
      <c r="AP6" s="204" t="e">
        <f t="shared" ref="AP6:AP7" si="34">AH6*(1-$AA6)</f>
        <v>#VALUE!</v>
      </c>
      <c r="AQ6" s="204" t="e">
        <f t="shared" ref="AQ6:AQ7" si="35">AI6*(1-$AA6)</f>
        <v>#VALUE!</v>
      </c>
      <c r="AR6" s="206" t="e">
        <f t="shared" si="17"/>
        <v>#VALUE!</v>
      </c>
      <c r="AS6" s="170" t="e">
        <f t="shared" ref="AS6:AS7" si="36">SUM(AC6:AI6)</f>
        <v>#VALUE!</v>
      </c>
      <c r="AT6" s="170" t="e">
        <f t="shared" ref="AT6:AT7" si="37">SUM(AK6:AQ6)</f>
        <v>#VALUE!</v>
      </c>
      <c r="AU6" s="207" t="e">
        <f t="shared" si="20"/>
        <v>#VALUE!</v>
      </c>
      <c r="AV6" s="208" t="e">
        <f t="shared" si="21"/>
        <v>#VALUE!</v>
      </c>
      <c r="AW6" s="201" t="str">
        <f t="shared" si="22"/>
        <v>Confiabilidade em Crescimento</v>
      </c>
      <c r="AX6" s="253" t="e">
        <f>VLOOKUP(D6,#REF!,5,FALSE)</f>
        <v>#REF!</v>
      </c>
      <c r="AY6" s="201"/>
      <c r="AZ6" s="275" t="s">
        <v>1224</v>
      </c>
      <c r="BB6">
        <f>IFERROR(VLOOKUP(Tabela1[[#This Row],[Denominação]],[10]Planilha1!$A:$B,2,FALSE),"")</f>
        <v>144168.46999999997</v>
      </c>
    </row>
    <row r="7" spans="1:58" ht="15" hidden="1" customHeight="1" x14ac:dyDescent="0.3">
      <c r="A7" s="268">
        <v>6</v>
      </c>
      <c r="B7" s="201" t="s">
        <v>882</v>
      </c>
      <c r="C7" s="211" t="s">
        <v>883</v>
      </c>
      <c r="D7" s="201">
        <v>10006719</v>
      </c>
      <c r="E7" s="253" t="s">
        <v>1230</v>
      </c>
      <c r="F7" s="253">
        <v>4548</v>
      </c>
      <c r="G7" s="201">
        <v>55614</v>
      </c>
      <c r="H7" s="201">
        <v>2021</v>
      </c>
      <c r="I7" s="216">
        <v>748548.06</v>
      </c>
      <c r="J7" s="214">
        <v>673691</v>
      </c>
      <c r="K7" s="170">
        <v>11740.330000000002</v>
      </c>
      <c r="L7" s="207">
        <v>0.92</v>
      </c>
      <c r="M7" s="212">
        <v>4433</v>
      </c>
      <c r="N7" s="212">
        <v>10039</v>
      </c>
      <c r="O7" s="171">
        <v>18</v>
      </c>
      <c r="P7" s="271" t="str">
        <f>IFERROR(VLOOKUP(Tabela1[[#This Row],[TAG]],#REF!,14,FALSE),"")</f>
        <v/>
      </c>
      <c r="Q7" s="204" t="e">
        <f t="shared" si="0"/>
        <v>#VALUE!</v>
      </c>
      <c r="R7" s="204" t="e">
        <f t="shared" si="1"/>
        <v>#VALUE!</v>
      </c>
      <c r="S7" s="204" t="e">
        <f t="shared" si="2"/>
        <v>#VALUE!</v>
      </c>
      <c r="T7" s="204" t="e">
        <f t="shared" si="3"/>
        <v>#VALUE!</v>
      </c>
      <c r="U7" s="204" t="e">
        <f t="shared" si="4"/>
        <v>#VALUE!</v>
      </c>
      <c r="V7" s="204" t="e">
        <f t="shared" si="5"/>
        <v>#VALUE!</v>
      </c>
      <c r="W7" s="218">
        <v>354.77</v>
      </c>
      <c r="X7" s="218">
        <v>553.08000000000004</v>
      </c>
      <c r="Y7" s="203">
        <v>0.1</v>
      </c>
      <c r="Z7" s="203">
        <f>IF(Tabela1[[#This Row],[Ano Aquisição]]=2023,0,IFERROR(VLOOKUP(H7,inflação!$F:$H,3,FALSE),""))</f>
        <v>0.1585</v>
      </c>
      <c r="AA7" s="203">
        <v>0.8</v>
      </c>
      <c r="AB7" s="202">
        <f t="shared" si="6"/>
        <v>-748548.06</v>
      </c>
      <c r="AC7" s="204" t="e">
        <f t="shared" si="7"/>
        <v>#VALUE!</v>
      </c>
      <c r="AD7" s="204" t="e">
        <f t="shared" si="23"/>
        <v>#VALUE!</v>
      </c>
      <c r="AE7" s="204" t="e">
        <f t="shared" si="24"/>
        <v>#VALUE!</v>
      </c>
      <c r="AF7" s="204" t="e">
        <f t="shared" si="25"/>
        <v>#VALUE!</v>
      </c>
      <c r="AG7" s="204" t="e">
        <f t="shared" si="26"/>
        <v>#VALUE!</v>
      </c>
      <c r="AH7" s="204" t="e">
        <f t="shared" si="27"/>
        <v>#VALUE!</v>
      </c>
      <c r="AI7" s="204" t="e">
        <f t="shared" si="28"/>
        <v>#VALUE!</v>
      </c>
      <c r="AJ7" s="205">
        <f t="shared" si="9"/>
        <v>-867192.92751000018</v>
      </c>
      <c r="AK7" s="204" t="e">
        <f t="shared" si="29"/>
        <v>#VALUE!</v>
      </c>
      <c r="AL7" s="204" t="e">
        <f t="shared" si="30"/>
        <v>#VALUE!</v>
      </c>
      <c r="AM7" s="204" t="e">
        <f t="shared" si="31"/>
        <v>#VALUE!</v>
      </c>
      <c r="AN7" s="204" t="e">
        <f t="shared" si="32"/>
        <v>#VALUE!</v>
      </c>
      <c r="AO7" s="204" t="e">
        <f t="shared" si="33"/>
        <v>#VALUE!</v>
      </c>
      <c r="AP7" s="204" t="e">
        <f t="shared" si="34"/>
        <v>#VALUE!</v>
      </c>
      <c r="AQ7" s="204" t="e">
        <f t="shared" si="35"/>
        <v>#VALUE!</v>
      </c>
      <c r="AR7" s="206" t="e">
        <f t="shared" si="17"/>
        <v>#VALUE!</v>
      </c>
      <c r="AS7" s="170" t="e">
        <f t="shared" si="36"/>
        <v>#VALUE!</v>
      </c>
      <c r="AT7" s="170" t="e">
        <f t="shared" si="37"/>
        <v>#VALUE!</v>
      </c>
      <c r="AU7" s="207" t="e">
        <f t="shared" si="20"/>
        <v>#VALUE!</v>
      </c>
      <c r="AV7" s="208" t="e">
        <f t="shared" si="21"/>
        <v>#VALUE!</v>
      </c>
      <c r="AW7" s="201" t="str">
        <f t="shared" si="22"/>
        <v>Confiabilidade em Crescimento</v>
      </c>
      <c r="AX7" s="253" t="e">
        <f>VLOOKUP(D7,#REF!,5,FALSE)</f>
        <v>#REF!</v>
      </c>
      <c r="AY7" s="201"/>
      <c r="AZ7" s="275" t="s">
        <v>1224</v>
      </c>
      <c r="BB7">
        <f>IFERROR(VLOOKUP(Tabela1[[#This Row],[Denominação]],[10]Planilha1!$A:$B,2,FALSE),"")</f>
        <v>11740.330000000002</v>
      </c>
    </row>
    <row r="8" spans="1:58" ht="15" hidden="1" customHeight="1" x14ac:dyDescent="0.3">
      <c r="A8" s="253">
        <v>7</v>
      </c>
      <c r="B8" s="201" t="s">
        <v>884</v>
      </c>
      <c r="C8" s="211" t="s">
        <v>885</v>
      </c>
      <c r="D8" s="201">
        <v>10006732</v>
      </c>
      <c r="E8" s="253" t="s">
        <v>1231</v>
      </c>
      <c r="F8" s="253">
        <v>2376</v>
      </c>
      <c r="G8" s="201">
        <v>55185</v>
      </c>
      <c r="H8" s="201">
        <v>2021</v>
      </c>
      <c r="I8" s="216">
        <v>315956.73</v>
      </c>
      <c r="J8" s="214">
        <v>278098</v>
      </c>
      <c r="K8" s="170">
        <v>2960.93</v>
      </c>
      <c r="L8" s="207">
        <v>0.93</v>
      </c>
      <c r="M8" s="212">
        <v>3854</v>
      </c>
      <c r="N8" s="212">
        <v>9849</v>
      </c>
      <c r="O8" s="171">
        <v>3</v>
      </c>
      <c r="P8" s="271" t="str">
        <f>IFERROR(VLOOKUP(Tabela1[[#This Row],[TAG]],#REF!,14,FALSE),"")</f>
        <v/>
      </c>
      <c r="Q8" s="204" t="e">
        <f t="shared" si="0"/>
        <v>#VALUE!</v>
      </c>
      <c r="R8" s="204" t="e">
        <f t="shared" si="1"/>
        <v>#VALUE!</v>
      </c>
      <c r="S8" s="204" t="e">
        <f t="shared" si="2"/>
        <v>#VALUE!</v>
      </c>
      <c r="T8" s="204" t="e">
        <f t="shared" si="3"/>
        <v>#VALUE!</v>
      </c>
      <c r="U8" s="204" t="e">
        <f t="shared" si="4"/>
        <v>#VALUE!</v>
      </c>
      <c r="V8" s="204" t="e">
        <f t="shared" si="5"/>
        <v>#VALUE!</v>
      </c>
      <c r="W8" s="218">
        <v>627.23</v>
      </c>
      <c r="X8" s="218">
        <v>467.39</v>
      </c>
      <c r="Y8" s="203">
        <v>0.1</v>
      </c>
      <c r="Z8" s="203">
        <f>IF(Tabela1[[#This Row],[Ano Aquisição]]=2023,0,IFERROR(VLOOKUP(H8,inflação!$F:$H,3,FALSE),""))</f>
        <v>0.1585</v>
      </c>
      <c r="AA8" s="203">
        <v>0.8</v>
      </c>
      <c r="AB8" s="202">
        <f t="shared" si="6"/>
        <v>-315956.73</v>
      </c>
      <c r="AC8" s="204" t="e">
        <f t="shared" ref="AC8:AC39" si="38">-(((P8*$W8)+($X8*12))*((1+$Y8)^AC$1))</f>
        <v>#VALUE!</v>
      </c>
      <c r="AD8" s="204" t="e">
        <f t="shared" ref="AD8:AD39" si="39">-((((Q8-P8)*$W8)+($X8*12))*((1+$Y8)^AD$1))</f>
        <v>#VALUE!</v>
      </c>
      <c r="AE8" s="204" t="e">
        <f t="shared" ref="AE8:AE39" si="40">-((((R8-Q8)*$W8)+($X8*12))*((1+$Y8)^AE$1))</f>
        <v>#VALUE!</v>
      </c>
      <c r="AF8" s="204" t="e">
        <f t="shared" ref="AF8:AF39" si="41">-((((S8-R8)*$W8)+($X8*12))*((1+$Y8)^AF$1))</f>
        <v>#VALUE!</v>
      </c>
      <c r="AG8" s="204" t="e">
        <f t="shared" ref="AG8:AG39" si="42">-((((T8-S8)*$W8)+($X8*12))*((1+$Y8)^AG$1))</f>
        <v>#VALUE!</v>
      </c>
      <c r="AH8" s="204" t="e">
        <f t="shared" ref="AH8:AH39" si="43">-((((U8-T8)*$W8)+($X8*12))*((1+$Y8)^AH$1))</f>
        <v>#VALUE!</v>
      </c>
      <c r="AI8" s="204" t="e">
        <f t="shared" ref="AI8:AI39" si="44">-((((V8-U8)*$W8)+($X8*12))*((1+$Y8)^AI$1))</f>
        <v>#VALUE!</v>
      </c>
      <c r="AJ8" s="205">
        <f t="shared" si="9"/>
        <v>-366035.871705</v>
      </c>
      <c r="AK8" s="204" t="e">
        <f t="shared" si="10"/>
        <v>#VALUE!</v>
      </c>
      <c r="AL8" s="204" t="e">
        <f t="shared" si="11"/>
        <v>#VALUE!</v>
      </c>
      <c r="AM8" s="204" t="e">
        <f t="shared" si="12"/>
        <v>#VALUE!</v>
      </c>
      <c r="AN8" s="204" t="e">
        <f t="shared" si="13"/>
        <v>#VALUE!</v>
      </c>
      <c r="AO8" s="204" t="e">
        <f t="shared" si="14"/>
        <v>#VALUE!</v>
      </c>
      <c r="AP8" s="204" t="e">
        <f t="shared" si="15"/>
        <v>#VALUE!</v>
      </c>
      <c r="AQ8" s="204" t="e">
        <f t="shared" si="16"/>
        <v>#VALUE!</v>
      </c>
      <c r="AR8" s="206" t="e">
        <f t="shared" si="17"/>
        <v>#VALUE!</v>
      </c>
      <c r="AS8" s="170" t="e">
        <f t="shared" si="18"/>
        <v>#VALUE!</v>
      </c>
      <c r="AT8" s="170" t="e">
        <f t="shared" si="19"/>
        <v>#VALUE!</v>
      </c>
      <c r="AU8" s="207" t="e">
        <f t="shared" si="20"/>
        <v>#VALUE!</v>
      </c>
      <c r="AV8" s="208" t="e">
        <f t="shared" si="21"/>
        <v>#VALUE!</v>
      </c>
      <c r="AW8" s="201" t="str">
        <f t="shared" si="22"/>
        <v>Confiabilidade em Crescimento</v>
      </c>
      <c r="AX8" s="253" t="e">
        <f>VLOOKUP(D8,#REF!,5,FALSE)</f>
        <v>#REF!</v>
      </c>
      <c r="AY8" s="201"/>
      <c r="AZ8" s="275" t="s">
        <v>1224</v>
      </c>
      <c r="BB8">
        <f>IFERROR(VLOOKUP(Tabela1[[#This Row],[Denominação]],[10]Planilha1!$A:$B,2,FALSE),"")</f>
        <v>2960.93</v>
      </c>
    </row>
    <row r="9" spans="1:58" ht="15" hidden="1" customHeight="1" x14ac:dyDescent="0.3">
      <c r="A9" s="268">
        <v>8</v>
      </c>
      <c r="B9" s="171" t="s">
        <v>595</v>
      </c>
      <c r="C9" s="209" t="s">
        <v>596</v>
      </c>
      <c r="D9" s="171">
        <v>10000309</v>
      </c>
      <c r="E9" s="253" t="s">
        <v>1232</v>
      </c>
      <c r="F9" s="210">
        <v>3316</v>
      </c>
      <c r="G9" s="171">
        <v>800200200</v>
      </c>
      <c r="H9" s="171">
        <v>1986</v>
      </c>
      <c r="I9" s="213">
        <v>230561.52</v>
      </c>
      <c r="J9" s="213">
        <v>0</v>
      </c>
      <c r="K9" s="170">
        <v>252551.51</v>
      </c>
      <c r="L9" s="207">
        <v>1.1499999999999999</v>
      </c>
      <c r="M9" s="212">
        <v>4392</v>
      </c>
      <c r="N9" s="212">
        <v>197421</v>
      </c>
      <c r="O9" s="171">
        <v>309</v>
      </c>
      <c r="P9" s="271" t="str">
        <f>IFERROR(VLOOKUP(Tabela1[[#This Row],[TAG]],#REF!,14,FALSE),"")</f>
        <v/>
      </c>
      <c r="Q9" s="204" t="e">
        <f t="shared" si="0"/>
        <v>#VALUE!</v>
      </c>
      <c r="R9" s="204" t="e">
        <f t="shared" si="1"/>
        <v>#VALUE!</v>
      </c>
      <c r="S9" s="204" t="e">
        <f t="shared" si="2"/>
        <v>#VALUE!</v>
      </c>
      <c r="T9" s="204" t="e">
        <f t="shared" si="3"/>
        <v>#VALUE!</v>
      </c>
      <c r="U9" s="204" t="e">
        <f t="shared" si="4"/>
        <v>#VALUE!</v>
      </c>
      <c r="V9" s="204" t="e">
        <f t="shared" si="5"/>
        <v>#VALUE!</v>
      </c>
      <c r="W9" s="218">
        <v>692.35</v>
      </c>
      <c r="X9" s="218">
        <v>1510.85</v>
      </c>
      <c r="Y9" s="203">
        <v>0.1</v>
      </c>
      <c r="Z9" s="203">
        <f>IF(Tabela1[[#This Row],[Ano Aquisição]]=2023,0,IFERROR(VLOOKUP(H9,inflação!$F:$H,3,FALSE),""))</f>
        <v>2.3433461538461549</v>
      </c>
      <c r="AA9" s="203">
        <v>0.8</v>
      </c>
      <c r="AB9" s="202">
        <f t="shared" si="6"/>
        <v>-230561.52</v>
      </c>
      <c r="AC9" s="204" t="e">
        <f t="shared" si="38"/>
        <v>#VALUE!</v>
      </c>
      <c r="AD9" s="204" t="e">
        <f t="shared" si="39"/>
        <v>#VALUE!</v>
      </c>
      <c r="AE9" s="204" t="e">
        <f t="shared" si="40"/>
        <v>#VALUE!</v>
      </c>
      <c r="AF9" s="204" t="e">
        <f t="shared" si="41"/>
        <v>#VALUE!</v>
      </c>
      <c r="AG9" s="204" t="e">
        <f t="shared" si="42"/>
        <v>#VALUE!</v>
      </c>
      <c r="AH9" s="204" t="e">
        <f t="shared" si="43"/>
        <v>#VALUE!</v>
      </c>
      <c r="AI9" s="204" t="e">
        <f t="shared" si="44"/>
        <v>#VALUE!</v>
      </c>
      <c r="AJ9" s="205">
        <f t="shared" si="9"/>
        <v>-770846.97111692326</v>
      </c>
      <c r="AK9" s="204" t="e">
        <f t="shared" si="10"/>
        <v>#VALUE!</v>
      </c>
      <c r="AL9" s="204" t="e">
        <f t="shared" si="11"/>
        <v>#VALUE!</v>
      </c>
      <c r="AM9" s="204" t="e">
        <f t="shared" si="12"/>
        <v>#VALUE!</v>
      </c>
      <c r="AN9" s="204" t="e">
        <f t="shared" si="13"/>
        <v>#VALUE!</v>
      </c>
      <c r="AO9" s="204" t="e">
        <f t="shared" si="14"/>
        <v>#VALUE!</v>
      </c>
      <c r="AP9" s="204" t="e">
        <f t="shared" si="15"/>
        <v>#VALUE!</v>
      </c>
      <c r="AQ9" s="204" t="e">
        <f t="shared" si="16"/>
        <v>#VALUE!</v>
      </c>
      <c r="AR9" s="206" t="e">
        <f t="shared" si="17"/>
        <v>#VALUE!</v>
      </c>
      <c r="AS9" s="170" t="e">
        <f t="shared" si="18"/>
        <v>#VALUE!</v>
      </c>
      <c r="AT9" s="170" t="e">
        <f t="shared" si="19"/>
        <v>#VALUE!</v>
      </c>
      <c r="AU9" s="207" t="e">
        <f t="shared" si="20"/>
        <v>#VALUE!</v>
      </c>
      <c r="AV9" s="208" t="e">
        <f t="shared" si="21"/>
        <v>#VALUE!</v>
      </c>
      <c r="AW9" s="201" t="str">
        <f t="shared" si="22"/>
        <v>Fase de Degradação</v>
      </c>
      <c r="AX9" s="253" t="e">
        <f>VLOOKUP(D9,#REF!,5,FALSE)</f>
        <v>#REF!</v>
      </c>
      <c r="AY9" s="201"/>
      <c r="AZ9" s="273" t="s">
        <v>1224</v>
      </c>
      <c r="BB9">
        <f>IFERROR(VLOOKUP(Tabela1[[#This Row],[Denominação]],[10]Planilha1!$A:$B,2,FALSE),"")</f>
        <v>252551.51</v>
      </c>
    </row>
    <row r="10" spans="1:58" ht="15" hidden="1" customHeight="1" x14ac:dyDescent="0.3">
      <c r="A10" s="253">
        <v>9</v>
      </c>
      <c r="B10" s="171" t="s">
        <v>643</v>
      </c>
      <c r="C10" s="209" t="s">
        <v>644</v>
      </c>
      <c r="D10" s="171">
        <v>10000313</v>
      </c>
      <c r="E10" s="253" t="s">
        <v>1233</v>
      </c>
      <c r="F10" s="210">
        <v>3337</v>
      </c>
      <c r="G10" s="171">
        <v>800100200</v>
      </c>
      <c r="H10" s="171">
        <v>1977</v>
      </c>
      <c r="I10" s="213">
        <v>151187.09</v>
      </c>
      <c r="J10" s="213">
        <v>0</v>
      </c>
      <c r="K10" s="170">
        <v>276100.32999999984</v>
      </c>
      <c r="L10" s="215">
        <v>1.1100000000000001</v>
      </c>
      <c r="M10" s="212">
        <v>4392</v>
      </c>
      <c r="N10" s="212">
        <v>198333</v>
      </c>
      <c r="O10" s="171">
        <v>353</v>
      </c>
      <c r="P10" s="271" t="str">
        <f>IFERROR(VLOOKUP(Tabela1[[#This Row],[TAG]],#REF!,14,FALSE),"")</f>
        <v/>
      </c>
      <c r="Q10" s="204" t="e">
        <f t="shared" si="0"/>
        <v>#VALUE!</v>
      </c>
      <c r="R10" s="204" t="e">
        <f t="shared" si="1"/>
        <v>#VALUE!</v>
      </c>
      <c r="S10" s="204" t="e">
        <f t="shared" si="2"/>
        <v>#VALUE!</v>
      </c>
      <c r="T10" s="204" t="e">
        <f t="shared" si="3"/>
        <v>#VALUE!</v>
      </c>
      <c r="U10" s="204" t="e">
        <f t="shared" si="4"/>
        <v>#VALUE!</v>
      </c>
      <c r="V10" s="204" t="e">
        <f t="shared" si="5"/>
        <v>#VALUE!</v>
      </c>
      <c r="W10" s="218">
        <v>594.91999999999996</v>
      </c>
      <c r="X10" s="218">
        <v>1515.77</v>
      </c>
      <c r="Y10" s="203">
        <v>0.1</v>
      </c>
      <c r="Z10" s="203">
        <f>IF(Tabela1[[#This Row],[Ano Aquisição]]=2023,0,IFERROR(VLOOKUP(H10,inflação!$F:$H,3,FALSE),""))</f>
        <v>2.9147076923076951</v>
      </c>
      <c r="AA10" s="203">
        <v>0.8</v>
      </c>
      <c r="AB10" s="202">
        <f t="shared" si="6"/>
        <v>-151187.09</v>
      </c>
      <c r="AC10" s="204" t="e">
        <f t="shared" si="38"/>
        <v>#VALUE!</v>
      </c>
      <c r="AD10" s="204" t="e">
        <f t="shared" si="39"/>
        <v>#VALUE!</v>
      </c>
      <c r="AE10" s="204" t="e">
        <f t="shared" si="40"/>
        <v>#VALUE!</v>
      </c>
      <c r="AF10" s="204" t="e">
        <f t="shared" si="41"/>
        <v>#VALUE!</v>
      </c>
      <c r="AG10" s="204" t="e">
        <f t="shared" si="42"/>
        <v>#VALUE!</v>
      </c>
      <c r="AH10" s="204" t="e">
        <f t="shared" si="43"/>
        <v>#VALUE!</v>
      </c>
      <c r="AI10" s="204" t="e">
        <f t="shared" si="44"/>
        <v>#VALUE!</v>
      </c>
      <c r="AJ10" s="205">
        <f t="shared" si="9"/>
        <v>-591853.26420061581</v>
      </c>
      <c r="AK10" s="204" t="e">
        <f t="shared" si="10"/>
        <v>#VALUE!</v>
      </c>
      <c r="AL10" s="204" t="e">
        <f t="shared" si="11"/>
        <v>#VALUE!</v>
      </c>
      <c r="AM10" s="204" t="e">
        <f t="shared" si="12"/>
        <v>#VALUE!</v>
      </c>
      <c r="AN10" s="204" t="e">
        <f t="shared" si="13"/>
        <v>#VALUE!</v>
      </c>
      <c r="AO10" s="204" t="e">
        <f t="shared" si="14"/>
        <v>#VALUE!</v>
      </c>
      <c r="AP10" s="204" t="e">
        <f t="shared" si="15"/>
        <v>#VALUE!</v>
      </c>
      <c r="AQ10" s="204" t="e">
        <f t="shared" si="16"/>
        <v>#VALUE!</v>
      </c>
      <c r="AR10" s="206" t="e">
        <f t="shared" si="17"/>
        <v>#VALUE!</v>
      </c>
      <c r="AS10" s="170" t="e">
        <f t="shared" si="18"/>
        <v>#VALUE!</v>
      </c>
      <c r="AT10" s="170" t="e">
        <f t="shared" si="19"/>
        <v>#VALUE!</v>
      </c>
      <c r="AU10" s="207" t="e">
        <f t="shared" si="20"/>
        <v>#VALUE!</v>
      </c>
      <c r="AV10" s="208" t="e">
        <f t="shared" si="21"/>
        <v>#VALUE!</v>
      </c>
      <c r="AW10" s="201" t="str">
        <f t="shared" si="22"/>
        <v>Fase de Degradação</v>
      </c>
      <c r="AX10" s="253" t="e">
        <f>VLOOKUP(D10,#REF!,5,FALSE)</f>
        <v>#REF!</v>
      </c>
      <c r="AY10" s="201"/>
      <c r="AZ10" s="273" t="s">
        <v>1224</v>
      </c>
      <c r="BB10">
        <f>IFERROR(VLOOKUP(Tabela1[[#This Row],[Denominação]],[10]Planilha1!$A:$B,2,FALSE),"")</f>
        <v>276100.32999999984</v>
      </c>
    </row>
    <row r="11" spans="1:58" ht="15" hidden="1" customHeight="1" x14ac:dyDescent="0.3">
      <c r="A11" s="268">
        <v>10</v>
      </c>
      <c r="B11" s="171" t="s">
        <v>312</v>
      </c>
      <c r="C11" s="209" t="s">
        <v>111</v>
      </c>
      <c r="D11" s="171">
        <v>10000317</v>
      </c>
      <c r="E11" s="253" t="s">
        <v>1234</v>
      </c>
      <c r="F11" s="210">
        <v>3336</v>
      </c>
      <c r="G11" s="171">
        <v>800100100</v>
      </c>
      <c r="H11" s="171">
        <v>1985</v>
      </c>
      <c r="I11" s="213">
        <v>230561.52</v>
      </c>
      <c r="J11" s="213">
        <v>0</v>
      </c>
      <c r="K11" s="170">
        <v>1133969.9099999988</v>
      </c>
      <c r="L11" s="215">
        <v>1.35</v>
      </c>
      <c r="M11" s="212">
        <v>4392</v>
      </c>
      <c r="N11" s="212">
        <v>198895</v>
      </c>
      <c r="O11" s="171">
        <v>1336</v>
      </c>
      <c r="P11" s="271" t="str">
        <f>IFERROR(VLOOKUP(Tabela1[[#This Row],[TAG]],#REF!,14,FALSE),"")</f>
        <v/>
      </c>
      <c r="Q11" s="204" t="e">
        <f t="shared" si="0"/>
        <v>#VALUE!</v>
      </c>
      <c r="R11" s="204" t="e">
        <f t="shared" si="1"/>
        <v>#VALUE!</v>
      </c>
      <c r="S11" s="204" t="e">
        <f t="shared" si="2"/>
        <v>#VALUE!</v>
      </c>
      <c r="T11" s="204" t="e">
        <f t="shared" si="3"/>
        <v>#VALUE!</v>
      </c>
      <c r="U11" s="204" t="e">
        <f t="shared" si="4"/>
        <v>#VALUE!</v>
      </c>
      <c r="V11" s="204" t="e">
        <f t="shared" si="5"/>
        <v>#VALUE!</v>
      </c>
      <c r="W11" s="218">
        <v>555.66999999999996</v>
      </c>
      <c r="X11" s="218">
        <v>5146.4799999999996</v>
      </c>
      <c r="Y11" s="203">
        <v>0.1</v>
      </c>
      <c r="Z11" s="203">
        <f>IF(Tabela1[[#This Row],[Ano Aquisição]]=2023,0,IFERROR(VLOOKUP(H11,inflação!$F:$H,3,FALSE),""))</f>
        <v>2.4068307692307704</v>
      </c>
      <c r="AA11" s="203">
        <v>0.8</v>
      </c>
      <c r="AB11" s="202">
        <f t="shared" si="6"/>
        <v>-230561.52</v>
      </c>
      <c r="AC11" s="204" t="e">
        <f t="shared" si="38"/>
        <v>#VALUE!</v>
      </c>
      <c r="AD11" s="204" t="e">
        <f t="shared" si="39"/>
        <v>#VALUE!</v>
      </c>
      <c r="AE11" s="204" t="e">
        <f t="shared" si="40"/>
        <v>#VALUE!</v>
      </c>
      <c r="AF11" s="204" t="e">
        <f t="shared" si="41"/>
        <v>#VALUE!</v>
      </c>
      <c r="AG11" s="204" t="e">
        <f t="shared" si="42"/>
        <v>#VALUE!</v>
      </c>
      <c r="AH11" s="204" t="e">
        <f t="shared" si="43"/>
        <v>#VALUE!</v>
      </c>
      <c r="AI11" s="204" t="e">
        <f t="shared" si="44"/>
        <v>#VALUE!</v>
      </c>
      <c r="AJ11" s="205">
        <f t="shared" si="9"/>
        <v>-785484.08053661569</v>
      </c>
      <c r="AK11" s="204" t="e">
        <f t="shared" si="10"/>
        <v>#VALUE!</v>
      </c>
      <c r="AL11" s="204" t="e">
        <f t="shared" si="11"/>
        <v>#VALUE!</v>
      </c>
      <c r="AM11" s="204" t="e">
        <f t="shared" si="12"/>
        <v>#VALUE!</v>
      </c>
      <c r="AN11" s="204" t="e">
        <f t="shared" si="13"/>
        <v>#VALUE!</v>
      </c>
      <c r="AO11" s="204" t="e">
        <f t="shared" si="14"/>
        <v>#VALUE!</v>
      </c>
      <c r="AP11" s="204" t="e">
        <f t="shared" si="15"/>
        <v>#VALUE!</v>
      </c>
      <c r="AQ11" s="204" t="e">
        <f t="shared" si="16"/>
        <v>#VALUE!</v>
      </c>
      <c r="AR11" s="206" t="e">
        <f t="shared" si="17"/>
        <v>#VALUE!</v>
      </c>
      <c r="AS11" s="170" t="e">
        <f t="shared" si="18"/>
        <v>#VALUE!</v>
      </c>
      <c r="AT11" s="170" t="e">
        <f t="shared" si="19"/>
        <v>#VALUE!</v>
      </c>
      <c r="AU11" s="207" t="e">
        <f t="shared" si="20"/>
        <v>#VALUE!</v>
      </c>
      <c r="AV11" s="208" t="e">
        <f t="shared" si="21"/>
        <v>#VALUE!</v>
      </c>
      <c r="AW11" s="201" t="str">
        <f t="shared" si="22"/>
        <v>Fase de Degradação</v>
      </c>
      <c r="AX11" s="253" t="e">
        <f>VLOOKUP(D11,#REF!,5,FALSE)</f>
        <v>#REF!</v>
      </c>
      <c r="AY11" s="201"/>
      <c r="AZ11" s="273" t="s">
        <v>1224</v>
      </c>
      <c r="BB11">
        <f>IFERROR(VLOOKUP(Tabela1[[#This Row],[Denominação]],[10]Planilha1!$A:$B,2,FALSE),"")</f>
        <v>1133969.9099999988</v>
      </c>
    </row>
    <row r="12" spans="1:58" ht="15" hidden="1" customHeight="1" x14ac:dyDescent="0.3">
      <c r="A12" s="253">
        <v>11</v>
      </c>
      <c r="B12" s="171" t="s">
        <v>523</v>
      </c>
      <c r="C12" s="209" t="s">
        <v>554</v>
      </c>
      <c r="D12" s="171">
        <v>10000155</v>
      </c>
      <c r="E12" s="253" t="s">
        <v>1235</v>
      </c>
      <c r="F12" s="210">
        <v>4529</v>
      </c>
      <c r="G12" s="171" t="s">
        <v>875</v>
      </c>
      <c r="H12" s="171">
        <v>1997</v>
      </c>
      <c r="I12" s="213">
        <v>93300.55</v>
      </c>
      <c r="J12" s="213">
        <v>0</v>
      </c>
      <c r="K12" s="170">
        <v>225074.07000000018</v>
      </c>
      <c r="L12" s="207">
        <v>0.95</v>
      </c>
      <c r="M12" s="212">
        <v>4464</v>
      </c>
      <c r="N12" s="212">
        <v>195980</v>
      </c>
      <c r="O12" s="171">
        <v>338</v>
      </c>
      <c r="P12" s="271" t="str">
        <f>IFERROR(VLOOKUP(Tabela1[[#This Row],[TAG]],#REF!,14,FALSE),"")</f>
        <v/>
      </c>
      <c r="Q12" s="204" t="e">
        <f t="shared" si="0"/>
        <v>#VALUE!</v>
      </c>
      <c r="R12" s="204" t="e">
        <f t="shared" si="1"/>
        <v>#VALUE!</v>
      </c>
      <c r="S12" s="204" t="e">
        <f t="shared" si="2"/>
        <v>#VALUE!</v>
      </c>
      <c r="T12" s="204" t="e">
        <f t="shared" si="3"/>
        <v>#VALUE!</v>
      </c>
      <c r="U12" s="204" t="e">
        <f t="shared" si="4"/>
        <v>#VALUE!</v>
      </c>
      <c r="V12" s="204" t="e">
        <f t="shared" si="5"/>
        <v>#VALUE!</v>
      </c>
      <c r="W12" s="218">
        <v>259.8</v>
      </c>
      <c r="X12" s="218">
        <v>397.37</v>
      </c>
      <c r="Y12" s="203">
        <v>0.1</v>
      </c>
      <c r="Z12" s="203">
        <f>IF(Tabela1[[#This Row],[Ano Aquisição]]=2023,0,IFERROR(VLOOKUP(H12,inflação!$F:$H,3,FALSE),""))</f>
        <v>1.6129</v>
      </c>
      <c r="AA12" s="203">
        <v>0.8</v>
      </c>
      <c r="AB12" s="202">
        <f t="shared" si="6"/>
        <v>-93300.55</v>
      </c>
      <c r="AC12" s="204" t="e">
        <f t="shared" si="38"/>
        <v>#VALUE!</v>
      </c>
      <c r="AD12" s="204" t="e">
        <f t="shared" si="39"/>
        <v>#VALUE!</v>
      </c>
      <c r="AE12" s="204" t="e">
        <f t="shared" si="40"/>
        <v>#VALUE!</v>
      </c>
      <c r="AF12" s="204" t="e">
        <f t="shared" si="41"/>
        <v>#VALUE!</v>
      </c>
      <c r="AG12" s="204" t="e">
        <f t="shared" si="42"/>
        <v>#VALUE!</v>
      </c>
      <c r="AH12" s="204" t="e">
        <f t="shared" si="43"/>
        <v>#VALUE!</v>
      </c>
      <c r="AI12" s="204" t="e">
        <f t="shared" si="44"/>
        <v>#VALUE!</v>
      </c>
      <c r="AJ12" s="205">
        <f t="shared" si="9"/>
        <v>-243785.00709499998</v>
      </c>
      <c r="AK12" s="204" t="e">
        <f t="shared" si="10"/>
        <v>#VALUE!</v>
      </c>
      <c r="AL12" s="204" t="e">
        <f t="shared" si="11"/>
        <v>#VALUE!</v>
      </c>
      <c r="AM12" s="204" t="e">
        <f t="shared" si="12"/>
        <v>#VALUE!</v>
      </c>
      <c r="AN12" s="204" t="e">
        <f t="shared" si="13"/>
        <v>#VALUE!</v>
      </c>
      <c r="AO12" s="204" t="e">
        <f t="shared" si="14"/>
        <v>#VALUE!</v>
      </c>
      <c r="AP12" s="204" t="e">
        <f t="shared" si="15"/>
        <v>#VALUE!</v>
      </c>
      <c r="AQ12" s="204" t="e">
        <f t="shared" si="16"/>
        <v>#VALUE!</v>
      </c>
      <c r="AR12" s="206" t="e">
        <f t="shared" si="17"/>
        <v>#VALUE!</v>
      </c>
      <c r="AS12" s="170" t="e">
        <f t="shared" si="18"/>
        <v>#VALUE!</v>
      </c>
      <c r="AT12" s="170" t="e">
        <f t="shared" si="19"/>
        <v>#VALUE!</v>
      </c>
      <c r="AU12" s="207" t="e">
        <f t="shared" si="20"/>
        <v>#VALUE!</v>
      </c>
      <c r="AV12" s="208" t="e">
        <f t="shared" si="21"/>
        <v>#VALUE!</v>
      </c>
      <c r="AW12" s="201" t="str">
        <f t="shared" si="22"/>
        <v>Confiabilidade em Crescimento</v>
      </c>
      <c r="AX12" s="253" t="e">
        <f>VLOOKUP(D12,#REF!,5,FALSE)</f>
        <v>#REF!</v>
      </c>
      <c r="AY12" s="201"/>
      <c r="AZ12" s="273" t="s">
        <v>1224</v>
      </c>
      <c r="BB12">
        <f>IFERROR(VLOOKUP(Tabela1[[#This Row],[Denominação]],[10]Planilha1!$A:$B,2,FALSE),"")</f>
        <v>227581.53000000014</v>
      </c>
    </row>
    <row r="13" spans="1:58" ht="15" hidden="1" customHeight="1" x14ac:dyDescent="0.3">
      <c r="A13" s="268">
        <v>12</v>
      </c>
      <c r="B13" s="171" t="s">
        <v>524</v>
      </c>
      <c r="C13" s="209" t="s">
        <v>555</v>
      </c>
      <c r="D13" s="171">
        <v>10000158</v>
      </c>
      <c r="E13" s="253" t="s">
        <v>1236</v>
      </c>
      <c r="F13" s="210">
        <v>4529</v>
      </c>
      <c r="G13" s="171">
        <v>20272</v>
      </c>
      <c r="H13" s="171">
        <v>1997</v>
      </c>
      <c r="I13" s="213">
        <v>200514.41</v>
      </c>
      <c r="J13" s="213">
        <v>91692</v>
      </c>
      <c r="K13" s="170">
        <v>300158.14000000042</v>
      </c>
      <c r="L13" s="207">
        <v>1.35</v>
      </c>
      <c r="M13" s="212">
        <v>4364</v>
      </c>
      <c r="N13" s="212">
        <v>193716</v>
      </c>
      <c r="O13" s="171">
        <v>360</v>
      </c>
      <c r="P13" s="271" t="str">
        <f>IFERROR(VLOOKUP(Tabela1[[#This Row],[TAG]],#REF!,14,FALSE),"")</f>
        <v/>
      </c>
      <c r="Q13" s="204" t="e">
        <f t="shared" si="0"/>
        <v>#VALUE!</v>
      </c>
      <c r="R13" s="204" t="e">
        <f t="shared" si="1"/>
        <v>#VALUE!</v>
      </c>
      <c r="S13" s="204" t="e">
        <f t="shared" si="2"/>
        <v>#VALUE!</v>
      </c>
      <c r="T13" s="204" t="e">
        <f t="shared" si="3"/>
        <v>#VALUE!</v>
      </c>
      <c r="U13" s="204" t="e">
        <f t="shared" si="4"/>
        <v>#VALUE!</v>
      </c>
      <c r="V13" s="204" t="e">
        <f t="shared" si="5"/>
        <v>#VALUE!</v>
      </c>
      <c r="W13" s="218">
        <v>729.83</v>
      </c>
      <c r="X13" s="218">
        <v>729.47</v>
      </c>
      <c r="Y13" s="203">
        <v>0.1</v>
      </c>
      <c r="Z13" s="203">
        <f>IF(Tabela1[[#This Row],[Ano Aquisição]]=2023,0,IFERROR(VLOOKUP(H13,inflação!$F:$H,3,FALSE),""))</f>
        <v>1.6129</v>
      </c>
      <c r="AA13" s="203">
        <v>0.8</v>
      </c>
      <c r="AB13" s="202">
        <f t="shared" si="6"/>
        <v>-200514.41</v>
      </c>
      <c r="AC13" s="204" t="e">
        <f t="shared" si="38"/>
        <v>#VALUE!</v>
      </c>
      <c r="AD13" s="204" t="e">
        <f t="shared" si="39"/>
        <v>#VALUE!</v>
      </c>
      <c r="AE13" s="204" t="e">
        <f t="shared" si="40"/>
        <v>#VALUE!</v>
      </c>
      <c r="AF13" s="204" t="e">
        <f t="shared" si="41"/>
        <v>#VALUE!</v>
      </c>
      <c r="AG13" s="204" t="e">
        <f t="shared" si="42"/>
        <v>#VALUE!</v>
      </c>
      <c r="AH13" s="204" t="e">
        <f t="shared" si="43"/>
        <v>#VALUE!</v>
      </c>
      <c r="AI13" s="204" t="e">
        <f t="shared" si="44"/>
        <v>#VALUE!</v>
      </c>
      <c r="AJ13" s="205">
        <f t="shared" si="9"/>
        <v>-523924.10188899998</v>
      </c>
      <c r="AK13" s="204" t="e">
        <f t="shared" si="10"/>
        <v>#VALUE!</v>
      </c>
      <c r="AL13" s="204" t="e">
        <f t="shared" si="11"/>
        <v>#VALUE!</v>
      </c>
      <c r="AM13" s="204" t="e">
        <f t="shared" si="12"/>
        <v>#VALUE!</v>
      </c>
      <c r="AN13" s="204" t="e">
        <f t="shared" si="13"/>
        <v>#VALUE!</v>
      </c>
      <c r="AO13" s="204" t="e">
        <f t="shared" si="14"/>
        <v>#VALUE!</v>
      </c>
      <c r="AP13" s="204" t="e">
        <f t="shared" si="15"/>
        <v>#VALUE!</v>
      </c>
      <c r="AQ13" s="204" t="e">
        <f t="shared" si="16"/>
        <v>#VALUE!</v>
      </c>
      <c r="AR13" s="206" t="e">
        <f t="shared" si="17"/>
        <v>#VALUE!</v>
      </c>
      <c r="AS13" s="170" t="e">
        <f t="shared" si="18"/>
        <v>#VALUE!</v>
      </c>
      <c r="AT13" s="170" t="e">
        <f t="shared" si="19"/>
        <v>#VALUE!</v>
      </c>
      <c r="AU13" s="207" t="e">
        <f t="shared" si="20"/>
        <v>#VALUE!</v>
      </c>
      <c r="AV13" s="208" t="e">
        <f t="shared" si="21"/>
        <v>#VALUE!</v>
      </c>
      <c r="AW13" s="201" t="str">
        <f t="shared" si="22"/>
        <v>Fase de Degradação</v>
      </c>
      <c r="AX13" s="253" t="e">
        <f>VLOOKUP(D13,#REF!,5,FALSE)</f>
        <v>#REF!</v>
      </c>
      <c r="AY13" s="201"/>
      <c r="AZ13" s="273" t="s">
        <v>1224</v>
      </c>
      <c r="BB13">
        <f>IFERROR(VLOOKUP(Tabela1[[#This Row],[Denominação]],[10]Planilha1!$A:$B,2,FALSE),"")</f>
        <v>300158.14000000042</v>
      </c>
    </row>
    <row r="14" spans="1:58" ht="15" hidden="1" customHeight="1" x14ac:dyDescent="0.3">
      <c r="A14" s="253">
        <v>13</v>
      </c>
      <c r="B14" s="171" t="s">
        <v>525</v>
      </c>
      <c r="C14" s="209" t="s">
        <v>556</v>
      </c>
      <c r="D14" s="171">
        <v>10000161</v>
      </c>
      <c r="E14" s="253" t="s">
        <v>1237</v>
      </c>
      <c r="F14" s="210">
        <v>4529</v>
      </c>
      <c r="G14" s="171">
        <v>20137</v>
      </c>
      <c r="H14" s="171">
        <v>1997</v>
      </c>
      <c r="I14" s="213">
        <v>186725.04</v>
      </c>
      <c r="J14" s="213">
        <v>92275</v>
      </c>
      <c r="K14" s="170">
        <v>242532.76000000027</v>
      </c>
      <c r="L14" s="207">
        <v>1.26</v>
      </c>
      <c r="M14" s="212">
        <v>4344</v>
      </c>
      <c r="N14" s="212">
        <v>197229</v>
      </c>
      <c r="O14" s="171">
        <v>383</v>
      </c>
      <c r="P14" s="271" t="str">
        <f>IFERROR(VLOOKUP(Tabela1[[#This Row],[TAG]],#REF!,14,FALSE),"")</f>
        <v/>
      </c>
      <c r="Q14" s="204" t="e">
        <f t="shared" si="0"/>
        <v>#VALUE!</v>
      </c>
      <c r="R14" s="204" t="e">
        <f t="shared" si="1"/>
        <v>#VALUE!</v>
      </c>
      <c r="S14" s="204" t="e">
        <f t="shared" si="2"/>
        <v>#VALUE!</v>
      </c>
      <c r="T14" s="204" t="e">
        <f t="shared" si="3"/>
        <v>#VALUE!</v>
      </c>
      <c r="U14" s="204" t="e">
        <f t="shared" si="4"/>
        <v>#VALUE!</v>
      </c>
      <c r="V14" s="204" t="e">
        <f t="shared" si="5"/>
        <v>#VALUE!</v>
      </c>
      <c r="W14" s="218">
        <v>212.67</v>
      </c>
      <c r="X14" s="218">
        <v>301.32</v>
      </c>
      <c r="Y14" s="203">
        <v>0.1</v>
      </c>
      <c r="Z14" s="203">
        <f>IF(Tabela1[[#This Row],[Ano Aquisição]]=2023,0,IFERROR(VLOOKUP(H14,inflação!$F:$H,3,FALSE),""))</f>
        <v>1.6129</v>
      </c>
      <c r="AA14" s="203">
        <v>0.8</v>
      </c>
      <c r="AB14" s="202">
        <f t="shared" si="6"/>
        <v>-186725.04</v>
      </c>
      <c r="AC14" s="204" t="e">
        <f t="shared" si="38"/>
        <v>#VALUE!</v>
      </c>
      <c r="AD14" s="204" t="e">
        <f t="shared" si="39"/>
        <v>#VALUE!</v>
      </c>
      <c r="AE14" s="204" t="e">
        <f t="shared" si="40"/>
        <v>#VALUE!</v>
      </c>
      <c r="AF14" s="204" t="e">
        <f t="shared" si="41"/>
        <v>#VALUE!</v>
      </c>
      <c r="AG14" s="204" t="e">
        <f t="shared" si="42"/>
        <v>#VALUE!</v>
      </c>
      <c r="AH14" s="204" t="e">
        <f t="shared" si="43"/>
        <v>#VALUE!</v>
      </c>
      <c r="AI14" s="204" t="e">
        <f t="shared" si="44"/>
        <v>#VALUE!</v>
      </c>
      <c r="AJ14" s="205">
        <f t="shared" si="9"/>
        <v>-487893.85701599997</v>
      </c>
      <c r="AK14" s="204" t="e">
        <f t="shared" si="10"/>
        <v>#VALUE!</v>
      </c>
      <c r="AL14" s="204" t="e">
        <f t="shared" si="11"/>
        <v>#VALUE!</v>
      </c>
      <c r="AM14" s="204" t="e">
        <f t="shared" si="12"/>
        <v>#VALUE!</v>
      </c>
      <c r="AN14" s="204" t="e">
        <f t="shared" si="13"/>
        <v>#VALUE!</v>
      </c>
      <c r="AO14" s="204" t="e">
        <f t="shared" si="14"/>
        <v>#VALUE!</v>
      </c>
      <c r="AP14" s="204" t="e">
        <f t="shared" si="15"/>
        <v>#VALUE!</v>
      </c>
      <c r="AQ14" s="204" t="e">
        <f t="shared" si="16"/>
        <v>#VALUE!</v>
      </c>
      <c r="AR14" s="206" t="e">
        <f t="shared" si="17"/>
        <v>#VALUE!</v>
      </c>
      <c r="AS14" s="170" t="e">
        <f t="shared" si="18"/>
        <v>#VALUE!</v>
      </c>
      <c r="AT14" s="170" t="e">
        <f t="shared" si="19"/>
        <v>#VALUE!</v>
      </c>
      <c r="AU14" s="207" t="e">
        <f t="shared" si="20"/>
        <v>#VALUE!</v>
      </c>
      <c r="AV14" s="208" t="e">
        <f t="shared" si="21"/>
        <v>#VALUE!</v>
      </c>
      <c r="AW14" s="201" t="str">
        <f t="shared" si="22"/>
        <v>Fase de Degradação</v>
      </c>
      <c r="AX14" s="253" t="e">
        <f>VLOOKUP(D14,#REF!,5,FALSE)</f>
        <v>#REF!</v>
      </c>
      <c r="AY14" s="201"/>
      <c r="AZ14" s="273" t="s">
        <v>1224</v>
      </c>
      <c r="BB14">
        <f>IFERROR(VLOOKUP(Tabela1[[#This Row],[Denominação]],[10]Planilha1!$A:$B,2,FALSE),"")</f>
        <v>244315.57000000024</v>
      </c>
    </row>
    <row r="15" spans="1:58" ht="15" hidden="1" customHeight="1" x14ac:dyDescent="0.3">
      <c r="A15" s="268">
        <v>14</v>
      </c>
      <c r="B15" s="171" t="s">
        <v>526</v>
      </c>
      <c r="C15" s="209" t="s">
        <v>557</v>
      </c>
      <c r="D15" s="171">
        <v>10000164</v>
      </c>
      <c r="E15" s="253" t="s">
        <v>1237</v>
      </c>
      <c r="F15" s="210">
        <v>4529</v>
      </c>
      <c r="G15" s="171">
        <v>20289</v>
      </c>
      <c r="H15" s="171">
        <v>1997</v>
      </c>
      <c r="I15" s="213">
        <v>247380.04</v>
      </c>
      <c r="J15" s="213">
        <v>100505</v>
      </c>
      <c r="K15" s="170">
        <v>281713.41000000003</v>
      </c>
      <c r="L15" s="207">
        <v>1.47</v>
      </c>
      <c r="M15" s="212">
        <v>4221</v>
      </c>
      <c r="N15" s="212">
        <v>198185</v>
      </c>
      <c r="O15" s="171">
        <v>532</v>
      </c>
      <c r="P15" s="271" t="str">
        <f>IFERROR(VLOOKUP(Tabela1[[#This Row],[TAG]],#REF!,14,FALSE),"")</f>
        <v/>
      </c>
      <c r="Q15" s="204" t="e">
        <f t="shared" si="0"/>
        <v>#VALUE!</v>
      </c>
      <c r="R15" s="204" t="e">
        <f t="shared" si="1"/>
        <v>#VALUE!</v>
      </c>
      <c r="S15" s="204" t="e">
        <f t="shared" si="2"/>
        <v>#VALUE!</v>
      </c>
      <c r="T15" s="204" t="e">
        <f t="shared" si="3"/>
        <v>#VALUE!</v>
      </c>
      <c r="U15" s="204" t="e">
        <f t="shared" si="4"/>
        <v>#VALUE!</v>
      </c>
      <c r="V15" s="204" t="e">
        <f t="shared" si="5"/>
        <v>#VALUE!</v>
      </c>
      <c r="W15" s="218">
        <v>721.72</v>
      </c>
      <c r="X15" s="218">
        <v>1016.82</v>
      </c>
      <c r="Y15" s="203">
        <v>0.1</v>
      </c>
      <c r="Z15" s="203">
        <f>IF(Tabela1[[#This Row],[Ano Aquisição]]=2023,0,IFERROR(VLOOKUP(H15,inflação!$F:$H,3,FALSE),""))</f>
        <v>1.6129</v>
      </c>
      <c r="AA15" s="203">
        <v>0.8</v>
      </c>
      <c r="AB15" s="202">
        <f t="shared" si="6"/>
        <v>-247380.04</v>
      </c>
      <c r="AC15" s="204" t="e">
        <f t="shared" si="38"/>
        <v>#VALUE!</v>
      </c>
      <c r="AD15" s="204" t="e">
        <f t="shared" si="39"/>
        <v>#VALUE!</v>
      </c>
      <c r="AE15" s="204" t="e">
        <f t="shared" si="40"/>
        <v>#VALUE!</v>
      </c>
      <c r="AF15" s="204" t="e">
        <f t="shared" si="41"/>
        <v>#VALUE!</v>
      </c>
      <c r="AG15" s="204" t="e">
        <f t="shared" si="42"/>
        <v>#VALUE!</v>
      </c>
      <c r="AH15" s="204" t="e">
        <f t="shared" si="43"/>
        <v>#VALUE!</v>
      </c>
      <c r="AI15" s="204" t="e">
        <f t="shared" si="44"/>
        <v>#VALUE!</v>
      </c>
      <c r="AJ15" s="205">
        <f t="shared" si="9"/>
        <v>-646379.30651599995</v>
      </c>
      <c r="AK15" s="204" t="e">
        <f t="shared" si="10"/>
        <v>#VALUE!</v>
      </c>
      <c r="AL15" s="204" t="e">
        <f t="shared" si="11"/>
        <v>#VALUE!</v>
      </c>
      <c r="AM15" s="204" t="e">
        <f t="shared" si="12"/>
        <v>#VALUE!</v>
      </c>
      <c r="AN15" s="204" t="e">
        <f t="shared" si="13"/>
        <v>#VALUE!</v>
      </c>
      <c r="AO15" s="204" t="e">
        <f t="shared" si="14"/>
        <v>#VALUE!</v>
      </c>
      <c r="AP15" s="204" t="e">
        <f t="shared" si="15"/>
        <v>#VALUE!</v>
      </c>
      <c r="AQ15" s="204" t="e">
        <f t="shared" si="16"/>
        <v>#VALUE!</v>
      </c>
      <c r="AR15" s="206" t="e">
        <f t="shared" si="17"/>
        <v>#VALUE!</v>
      </c>
      <c r="AS15" s="170" t="e">
        <f t="shared" si="18"/>
        <v>#VALUE!</v>
      </c>
      <c r="AT15" s="170" t="e">
        <f t="shared" si="19"/>
        <v>#VALUE!</v>
      </c>
      <c r="AU15" s="207" t="e">
        <f t="shared" si="20"/>
        <v>#VALUE!</v>
      </c>
      <c r="AV15" s="208" t="e">
        <f t="shared" si="21"/>
        <v>#VALUE!</v>
      </c>
      <c r="AW15" s="201" t="str">
        <f t="shared" si="22"/>
        <v>Fase de Degradação</v>
      </c>
      <c r="AX15" s="253" t="e">
        <f>VLOOKUP(D15,#REF!,5,FALSE)</f>
        <v>#REF!</v>
      </c>
      <c r="AY15" s="201"/>
      <c r="AZ15" s="273" t="s">
        <v>1224</v>
      </c>
      <c r="BB15">
        <f>IFERROR(VLOOKUP(Tabela1[[#This Row],[Denominação]],[10]Planilha1!$A:$B,2,FALSE),"")</f>
        <v>281713.41000000003</v>
      </c>
    </row>
    <row r="16" spans="1:58" ht="15" hidden="1" customHeight="1" x14ac:dyDescent="0.3">
      <c r="A16" s="253">
        <v>15</v>
      </c>
      <c r="B16" s="171" t="s">
        <v>527</v>
      </c>
      <c r="C16" s="209" t="s">
        <v>558</v>
      </c>
      <c r="D16" s="171">
        <v>10000167</v>
      </c>
      <c r="E16" s="253" t="s">
        <v>1238</v>
      </c>
      <c r="F16" s="210">
        <v>4529</v>
      </c>
      <c r="G16" s="171">
        <v>20287</v>
      </c>
      <c r="H16" s="171">
        <v>1997</v>
      </c>
      <c r="I16" s="213">
        <v>85086.56</v>
      </c>
      <c r="J16" s="213">
        <v>6758</v>
      </c>
      <c r="K16" s="170">
        <v>169978.84999999974</v>
      </c>
      <c r="L16" s="207">
        <v>1.36</v>
      </c>
      <c r="M16" s="212">
        <v>4464</v>
      </c>
      <c r="N16" s="212">
        <v>193826</v>
      </c>
      <c r="O16" s="171">
        <v>321</v>
      </c>
      <c r="P16" s="271" t="str">
        <f>IFERROR(VLOOKUP(Tabela1[[#This Row],[TAG]],#REF!,14,FALSE),"")</f>
        <v/>
      </c>
      <c r="Q16" s="204" t="e">
        <f t="shared" si="0"/>
        <v>#VALUE!</v>
      </c>
      <c r="R16" s="204" t="e">
        <f t="shared" si="1"/>
        <v>#VALUE!</v>
      </c>
      <c r="S16" s="204" t="e">
        <f t="shared" si="2"/>
        <v>#VALUE!</v>
      </c>
      <c r="T16" s="204" t="e">
        <f t="shared" si="3"/>
        <v>#VALUE!</v>
      </c>
      <c r="U16" s="204" t="e">
        <f t="shared" si="4"/>
        <v>#VALUE!</v>
      </c>
      <c r="V16" s="204" t="e">
        <f t="shared" si="5"/>
        <v>#VALUE!</v>
      </c>
      <c r="W16" s="218">
        <v>293.88</v>
      </c>
      <c r="X16" s="218">
        <v>532.11</v>
      </c>
      <c r="Y16" s="203">
        <v>0.1</v>
      </c>
      <c r="Z16" s="203">
        <f>IF(Tabela1[[#This Row],[Ano Aquisição]]=2023,0,IFERROR(VLOOKUP(H16,inflação!$F:$H,3,FALSE),""))</f>
        <v>1.6129</v>
      </c>
      <c r="AA16" s="203">
        <v>0.8</v>
      </c>
      <c r="AB16" s="202">
        <f t="shared" si="6"/>
        <v>-85086.56</v>
      </c>
      <c r="AC16" s="204" t="e">
        <f t="shared" si="38"/>
        <v>#VALUE!</v>
      </c>
      <c r="AD16" s="204" t="e">
        <f t="shared" si="39"/>
        <v>#VALUE!</v>
      </c>
      <c r="AE16" s="204" t="e">
        <f t="shared" si="40"/>
        <v>#VALUE!</v>
      </c>
      <c r="AF16" s="204" t="e">
        <f t="shared" si="41"/>
        <v>#VALUE!</v>
      </c>
      <c r="AG16" s="204" t="e">
        <f t="shared" si="42"/>
        <v>#VALUE!</v>
      </c>
      <c r="AH16" s="204" t="e">
        <f t="shared" si="43"/>
        <v>#VALUE!</v>
      </c>
      <c r="AI16" s="204" t="e">
        <f t="shared" si="44"/>
        <v>#VALUE!</v>
      </c>
      <c r="AJ16" s="205">
        <f t="shared" si="9"/>
        <v>-222322.67262399997</v>
      </c>
      <c r="AK16" s="204" t="e">
        <f t="shared" si="10"/>
        <v>#VALUE!</v>
      </c>
      <c r="AL16" s="204" t="e">
        <f t="shared" si="11"/>
        <v>#VALUE!</v>
      </c>
      <c r="AM16" s="204" t="e">
        <f t="shared" si="12"/>
        <v>#VALUE!</v>
      </c>
      <c r="AN16" s="204" t="e">
        <f t="shared" si="13"/>
        <v>#VALUE!</v>
      </c>
      <c r="AO16" s="204" t="e">
        <f t="shared" si="14"/>
        <v>#VALUE!</v>
      </c>
      <c r="AP16" s="204" t="e">
        <f t="shared" si="15"/>
        <v>#VALUE!</v>
      </c>
      <c r="AQ16" s="204" t="e">
        <f t="shared" si="16"/>
        <v>#VALUE!</v>
      </c>
      <c r="AR16" s="206" t="e">
        <f t="shared" si="17"/>
        <v>#VALUE!</v>
      </c>
      <c r="AS16" s="170" t="e">
        <f t="shared" si="18"/>
        <v>#VALUE!</v>
      </c>
      <c r="AT16" s="170" t="e">
        <f t="shared" si="19"/>
        <v>#VALUE!</v>
      </c>
      <c r="AU16" s="207" t="e">
        <f t="shared" si="20"/>
        <v>#VALUE!</v>
      </c>
      <c r="AV16" s="208" t="e">
        <f t="shared" si="21"/>
        <v>#VALUE!</v>
      </c>
      <c r="AW16" s="201" t="str">
        <f t="shared" si="22"/>
        <v>Fase de Degradação</v>
      </c>
      <c r="AX16" s="253" t="e">
        <f>VLOOKUP(D16,#REF!,5,FALSE)</f>
        <v>#REF!</v>
      </c>
      <c r="AY16" s="201"/>
      <c r="AZ16" s="273" t="s">
        <v>1224</v>
      </c>
      <c r="BB16">
        <f>IFERROR(VLOOKUP(Tabela1[[#This Row],[Denominação]],[10]Planilha1!$A:$B,2,FALSE),"")</f>
        <v>169978.84999999974</v>
      </c>
    </row>
    <row r="17" spans="1:54" ht="15" hidden="1" customHeight="1" x14ac:dyDescent="0.3">
      <c r="A17" s="268">
        <v>16</v>
      </c>
      <c r="B17" s="171" t="s">
        <v>528</v>
      </c>
      <c r="C17" s="209" t="s">
        <v>559</v>
      </c>
      <c r="D17" s="171">
        <v>10001685</v>
      </c>
      <c r="E17" s="253" t="s">
        <v>1239</v>
      </c>
      <c r="F17" s="210">
        <v>4529</v>
      </c>
      <c r="G17" s="171">
        <v>20242</v>
      </c>
      <c r="H17" s="171">
        <v>1996</v>
      </c>
      <c r="I17" s="213">
        <v>226912.44</v>
      </c>
      <c r="J17" s="213">
        <v>90604</v>
      </c>
      <c r="K17" s="170">
        <v>188408.22999999998</v>
      </c>
      <c r="L17" s="207">
        <v>1.39</v>
      </c>
      <c r="M17" s="212">
        <v>4114</v>
      </c>
      <c r="N17" s="212">
        <v>191458</v>
      </c>
      <c r="O17" s="171">
        <v>318</v>
      </c>
      <c r="P17" s="271" t="str">
        <f>IFERROR(VLOOKUP(Tabela1[[#This Row],[TAG]],#REF!,14,FALSE),"")</f>
        <v/>
      </c>
      <c r="Q17" s="204" t="e">
        <f t="shared" si="0"/>
        <v>#VALUE!</v>
      </c>
      <c r="R17" s="204" t="e">
        <f t="shared" si="1"/>
        <v>#VALUE!</v>
      </c>
      <c r="S17" s="204" t="e">
        <f t="shared" si="2"/>
        <v>#VALUE!</v>
      </c>
      <c r="T17" s="204" t="e">
        <f t="shared" si="3"/>
        <v>#VALUE!</v>
      </c>
      <c r="U17" s="204" t="e">
        <f t="shared" si="4"/>
        <v>#VALUE!</v>
      </c>
      <c r="V17" s="204" t="e">
        <f t="shared" si="5"/>
        <v>#VALUE!</v>
      </c>
      <c r="W17" s="218">
        <v>192.59</v>
      </c>
      <c r="X17" s="218">
        <v>281.29000000000002</v>
      </c>
      <c r="Y17" s="203">
        <v>0.1</v>
      </c>
      <c r="Z17" s="203">
        <f>IF(Tabela1[[#This Row],[Ano Aquisição]]=2023,0,IFERROR(VLOOKUP(H17,inflação!$F:$H,3,FALSE),""))</f>
        <v>1.7084999999999999</v>
      </c>
      <c r="AA17" s="203">
        <v>0.8</v>
      </c>
      <c r="AB17" s="202">
        <f t="shared" si="6"/>
        <v>-226912.44</v>
      </c>
      <c r="AC17" s="204" t="e">
        <f t="shared" si="38"/>
        <v>#VALUE!</v>
      </c>
      <c r="AD17" s="204" t="e">
        <f t="shared" si="39"/>
        <v>#VALUE!</v>
      </c>
      <c r="AE17" s="204" t="e">
        <f t="shared" si="40"/>
        <v>#VALUE!</v>
      </c>
      <c r="AF17" s="204" t="e">
        <f t="shared" si="41"/>
        <v>#VALUE!</v>
      </c>
      <c r="AG17" s="204" t="e">
        <f t="shared" si="42"/>
        <v>#VALUE!</v>
      </c>
      <c r="AH17" s="204" t="e">
        <f t="shared" si="43"/>
        <v>#VALUE!</v>
      </c>
      <c r="AI17" s="204" t="e">
        <f t="shared" si="44"/>
        <v>#VALUE!</v>
      </c>
      <c r="AJ17" s="205">
        <f t="shared" si="9"/>
        <v>-614592.34374000004</v>
      </c>
      <c r="AK17" s="204" t="e">
        <f t="shared" si="10"/>
        <v>#VALUE!</v>
      </c>
      <c r="AL17" s="204" t="e">
        <f t="shared" si="11"/>
        <v>#VALUE!</v>
      </c>
      <c r="AM17" s="204" t="e">
        <f t="shared" si="12"/>
        <v>#VALUE!</v>
      </c>
      <c r="AN17" s="204" t="e">
        <f t="shared" si="13"/>
        <v>#VALUE!</v>
      </c>
      <c r="AO17" s="204" t="e">
        <f t="shared" si="14"/>
        <v>#VALUE!</v>
      </c>
      <c r="AP17" s="204" t="e">
        <f t="shared" si="15"/>
        <v>#VALUE!</v>
      </c>
      <c r="AQ17" s="204" t="e">
        <f t="shared" si="16"/>
        <v>#VALUE!</v>
      </c>
      <c r="AR17" s="206" t="e">
        <f t="shared" si="17"/>
        <v>#VALUE!</v>
      </c>
      <c r="AS17" s="170" t="e">
        <f t="shared" si="18"/>
        <v>#VALUE!</v>
      </c>
      <c r="AT17" s="170" t="e">
        <f t="shared" si="19"/>
        <v>#VALUE!</v>
      </c>
      <c r="AU17" s="207" t="e">
        <f t="shared" si="20"/>
        <v>#VALUE!</v>
      </c>
      <c r="AV17" s="208" t="e">
        <f t="shared" si="21"/>
        <v>#VALUE!</v>
      </c>
      <c r="AW17" s="201" t="str">
        <f t="shared" si="22"/>
        <v>Fase de Degradação</v>
      </c>
      <c r="AX17" s="253" t="e">
        <f>VLOOKUP(D17,#REF!,5,FALSE)</f>
        <v>#REF!</v>
      </c>
      <c r="AY17" s="201"/>
      <c r="AZ17" s="273" t="s">
        <v>1224</v>
      </c>
      <c r="BB17">
        <f>IFERROR(VLOOKUP(Tabela1[[#This Row],[Denominação]],[10]Planilha1!$A:$B,2,FALSE),"")</f>
        <v>188408.22999999998</v>
      </c>
    </row>
    <row r="18" spans="1:54" ht="15" hidden="1" customHeight="1" x14ac:dyDescent="0.3">
      <c r="A18" s="253">
        <v>17</v>
      </c>
      <c r="B18" s="171" t="s">
        <v>531</v>
      </c>
      <c r="C18" s="209" t="s">
        <v>560</v>
      </c>
      <c r="D18" s="171">
        <v>10004194</v>
      </c>
      <c r="E18" s="253" t="s">
        <v>1241</v>
      </c>
      <c r="F18" s="210">
        <v>4529</v>
      </c>
      <c r="G18" s="171">
        <v>34087</v>
      </c>
      <c r="H18" s="171">
        <v>2006</v>
      </c>
      <c r="I18" s="213">
        <v>389350.45</v>
      </c>
      <c r="J18" s="213">
        <v>0</v>
      </c>
      <c r="K18" s="170">
        <v>285408.2799999998</v>
      </c>
      <c r="L18" s="207">
        <v>1.64</v>
      </c>
      <c r="M18" s="212">
        <v>4453</v>
      </c>
      <c r="N18" s="212">
        <v>146830</v>
      </c>
      <c r="O18" s="171">
        <v>554</v>
      </c>
      <c r="P18" s="271" t="str">
        <f>IFERROR(VLOOKUP(Tabela1[[#This Row],[TAG]],#REF!,14,FALSE),"")</f>
        <v/>
      </c>
      <c r="Q18" s="204" t="e">
        <f t="shared" si="0"/>
        <v>#VALUE!</v>
      </c>
      <c r="R18" s="204" t="e">
        <f t="shared" si="1"/>
        <v>#VALUE!</v>
      </c>
      <c r="S18" s="204" t="e">
        <f t="shared" si="2"/>
        <v>#VALUE!</v>
      </c>
      <c r="T18" s="204" t="e">
        <f t="shared" si="3"/>
        <v>#VALUE!</v>
      </c>
      <c r="U18" s="204" t="e">
        <f t="shared" si="4"/>
        <v>#VALUE!</v>
      </c>
      <c r="V18" s="204" t="e">
        <f t="shared" si="5"/>
        <v>#VALUE!</v>
      </c>
      <c r="W18" s="218">
        <v>353.53</v>
      </c>
      <c r="X18" s="218">
        <v>1407.9</v>
      </c>
      <c r="Y18" s="203">
        <v>0.1</v>
      </c>
      <c r="Z18" s="203">
        <f>IF(Tabela1[[#This Row],[Ano Aquisição]]=2023,0,IFERROR(VLOOKUP(H18,inflação!$F:$H,3,FALSE),""))</f>
        <v>0.96719999999999995</v>
      </c>
      <c r="AA18" s="203">
        <v>0.8</v>
      </c>
      <c r="AB18" s="202">
        <f t="shared" si="6"/>
        <v>-389350.45</v>
      </c>
      <c r="AC18" s="204" t="e">
        <f t="shared" si="38"/>
        <v>#VALUE!</v>
      </c>
      <c r="AD18" s="204" t="e">
        <f t="shared" si="39"/>
        <v>#VALUE!</v>
      </c>
      <c r="AE18" s="204" t="e">
        <f t="shared" si="40"/>
        <v>#VALUE!</v>
      </c>
      <c r="AF18" s="204" t="e">
        <f t="shared" si="41"/>
        <v>#VALUE!</v>
      </c>
      <c r="AG18" s="204" t="e">
        <f t="shared" si="42"/>
        <v>#VALUE!</v>
      </c>
      <c r="AH18" s="204" t="e">
        <f t="shared" si="43"/>
        <v>#VALUE!</v>
      </c>
      <c r="AI18" s="204" t="e">
        <f t="shared" si="44"/>
        <v>#VALUE!</v>
      </c>
      <c r="AJ18" s="205">
        <f t="shared" si="9"/>
        <v>-765930.20524000004</v>
      </c>
      <c r="AK18" s="204" t="e">
        <f t="shared" si="10"/>
        <v>#VALUE!</v>
      </c>
      <c r="AL18" s="204" t="e">
        <f t="shared" si="11"/>
        <v>#VALUE!</v>
      </c>
      <c r="AM18" s="204" t="e">
        <f t="shared" si="12"/>
        <v>#VALUE!</v>
      </c>
      <c r="AN18" s="204" t="e">
        <f t="shared" si="13"/>
        <v>#VALUE!</v>
      </c>
      <c r="AO18" s="204" t="e">
        <f t="shared" si="14"/>
        <v>#VALUE!</v>
      </c>
      <c r="AP18" s="204" t="e">
        <f t="shared" si="15"/>
        <v>#VALUE!</v>
      </c>
      <c r="AQ18" s="204" t="e">
        <f t="shared" si="16"/>
        <v>#VALUE!</v>
      </c>
      <c r="AR18" s="206" t="e">
        <f t="shared" si="17"/>
        <v>#VALUE!</v>
      </c>
      <c r="AS18" s="170" t="e">
        <f t="shared" si="18"/>
        <v>#VALUE!</v>
      </c>
      <c r="AT18" s="170" t="e">
        <f t="shared" si="19"/>
        <v>#VALUE!</v>
      </c>
      <c r="AU18" s="207" t="e">
        <f t="shared" si="20"/>
        <v>#VALUE!</v>
      </c>
      <c r="AV18" s="208" t="e">
        <f t="shared" si="21"/>
        <v>#VALUE!</v>
      </c>
      <c r="AW18" s="201" t="str">
        <f t="shared" si="22"/>
        <v>Fase de Degradação</v>
      </c>
      <c r="AX18" s="253" t="e">
        <f>VLOOKUP(D18,#REF!,5,FALSE)</f>
        <v>#REF!</v>
      </c>
      <c r="AY18" s="201"/>
      <c r="AZ18" s="273" t="s">
        <v>1224</v>
      </c>
      <c r="BB18">
        <f>IFERROR(VLOOKUP(Tabela1[[#This Row],[Denominação]],[10]Planilha1!$A:$B,2,FALSE),"")</f>
        <v>285408.2799999998</v>
      </c>
    </row>
    <row r="19" spans="1:54" ht="15" hidden="1" customHeight="1" x14ac:dyDescent="0.3">
      <c r="A19" s="268">
        <v>18</v>
      </c>
      <c r="B19" s="171" t="s">
        <v>532</v>
      </c>
      <c r="C19" s="209" t="s">
        <v>561</v>
      </c>
      <c r="D19" s="171">
        <v>10004195</v>
      </c>
      <c r="E19" s="253" t="s">
        <v>1240</v>
      </c>
      <c r="F19" s="210">
        <v>4529</v>
      </c>
      <c r="G19" s="171">
        <v>34519</v>
      </c>
      <c r="H19" s="171">
        <v>2006</v>
      </c>
      <c r="I19" s="213">
        <v>434615.76</v>
      </c>
      <c r="J19" s="213">
        <v>101994</v>
      </c>
      <c r="K19" s="170">
        <v>101310.54999999999</v>
      </c>
      <c r="L19" s="207">
        <v>0.93</v>
      </c>
      <c r="M19" s="212">
        <v>4464</v>
      </c>
      <c r="N19" s="212">
        <v>143533</v>
      </c>
      <c r="O19" s="171">
        <v>263</v>
      </c>
      <c r="P19" s="271" t="str">
        <f>IFERROR(VLOOKUP(Tabela1[[#This Row],[TAG]],#REF!,14,FALSE),"")</f>
        <v/>
      </c>
      <c r="Q19" s="204" t="e">
        <f t="shared" si="0"/>
        <v>#VALUE!</v>
      </c>
      <c r="R19" s="204" t="e">
        <f t="shared" si="1"/>
        <v>#VALUE!</v>
      </c>
      <c r="S19" s="204" t="e">
        <f t="shared" si="2"/>
        <v>#VALUE!</v>
      </c>
      <c r="T19" s="204" t="e">
        <f t="shared" si="3"/>
        <v>#VALUE!</v>
      </c>
      <c r="U19" s="204" t="e">
        <f t="shared" si="4"/>
        <v>#VALUE!</v>
      </c>
      <c r="V19" s="204" t="e">
        <f t="shared" si="5"/>
        <v>#VALUE!</v>
      </c>
      <c r="W19" s="218">
        <v>198.64</v>
      </c>
      <c r="X19" s="218">
        <v>246.27</v>
      </c>
      <c r="Y19" s="203">
        <v>0.1</v>
      </c>
      <c r="Z19" s="203">
        <f>IF(Tabela1[[#This Row],[Ano Aquisição]]=2023,0,IFERROR(VLOOKUP(H19,inflação!$F:$H,3,FALSE),""))</f>
        <v>0.96719999999999995</v>
      </c>
      <c r="AA19" s="203">
        <v>0.8</v>
      </c>
      <c r="AB19" s="202">
        <f t="shared" si="6"/>
        <v>-434615.76</v>
      </c>
      <c r="AC19" s="204" t="e">
        <f t="shared" si="38"/>
        <v>#VALUE!</v>
      </c>
      <c r="AD19" s="204" t="e">
        <f t="shared" si="39"/>
        <v>#VALUE!</v>
      </c>
      <c r="AE19" s="204" t="e">
        <f t="shared" si="40"/>
        <v>#VALUE!</v>
      </c>
      <c r="AF19" s="204" t="e">
        <f t="shared" si="41"/>
        <v>#VALUE!</v>
      </c>
      <c r="AG19" s="204" t="e">
        <f t="shared" si="42"/>
        <v>#VALUE!</v>
      </c>
      <c r="AH19" s="204" t="e">
        <f t="shared" si="43"/>
        <v>#VALUE!</v>
      </c>
      <c r="AI19" s="204" t="e">
        <f t="shared" si="44"/>
        <v>#VALUE!</v>
      </c>
      <c r="AJ19" s="205">
        <f t="shared" si="9"/>
        <v>-854976.12307199999</v>
      </c>
      <c r="AK19" s="204" t="e">
        <f t="shared" si="10"/>
        <v>#VALUE!</v>
      </c>
      <c r="AL19" s="204" t="e">
        <f t="shared" si="11"/>
        <v>#VALUE!</v>
      </c>
      <c r="AM19" s="204" t="e">
        <f t="shared" si="12"/>
        <v>#VALUE!</v>
      </c>
      <c r="AN19" s="204" t="e">
        <f t="shared" si="13"/>
        <v>#VALUE!</v>
      </c>
      <c r="AO19" s="204" t="e">
        <f t="shared" si="14"/>
        <v>#VALUE!</v>
      </c>
      <c r="AP19" s="204" t="e">
        <f t="shared" si="15"/>
        <v>#VALUE!</v>
      </c>
      <c r="AQ19" s="204" t="e">
        <f t="shared" si="16"/>
        <v>#VALUE!</v>
      </c>
      <c r="AR19" s="206" t="e">
        <f t="shared" si="17"/>
        <v>#VALUE!</v>
      </c>
      <c r="AS19" s="170" t="e">
        <f t="shared" si="18"/>
        <v>#VALUE!</v>
      </c>
      <c r="AT19" s="170" t="e">
        <f t="shared" si="19"/>
        <v>#VALUE!</v>
      </c>
      <c r="AU19" s="207" t="e">
        <f t="shared" si="20"/>
        <v>#VALUE!</v>
      </c>
      <c r="AV19" s="208" t="e">
        <f t="shared" si="21"/>
        <v>#VALUE!</v>
      </c>
      <c r="AW19" s="201" t="str">
        <f t="shared" si="22"/>
        <v>Confiabilidade em Crescimento</v>
      </c>
      <c r="AX19" s="253" t="e">
        <f>VLOOKUP(D19,#REF!,5,FALSE)</f>
        <v>#REF!</v>
      </c>
      <c r="AY19" s="201"/>
      <c r="AZ19" s="273" t="s">
        <v>1224</v>
      </c>
      <c r="BB19">
        <f>IFERROR(VLOOKUP(Tabela1[[#This Row],[Denominação]],[10]Planilha1!$A:$B,2,FALSE),"")</f>
        <v>101310.54999999999</v>
      </c>
    </row>
    <row r="20" spans="1:54" ht="15" hidden="1" customHeight="1" x14ac:dyDescent="0.3">
      <c r="A20" s="253">
        <v>19</v>
      </c>
      <c r="B20" s="171" t="s">
        <v>533</v>
      </c>
      <c r="C20" s="209" t="s">
        <v>562</v>
      </c>
      <c r="D20" s="171">
        <v>10004196</v>
      </c>
      <c r="E20" s="253" t="s">
        <v>1241</v>
      </c>
      <c r="F20" s="210">
        <v>4529</v>
      </c>
      <c r="G20" s="171">
        <v>34518</v>
      </c>
      <c r="H20" s="171">
        <v>2006</v>
      </c>
      <c r="I20" s="213">
        <v>226304.29</v>
      </c>
      <c r="J20" s="213">
        <v>0</v>
      </c>
      <c r="K20" s="170">
        <v>162526.91999999981</v>
      </c>
      <c r="L20" s="207">
        <v>1.19</v>
      </c>
      <c r="M20" s="212">
        <v>4453</v>
      </c>
      <c r="N20" s="212">
        <v>144394</v>
      </c>
      <c r="O20" s="171">
        <v>339</v>
      </c>
      <c r="P20" s="271" t="str">
        <f>IFERROR(VLOOKUP(Tabela1[[#This Row],[TAG]],#REF!,14,FALSE),"")</f>
        <v/>
      </c>
      <c r="Q20" s="204" t="e">
        <f t="shared" si="0"/>
        <v>#VALUE!</v>
      </c>
      <c r="R20" s="204" t="e">
        <f t="shared" si="1"/>
        <v>#VALUE!</v>
      </c>
      <c r="S20" s="204" t="e">
        <f t="shared" si="2"/>
        <v>#VALUE!</v>
      </c>
      <c r="T20" s="204" t="e">
        <f t="shared" si="3"/>
        <v>#VALUE!</v>
      </c>
      <c r="U20" s="204" t="e">
        <f t="shared" si="4"/>
        <v>#VALUE!</v>
      </c>
      <c r="V20" s="204" t="e">
        <f t="shared" si="5"/>
        <v>#VALUE!</v>
      </c>
      <c r="W20" s="218">
        <v>333.39</v>
      </c>
      <c r="X20" s="218">
        <v>641.30999999999995</v>
      </c>
      <c r="Y20" s="203">
        <v>0.1</v>
      </c>
      <c r="Z20" s="203">
        <f>IF(Tabela1[[#This Row],[Ano Aquisição]]=2023,0,IFERROR(VLOOKUP(H20,inflação!$F:$H,3,FALSE),""))</f>
        <v>0.96719999999999995</v>
      </c>
      <c r="AA20" s="203">
        <v>0.8</v>
      </c>
      <c r="AB20" s="202">
        <f t="shared" si="6"/>
        <v>-226304.29</v>
      </c>
      <c r="AC20" s="204" t="e">
        <f t="shared" si="38"/>
        <v>#VALUE!</v>
      </c>
      <c r="AD20" s="204" t="e">
        <f t="shared" si="39"/>
        <v>#VALUE!</v>
      </c>
      <c r="AE20" s="204" t="e">
        <f t="shared" si="40"/>
        <v>#VALUE!</v>
      </c>
      <c r="AF20" s="204" t="e">
        <f t="shared" si="41"/>
        <v>#VALUE!</v>
      </c>
      <c r="AG20" s="204" t="e">
        <f t="shared" si="42"/>
        <v>#VALUE!</v>
      </c>
      <c r="AH20" s="204" t="e">
        <f t="shared" si="43"/>
        <v>#VALUE!</v>
      </c>
      <c r="AI20" s="204" t="e">
        <f t="shared" si="44"/>
        <v>#VALUE!</v>
      </c>
      <c r="AJ20" s="205">
        <f t="shared" si="9"/>
        <v>-445185.79928800004</v>
      </c>
      <c r="AK20" s="204" t="e">
        <f t="shared" si="10"/>
        <v>#VALUE!</v>
      </c>
      <c r="AL20" s="204" t="e">
        <f t="shared" si="11"/>
        <v>#VALUE!</v>
      </c>
      <c r="AM20" s="204" t="e">
        <f t="shared" si="12"/>
        <v>#VALUE!</v>
      </c>
      <c r="AN20" s="204" t="e">
        <f t="shared" si="13"/>
        <v>#VALUE!</v>
      </c>
      <c r="AO20" s="204" t="e">
        <f t="shared" si="14"/>
        <v>#VALUE!</v>
      </c>
      <c r="AP20" s="204" t="e">
        <f t="shared" si="15"/>
        <v>#VALUE!</v>
      </c>
      <c r="AQ20" s="204" t="e">
        <f t="shared" si="16"/>
        <v>#VALUE!</v>
      </c>
      <c r="AR20" s="206" t="e">
        <f t="shared" si="17"/>
        <v>#VALUE!</v>
      </c>
      <c r="AS20" s="170" t="e">
        <f t="shared" si="18"/>
        <v>#VALUE!</v>
      </c>
      <c r="AT20" s="170" t="e">
        <f t="shared" si="19"/>
        <v>#VALUE!</v>
      </c>
      <c r="AU20" s="207" t="e">
        <f t="shared" si="20"/>
        <v>#VALUE!</v>
      </c>
      <c r="AV20" s="208" t="e">
        <f t="shared" si="21"/>
        <v>#VALUE!</v>
      </c>
      <c r="AW20" s="201" t="str">
        <f t="shared" si="22"/>
        <v>Fase de Degradação</v>
      </c>
      <c r="AX20" s="253" t="e">
        <f>VLOOKUP(D20,#REF!,5,FALSE)</f>
        <v>#REF!</v>
      </c>
      <c r="AY20" s="201"/>
      <c r="AZ20" s="273" t="s">
        <v>1224</v>
      </c>
      <c r="BB20">
        <f>IFERROR(VLOOKUP(Tabela1[[#This Row],[Denominação]],[10]Planilha1!$A:$B,2,FALSE),"")</f>
        <v>162526.91999999981</v>
      </c>
    </row>
    <row r="21" spans="1:54" ht="15" hidden="1" customHeight="1" x14ac:dyDescent="0.3">
      <c r="A21" s="268">
        <v>20</v>
      </c>
      <c r="B21" s="171" t="s">
        <v>534</v>
      </c>
      <c r="C21" s="209" t="s">
        <v>563</v>
      </c>
      <c r="D21" s="171">
        <v>10004197</v>
      </c>
      <c r="E21" s="253" t="s">
        <v>1242</v>
      </c>
      <c r="F21" s="210">
        <v>4529</v>
      </c>
      <c r="G21" s="171">
        <v>34517</v>
      </c>
      <c r="H21" s="171">
        <v>2006</v>
      </c>
      <c r="I21" s="213">
        <v>223343.06</v>
      </c>
      <c r="J21" s="213">
        <v>0</v>
      </c>
      <c r="K21" s="170">
        <v>215121.61999999976</v>
      </c>
      <c r="L21" s="207">
        <v>1.62</v>
      </c>
      <c r="M21" s="212">
        <v>4073</v>
      </c>
      <c r="N21" s="212">
        <v>142548</v>
      </c>
      <c r="O21" s="171">
        <v>361</v>
      </c>
      <c r="P21" s="271" t="str">
        <f>IFERROR(VLOOKUP(Tabela1[[#This Row],[TAG]],#REF!,14,FALSE),"")</f>
        <v/>
      </c>
      <c r="Q21" s="204" t="e">
        <f t="shared" si="0"/>
        <v>#VALUE!</v>
      </c>
      <c r="R21" s="204" t="e">
        <f t="shared" si="1"/>
        <v>#VALUE!</v>
      </c>
      <c r="S21" s="204" t="e">
        <f t="shared" si="2"/>
        <v>#VALUE!</v>
      </c>
      <c r="T21" s="204" t="e">
        <f t="shared" si="3"/>
        <v>#VALUE!</v>
      </c>
      <c r="U21" s="204" t="e">
        <f t="shared" si="4"/>
        <v>#VALUE!</v>
      </c>
      <c r="V21" s="204" t="e">
        <f t="shared" si="5"/>
        <v>#VALUE!</v>
      </c>
      <c r="W21" s="218">
        <v>329.38</v>
      </c>
      <c r="X21" s="218">
        <v>820.22</v>
      </c>
      <c r="Y21" s="203">
        <v>0.1</v>
      </c>
      <c r="Z21" s="203">
        <f>IF(Tabela1[[#This Row],[Ano Aquisição]]=2023,0,IFERROR(VLOOKUP(H21,inflação!$F:$H,3,FALSE),""))</f>
        <v>0.96719999999999995</v>
      </c>
      <c r="AA21" s="203">
        <v>0.8</v>
      </c>
      <c r="AB21" s="202">
        <f t="shared" si="6"/>
        <v>-223343.06</v>
      </c>
      <c r="AC21" s="204" t="e">
        <f t="shared" si="38"/>
        <v>#VALUE!</v>
      </c>
      <c r="AD21" s="204" t="e">
        <f t="shared" si="39"/>
        <v>#VALUE!</v>
      </c>
      <c r="AE21" s="204" t="e">
        <f t="shared" si="40"/>
        <v>#VALUE!</v>
      </c>
      <c r="AF21" s="204" t="e">
        <f t="shared" si="41"/>
        <v>#VALUE!</v>
      </c>
      <c r="AG21" s="204" t="e">
        <f t="shared" si="42"/>
        <v>#VALUE!</v>
      </c>
      <c r="AH21" s="204" t="e">
        <f t="shared" si="43"/>
        <v>#VALUE!</v>
      </c>
      <c r="AI21" s="204" t="e">
        <f t="shared" si="44"/>
        <v>#VALUE!</v>
      </c>
      <c r="AJ21" s="205">
        <f t="shared" si="9"/>
        <v>-439360.46763199999</v>
      </c>
      <c r="AK21" s="204" t="e">
        <f t="shared" si="10"/>
        <v>#VALUE!</v>
      </c>
      <c r="AL21" s="204" t="e">
        <f t="shared" si="11"/>
        <v>#VALUE!</v>
      </c>
      <c r="AM21" s="204" t="e">
        <f t="shared" si="12"/>
        <v>#VALUE!</v>
      </c>
      <c r="AN21" s="204" t="e">
        <f t="shared" si="13"/>
        <v>#VALUE!</v>
      </c>
      <c r="AO21" s="204" t="e">
        <f t="shared" si="14"/>
        <v>#VALUE!</v>
      </c>
      <c r="AP21" s="204" t="e">
        <f t="shared" si="15"/>
        <v>#VALUE!</v>
      </c>
      <c r="AQ21" s="204" t="e">
        <f t="shared" si="16"/>
        <v>#VALUE!</v>
      </c>
      <c r="AR21" s="206" t="e">
        <f t="shared" si="17"/>
        <v>#VALUE!</v>
      </c>
      <c r="AS21" s="170" t="e">
        <f t="shared" si="18"/>
        <v>#VALUE!</v>
      </c>
      <c r="AT21" s="170" t="e">
        <f t="shared" si="19"/>
        <v>#VALUE!</v>
      </c>
      <c r="AU21" s="207" t="e">
        <f t="shared" si="20"/>
        <v>#VALUE!</v>
      </c>
      <c r="AV21" s="208" t="e">
        <f t="shared" si="21"/>
        <v>#VALUE!</v>
      </c>
      <c r="AW21" s="201" t="str">
        <f t="shared" si="22"/>
        <v>Fase de Degradação</v>
      </c>
      <c r="AX21" s="253" t="e">
        <f>VLOOKUP(D21,#REF!,5,FALSE)</f>
        <v>#REF!</v>
      </c>
      <c r="AY21" s="201"/>
      <c r="AZ21" s="273" t="s">
        <v>1224</v>
      </c>
      <c r="BB21">
        <f>IFERROR(VLOOKUP(Tabela1[[#This Row],[Denominação]],[10]Planilha1!$A:$B,2,FALSE),"")</f>
        <v>215121.61999999976</v>
      </c>
    </row>
    <row r="22" spans="1:54" ht="15" hidden="1" customHeight="1" x14ac:dyDescent="0.3">
      <c r="A22" s="253">
        <v>21</v>
      </c>
      <c r="B22" s="171" t="s">
        <v>278</v>
      </c>
      <c r="C22" s="209" t="s">
        <v>279</v>
      </c>
      <c r="D22" s="171">
        <v>10004198</v>
      </c>
      <c r="E22" s="253" t="s">
        <v>1242</v>
      </c>
      <c r="F22" s="210">
        <v>4529</v>
      </c>
      <c r="G22" s="171">
        <v>34521</v>
      </c>
      <c r="H22" s="171">
        <v>2006</v>
      </c>
      <c r="I22" s="213">
        <v>378425.24</v>
      </c>
      <c r="J22" s="213">
        <v>0</v>
      </c>
      <c r="K22" s="170">
        <v>296544.74999999971</v>
      </c>
      <c r="L22" s="207">
        <v>1.43</v>
      </c>
      <c r="M22" s="212">
        <v>4073</v>
      </c>
      <c r="N22" s="212">
        <v>144668</v>
      </c>
      <c r="O22" s="171">
        <v>367</v>
      </c>
      <c r="P22" s="271" t="str">
        <f>IFERROR(VLOOKUP(Tabela1[[#This Row],[TAG]],#REF!,14,FALSE),"")</f>
        <v/>
      </c>
      <c r="Q22" s="204" t="e">
        <f t="shared" si="0"/>
        <v>#VALUE!</v>
      </c>
      <c r="R22" s="204" t="e">
        <f t="shared" si="1"/>
        <v>#VALUE!</v>
      </c>
      <c r="S22" s="204" t="e">
        <f t="shared" si="2"/>
        <v>#VALUE!</v>
      </c>
      <c r="T22" s="204" t="e">
        <f t="shared" si="3"/>
        <v>#VALUE!</v>
      </c>
      <c r="U22" s="204" t="e">
        <f t="shared" si="4"/>
        <v>#VALUE!</v>
      </c>
      <c r="V22" s="204" t="e">
        <f t="shared" si="5"/>
        <v>#VALUE!</v>
      </c>
      <c r="W22" s="218">
        <v>340.53</v>
      </c>
      <c r="X22" s="218">
        <v>891.41</v>
      </c>
      <c r="Y22" s="203">
        <v>0.1</v>
      </c>
      <c r="Z22" s="203">
        <f>IF(Tabela1[[#This Row],[Ano Aquisição]]=2023,0,IFERROR(VLOOKUP(H22,inflação!$F:$H,3,FALSE),""))</f>
        <v>0.96719999999999995</v>
      </c>
      <c r="AA22" s="203">
        <v>0.8</v>
      </c>
      <c r="AB22" s="202">
        <f t="shared" si="6"/>
        <v>-378425.24</v>
      </c>
      <c r="AC22" s="204" t="e">
        <f t="shared" si="38"/>
        <v>#VALUE!</v>
      </c>
      <c r="AD22" s="204" t="e">
        <f t="shared" si="39"/>
        <v>#VALUE!</v>
      </c>
      <c r="AE22" s="204" t="e">
        <f t="shared" si="40"/>
        <v>#VALUE!</v>
      </c>
      <c r="AF22" s="204" t="e">
        <f t="shared" si="41"/>
        <v>#VALUE!</v>
      </c>
      <c r="AG22" s="204" t="e">
        <f t="shared" si="42"/>
        <v>#VALUE!</v>
      </c>
      <c r="AH22" s="204" t="e">
        <f t="shared" si="43"/>
        <v>#VALUE!</v>
      </c>
      <c r="AI22" s="204" t="e">
        <f t="shared" si="44"/>
        <v>#VALUE!</v>
      </c>
      <c r="AJ22" s="205">
        <f t="shared" si="9"/>
        <v>-744438.13212800003</v>
      </c>
      <c r="AK22" s="204" t="e">
        <f t="shared" si="10"/>
        <v>#VALUE!</v>
      </c>
      <c r="AL22" s="204" t="e">
        <f t="shared" si="11"/>
        <v>#VALUE!</v>
      </c>
      <c r="AM22" s="204" t="e">
        <f t="shared" si="12"/>
        <v>#VALUE!</v>
      </c>
      <c r="AN22" s="204" t="e">
        <f t="shared" si="13"/>
        <v>#VALUE!</v>
      </c>
      <c r="AO22" s="204" t="e">
        <f t="shared" si="14"/>
        <v>#VALUE!</v>
      </c>
      <c r="AP22" s="204" t="e">
        <f t="shared" si="15"/>
        <v>#VALUE!</v>
      </c>
      <c r="AQ22" s="204" t="e">
        <f t="shared" si="16"/>
        <v>#VALUE!</v>
      </c>
      <c r="AR22" s="206" t="e">
        <f t="shared" si="17"/>
        <v>#VALUE!</v>
      </c>
      <c r="AS22" s="170" t="e">
        <f t="shared" si="18"/>
        <v>#VALUE!</v>
      </c>
      <c r="AT22" s="170" t="e">
        <f t="shared" si="19"/>
        <v>#VALUE!</v>
      </c>
      <c r="AU22" s="207" t="e">
        <f t="shared" si="20"/>
        <v>#VALUE!</v>
      </c>
      <c r="AV22" s="208" t="e">
        <f t="shared" si="21"/>
        <v>#VALUE!</v>
      </c>
      <c r="AW22" s="201" t="str">
        <f t="shared" si="22"/>
        <v>Fase de Degradação</v>
      </c>
      <c r="AX22" s="253" t="e">
        <f>VLOOKUP(D22,#REF!,5,FALSE)</f>
        <v>#REF!</v>
      </c>
      <c r="AY22" s="201"/>
      <c r="AZ22" s="273" t="s">
        <v>1224</v>
      </c>
      <c r="BB22">
        <f>IFERROR(VLOOKUP(Tabela1[[#This Row],[Denominação]],[10]Planilha1!$A:$B,2,FALSE),"")</f>
        <v>296544.74999999971</v>
      </c>
    </row>
    <row r="23" spans="1:54" ht="15" hidden="1" customHeight="1" x14ac:dyDescent="0.3">
      <c r="A23" s="268">
        <v>22</v>
      </c>
      <c r="B23" s="171" t="s">
        <v>535</v>
      </c>
      <c r="C23" s="209" t="s">
        <v>564</v>
      </c>
      <c r="D23" s="171">
        <v>10004199</v>
      </c>
      <c r="E23" s="253" t="s">
        <v>1243</v>
      </c>
      <c r="F23" s="210">
        <v>4529</v>
      </c>
      <c r="G23" s="171">
        <v>34516</v>
      </c>
      <c r="H23" s="171">
        <v>2006</v>
      </c>
      <c r="I23" s="213">
        <v>220629.35</v>
      </c>
      <c r="J23" s="213">
        <v>0</v>
      </c>
      <c r="K23" s="170">
        <v>228075.12999999963</v>
      </c>
      <c r="L23" s="207">
        <v>1.23</v>
      </c>
      <c r="M23" s="212">
        <v>4597</v>
      </c>
      <c r="N23" s="212">
        <v>142016</v>
      </c>
      <c r="O23" s="171">
        <v>311</v>
      </c>
      <c r="P23" s="271" t="str">
        <f>IFERROR(VLOOKUP(Tabela1[[#This Row],[TAG]],#REF!,14,FALSE),"")</f>
        <v/>
      </c>
      <c r="Q23" s="204" t="e">
        <f t="shared" si="0"/>
        <v>#VALUE!</v>
      </c>
      <c r="R23" s="204" t="e">
        <f t="shared" si="1"/>
        <v>#VALUE!</v>
      </c>
      <c r="S23" s="204" t="e">
        <f t="shared" si="2"/>
        <v>#VALUE!</v>
      </c>
      <c r="T23" s="204" t="e">
        <f t="shared" si="3"/>
        <v>#VALUE!</v>
      </c>
      <c r="U23" s="204" t="e">
        <f t="shared" si="4"/>
        <v>#VALUE!</v>
      </c>
      <c r="V23" s="204" t="e">
        <f t="shared" si="5"/>
        <v>#VALUE!</v>
      </c>
      <c r="W23" s="218">
        <v>356.88</v>
      </c>
      <c r="X23" s="218">
        <v>1048.25</v>
      </c>
      <c r="Y23" s="203">
        <v>0.1</v>
      </c>
      <c r="Z23" s="203">
        <f>IF(Tabela1[[#This Row],[Ano Aquisição]]=2023,0,IFERROR(VLOOKUP(H23,inflação!$F:$H,3,FALSE),""))</f>
        <v>0.96719999999999995</v>
      </c>
      <c r="AA23" s="203">
        <v>0.8</v>
      </c>
      <c r="AB23" s="202">
        <f t="shared" si="6"/>
        <v>-220629.35</v>
      </c>
      <c r="AC23" s="204" t="e">
        <f t="shared" si="38"/>
        <v>#VALUE!</v>
      </c>
      <c r="AD23" s="204" t="e">
        <f t="shared" si="39"/>
        <v>#VALUE!</v>
      </c>
      <c r="AE23" s="204" t="e">
        <f t="shared" si="40"/>
        <v>#VALUE!</v>
      </c>
      <c r="AF23" s="204" t="e">
        <f t="shared" si="41"/>
        <v>#VALUE!</v>
      </c>
      <c r="AG23" s="204" t="e">
        <f t="shared" si="42"/>
        <v>#VALUE!</v>
      </c>
      <c r="AH23" s="204" t="e">
        <f t="shared" si="43"/>
        <v>#VALUE!</v>
      </c>
      <c r="AI23" s="204" t="e">
        <f t="shared" si="44"/>
        <v>#VALUE!</v>
      </c>
      <c r="AJ23" s="205">
        <f t="shared" si="9"/>
        <v>-434022.05732000002</v>
      </c>
      <c r="AK23" s="204" t="e">
        <f t="shared" si="10"/>
        <v>#VALUE!</v>
      </c>
      <c r="AL23" s="204" t="e">
        <f t="shared" si="11"/>
        <v>#VALUE!</v>
      </c>
      <c r="AM23" s="204" t="e">
        <f t="shared" si="12"/>
        <v>#VALUE!</v>
      </c>
      <c r="AN23" s="204" t="e">
        <f t="shared" si="13"/>
        <v>#VALUE!</v>
      </c>
      <c r="AO23" s="204" t="e">
        <f t="shared" si="14"/>
        <v>#VALUE!</v>
      </c>
      <c r="AP23" s="204" t="e">
        <f t="shared" si="15"/>
        <v>#VALUE!</v>
      </c>
      <c r="AQ23" s="204" t="e">
        <f t="shared" si="16"/>
        <v>#VALUE!</v>
      </c>
      <c r="AR23" s="206" t="e">
        <f t="shared" si="17"/>
        <v>#VALUE!</v>
      </c>
      <c r="AS23" s="170" t="e">
        <f t="shared" si="18"/>
        <v>#VALUE!</v>
      </c>
      <c r="AT23" s="170" t="e">
        <f t="shared" si="19"/>
        <v>#VALUE!</v>
      </c>
      <c r="AU23" s="207" t="e">
        <f t="shared" si="20"/>
        <v>#VALUE!</v>
      </c>
      <c r="AV23" s="208" t="e">
        <f t="shared" si="21"/>
        <v>#VALUE!</v>
      </c>
      <c r="AW23" s="201" t="str">
        <f t="shared" si="22"/>
        <v>Fase de Degradação</v>
      </c>
      <c r="AX23" s="253" t="e">
        <f>VLOOKUP(D23,#REF!,5,FALSE)</f>
        <v>#REF!</v>
      </c>
      <c r="AY23" s="201"/>
      <c r="AZ23" s="273" t="s">
        <v>1224</v>
      </c>
      <c r="BB23">
        <f>IFERROR(VLOOKUP(Tabela1[[#This Row],[Denominação]],[10]Planilha1!$A:$B,2,FALSE),"")</f>
        <v>228075.12999999963</v>
      </c>
    </row>
    <row r="24" spans="1:54" ht="15" hidden="1" customHeight="1" x14ac:dyDescent="0.3">
      <c r="A24" s="253">
        <v>23</v>
      </c>
      <c r="B24" s="171" t="s">
        <v>536</v>
      </c>
      <c r="C24" s="209" t="s">
        <v>565</v>
      </c>
      <c r="D24" s="171">
        <v>10004200</v>
      </c>
      <c r="E24" s="253" t="s">
        <v>1243</v>
      </c>
      <c r="F24" s="210">
        <v>4529</v>
      </c>
      <c r="G24" s="171">
        <v>34520</v>
      </c>
      <c r="H24" s="171">
        <v>2006</v>
      </c>
      <c r="I24" s="213">
        <v>386263.37</v>
      </c>
      <c r="J24" s="213">
        <v>0</v>
      </c>
      <c r="K24" s="170">
        <v>286543.5399999998</v>
      </c>
      <c r="L24" s="207">
        <v>1.71</v>
      </c>
      <c r="M24" s="212">
        <v>4597</v>
      </c>
      <c r="N24" s="212">
        <v>143739</v>
      </c>
      <c r="O24" s="171">
        <v>429</v>
      </c>
      <c r="P24" s="271" t="str">
        <f>IFERROR(VLOOKUP(Tabela1[[#This Row],[TAG]],#REF!,14,FALSE),"")</f>
        <v/>
      </c>
      <c r="Q24" s="204" t="e">
        <f t="shared" si="0"/>
        <v>#VALUE!</v>
      </c>
      <c r="R24" s="204" t="e">
        <f t="shared" si="1"/>
        <v>#VALUE!</v>
      </c>
      <c r="S24" s="204" t="e">
        <f t="shared" si="2"/>
        <v>#VALUE!</v>
      </c>
      <c r="T24" s="204" t="e">
        <f t="shared" si="3"/>
        <v>#VALUE!</v>
      </c>
      <c r="U24" s="204" t="e">
        <f t="shared" si="4"/>
        <v>#VALUE!</v>
      </c>
      <c r="V24" s="204" t="e">
        <f t="shared" si="5"/>
        <v>#VALUE!</v>
      </c>
      <c r="W24" s="218">
        <v>339.05</v>
      </c>
      <c r="X24" s="218">
        <v>1686.76</v>
      </c>
      <c r="Y24" s="203">
        <v>0.1</v>
      </c>
      <c r="Z24" s="203">
        <f>IF(Tabela1[[#This Row],[Ano Aquisição]]=2023,0,IFERROR(VLOOKUP(H24,inflação!$F:$H,3,FALSE),""))</f>
        <v>0.96719999999999995</v>
      </c>
      <c r="AA24" s="203">
        <v>0.8</v>
      </c>
      <c r="AB24" s="202">
        <f t="shared" si="6"/>
        <v>-386263.37</v>
      </c>
      <c r="AC24" s="204" t="e">
        <f t="shared" si="38"/>
        <v>#VALUE!</v>
      </c>
      <c r="AD24" s="204" t="e">
        <f t="shared" si="39"/>
        <v>#VALUE!</v>
      </c>
      <c r="AE24" s="204" t="e">
        <f t="shared" si="40"/>
        <v>#VALUE!</v>
      </c>
      <c r="AF24" s="204" t="e">
        <f t="shared" si="41"/>
        <v>#VALUE!</v>
      </c>
      <c r="AG24" s="204" t="e">
        <f t="shared" si="42"/>
        <v>#VALUE!</v>
      </c>
      <c r="AH24" s="204" t="e">
        <f t="shared" si="43"/>
        <v>#VALUE!</v>
      </c>
      <c r="AI24" s="204" t="e">
        <f t="shared" si="44"/>
        <v>#VALUE!</v>
      </c>
      <c r="AJ24" s="205">
        <f t="shared" si="9"/>
        <v>-759857.30146400002</v>
      </c>
      <c r="AK24" s="204" t="e">
        <f t="shared" si="10"/>
        <v>#VALUE!</v>
      </c>
      <c r="AL24" s="204" t="e">
        <f t="shared" si="11"/>
        <v>#VALUE!</v>
      </c>
      <c r="AM24" s="204" t="e">
        <f t="shared" si="12"/>
        <v>#VALUE!</v>
      </c>
      <c r="AN24" s="204" t="e">
        <f t="shared" si="13"/>
        <v>#VALUE!</v>
      </c>
      <c r="AO24" s="204" t="e">
        <f t="shared" si="14"/>
        <v>#VALUE!</v>
      </c>
      <c r="AP24" s="204" t="e">
        <f t="shared" si="15"/>
        <v>#VALUE!</v>
      </c>
      <c r="AQ24" s="204" t="e">
        <f t="shared" si="16"/>
        <v>#VALUE!</v>
      </c>
      <c r="AR24" s="206" t="e">
        <f t="shared" si="17"/>
        <v>#VALUE!</v>
      </c>
      <c r="AS24" s="170" t="e">
        <f t="shared" si="18"/>
        <v>#VALUE!</v>
      </c>
      <c r="AT24" s="170" t="e">
        <f t="shared" si="19"/>
        <v>#VALUE!</v>
      </c>
      <c r="AU24" s="207" t="e">
        <f t="shared" si="20"/>
        <v>#VALUE!</v>
      </c>
      <c r="AV24" s="208" t="e">
        <f t="shared" si="21"/>
        <v>#VALUE!</v>
      </c>
      <c r="AW24" s="201" t="str">
        <f t="shared" si="22"/>
        <v>Fase de Degradação</v>
      </c>
      <c r="AX24" s="253" t="e">
        <f>VLOOKUP(D24,#REF!,5,FALSE)</f>
        <v>#REF!</v>
      </c>
      <c r="AY24" s="201"/>
      <c r="AZ24" s="273" t="s">
        <v>1224</v>
      </c>
      <c r="BB24">
        <f>IFERROR(VLOOKUP(Tabela1[[#This Row],[Denominação]],[10]Planilha1!$A:$B,2,FALSE),"")</f>
        <v>286543.5399999998</v>
      </c>
    </row>
    <row r="25" spans="1:54" ht="15" hidden="1" customHeight="1" x14ac:dyDescent="0.3">
      <c r="A25" s="268">
        <v>24</v>
      </c>
      <c r="B25" s="171" t="s">
        <v>537</v>
      </c>
      <c r="C25" s="209" t="s">
        <v>566</v>
      </c>
      <c r="D25" s="171">
        <v>10004615</v>
      </c>
      <c r="E25" s="253" t="s">
        <v>1244</v>
      </c>
      <c r="F25" s="210">
        <v>4529</v>
      </c>
      <c r="G25" s="171">
        <v>34611</v>
      </c>
      <c r="H25" s="171">
        <v>2007</v>
      </c>
      <c r="I25" s="213">
        <v>170388.94</v>
      </c>
      <c r="J25" s="213">
        <v>0</v>
      </c>
      <c r="K25" s="170">
        <v>137880.82999999993</v>
      </c>
      <c r="L25" s="207">
        <v>1.4</v>
      </c>
      <c r="M25" s="212">
        <v>4408</v>
      </c>
      <c r="N25" s="212">
        <v>142886</v>
      </c>
      <c r="O25" s="171">
        <v>354</v>
      </c>
      <c r="P25" s="271" t="str">
        <f>IFERROR(VLOOKUP(Tabela1[[#This Row],[TAG]],#REF!,14,FALSE),"")</f>
        <v/>
      </c>
      <c r="Q25" s="204" t="e">
        <f t="shared" si="0"/>
        <v>#VALUE!</v>
      </c>
      <c r="R25" s="204" t="e">
        <f t="shared" si="1"/>
        <v>#VALUE!</v>
      </c>
      <c r="S25" s="204" t="e">
        <f t="shared" si="2"/>
        <v>#VALUE!</v>
      </c>
      <c r="T25" s="204" t="e">
        <f t="shared" si="3"/>
        <v>#VALUE!</v>
      </c>
      <c r="U25" s="204" t="e">
        <f t="shared" si="4"/>
        <v>#VALUE!</v>
      </c>
      <c r="V25" s="204" t="e">
        <f t="shared" si="5"/>
        <v>#VALUE!</v>
      </c>
      <c r="W25" s="218">
        <v>303.19</v>
      </c>
      <c r="X25" s="218">
        <v>797.32</v>
      </c>
      <c r="Y25" s="203">
        <v>0.1</v>
      </c>
      <c r="Z25" s="203">
        <f>IF(Tabela1[[#This Row],[Ano Aquisição]]=2023,0,IFERROR(VLOOKUP(H25,inflação!$F:$H,3,FALSE),""))</f>
        <v>0.93579999999999997</v>
      </c>
      <c r="AA25" s="203">
        <v>0.8</v>
      </c>
      <c r="AB25" s="202">
        <f t="shared" si="6"/>
        <v>-170388.94</v>
      </c>
      <c r="AC25" s="204" t="e">
        <f t="shared" si="38"/>
        <v>#VALUE!</v>
      </c>
      <c r="AD25" s="204" t="e">
        <f t="shared" si="39"/>
        <v>#VALUE!</v>
      </c>
      <c r="AE25" s="204" t="e">
        <f t="shared" si="40"/>
        <v>#VALUE!</v>
      </c>
      <c r="AF25" s="204" t="e">
        <f t="shared" si="41"/>
        <v>#VALUE!</v>
      </c>
      <c r="AG25" s="204" t="e">
        <f t="shared" si="42"/>
        <v>#VALUE!</v>
      </c>
      <c r="AH25" s="204" t="e">
        <f t="shared" si="43"/>
        <v>#VALUE!</v>
      </c>
      <c r="AI25" s="204" t="e">
        <f t="shared" si="44"/>
        <v>#VALUE!</v>
      </c>
      <c r="AJ25" s="205">
        <f t="shared" si="9"/>
        <v>-329838.91005200002</v>
      </c>
      <c r="AK25" s="204" t="e">
        <f t="shared" si="10"/>
        <v>#VALUE!</v>
      </c>
      <c r="AL25" s="204" t="e">
        <f t="shared" si="11"/>
        <v>#VALUE!</v>
      </c>
      <c r="AM25" s="204" t="e">
        <f t="shared" si="12"/>
        <v>#VALUE!</v>
      </c>
      <c r="AN25" s="204" t="e">
        <f t="shared" si="13"/>
        <v>#VALUE!</v>
      </c>
      <c r="AO25" s="204" t="e">
        <f t="shared" si="14"/>
        <v>#VALUE!</v>
      </c>
      <c r="AP25" s="204" t="e">
        <f t="shared" si="15"/>
        <v>#VALUE!</v>
      </c>
      <c r="AQ25" s="204" t="e">
        <f t="shared" si="16"/>
        <v>#VALUE!</v>
      </c>
      <c r="AR25" s="206" t="e">
        <f t="shared" si="17"/>
        <v>#VALUE!</v>
      </c>
      <c r="AS25" s="170" t="e">
        <f t="shared" si="18"/>
        <v>#VALUE!</v>
      </c>
      <c r="AT25" s="170" t="e">
        <f t="shared" si="19"/>
        <v>#VALUE!</v>
      </c>
      <c r="AU25" s="207" t="e">
        <f t="shared" si="20"/>
        <v>#VALUE!</v>
      </c>
      <c r="AV25" s="208" t="e">
        <f t="shared" si="21"/>
        <v>#VALUE!</v>
      </c>
      <c r="AW25" s="201" t="str">
        <f t="shared" si="22"/>
        <v>Fase de Degradação</v>
      </c>
      <c r="AX25" s="253" t="e">
        <f>VLOOKUP(D25,#REF!,5,FALSE)</f>
        <v>#REF!</v>
      </c>
      <c r="AY25" s="201"/>
      <c r="AZ25" s="273" t="s">
        <v>1224</v>
      </c>
      <c r="BB25">
        <f>IFERROR(VLOOKUP(Tabela1[[#This Row],[Denominação]],[10]Planilha1!$A:$B,2,FALSE),"")</f>
        <v>137880.82999999993</v>
      </c>
    </row>
    <row r="26" spans="1:54" ht="15" hidden="1" customHeight="1" x14ac:dyDescent="0.3">
      <c r="A26" s="253">
        <v>25</v>
      </c>
      <c r="B26" s="171" t="s">
        <v>538</v>
      </c>
      <c r="C26" s="209" t="s">
        <v>567</v>
      </c>
      <c r="D26" s="171">
        <v>10004616</v>
      </c>
      <c r="E26" s="253" t="s">
        <v>1244</v>
      </c>
      <c r="F26" s="210">
        <v>4529</v>
      </c>
      <c r="G26" s="171">
        <v>34609</v>
      </c>
      <c r="H26" s="171">
        <v>2007</v>
      </c>
      <c r="I26" s="213">
        <v>317048.13</v>
      </c>
      <c r="J26" s="213">
        <v>0</v>
      </c>
      <c r="K26" s="170">
        <v>338352.5699999996</v>
      </c>
      <c r="L26" s="207">
        <v>1.97</v>
      </c>
      <c r="M26" s="212">
        <v>4408</v>
      </c>
      <c r="N26" s="212">
        <v>142759</v>
      </c>
      <c r="O26" s="171">
        <v>416</v>
      </c>
      <c r="P26" s="271" t="str">
        <f>IFERROR(VLOOKUP(Tabela1[[#This Row],[TAG]],#REF!,14,FALSE),"")</f>
        <v/>
      </c>
      <c r="Q26" s="204" t="e">
        <f t="shared" si="0"/>
        <v>#VALUE!</v>
      </c>
      <c r="R26" s="204" t="e">
        <f t="shared" si="1"/>
        <v>#VALUE!</v>
      </c>
      <c r="S26" s="204" t="e">
        <f t="shared" si="2"/>
        <v>#VALUE!</v>
      </c>
      <c r="T26" s="204" t="e">
        <f t="shared" si="3"/>
        <v>#VALUE!</v>
      </c>
      <c r="U26" s="204" t="e">
        <f t="shared" si="4"/>
        <v>#VALUE!</v>
      </c>
      <c r="V26" s="204" t="e">
        <f t="shared" si="5"/>
        <v>#VALUE!</v>
      </c>
      <c r="W26" s="218">
        <v>454.32</v>
      </c>
      <c r="X26" s="218">
        <v>1986.51</v>
      </c>
      <c r="Y26" s="203">
        <v>0.1</v>
      </c>
      <c r="Z26" s="203">
        <f>IF(Tabela1[[#This Row],[Ano Aquisição]]=2023,0,IFERROR(VLOOKUP(H26,inflação!$F:$H,3,FALSE),""))</f>
        <v>0.93579999999999997</v>
      </c>
      <c r="AA26" s="203">
        <v>0.8</v>
      </c>
      <c r="AB26" s="202">
        <f t="shared" si="6"/>
        <v>-317048.13</v>
      </c>
      <c r="AC26" s="204" t="e">
        <f t="shared" si="38"/>
        <v>#VALUE!</v>
      </c>
      <c r="AD26" s="204" t="e">
        <f t="shared" si="39"/>
        <v>#VALUE!</v>
      </c>
      <c r="AE26" s="204" t="e">
        <f t="shared" si="40"/>
        <v>#VALUE!</v>
      </c>
      <c r="AF26" s="204" t="e">
        <f t="shared" si="41"/>
        <v>#VALUE!</v>
      </c>
      <c r="AG26" s="204" t="e">
        <f t="shared" si="42"/>
        <v>#VALUE!</v>
      </c>
      <c r="AH26" s="204" t="e">
        <f t="shared" si="43"/>
        <v>#VALUE!</v>
      </c>
      <c r="AI26" s="204" t="e">
        <f t="shared" si="44"/>
        <v>#VALUE!</v>
      </c>
      <c r="AJ26" s="205">
        <f t="shared" si="9"/>
        <v>-613741.77005399996</v>
      </c>
      <c r="AK26" s="204" t="e">
        <f t="shared" si="10"/>
        <v>#VALUE!</v>
      </c>
      <c r="AL26" s="204" t="e">
        <f t="shared" si="11"/>
        <v>#VALUE!</v>
      </c>
      <c r="AM26" s="204" t="e">
        <f t="shared" si="12"/>
        <v>#VALUE!</v>
      </c>
      <c r="AN26" s="204" t="e">
        <f t="shared" si="13"/>
        <v>#VALUE!</v>
      </c>
      <c r="AO26" s="204" t="e">
        <f t="shared" si="14"/>
        <v>#VALUE!</v>
      </c>
      <c r="AP26" s="204" t="e">
        <f t="shared" si="15"/>
        <v>#VALUE!</v>
      </c>
      <c r="AQ26" s="204" t="e">
        <f t="shared" si="16"/>
        <v>#VALUE!</v>
      </c>
      <c r="AR26" s="206" t="e">
        <f t="shared" si="17"/>
        <v>#VALUE!</v>
      </c>
      <c r="AS26" s="170" t="e">
        <f t="shared" si="18"/>
        <v>#VALUE!</v>
      </c>
      <c r="AT26" s="170" t="e">
        <f t="shared" si="19"/>
        <v>#VALUE!</v>
      </c>
      <c r="AU26" s="207" t="e">
        <f t="shared" si="20"/>
        <v>#VALUE!</v>
      </c>
      <c r="AV26" s="208" t="e">
        <f t="shared" si="21"/>
        <v>#VALUE!</v>
      </c>
      <c r="AW26" s="201" t="str">
        <f t="shared" si="22"/>
        <v>Fase de Degradação</v>
      </c>
      <c r="AX26" s="253" t="e">
        <f>VLOOKUP(D26,#REF!,5,FALSE)</f>
        <v>#REF!</v>
      </c>
      <c r="AY26" s="201"/>
      <c r="AZ26" s="273" t="s">
        <v>1224</v>
      </c>
      <c r="BB26">
        <f>IFERROR(VLOOKUP(Tabela1[[#This Row],[Denominação]],[10]Planilha1!$A:$B,2,FALSE),"")</f>
        <v>338352.5699999996</v>
      </c>
    </row>
    <row r="27" spans="1:54" ht="15" hidden="1" customHeight="1" x14ac:dyDescent="0.3">
      <c r="A27" s="268">
        <v>26</v>
      </c>
      <c r="B27" s="171" t="s">
        <v>539</v>
      </c>
      <c r="C27" s="209" t="s">
        <v>568</v>
      </c>
      <c r="D27" s="171">
        <v>10004617</v>
      </c>
      <c r="E27" s="253" t="s">
        <v>1245</v>
      </c>
      <c r="F27" s="210">
        <v>4529</v>
      </c>
      <c r="G27" s="171">
        <v>34610</v>
      </c>
      <c r="H27" s="171">
        <v>2007</v>
      </c>
      <c r="I27" s="213">
        <v>170388.92</v>
      </c>
      <c r="J27" s="213">
        <v>0</v>
      </c>
      <c r="K27" s="170">
        <v>153847.09999999992</v>
      </c>
      <c r="L27" s="207">
        <v>1.26</v>
      </c>
      <c r="M27" s="212">
        <v>4676</v>
      </c>
      <c r="N27" s="212">
        <v>142315</v>
      </c>
      <c r="O27" s="171">
        <v>316</v>
      </c>
      <c r="P27" s="271" t="str">
        <f>IFERROR(VLOOKUP(Tabela1[[#This Row],[TAG]],#REF!,14,FALSE),"")</f>
        <v/>
      </c>
      <c r="Q27" s="204" t="e">
        <f t="shared" si="0"/>
        <v>#VALUE!</v>
      </c>
      <c r="R27" s="204" t="e">
        <f t="shared" si="1"/>
        <v>#VALUE!</v>
      </c>
      <c r="S27" s="204" t="e">
        <f t="shared" si="2"/>
        <v>#VALUE!</v>
      </c>
      <c r="T27" s="204" t="e">
        <f t="shared" si="3"/>
        <v>#VALUE!</v>
      </c>
      <c r="U27" s="204" t="e">
        <f t="shared" si="4"/>
        <v>#VALUE!</v>
      </c>
      <c r="V27" s="204" t="e">
        <f t="shared" si="5"/>
        <v>#VALUE!</v>
      </c>
      <c r="W27" s="218">
        <v>304</v>
      </c>
      <c r="X27" s="218">
        <v>896.49</v>
      </c>
      <c r="Y27" s="203">
        <v>0.1</v>
      </c>
      <c r="Z27" s="203">
        <f>IF(Tabela1[[#This Row],[Ano Aquisição]]=2023,0,IFERROR(VLOOKUP(H27,inflação!$F:$H,3,FALSE),""))</f>
        <v>0.93579999999999997</v>
      </c>
      <c r="AA27" s="203">
        <v>0.8</v>
      </c>
      <c r="AB27" s="202">
        <f t="shared" si="6"/>
        <v>-170388.92</v>
      </c>
      <c r="AC27" s="204" t="e">
        <f t="shared" si="38"/>
        <v>#VALUE!</v>
      </c>
      <c r="AD27" s="204" t="e">
        <f t="shared" si="39"/>
        <v>#VALUE!</v>
      </c>
      <c r="AE27" s="204" t="e">
        <f t="shared" si="40"/>
        <v>#VALUE!</v>
      </c>
      <c r="AF27" s="204" t="e">
        <f t="shared" si="41"/>
        <v>#VALUE!</v>
      </c>
      <c r="AG27" s="204" t="e">
        <f t="shared" si="42"/>
        <v>#VALUE!</v>
      </c>
      <c r="AH27" s="204" t="e">
        <f t="shared" si="43"/>
        <v>#VALUE!</v>
      </c>
      <c r="AI27" s="204" t="e">
        <f t="shared" si="44"/>
        <v>#VALUE!</v>
      </c>
      <c r="AJ27" s="205">
        <f t="shared" si="9"/>
        <v>-329838.87133600004</v>
      </c>
      <c r="AK27" s="204" t="e">
        <f t="shared" si="10"/>
        <v>#VALUE!</v>
      </c>
      <c r="AL27" s="204" t="e">
        <f t="shared" si="11"/>
        <v>#VALUE!</v>
      </c>
      <c r="AM27" s="204" t="e">
        <f t="shared" si="12"/>
        <v>#VALUE!</v>
      </c>
      <c r="AN27" s="204" t="e">
        <f t="shared" si="13"/>
        <v>#VALUE!</v>
      </c>
      <c r="AO27" s="204" t="e">
        <f t="shared" si="14"/>
        <v>#VALUE!</v>
      </c>
      <c r="AP27" s="204" t="e">
        <f t="shared" si="15"/>
        <v>#VALUE!</v>
      </c>
      <c r="AQ27" s="204" t="e">
        <f t="shared" si="16"/>
        <v>#VALUE!</v>
      </c>
      <c r="AR27" s="206" t="e">
        <f t="shared" si="17"/>
        <v>#VALUE!</v>
      </c>
      <c r="AS27" s="170" t="e">
        <f t="shared" si="18"/>
        <v>#VALUE!</v>
      </c>
      <c r="AT27" s="170" t="e">
        <f t="shared" si="19"/>
        <v>#VALUE!</v>
      </c>
      <c r="AU27" s="207" t="e">
        <f t="shared" si="20"/>
        <v>#VALUE!</v>
      </c>
      <c r="AV27" s="208" t="e">
        <f t="shared" si="21"/>
        <v>#VALUE!</v>
      </c>
      <c r="AW27" s="201" t="str">
        <f t="shared" si="22"/>
        <v>Fase de Degradação</v>
      </c>
      <c r="AX27" s="253" t="e">
        <f>VLOOKUP(D27,#REF!,5,FALSE)</f>
        <v>#REF!</v>
      </c>
      <c r="AY27" s="201"/>
      <c r="AZ27" s="273" t="s">
        <v>1224</v>
      </c>
      <c r="BB27">
        <f>IFERROR(VLOOKUP(Tabela1[[#This Row],[Denominação]],[10]Planilha1!$A:$B,2,FALSE),"")</f>
        <v>153847.09999999992</v>
      </c>
    </row>
    <row r="28" spans="1:54" ht="15" hidden="1" customHeight="1" x14ac:dyDescent="0.3">
      <c r="A28" s="253">
        <v>27</v>
      </c>
      <c r="B28" s="171" t="s">
        <v>282</v>
      </c>
      <c r="C28" s="209" t="s">
        <v>283</v>
      </c>
      <c r="D28" s="171">
        <v>10004618</v>
      </c>
      <c r="E28" s="253" t="s">
        <v>1245</v>
      </c>
      <c r="F28" s="210">
        <v>4529</v>
      </c>
      <c r="G28" s="171">
        <v>34608</v>
      </c>
      <c r="H28" s="171">
        <v>2007</v>
      </c>
      <c r="I28" s="213">
        <v>318773.45</v>
      </c>
      <c r="J28" s="213">
        <v>0</v>
      </c>
      <c r="K28" s="170">
        <v>309361.15000000008</v>
      </c>
      <c r="L28" s="207">
        <v>1.56</v>
      </c>
      <c r="M28" s="212">
        <v>4676</v>
      </c>
      <c r="N28" s="212">
        <v>142908</v>
      </c>
      <c r="O28" s="171">
        <v>444</v>
      </c>
      <c r="P28" s="271" t="str">
        <f>IFERROR(VLOOKUP(Tabela1[[#This Row],[TAG]],#REF!,14,FALSE),"")</f>
        <v/>
      </c>
      <c r="Q28" s="204" t="e">
        <f t="shared" si="0"/>
        <v>#VALUE!</v>
      </c>
      <c r="R28" s="204" t="e">
        <f t="shared" si="1"/>
        <v>#VALUE!</v>
      </c>
      <c r="S28" s="204" t="e">
        <f t="shared" si="2"/>
        <v>#VALUE!</v>
      </c>
      <c r="T28" s="204" t="e">
        <f t="shared" si="3"/>
        <v>#VALUE!</v>
      </c>
      <c r="U28" s="204" t="e">
        <f t="shared" si="4"/>
        <v>#VALUE!</v>
      </c>
      <c r="V28" s="204" t="e">
        <f t="shared" si="5"/>
        <v>#VALUE!</v>
      </c>
      <c r="W28" s="218">
        <v>462.1</v>
      </c>
      <c r="X28" s="218">
        <v>1757.87</v>
      </c>
      <c r="Y28" s="203">
        <v>0.1</v>
      </c>
      <c r="Z28" s="203">
        <f>IF(Tabela1[[#This Row],[Ano Aquisição]]=2023,0,IFERROR(VLOOKUP(H28,inflação!$F:$H,3,FALSE),""))</f>
        <v>0.93579999999999997</v>
      </c>
      <c r="AA28" s="203">
        <v>0.8</v>
      </c>
      <c r="AB28" s="202">
        <f t="shared" si="6"/>
        <v>-318773.45</v>
      </c>
      <c r="AC28" s="204" t="e">
        <f t="shared" si="38"/>
        <v>#VALUE!</v>
      </c>
      <c r="AD28" s="204" t="e">
        <f t="shared" si="39"/>
        <v>#VALUE!</v>
      </c>
      <c r="AE28" s="204" t="e">
        <f t="shared" si="40"/>
        <v>#VALUE!</v>
      </c>
      <c r="AF28" s="204" t="e">
        <f t="shared" si="41"/>
        <v>#VALUE!</v>
      </c>
      <c r="AG28" s="204" t="e">
        <f t="shared" si="42"/>
        <v>#VALUE!</v>
      </c>
      <c r="AH28" s="204" t="e">
        <f t="shared" si="43"/>
        <v>#VALUE!</v>
      </c>
      <c r="AI28" s="204" t="e">
        <f t="shared" si="44"/>
        <v>#VALUE!</v>
      </c>
      <c r="AJ28" s="205">
        <f t="shared" si="9"/>
        <v>-617081.64451000001</v>
      </c>
      <c r="AK28" s="204" t="e">
        <f t="shared" si="10"/>
        <v>#VALUE!</v>
      </c>
      <c r="AL28" s="204" t="e">
        <f t="shared" si="11"/>
        <v>#VALUE!</v>
      </c>
      <c r="AM28" s="204" t="e">
        <f t="shared" si="12"/>
        <v>#VALUE!</v>
      </c>
      <c r="AN28" s="204" t="e">
        <f t="shared" si="13"/>
        <v>#VALUE!</v>
      </c>
      <c r="AO28" s="204" t="e">
        <f t="shared" si="14"/>
        <v>#VALUE!</v>
      </c>
      <c r="AP28" s="204" t="e">
        <f t="shared" si="15"/>
        <v>#VALUE!</v>
      </c>
      <c r="AQ28" s="204" t="e">
        <f t="shared" si="16"/>
        <v>#VALUE!</v>
      </c>
      <c r="AR28" s="206" t="e">
        <f t="shared" si="17"/>
        <v>#VALUE!</v>
      </c>
      <c r="AS28" s="170" t="e">
        <f t="shared" si="18"/>
        <v>#VALUE!</v>
      </c>
      <c r="AT28" s="170" t="e">
        <f t="shared" si="19"/>
        <v>#VALUE!</v>
      </c>
      <c r="AU28" s="207" t="e">
        <f t="shared" si="20"/>
        <v>#VALUE!</v>
      </c>
      <c r="AV28" s="208" t="e">
        <f t="shared" si="21"/>
        <v>#VALUE!</v>
      </c>
      <c r="AW28" s="201" t="str">
        <f t="shared" si="22"/>
        <v>Fase de Degradação</v>
      </c>
      <c r="AX28" s="253" t="e">
        <f>VLOOKUP(D28,#REF!,5,FALSE)</f>
        <v>#REF!</v>
      </c>
      <c r="AY28" s="201"/>
      <c r="AZ28" s="273" t="s">
        <v>1224</v>
      </c>
      <c r="BB28">
        <f>IFERROR(VLOOKUP(Tabela1[[#This Row],[Denominação]],[10]Planilha1!$A:$B,2,FALSE),"")</f>
        <v>309361.15000000008</v>
      </c>
    </row>
    <row r="29" spans="1:54" ht="15" hidden="1" customHeight="1" x14ac:dyDescent="0.3">
      <c r="A29" s="268">
        <v>28</v>
      </c>
      <c r="B29" s="171" t="s">
        <v>294</v>
      </c>
      <c r="C29" s="209" t="s">
        <v>295</v>
      </c>
      <c r="D29" s="171">
        <v>10004619</v>
      </c>
      <c r="E29" s="253" t="s">
        <v>1246</v>
      </c>
      <c r="F29" s="210">
        <v>4529</v>
      </c>
      <c r="G29" s="171">
        <v>41550</v>
      </c>
      <c r="H29" s="171">
        <v>2012</v>
      </c>
      <c r="I29" s="213">
        <v>718324.67</v>
      </c>
      <c r="J29" s="213">
        <v>359094</v>
      </c>
      <c r="K29" s="170">
        <v>278579.61999999988</v>
      </c>
      <c r="L29" s="207">
        <v>2.4</v>
      </c>
      <c r="M29" s="212">
        <v>4184</v>
      </c>
      <c r="N29" s="212">
        <v>127893</v>
      </c>
      <c r="O29" s="171">
        <v>246</v>
      </c>
      <c r="P29" s="271" t="str">
        <f>IFERROR(VLOOKUP(Tabela1[[#This Row],[TAG]],#REF!,14,FALSE),"")</f>
        <v/>
      </c>
      <c r="Q29" s="204" t="e">
        <f t="shared" si="0"/>
        <v>#VALUE!</v>
      </c>
      <c r="R29" s="204" t="e">
        <f t="shared" si="1"/>
        <v>#VALUE!</v>
      </c>
      <c r="S29" s="204" t="e">
        <f t="shared" si="2"/>
        <v>#VALUE!</v>
      </c>
      <c r="T29" s="204" t="e">
        <f t="shared" si="3"/>
        <v>#VALUE!</v>
      </c>
      <c r="U29" s="204" t="e">
        <f t="shared" si="4"/>
        <v>#VALUE!</v>
      </c>
      <c r="V29" s="204" t="e">
        <f t="shared" si="5"/>
        <v>#VALUE!</v>
      </c>
      <c r="W29" s="218">
        <v>379.76</v>
      </c>
      <c r="X29" s="218">
        <v>996.97</v>
      </c>
      <c r="Y29" s="203">
        <v>0.1</v>
      </c>
      <c r="Z29" s="203">
        <f>IF(Tabela1[[#This Row],[Ano Aquisição]]=2023,0,IFERROR(VLOOKUP(H29,inflação!$F:$H,3,FALSE),""))</f>
        <v>0.66500000000000004</v>
      </c>
      <c r="AA29" s="203">
        <v>0.8</v>
      </c>
      <c r="AB29" s="202">
        <f t="shared" si="6"/>
        <v>-718324.67</v>
      </c>
      <c r="AC29" s="204" t="e">
        <f t="shared" si="38"/>
        <v>#VALUE!</v>
      </c>
      <c r="AD29" s="204" t="e">
        <f t="shared" si="39"/>
        <v>#VALUE!</v>
      </c>
      <c r="AE29" s="204" t="e">
        <f t="shared" si="40"/>
        <v>#VALUE!</v>
      </c>
      <c r="AF29" s="204" t="e">
        <f t="shared" si="41"/>
        <v>#VALUE!</v>
      </c>
      <c r="AG29" s="204" t="e">
        <f t="shared" si="42"/>
        <v>#VALUE!</v>
      </c>
      <c r="AH29" s="204" t="e">
        <f t="shared" si="43"/>
        <v>#VALUE!</v>
      </c>
      <c r="AI29" s="204" t="e">
        <f t="shared" si="44"/>
        <v>#VALUE!</v>
      </c>
      <c r="AJ29" s="205">
        <f t="shared" si="9"/>
        <v>-1196010.5755500002</v>
      </c>
      <c r="AK29" s="204" t="e">
        <f t="shared" si="10"/>
        <v>#VALUE!</v>
      </c>
      <c r="AL29" s="204" t="e">
        <f t="shared" si="11"/>
        <v>#VALUE!</v>
      </c>
      <c r="AM29" s="204" t="e">
        <f t="shared" si="12"/>
        <v>#VALUE!</v>
      </c>
      <c r="AN29" s="204" t="e">
        <f t="shared" si="13"/>
        <v>#VALUE!</v>
      </c>
      <c r="AO29" s="204" t="e">
        <f t="shared" si="14"/>
        <v>#VALUE!</v>
      </c>
      <c r="AP29" s="204" t="e">
        <f t="shared" si="15"/>
        <v>#VALUE!</v>
      </c>
      <c r="AQ29" s="204" t="e">
        <f t="shared" si="16"/>
        <v>#VALUE!</v>
      </c>
      <c r="AR29" s="206" t="e">
        <f t="shared" si="17"/>
        <v>#VALUE!</v>
      </c>
      <c r="AS29" s="170" t="e">
        <f t="shared" si="18"/>
        <v>#VALUE!</v>
      </c>
      <c r="AT29" s="170" t="e">
        <f t="shared" si="19"/>
        <v>#VALUE!</v>
      </c>
      <c r="AU29" s="207" t="e">
        <f t="shared" si="20"/>
        <v>#VALUE!</v>
      </c>
      <c r="AV29" s="208" t="e">
        <f t="shared" si="21"/>
        <v>#VALUE!</v>
      </c>
      <c r="AW29" s="201" t="str">
        <f t="shared" si="22"/>
        <v>Fase de Degradação</v>
      </c>
      <c r="AX29" s="253" t="e">
        <f>VLOOKUP(D29,#REF!,5,FALSE)</f>
        <v>#REF!</v>
      </c>
      <c r="AY29" s="201"/>
      <c r="AZ29" s="273" t="s">
        <v>1224</v>
      </c>
      <c r="BB29">
        <f>IFERROR(VLOOKUP(Tabela1[[#This Row],[Denominação]],[10]Planilha1!$A:$B,2,FALSE),"")</f>
        <v>278579.61999999988</v>
      </c>
    </row>
    <row r="30" spans="1:54" ht="15" hidden="1" customHeight="1" x14ac:dyDescent="0.3">
      <c r="A30" s="253">
        <v>29</v>
      </c>
      <c r="B30" s="171" t="s">
        <v>540</v>
      </c>
      <c r="C30" s="209" t="s">
        <v>569</v>
      </c>
      <c r="D30" s="171">
        <v>10004620</v>
      </c>
      <c r="E30" s="253" t="s">
        <v>1246</v>
      </c>
      <c r="F30" s="210">
        <v>4529</v>
      </c>
      <c r="G30" s="171">
        <v>41548</v>
      </c>
      <c r="H30" s="171">
        <v>2012</v>
      </c>
      <c r="I30" s="213">
        <v>205271.51</v>
      </c>
      <c r="J30" s="213">
        <v>27663</v>
      </c>
      <c r="K30" s="170">
        <v>182308.7199999998</v>
      </c>
      <c r="L30" s="207">
        <v>2.08</v>
      </c>
      <c r="M30" s="212">
        <v>4184</v>
      </c>
      <c r="N30" s="212">
        <v>125633</v>
      </c>
      <c r="O30" s="171">
        <v>290</v>
      </c>
      <c r="P30" s="271" t="str">
        <f>IFERROR(VLOOKUP(Tabela1[[#This Row],[TAG]],#REF!,14,FALSE),"")</f>
        <v/>
      </c>
      <c r="Q30" s="204" t="e">
        <f t="shared" si="0"/>
        <v>#VALUE!</v>
      </c>
      <c r="R30" s="204" t="e">
        <f t="shared" si="1"/>
        <v>#VALUE!</v>
      </c>
      <c r="S30" s="204" t="e">
        <f t="shared" si="2"/>
        <v>#VALUE!</v>
      </c>
      <c r="T30" s="204" t="e">
        <f t="shared" si="3"/>
        <v>#VALUE!</v>
      </c>
      <c r="U30" s="204" t="e">
        <f t="shared" si="4"/>
        <v>#VALUE!</v>
      </c>
      <c r="V30" s="204" t="e">
        <f t="shared" si="5"/>
        <v>#VALUE!</v>
      </c>
      <c r="W30" s="218">
        <v>486.86</v>
      </c>
      <c r="X30" s="218">
        <v>675.72</v>
      </c>
      <c r="Y30" s="203">
        <v>0.1</v>
      </c>
      <c r="Z30" s="203">
        <f>IF(Tabela1[[#This Row],[Ano Aquisição]]=2023,0,IFERROR(VLOOKUP(H30,inflação!$F:$H,3,FALSE),""))</f>
        <v>0.66500000000000004</v>
      </c>
      <c r="AA30" s="203">
        <v>0.8</v>
      </c>
      <c r="AB30" s="202">
        <f t="shared" si="6"/>
        <v>-205271.51</v>
      </c>
      <c r="AC30" s="204" t="e">
        <f t="shared" si="38"/>
        <v>#VALUE!</v>
      </c>
      <c r="AD30" s="204" t="e">
        <f t="shared" si="39"/>
        <v>#VALUE!</v>
      </c>
      <c r="AE30" s="204" t="e">
        <f t="shared" si="40"/>
        <v>#VALUE!</v>
      </c>
      <c r="AF30" s="204" t="e">
        <f t="shared" si="41"/>
        <v>#VALUE!</v>
      </c>
      <c r="AG30" s="204" t="e">
        <f t="shared" si="42"/>
        <v>#VALUE!</v>
      </c>
      <c r="AH30" s="204" t="e">
        <f t="shared" si="43"/>
        <v>#VALUE!</v>
      </c>
      <c r="AI30" s="204" t="e">
        <f t="shared" si="44"/>
        <v>#VALUE!</v>
      </c>
      <c r="AJ30" s="205">
        <f t="shared" si="9"/>
        <v>-341777.06415000005</v>
      </c>
      <c r="AK30" s="204" t="e">
        <f t="shared" si="10"/>
        <v>#VALUE!</v>
      </c>
      <c r="AL30" s="204" t="e">
        <f t="shared" si="11"/>
        <v>#VALUE!</v>
      </c>
      <c r="AM30" s="204" t="e">
        <f t="shared" si="12"/>
        <v>#VALUE!</v>
      </c>
      <c r="AN30" s="204" t="e">
        <f t="shared" si="13"/>
        <v>#VALUE!</v>
      </c>
      <c r="AO30" s="204" t="e">
        <f t="shared" si="14"/>
        <v>#VALUE!</v>
      </c>
      <c r="AP30" s="204" t="e">
        <f t="shared" si="15"/>
        <v>#VALUE!</v>
      </c>
      <c r="AQ30" s="204" t="e">
        <f t="shared" si="16"/>
        <v>#VALUE!</v>
      </c>
      <c r="AR30" s="206" t="e">
        <f t="shared" si="17"/>
        <v>#VALUE!</v>
      </c>
      <c r="AS30" s="170" t="e">
        <f t="shared" si="18"/>
        <v>#VALUE!</v>
      </c>
      <c r="AT30" s="170" t="e">
        <f t="shared" si="19"/>
        <v>#VALUE!</v>
      </c>
      <c r="AU30" s="207" t="e">
        <f t="shared" si="20"/>
        <v>#VALUE!</v>
      </c>
      <c r="AV30" s="208" t="e">
        <f t="shared" si="21"/>
        <v>#VALUE!</v>
      </c>
      <c r="AW30" s="201" t="str">
        <f t="shared" si="22"/>
        <v>Fase de Degradação</v>
      </c>
      <c r="AX30" s="253" t="e">
        <f>VLOOKUP(D30,#REF!,5,FALSE)</f>
        <v>#REF!</v>
      </c>
      <c r="AY30" s="201"/>
      <c r="AZ30" s="273" t="s">
        <v>1224</v>
      </c>
      <c r="BB30">
        <f>IFERROR(VLOOKUP(Tabela1[[#This Row],[Denominação]],[10]Planilha1!$A:$B,2,FALSE),"")</f>
        <v>182308.7199999998</v>
      </c>
    </row>
    <row r="31" spans="1:54" ht="15" hidden="1" customHeight="1" x14ac:dyDescent="0.3">
      <c r="A31" s="268">
        <v>30</v>
      </c>
      <c r="B31" s="171" t="s">
        <v>541</v>
      </c>
      <c r="C31" s="209" t="s">
        <v>570</v>
      </c>
      <c r="D31" s="171">
        <v>10004621</v>
      </c>
      <c r="E31" s="253" t="s">
        <v>1247</v>
      </c>
      <c r="F31" s="210">
        <v>4529</v>
      </c>
      <c r="G31" s="171">
        <v>41551</v>
      </c>
      <c r="H31" s="171">
        <v>2012</v>
      </c>
      <c r="I31" s="213">
        <v>771078.35</v>
      </c>
      <c r="J31" s="213">
        <v>353528</v>
      </c>
      <c r="K31" s="170">
        <v>262433.08999999997</v>
      </c>
      <c r="L31" s="207">
        <v>2.59</v>
      </c>
      <c r="M31" s="212">
        <v>4513</v>
      </c>
      <c r="N31" s="212">
        <v>125259</v>
      </c>
      <c r="O31" s="171">
        <v>235</v>
      </c>
      <c r="P31" s="271" t="str">
        <f>IFERROR(VLOOKUP(Tabela1[[#This Row],[TAG]],#REF!,14,FALSE),"")</f>
        <v/>
      </c>
      <c r="Q31" s="204" t="e">
        <f t="shared" si="0"/>
        <v>#VALUE!</v>
      </c>
      <c r="R31" s="204" t="e">
        <f t="shared" si="1"/>
        <v>#VALUE!</v>
      </c>
      <c r="S31" s="204" t="e">
        <f t="shared" si="2"/>
        <v>#VALUE!</v>
      </c>
      <c r="T31" s="204" t="e">
        <f t="shared" si="3"/>
        <v>#VALUE!</v>
      </c>
      <c r="U31" s="204" t="e">
        <f t="shared" si="4"/>
        <v>#VALUE!</v>
      </c>
      <c r="V31" s="204" t="e">
        <f t="shared" si="5"/>
        <v>#VALUE!</v>
      </c>
      <c r="W31" s="218">
        <v>333.94</v>
      </c>
      <c r="X31" s="218">
        <v>910.05</v>
      </c>
      <c r="Y31" s="203">
        <v>0.1</v>
      </c>
      <c r="Z31" s="203">
        <f>IF(Tabela1[[#This Row],[Ano Aquisição]]=2023,0,IFERROR(VLOOKUP(H31,inflação!$F:$H,3,FALSE),""))</f>
        <v>0.66500000000000004</v>
      </c>
      <c r="AA31" s="203">
        <v>0.8</v>
      </c>
      <c r="AB31" s="202">
        <f t="shared" si="6"/>
        <v>-771078.35</v>
      </c>
      <c r="AC31" s="204" t="e">
        <f t="shared" si="38"/>
        <v>#VALUE!</v>
      </c>
      <c r="AD31" s="204" t="e">
        <f t="shared" si="39"/>
        <v>#VALUE!</v>
      </c>
      <c r="AE31" s="204" t="e">
        <f t="shared" si="40"/>
        <v>#VALUE!</v>
      </c>
      <c r="AF31" s="204" t="e">
        <f t="shared" si="41"/>
        <v>#VALUE!</v>
      </c>
      <c r="AG31" s="204" t="e">
        <f t="shared" si="42"/>
        <v>#VALUE!</v>
      </c>
      <c r="AH31" s="204" t="e">
        <f t="shared" si="43"/>
        <v>#VALUE!</v>
      </c>
      <c r="AI31" s="204" t="e">
        <f t="shared" si="44"/>
        <v>#VALUE!</v>
      </c>
      <c r="AJ31" s="205">
        <f t="shared" si="9"/>
        <v>-1283845.4527499999</v>
      </c>
      <c r="AK31" s="204" t="e">
        <f t="shared" si="10"/>
        <v>#VALUE!</v>
      </c>
      <c r="AL31" s="204" t="e">
        <f t="shared" si="11"/>
        <v>#VALUE!</v>
      </c>
      <c r="AM31" s="204" t="e">
        <f t="shared" si="12"/>
        <v>#VALUE!</v>
      </c>
      <c r="AN31" s="204" t="e">
        <f t="shared" si="13"/>
        <v>#VALUE!</v>
      </c>
      <c r="AO31" s="204" t="e">
        <f t="shared" si="14"/>
        <v>#VALUE!</v>
      </c>
      <c r="AP31" s="204" t="e">
        <f t="shared" si="15"/>
        <v>#VALUE!</v>
      </c>
      <c r="AQ31" s="204" t="e">
        <f t="shared" si="16"/>
        <v>#VALUE!</v>
      </c>
      <c r="AR31" s="206" t="e">
        <f t="shared" si="17"/>
        <v>#VALUE!</v>
      </c>
      <c r="AS31" s="170" t="e">
        <f t="shared" si="18"/>
        <v>#VALUE!</v>
      </c>
      <c r="AT31" s="170" t="e">
        <f t="shared" si="19"/>
        <v>#VALUE!</v>
      </c>
      <c r="AU31" s="207" t="e">
        <f t="shared" si="20"/>
        <v>#VALUE!</v>
      </c>
      <c r="AV31" s="208" t="e">
        <f t="shared" si="21"/>
        <v>#VALUE!</v>
      </c>
      <c r="AW31" s="201" t="str">
        <f t="shared" si="22"/>
        <v>Fase de Degradação</v>
      </c>
      <c r="AX31" s="253" t="e">
        <f>VLOOKUP(D31,#REF!,5,FALSE)</f>
        <v>#REF!</v>
      </c>
      <c r="AY31" s="201"/>
      <c r="AZ31" s="273" t="s">
        <v>1224</v>
      </c>
      <c r="BB31">
        <f>IFERROR(VLOOKUP(Tabela1[[#This Row],[Denominação]],[10]Planilha1!$A:$B,2,FALSE),"")</f>
        <v>262433.08999999997</v>
      </c>
    </row>
    <row r="32" spans="1:54" ht="15" hidden="1" customHeight="1" x14ac:dyDescent="0.3">
      <c r="A32" s="253">
        <v>31</v>
      </c>
      <c r="B32" s="171" t="s">
        <v>542</v>
      </c>
      <c r="C32" s="209" t="s">
        <v>571</v>
      </c>
      <c r="D32" s="171">
        <v>10004622</v>
      </c>
      <c r="E32" s="253" t="s">
        <v>1247</v>
      </c>
      <c r="F32" s="210">
        <v>4529</v>
      </c>
      <c r="G32" s="171">
        <v>41549</v>
      </c>
      <c r="H32" s="171">
        <v>2012</v>
      </c>
      <c r="I32" s="213">
        <v>242896.25</v>
      </c>
      <c r="J32" s="213">
        <v>41491</v>
      </c>
      <c r="K32" s="170">
        <v>148333.1099999999</v>
      </c>
      <c r="L32" s="207">
        <v>1.82</v>
      </c>
      <c r="M32" s="212">
        <v>4513</v>
      </c>
      <c r="N32" s="212">
        <v>116682</v>
      </c>
      <c r="O32" s="171">
        <v>347</v>
      </c>
      <c r="P32" s="271" t="str">
        <f>IFERROR(VLOOKUP(Tabela1[[#This Row],[TAG]],#REF!,14,FALSE),"")</f>
        <v/>
      </c>
      <c r="Q32" s="204" t="e">
        <f t="shared" si="0"/>
        <v>#VALUE!</v>
      </c>
      <c r="R32" s="204" t="e">
        <f t="shared" si="1"/>
        <v>#VALUE!</v>
      </c>
      <c r="S32" s="204" t="e">
        <f t="shared" si="2"/>
        <v>#VALUE!</v>
      </c>
      <c r="T32" s="204" t="e">
        <f t="shared" si="3"/>
        <v>#VALUE!</v>
      </c>
      <c r="U32" s="204" t="e">
        <f t="shared" si="4"/>
        <v>#VALUE!</v>
      </c>
      <c r="V32" s="204" t="e">
        <f t="shared" si="5"/>
        <v>#VALUE!</v>
      </c>
      <c r="W32" s="218">
        <v>333.47</v>
      </c>
      <c r="X32" s="218">
        <v>941.28</v>
      </c>
      <c r="Y32" s="203">
        <v>0.1</v>
      </c>
      <c r="Z32" s="203">
        <f>IF(Tabela1[[#This Row],[Ano Aquisição]]=2023,0,IFERROR(VLOOKUP(H32,inflação!$F:$H,3,FALSE),""))</f>
        <v>0.66500000000000004</v>
      </c>
      <c r="AA32" s="203">
        <v>0.8</v>
      </c>
      <c r="AB32" s="202">
        <f t="shared" si="6"/>
        <v>-242896.25</v>
      </c>
      <c r="AC32" s="204" t="e">
        <f t="shared" si="38"/>
        <v>#VALUE!</v>
      </c>
      <c r="AD32" s="204" t="e">
        <f t="shared" si="39"/>
        <v>#VALUE!</v>
      </c>
      <c r="AE32" s="204" t="e">
        <f t="shared" si="40"/>
        <v>#VALUE!</v>
      </c>
      <c r="AF32" s="204" t="e">
        <f t="shared" si="41"/>
        <v>#VALUE!</v>
      </c>
      <c r="AG32" s="204" t="e">
        <f t="shared" si="42"/>
        <v>#VALUE!</v>
      </c>
      <c r="AH32" s="204" t="e">
        <f t="shared" si="43"/>
        <v>#VALUE!</v>
      </c>
      <c r="AI32" s="204" t="e">
        <f t="shared" si="44"/>
        <v>#VALUE!</v>
      </c>
      <c r="AJ32" s="205">
        <f t="shared" si="9"/>
        <v>-404422.25625000003</v>
      </c>
      <c r="AK32" s="204" t="e">
        <f t="shared" si="10"/>
        <v>#VALUE!</v>
      </c>
      <c r="AL32" s="204" t="e">
        <f t="shared" si="11"/>
        <v>#VALUE!</v>
      </c>
      <c r="AM32" s="204" t="e">
        <f t="shared" si="12"/>
        <v>#VALUE!</v>
      </c>
      <c r="AN32" s="204" t="e">
        <f t="shared" si="13"/>
        <v>#VALUE!</v>
      </c>
      <c r="AO32" s="204" t="e">
        <f t="shared" si="14"/>
        <v>#VALUE!</v>
      </c>
      <c r="AP32" s="204" t="e">
        <f t="shared" si="15"/>
        <v>#VALUE!</v>
      </c>
      <c r="AQ32" s="204" t="e">
        <f t="shared" si="16"/>
        <v>#VALUE!</v>
      </c>
      <c r="AR32" s="206" t="e">
        <f t="shared" si="17"/>
        <v>#VALUE!</v>
      </c>
      <c r="AS32" s="170" t="e">
        <f t="shared" si="18"/>
        <v>#VALUE!</v>
      </c>
      <c r="AT32" s="170" t="e">
        <f t="shared" si="19"/>
        <v>#VALUE!</v>
      </c>
      <c r="AU32" s="207" t="e">
        <f t="shared" si="20"/>
        <v>#VALUE!</v>
      </c>
      <c r="AV32" s="208" t="e">
        <f t="shared" si="21"/>
        <v>#VALUE!</v>
      </c>
      <c r="AW32" s="201" t="str">
        <f t="shared" si="22"/>
        <v>Fase de Degradação</v>
      </c>
      <c r="AX32" s="253" t="e">
        <f>VLOOKUP(D32,#REF!,5,FALSE)</f>
        <v>#REF!</v>
      </c>
      <c r="AY32" s="201"/>
      <c r="AZ32" s="273" t="s">
        <v>1224</v>
      </c>
      <c r="BB32">
        <f>IFERROR(VLOOKUP(Tabela1[[#This Row],[Denominação]],[10]Planilha1!$A:$B,2,FALSE),"")</f>
        <v>148333.1099999999</v>
      </c>
    </row>
    <row r="33" spans="1:54" ht="15" hidden="1" customHeight="1" x14ac:dyDescent="0.3">
      <c r="A33" s="268">
        <v>32</v>
      </c>
      <c r="B33" s="171" t="s">
        <v>270</v>
      </c>
      <c r="C33" s="209" t="s">
        <v>271</v>
      </c>
      <c r="D33" s="171">
        <v>10004623</v>
      </c>
      <c r="E33" s="253" t="s">
        <v>1248</v>
      </c>
      <c r="F33" s="210">
        <v>4529</v>
      </c>
      <c r="G33" s="171">
        <v>42568</v>
      </c>
      <c r="H33" s="171">
        <v>2012</v>
      </c>
      <c r="I33" s="213">
        <v>386071.45</v>
      </c>
      <c r="J33" s="213">
        <v>33853</v>
      </c>
      <c r="K33" s="170">
        <v>293573.11999999953</v>
      </c>
      <c r="L33" s="215">
        <v>2.34</v>
      </c>
      <c r="M33" s="212">
        <v>4598</v>
      </c>
      <c r="N33" s="212">
        <v>129177</v>
      </c>
      <c r="O33" s="171">
        <v>371</v>
      </c>
      <c r="P33" s="271" t="str">
        <f>IFERROR(VLOOKUP(Tabela1[[#This Row],[TAG]],#REF!,14,FALSE),"")</f>
        <v/>
      </c>
      <c r="Q33" s="204" t="e">
        <f t="shared" si="0"/>
        <v>#VALUE!</v>
      </c>
      <c r="R33" s="204" t="e">
        <f t="shared" si="1"/>
        <v>#VALUE!</v>
      </c>
      <c r="S33" s="204" t="e">
        <f t="shared" si="2"/>
        <v>#VALUE!</v>
      </c>
      <c r="T33" s="204" t="e">
        <f t="shared" si="3"/>
        <v>#VALUE!</v>
      </c>
      <c r="U33" s="204" t="e">
        <f t="shared" si="4"/>
        <v>#VALUE!</v>
      </c>
      <c r="V33" s="204" t="e">
        <f t="shared" si="5"/>
        <v>#VALUE!</v>
      </c>
      <c r="W33" s="218">
        <v>452.25</v>
      </c>
      <c r="X33" s="218">
        <v>742.57</v>
      </c>
      <c r="Y33" s="203">
        <v>0.1</v>
      </c>
      <c r="Z33" s="203">
        <f>IF(Tabela1[[#This Row],[Ano Aquisição]]=2023,0,IFERROR(VLOOKUP(H33,inflação!$F:$H,3,FALSE),""))</f>
        <v>0.66500000000000004</v>
      </c>
      <c r="AA33" s="203">
        <v>0.8</v>
      </c>
      <c r="AB33" s="202">
        <f t="shared" si="6"/>
        <v>-386071.45</v>
      </c>
      <c r="AC33" s="204" t="e">
        <f t="shared" si="38"/>
        <v>#VALUE!</v>
      </c>
      <c r="AD33" s="204" t="e">
        <f t="shared" si="39"/>
        <v>#VALUE!</v>
      </c>
      <c r="AE33" s="204" t="e">
        <f t="shared" si="40"/>
        <v>#VALUE!</v>
      </c>
      <c r="AF33" s="204" t="e">
        <f t="shared" si="41"/>
        <v>#VALUE!</v>
      </c>
      <c r="AG33" s="204" t="e">
        <f t="shared" si="42"/>
        <v>#VALUE!</v>
      </c>
      <c r="AH33" s="204" t="e">
        <f t="shared" si="43"/>
        <v>#VALUE!</v>
      </c>
      <c r="AI33" s="204" t="e">
        <f t="shared" si="44"/>
        <v>#VALUE!</v>
      </c>
      <c r="AJ33" s="205">
        <f t="shared" si="9"/>
        <v>-642808.96425000008</v>
      </c>
      <c r="AK33" s="204" t="e">
        <f t="shared" si="10"/>
        <v>#VALUE!</v>
      </c>
      <c r="AL33" s="204" t="e">
        <f t="shared" si="11"/>
        <v>#VALUE!</v>
      </c>
      <c r="AM33" s="204" t="e">
        <f t="shared" si="12"/>
        <v>#VALUE!</v>
      </c>
      <c r="AN33" s="204" t="e">
        <f t="shared" si="13"/>
        <v>#VALUE!</v>
      </c>
      <c r="AO33" s="204" t="e">
        <f t="shared" si="14"/>
        <v>#VALUE!</v>
      </c>
      <c r="AP33" s="204" t="e">
        <f t="shared" si="15"/>
        <v>#VALUE!</v>
      </c>
      <c r="AQ33" s="204" t="e">
        <f t="shared" si="16"/>
        <v>#VALUE!</v>
      </c>
      <c r="AR33" s="206" t="e">
        <f t="shared" si="17"/>
        <v>#VALUE!</v>
      </c>
      <c r="AS33" s="170" t="e">
        <f t="shared" si="18"/>
        <v>#VALUE!</v>
      </c>
      <c r="AT33" s="170" t="e">
        <f t="shared" si="19"/>
        <v>#VALUE!</v>
      </c>
      <c r="AU33" s="207" t="e">
        <f t="shared" si="20"/>
        <v>#VALUE!</v>
      </c>
      <c r="AV33" s="208" t="e">
        <f t="shared" si="21"/>
        <v>#VALUE!</v>
      </c>
      <c r="AW33" s="201" t="str">
        <f t="shared" si="22"/>
        <v>Fase de Degradação</v>
      </c>
      <c r="AX33" s="253" t="e">
        <f>VLOOKUP(D33,#REF!,5,FALSE)</f>
        <v>#REF!</v>
      </c>
      <c r="AY33" s="201"/>
      <c r="AZ33" s="273" t="s">
        <v>1224</v>
      </c>
      <c r="BB33">
        <f>IFERROR(VLOOKUP(Tabela1[[#This Row],[Denominação]],[10]Planilha1!$A:$B,2,FALSE),"")</f>
        <v>293573.11999999953</v>
      </c>
    </row>
    <row r="34" spans="1:54" ht="15" hidden="1" customHeight="1" x14ac:dyDescent="0.3">
      <c r="A34" s="253">
        <v>33</v>
      </c>
      <c r="B34" s="171" t="s">
        <v>543</v>
      </c>
      <c r="C34" s="209" t="s">
        <v>572</v>
      </c>
      <c r="D34" s="171">
        <v>10004624</v>
      </c>
      <c r="E34" s="253" t="s">
        <v>1248</v>
      </c>
      <c r="F34" s="210">
        <v>4529</v>
      </c>
      <c r="G34" s="171">
        <v>42566</v>
      </c>
      <c r="H34" s="171">
        <v>2012</v>
      </c>
      <c r="I34" s="213">
        <v>201227.12</v>
      </c>
      <c r="J34" s="213">
        <v>20335</v>
      </c>
      <c r="K34" s="170">
        <v>132819.7099999999</v>
      </c>
      <c r="L34" s="207">
        <v>1.39</v>
      </c>
      <c r="M34" s="212">
        <v>4598</v>
      </c>
      <c r="N34" s="212">
        <v>87202</v>
      </c>
      <c r="O34" s="171">
        <v>275</v>
      </c>
      <c r="P34" s="271" t="str">
        <f>IFERROR(VLOOKUP(Tabela1[[#This Row],[TAG]],#REF!,14,FALSE),"")</f>
        <v/>
      </c>
      <c r="Q34" s="204" t="e">
        <f t="shared" ref="Q34:Q65" si="45">P34+P34</f>
        <v>#VALUE!</v>
      </c>
      <c r="R34" s="204" t="e">
        <f t="shared" ref="R34:R65" si="46">Q34+P34</f>
        <v>#VALUE!</v>
      </c>
      <c r="S34" s="204" t="e">
        <f t="shared" ref="S34:S65" si="47">R34+P34</f>
        <v>#VALUE!</v>
      </c>
      <c r="T34" s="204" t="e">
        <f t="shared" ref="T34:T65" si="48">S34+P34</f>
        <v>#VALUE!</v>
      </c>
      <c r="U34" s="204" t="e">
        <f t="shared" ref="U34:U65" si="49">T34+P34</f>
        <v>#VALUE!</v>
      </c>
      <c r="V34" s="204" t="e">
        <f t="shared" ref="V34:V65" si="50">U34+P34</f>
        <v>#VALUE!</v>
      </c>
      <c r="W34" s="218">
        <v>311.14999999999998</v>
      </c>
      <c r="X34" s="218">
        <v>966.78</v>
      </c>
      <c r="Y34" s="203">
        <v>0.1</v>
      </c>
      <c r="Z34" s="203">
        <f>IF(Tabela1[[#This Row],[Ano Aquisição]]=2023,0,IFERROR(VLOOKUP(H34,inflação!$F:$H,3,FALSE),""))</f>
        <v>0.66500000000000004</v>
      </c>
      <c r="AA34" s="203">
        <v>0.8</v>
      </c>
      <c r="AB34" s="202">
        <f t="shared" ref="AB34:AB67" si="51">I34*-1</f>
        <v>-201227.12</v>
      </c>
      <c r="AC34" s="204" t="e">
        <f t="shared" si="38"/>
        <v>#VALUE!</v>
      </c>
      <c r="AD34" s="204" t="e">
        <f t="shared" si="39"/>
        <v>#VALUE!</v>
      </c>
      <c r="AE34" s="204" t="e">
        <f t="shared" si="40"/>
        <v>#VALUE!</v>
      </c>
      <c r="AF34" s="204" t="e">
        <f t="shared" si="41"/>
        <v>#VALUE!</v>
      </c>
      <c r="AG34" s="204" t="e">
        <f t="shared" si="42"/>
        <v>#VALUE!</v>
      </c>
      <c r="AH34" s="204" t="e">
        <f t="shared" si="43"/>
        <v>#VALUE!</v>
      </c>
      <c r="AI34" s="204" t="e">
        <f t="shared" si="44"/>
        <v>#VALUE!</v>
      </c>
      <c r="AJ34" s="205">
        <f t="shared" ref="AJ34:AJ67" si="52">-(I34*(1+Z34))</f>
        <v>-335043.15480000002</v>
      </c>
      <c r="AK34" s="204" t="e">
        <f t="shared" ref="AK34:AK66" si="53">AC34*(1-$AA34)</f>
        <v>#VALUE!</v>
      </c>
      <c r="AL34" s="204" t="e">
        <f t="shared" ref="AL34:AL66" si="54">AD34*(1-$AA34)</f>
        <v>#VALUE!</v>
      </c>
      <c r="AM34" s="204" t="e">
        <f t="shared" ref="AM34:AM66" si="55">AE34*(1-$AA34)</f>
        <v>#VALUE!</v>
      </c>
      <c r="AN34" s="204" t="e">
        <f t="shared" ref="AN34:AN66" si="56">AF34*(1-$AA34)</f>
        <v>#VALUE!</v>
      </c>
      <c r="AO34" s="204" t="e">
        <f t="shared" ref="AO34:AO66" si="57">AG34*(1-$AA34)</f>
        <v>#VALUE!</v>
      </c>
      <c r="AP34" s="204" t="e">
        <f t="shared" ref="AP34:AP66" si="58">AH34*(1-$AA34)</f>
        <v>#VALUE!</v>
      </c>
      <c r="AQ34" s="204" t="e">
        <f t="shared" ref="AQ34:AQ66" si="59">AI34*(1-$AA34)</f>
        <v>#VALUE!</v>
      </c>
      <c r="AR34" s="206" t="e">
        <f t="shared" ref="AR34:AR65" si="60">(NPV(Y34,AK34,AL34,AM34,AN34,AO34,AP34,AQ34)+(SUM(AJ34,(J34*-1))))-(NPV(Y34,AC34,AD34,AE34,AF34,AG34,AH34,AI34))</f>
        <v>#VALUE!</v>
      </c>
      <c r="AS34" s="170" t="e">
        <f t="shared" ref="AS34:AS66" si="61">SUM(AC34:AI34)</f>
        <v>#VALUE!</v>
      </c>
      <c r="AT34" s="170" t="e">
        <f t="shared" ref="AT34:AT66" si="62">SUM(AK34:AQ34)</f>
        <v>#VALUE!</v>
      </c>
      <c r="AU34" s="207" t="e">
        <f t="shared" ref="AU34:AU67" si="63">(((AVERAGE(AC34:AI34)/1000)-(AVERAGE(AK34:AQ34)/1000))+(((AJ34/1000)*-1)/7)+((J34/1000)/7))*-1</f>
        <v>#VALUE!</v>
      </c>
      <c r="AV34" s="208" t="e">
        <f t="shared" ref="AV34:AV65" si="64">AU34/(((J34/1000)+((AJ34*-1)/1000)))</f>
        <v>#VALUE!</v>
      </c>
      <c r="AW34" s="201" t="str">
        <f t="shared" ref="AW34:AW67" si="65">IF(L34&gt;1.1,"Fase de Degradação",IF(L34&lt;1,"Confiabilidade em Crescimento","Fase de Vida Útil"))</f>
        <v>Fase de Degradação</v>
      </c>
      <c r="AX34" s="253" t="e">
        <f>VLOOKUP(D34,#REF!,5,FALSE)</f>
        <v>#REF!</v>
      </c>
      <c r="AY34" s="201"/>
      <c r="AZ34" s="273" t="s">
        <v>1224</v>
      </c>
      <c r="BB34">
        <f>IFERROR(VLOOKUP(Tabela1[[#This Row],[Denominação]],[10]Planilha1!$A:$B,2,FALSE),"")</f>
        <v>132819.7099999999</v>
      </c>
    </row>
    <row r="35" spans="1:54" ht="15" hidden="1" customHeight="1" x14ac:dyDescent="0.3">
      <c r="A35" s="268">
        <v>34</v>
      </c>
      <c r="B35" s="171" t="s">
        <v>544</v>
      </c>
      <c r="C35" s="209" t="s">
        <v>594</v>
      </c>
      <c r="D35" s="171">
        <v>10004974</v>
      </c>
      <c r="E35" s="253" t="s">
        <v>1249</v>
      </c>
      <c r="F35" s="210">
        <v>3336</v>
      </c>
      <c r="G35" s="171">
        <v>34907</v>
      </c>
      <c r="H35" s="171">
        <v>2007</v>
      </c>
      <c r="I35" s="213">
        <v>493423.23</v>
      </c>
      <c r="J35" s="213">
        <v>0</v>
      </c>
      <c r="K35" s="170">
        <v>301628.56000000006</v>
      </c>
      <c r="L35" s="215">
        <v>1.54</v>
      </c>
      <c r="M35" s="212">
        <v>4392</v>
      </c>
      <c r="N35" s="212">
        <v>134489</v>
      </c>
      <c r="O35" s="171">
        <v>245</v>
      </c>
      <c r="P35" s="271" t="str">
        <f>IFERROR(VLOOKUP(Tabela1[[#This Row],[TAG]],#REF!,14,FALSE),"")</f>
        <v/>
      </c>
      <c r="Q35" s="204" t="e">
        <f t="shared" si="45"/>
        <v>#VALUE!</v>
      </c>
      <c r="R35" s="204" t="e">
        <f t="shared" si="46"/>
        <v>#VALUE!</v>
      </c>
      <c r="S35" s="204" t="e">
        <f t="shared" si="47"/>
        <v>#VALUE!</v>
      </c>
      <c r="T35" s="204" t="e">
        <f t="shared" si="48"/>
        <v>#VALUE!</v>
      </c>
      <c r="U35" s="204" t="e">
        <f t="shared" si="49"/>
        <v>#VALUE!</v>
      </c>
      <c r="V35" s="204" t="e">
        <f t="shared" si="50"/>
        <v>#VALUE!</v>
      </c>
      <c r="W35" s="218">
        <v>464.61</v>
      </c>
      <c r="X35" s="218">
        <v>1158.55</v>
      </c>
      <c r="Y35" s="203">
        <v>0.1</v>
      </c>
      <c r="Z35" s="203">
        <f>IF(Tabela1[[#This Row],[Ano Aquisição]]=2023,0,IFERROR(VLOOKUP(H35,inflação!$F:$H,3,FALSE),""))</f>
        <v>0.93579999999999997</v>
      </c>
      <c r="AA35" s="203">
        <v>0.8</v>
      </c>
      <c r="AB35" s="202">
        <f t="shared" si="51"/>
        <v>-493423.23</v>
      </c>
      <c r="AC35" s="204" t="e">
        <f t="shared" si="38"/>
        <v>#VALUE!</v>
      </c>
      <c r="AD35" s="204" t="e">
        <f t="shared" si="39"/>
        <v>#VALUE!</v>
      </c>
      <c r="AE35" s="204" t="e">
        <f t="shared" si="40"/>
        <v>#VALUE!</v>
      </c>
      <c r="AF35" s="204" t="e">
        <f t="shared" si="41"/>
        <v>#VALUE!</v>
      </c>
      <c r="AG35" s="204" t="e">
        <f t="shared" si="42"/>
        <v>#VALUE!</v>
      </c>
      <c r="AH35" s="204" t="e">
        <f t="shared" si="43"/>
        <v>#VALUE!</v>
      </c>
      <c r="AI35" s="204" t="e">
        <f t="shared" si="44"/>
        <v>#VALUE!</v>
      </c>
      <c r="AJ35" s="205">
        <f t="shared" si="52"/>
        <v>-955168.6886339999</v>
      </c>
      <c r="AK35" s="204" t="e">
        <f t="shared" si="53"/>
        <v>#VALUE!</v>
      </c>
      <c r="AL35" s="204" t="e">
        <f t="shared" si="54"/>
        <v>#VALUE!</v>
      </c>
      <c r="AM35" s="204" t="e">
        <f t="shared" si="55"/>
        <v>#VALUE!</v>
      </c>
      <c r="AN35" s="204" t="e">
        <f t="shared" si="56"/>
        <v>#VALUE!</v>
      </c>
      <c r="AO35" s="204" t="e">
        <f t="shared" si="57"/>
        <v>#VALUE!</v>
      </c>
      <c r="AP35" s="204" t="e">
        <f t="shared" si="58"/>
        <v>#VALUE!</v>
      </c>
      <c r="AQ35" s="204" t="e">
        <f t="shared" si="59"/>
        <v>#VALUE!</v>
      </c>
      <c r="AR35" s="206" t="e">
        <f t="shared" si="60"/>
        <v>#VALUE!</v>
      </c>
      <c r="AS35" s="170" t="e">
        <f t="shared" si="61"/>
        <v>#VALUE!</v>
      </c>
      <c r="AT35" s="170" t="e">
        <f t="shared" si="62"/>
        <v>#VALUE!</v>
      </c>
      <c r="AU35" s="207" t="e">
        <f t="shared" si="63"/>
        <v>#VALUE!</v>
      </c>
      <c r="AV35" s="208" t="e">
        <f t="shared" si="64"/>
        <v>#VALUE!</v>
      </c>
      <c r="AW35" s="201" t="str">
        <f t="shared" si="65"/>
        <v>Fase de Degradação</v>
      </c>
      <c r="AX35" s="253" t="e">
        <f>VLOOKUP(D35,#REF!,5,FALSE)</f>
        <v>#REF!</v>
      </c>
      <c r="AY35" s="201"/>
      <c r="AZ35" s="273" t="s">
        <v>1224</v>
      </c>
      <c r="BB35">
        <f>IFERROR(VLOOKUP(Tabela1[[#This Row],[Denominação]],[10]Planilha1!$A:$B,2,FALSE),"")</f>
        <v>301628.56000000006</v>
      </c>
    </row>
    <row r="36" spans="1:54" ht="15" hidden="1" customHeight="1" x14ac:dyDescent="0.3">
      <c r="A36" s="253">
        <v>35</v>
      </c>
      <c r="B36" s="171" t="s">
        <v>366</v>
      </c>
      <c r="C36" s="209" t="s">
        <v>187</v>
      </c>
      <c r="D36" s="171">
        <v>10006148</v>
      </c>
      <c r="E36" s="253" t="s">
        <v>1250</v>
      </c>
      <c r="F36" s="210">
        <v>4529</v>
      </c>
      <c r="G36" s="171">
        <v>42569</v>
      </c>
      <c r="H36" s="171">
        <v>2012</v>
      </c>
      <c r="I36" s="213">
        <v>385738.04</v>
      </c>
      <c r="J36" s="213">
        <v>33736</v>
      </c>
      <c r="K36" s="170">
        <v>295009.91999999975</v>
      </c>
      <c r="L36" s="215">
        <v>1.22</v>
      </c>
      <c r="M36" s="212">
        <v>4596</v>
      </c>
      <c r="N36" s="212">
        <v>83623</v>
      </c>
      <c r="O36" s="171">
        <v>216</v>
      </c>
      <c r="P36" s="271" t="str">
        <f>IFERROR(VLOOKUP(Tabela1[[#This Row],[TAG]],#REF!,14,FALSE),"")</f>
        <v/>
      </c>
      <c r="Q36" s="204" t="e">
        <f t="shared" si="45"/>
        <v>#VALUE!</v>
      </c>
      <c r="R36" s="204" t="e">
        <f t="shared" si="46"/>
        <v>#VALUE!</v>
      </c>
      <c r="S36" s="204" t="e">
        <f t="shared" si="47"/>
        <v>#VALUE!</v>
      </c>
      <c r="T36" s="204" t="e">
        <f t="shared" si="48"/>
        <v>#VALUE!</v>
      </c>
      <c r="U36" s="204" t="e">
        <f t="shared" si="49"/>
        <v>#VALUE!</v>
      </c>
      <c r="V36" s="204" t="e">
        <f t="shared" si="50"/>
        <v>#VALUE!</v>
      </c>
      <c r="W36" s="218">
        <v>378.79</v>
      </c>
      <c r="X36" s="218">
        <v>845.15</v>
      </c>
      <c r="Y36" s="203">
        <v>0.1</v>
      </c>
      <c r="Z36" s="203">
        <f>IF(Tabela1[[#This Row],[Ano Aquisição]]=2023,0,IFERROR(VLOOKUP(H36,inflação!$F:$H,3,FALSE),""))</f>
        <v>0.66500000000000004</v>
      </c>
      <c r="AA36" s="203">
        <v>0.8</v>
      </c>
      <c r="AB36" s="202">
        <f t="shared" si="51"/>
        <v>-385738.04</v>
      </c>
      <c r="AC36" s="204" t="e">
        <f t="shared" si="38"/>
        <v>#VALUE!</v>
      </c>
      <c r="AD36" s="204" t="e">
        <f t="shared" si="39"/>
        <v>#VALUE!</v>
      </c>
      <c r="AE36" s="204" t="e">
        <f t="shared" si="40"/>
        <v>#VALUE!</v>
      </c>
      <c r="AF36" s="204" t="e">
        <f t="shared" si="41"/>
        <v>#VALUE!</v>
      </c>
      <c r="AG36" s="204" t="e">
        <f t="shared" si="42"/>
        <v>#VALUE!</v>
      </c>
      <c r="AH36" s="204" t="e">
        <f t="shared" si="43"/>
        <v>#VALUE!</v>
      </c>
      <c r="AI36" s="204" t="e">
        <f t="shared" si="44"/>
        <v>#VALUE!</v>
      </c>
      <c r="AJ36" s="205">
        <f t="shared" si="52"/>
        <v>-642253.83659999992</v>
      </c>
      <c r="AK36" s="204" t="e">
        <f t="shared" si="53"/>
        <v>#VALUE!</v>
      </c>
      <c r="AL36" s="204" t="e">
        <f t="shared" si="54"/>
        <v>#VALUE!</v>
      </c>
      <c r="AM36" s="204" t="e">
        <f t="shared" si="55"/>
        <v>#VALUE!</v>
      </c>
      <c r="AN36" s="204" t="e">
        <f t="shared" si="56"/>
        <v>#VALUE!</v>
      </c>
      <c r="AO36" s="204" t="e">
        <f t="shared" si="57"/>
        <v>#VALUE!</v>
      </c>
      <c r="AP36" s="204" t="e">
        <f t="shared" si="58"/>
        <v>#VALUE!</v>
      </c>
      <c r="AQ36" s="204" t="e">
        <f t="shared" si="59"/>
        <v>#VALUE!</v>
      </c>
      <c r="AR36" s="206" t="e">
        <f t="shared" si="60"/>
        <v>#VALUE!</v>
      </c>
      <c r="AS36" s="170" t="e">
        <f t="shared" si="61"/>
        <v>#VALUE!</v>
      </c>
      <c r="AT36" s="170" t="e">
        <f t="shared" si="62"/>
        <v>#VALUE!</v>
      </c>
      <c r="AU36" s="207" t="e">
        <f t="shared" si="63"/>
        <v>#VALUE!</v>
      </c>
      <c r="AV36" s="208" t="e">
        <f t="shared" si="64"/>
        <v>#VALUE!</v>
      </c>
      <c r="AW36" s="201" t="str">
        <f t="shared" si="65"/>
        <v>Fase de Degradação</v>
      </c>
      <c r="AX36" s="253" t="e">
        <f>VLOOKUP(D36,#REF!,5,FALSE)</f>
        <v>#REF!</v>
      </c>
      <c r="AY36" s="201"/>
      <c r="AZ36" s="273" t="s">
        <v>1224</v>
      </c>
      <c r="BB36">
        <f>IFERROR(VLOOKUP(Tabela1[[#This Row],[Denominação]],[10]Planilha1!$A:$B,2,FALSE),"")</f>
        <v>295009.91999999975</v>
      </c>
    </row>
    <row r="37" spans="1:54" ht="15" hidden="1" customHeight="1" x14ac:dyDescent="0.3">
      <c r="A37" s="268">
        <v>36</v>
      </c>
      <c r="B37" s="171" t="s">
        <v>545</v>
      </c>
      <c r="C37" s="209" t="s">
        <v>573</v>
      </c>
      <c r="D37" s="171">
        <v>10006149</v>
      </c>
      <c r="E37" s="253" t="s">
        <v>1250</v>
      </c>
      <c r="F37" s="210">
        <v>4529</v>
      </c>
      <c r="G37" s="171">
        <v>42567</v>
      </c>
      <c r="H37" s="171">
        <v>2012</v>
      </c>
      <c r="I37" s="213">
        <v>200893.64</v>
      </c>
      <c r="J37" s="213">
        <v>18345</v>
      </c>
      <c r="K37" s="170">
        <v>100768.73999999998</v>
      </c>
      <c r="L37" s="207">
        <v>1.35</v>
      </c>
      <c r="M37" s="212">
        <v>4596</v>
      </c>
      <c r="N37" s="212">
        <v>88651</v>
      </c>
      <c r="O37" s="171">
        <v>239</v>
      </c>
      <c r="P37" s="271" t="str">
        <f>IFERROR(VLOOKUP(Tabela1[[#This Row],[TAG]],#REF!,14,FALSE),"")</f>
        <v/>
      </c>
      <c r="Q37" s="204" t="e">
        <f t="shared" si="45"/>
        <v>#VALUE!</v>
      </c>
      <c r="R37" s="204" t="e">
        <f t="shared" si="46"/>
        <v>#VALUE!</v>
      </c>
      <c r="S37" s="204" t="e">
        <f t="shared" si="47"/>
        <v>#VALUE!</v>
      </c>
      <c r="T37" s="204" t="e">
        <f t="shared" si="48"/>
        <v>#VALUE!</v>
      </c>
      <c r="U37" s="204" t="e">
        <f t="shared" si="49"/>
        <v>#VALUE!</v>
      </c>
      <c r="V37" s="204" t="e">
        <f t="shared" si="50"/>
        <v>#VALUE!</v>
      </c>
      <c r="W37" s="218">
        <v>332.87</v>
      </c>
      <c r="X37" s="218">
        <v>834.79</v>
      </c>
      <c r="Y37" s="203">
        <v>0.1</v>
      </c>
      <c r="Z37" s="203">
        <f>IF(Tabela1[[#This Row],[Ano Aquisição]]=2023,0,IFERROR(VLOOKUP(H37,inflação!$F:$H,3,FALSE),""))</f>
        <v>0.66500000000000004</v>
      </c>
      <c r="AA37" s="203">
        <v>0.8</v>
      </c>
      <c r="AB37" s="202">
        <f t="shared" si="51"/>
        <v>-200893.64</v>
      </c>
      <c r="AC37" s="204" t="e">
        <f t="shared" si="38"/>
        <v>#VALUE!</v>
      </c>
      <c r="AD37" s="204" t="e">
        <f t="shared" si="39"/>
        <v>#VALUE!</v>
      </c>
      <c r="AE37" s="204" t="e">
        <f t="shared" si="40"/>
        <v>#VALUE!</v>
      </c>
      <c r="AF37" s="204" t="e">
        <f t="shared" si="41"/>
        <v>#VALUE!</v>
      </c>
      <c r="AG37" s="204" t="e">
        <f t="shared" si="42"/>
        <v>#VALUE!</v>
      </c>
      <c r="AH37" s="204" t="e">
        <f t="shared" si="43"/>
        <v>#VALUE!</v>
      </c>
      <c r="AI37" s="204" t="e">
        <f t="shared" si="44"/>
        <v>#VALUE!</v>
      </c>
      <c r="AJ37" s="205">
        <f t="shared" si="52"/>
        <v>-334487.9106</v>
      </c>
      <c r="AK37" s="204" t="e">
        <f t="shared" si="53"/>
        <v>#VALUE!</v>
      </c>
      <c r="AL37" s="204" t="e">
        <f t="shared" si="54"/>
        <v>#VALUE!</v>
      </c>
      <c r="AM37" s="204" t="e">
        <f t="shared" si="55"/>
        <v>#VALUE!</v>
      </c>
      <c r="AN37" s="204" t="e">
        <f t="shared" si="56"/>
        <v>#VALUE!</v>
      </c>
      <c r="AO37" s="204" t="e">
        <f t="shared" si="57"/>
        <v>#VALUE!</v>
      </c>
      <c r="AP37" s="204" t="e">
        <f t="shared" si="58"/>
        <v>#VALUE!</v>
      </c>
      <c r="AQ37" s="204" t="e">
        <f t="shared" si="59"/>
        <v>#VALUE!</v>
      </c>
      <c r="AR37" s="206" t="e">
        <f t="shared" si="60"/>
        <v>#VALUE!</v>
      </c>
      <c r="AS37" s="170" t="e">
        <f t="shared" si="61"/>
        <v>#VALUE!</v>
      </c>
      <c r="AT37" s="170" t="e">
        <f t="shared" si="62"/>
        <v>#VALUE!</v>
      </c>
      <c r="AU37" s="207" t="e">
        <f t="shared" si="63"/>
        <v>#VALUE!</v>
      </c>
      <c r="AV37" s="208" t="e">
        <f t="shared" si="64"/>
        <v>#VALUE!</v>
      </c>
      <c r="AW37" s="201" t="str">
        <f t="shared" si="65"/>
        <v>Fase de Degradação</v>
      </c>
      <c r="AX37" s="253" t="e">
        <f>VLOOKUP(D37,#REF!,5,FALSE)</f>
        <v>#REF!</v>
      </c>
      <c r="AY37" s="201"/>
      <c r="AZ37" s="273" t="s">
        <v>1224</v>
      </c>
      <c r="BB37">
        <f>IFERROR(VLOOKUP(Tabela1[[#This Row],[Denominação]],[10]Planilha1!$A:$B,2,FALSE),"")</f>
        <v>100768.73999999998</v>
      </c>
    </row>
    <row r="38" spans="1:54" ht="15" hidden="1" customHeight="1" x14ac:dyDescent="0.3">
      <c r="A38" s="253">
        <v>37</v>
      </c>
      <c r="B38" s="171" t="s">
        <v>384</v>
      </c>
      <c r="C38" s="209" t="s">
        <v>205</v>
      </c>
      <c r="D38" s="171">
        <v>10006150</v>
      </c>
      <c r="E38" s="253" t="s">
        <v>1251</v>
      </c>
      <c r="F38" s="210">
        <v>4529</v>
      </c>
      <c r="G38" s="171">
        <v>42594</v>
      </c>
      <c r="H38" s="171">
        <v>2012</v>
      </c>
      <c r="I38" s="213">
        <v>722338.39</v>
      </c>
      <c r="J38" s="213">
        <v>256836</v>
      </c>
      <c r="K38" s="170">
        <v>515162.57999999967</v>
      </c>
      <c r="L38" s="215">
        <v>1.39</v>
      </c>
      <c r="M38" s="212">
        <v>4400</v>
      </c>
      <c r="N38" s="212">
        <v>87959</v>
      </c>
      <c r="O38" s="171">
        <v>272</v>
      </c>
      <c r="P38" s="271" t="str">
        <f>IFERROR(VLOOKUP(Tabela1[[#This Row],[TAG]],#REF!,14,FALSE),"")</f>
        <v/>
      </c>
      <c r="Q38" s="204" t="e">
        <f t="shared" si="45"/>
        <v>#VALUE!</v>
      </c>
      <c r="R38" s="204" t="e">
        <f t="shared" si="46"/>
        <v>#VALUE!</v>
      </c>
      <c r="S38" s="204" t="e">
        <f t="shared" si="47"/>
        <v>#VALUE!</v>
      </c>
      <c r="T38" s="204" t="e">
        <f t="shared" si="48"/>
        <v>#VALUE!</v>
      </c>
      <c r="U38" s="204" t="e">
        <f t="shared" si="49"/>
        <v>#VALUE!</v>
      </c>
      <c r="V38" s="204" t="e">
        <f t="shared" si="50"/>
        <v>#VALUE!</v>
      </c>
      <c r="W38" s="218">
        <v>404.08</v>
      </c>
      <c r="X38" s="218">
        <v>1016.6</v>
      </c>
      <c r="Y38" s="203">
        <v>0.1</v>
      </c>
      <c r="Z38" s="203">
        <f>IF(Tabela1[[#This Row],[Ano Aquisição]]=2023,0,IFERROR(VLOOKUP(H38,inflação!$F:$H,3,FALSE),""))</f>
        <v>0.66500000000000004</v>
      </c>
      <c r="AA38" s="203">
        <v>0.8</v>
      </c>
      <c r="AB38" s="202">
        <f t="shared" si="51"/>
        <v>-722338.39</v>
      </c>
      <c r="AC38" s="204" t="e">
        <f t="shared" si="38"/>
        <v>#VALUE!</v>
      </c>
      <c r="AD38" s="204" t="e">
        <f t="shared" si="39"/>
        <v>#VALUE!</v>
      </c>
      <c r="AE38" s="204" t="e">
        <f t="shared" si="40"/>
        <v>#VALUE!</v>
      </c>
      <c r="AF38" s="204" t="e">
        <f t="shared" si="41"/>
        <v>#VALUE!</v>
      </c>
      <c r="AG38" s="204" t="e">
        <f t="shared" si="42"/>
        <v>#VALUE!</v>
      </c>
      <c r="AH38" s="204" t="e">
        <f t="shared" si="43"/>
        <v>#VALUE!</v>
      </c>
      <c r="AI38" s="204" t="e">
        <f t="shared" si="44"/>
        <v>#VALUE!</v>
      </c>
      <c r="AJ38" s="205">
        <f t="shared" si="52"/>
        <v>-1202693.4193500001</v>
      </c>
      <c r="AK38" s="204" t="e">
        <f t="shared" si="53"/>
        <v>#VALUE!</v>
      </c>
      <c r="AL38" s="204" t="e">
        <f t="shared" si="54"/>
        <v>#VALUE!</v>
      </c>
      <c r="AM38" s="204" t="e">
        <f t="shared" si="55"/>
        <v>#VALUE!</v>
      </c>
      <c r="AN38" s="204" t="e">
        <f t="shared" si="56"/>
        <v>#VALUE!</v>
      </c>
      <c r="AO38" s="204" t="e">
        <f t="shared" si="57"/>
        <v>#VALUE!</v>
      </c>
      <c r="AP38" s="204" t="e">
        <f t="shared" si="58"/>
        <v>#VALUE!</v>
      </c>
      <c r="AQ38" s="204" t="e">
        <f t="shared" si="59"/>
        <v>#VALUE!</v>
      </c>
      <c r="AR38" s="206" t="e">
        <f t="shared" si="60"/>
        <v>#VALUE!</v>
      </c>
      <c r="AS38" s="170" t="e">
        <f t="shared" si="61"/>
        <v>#VALUE!</v>
      </c>
      <c r="AT38" s="170" t="e">
        <f t="shared" si="62"/>
        <v>#VALUE!</v>
      </c>
      <c r="AU38" s="207" t="e">
        <f t="shared" si="63"/>
        <v>#VALUE!</v>
      </c>
      <c r="AV38" s="208" t="e">
        <f t="shared" si="64"/>
        <v>#VALUE!</v>
      </c>
      <c r="AW38" s="201" t="str">
        <f t="shared" si="65"/>
        <v>Fase de Degradação</v>
      </c>
      <c r="AX38" s="253" t="e">
        <f>VLOOKUP(D38,#REF!,5,FALSE)</f>
        <v>#REF!</v>
      </c>
      <c r="AY38" s="201"/>
      <c r="AZ38" s="273" t="s">
        <v>1224</v>
      </c>
      <c r="BB38">
        <f>IFERROR(VLOOKUP(Tabela1[[#This Row],[Denominação]],[10]Planilha1!$A:$B,2,FALSE),"")</f>
        <v>515162.57999999967</v>
      </c>
    </row>
    <row r="39" spans="1:54" ht="15" hidden="1" customHeight="1" x14ac:dyDescent="0.3">
      <c r="A39" s="268">
        <v>38</v>
      </c>
      <c r="B39" s="171" t="s">
        <v>546</v>
      </c>
      <c r="C39" s="209" t="s">
        <v>574</v>
      </c>
      <c r="D39" s="171">
        <v>10006151</v>
      </c>
      <c r="E39" s="253" t="s">
        <v>1251</v>
      </c>
      <c r="F39" s="210">
        <v>4529</v>
      </c>
      <c r="G39" s="171">
        <v>42593</v>
      </c>
      <c r="H39" s="171">
        <v>2012</v>
      </c>
      <c r="I39" s="213">
        <v>197429.65</v>
      </c>
      <c r="J39" s="213">
        <v>19203</v>
      </c>
      <c r="K39" s="170">
        <v>113037.16999999998</v>
      </c>
      <c r="L39" s="207">
        <v>1.79</v>
      </c>
      <c r="M39" s="212">
        <v>4400</v>
      </c>
      <c r="N39" s="212">
        <v>87040</v>
      </c>
      <c r="O39" s="171">
        <v>332</v>
      </c>
      <c r="P39" s="271" t="str">
        <f>IFERROR(VLOOKUP(Tabela1[[#This Row],[TAG]],#REF!,14,FALSE),"")</f>
        <v/>
      </c>
      <c r="Q39" s="204" t="e">
        <f t="shared" si="45"/>
        <v>#VALUE!</v>
      </c>
      <c r="R39" s="204" t="e">
        <f t="shared" si="46"/>
        <v>#VALUE!</v>
      </c>
      <c r="S39" s="204" t="e">
        <f t="shared" si="47"/>
        <v>#VALUE!</v>
      </c>
      <c r="T39" s="204" t="e">
        <f t="shared" si="48"/>
        <v>#VALUE!</v>
      </c>
      <c r="U39" s="204" t="e">
        <f t="shared" si="49"/>
        <v>#VALUE!</v>
      </c>
      <c r="V39" s="204" t="e">
        <f t="shared" si="50"/>
        <v>#VALUE!</v>
      </c>
      <c r="W39" s="218">
        <v>371.85</v>
      </c>
      <c r="X39" s="218">
        <v>1694.47</v>
      </c>
      <c r="Y39" s="203">
        <v>0.1</v>
      </c>
      <c r="Z39" s="203">
        <f>IF(Tabela1[[#This Row],[Ano Aquisição]]=2023,0,IFERROR(VLOOKUP(H39,inflação!$F:$H,3,FALSE),""))</f>
        <v>0.66500000000000004</v>
      </c>
      <c r="AA39" s="203">
        <v>0.8</v>
      </c>
      <c r="AB39" s="202">
        <f t="shared" si="51"/>
        <v>-197429.65</v>
      </c>
      <c r="AC39" s="204" t="e">
        <f t="shared" si="38"/>
        <v>#VALUE!</v>
      </c>
      <c r="AD39" s="204" t="e">
        <f t="shared" si="39"/>
        <v>#VALUE!</v>
      </c>
      <c r="AE39" s="204" t="e">
        <f t="shared" si="40"/>
        <v>#VALUE!</v>
      </c>
      <c r="AF39" s="204" t="e">
        <f t="shared" si="41"/>
        <v>#VALUE!</v>
      </c>
      <c r="AG39" s="204" t="e">
        <f t="shared" si="42"/>
        <v>#VALUE!</v>
      </c>
      <c r="AH39" s="204" t="e">
        <f t="shared" si="43"/>
        <v>#VALUE!</v>
      </c>
      <c r="AI39" s="204" t="e">
        <f t="shared" si="44"/>
        <v>#VALUE!</v>
      </c>
      <c r="AJ39" s="205">
        <f t="shared" si="52"/>
        <v>-328720.36725000001</v>
      </c>
      <c r="AK39" s="204" t="e">
        <f t="shared" si="53"/>
        <v>#VALUE!</v>
      </c>
      <c r="AL39" s="204" t="e">
        <f t="shared" si="54"/>
        <v>#VALUE!</v>
      </c>
      <c r="AM39" s="204" t="e">
        <f t="shared" si="55"/>
        <v>#VALUE!</v>
      </c>
      <c r="AN39" s="204" t="e">
        <f t="shared" si="56"/>
        <v>#VALUE!</v>
      </c>
      <c r="AO39" s="204" t="e">
        <f t="shared" si="57"/>
        <v>#VALUE!</v>
      </c>
      <c r="AP39" s="204" t="e">
        <f t="shared" si="58"/>
        <v>#VALUE!</v>
      </c>
      <c r="AQ39" s="204" t="e">
        <f t="shared" si="59"/>
        <v>#VALUE!</v>
      </c>
      <c r="AR39" s="206" t="e">
        <f t="shared" si="60"/>
        <v>#VALUE!</v>
      </c>
      <c r="AS39" s="170" t="e">
        <f t="shared" si="61"/>
        <v>#VALUE!</v>
      </c>
      <c r="AT39" s="170" t="e">
        <f t="shared" si="62"/>
        <v>#VALUE!</v>
      </c>
      <c r="AU39" s="207" t="e">
        <f t="shared" si="63"/>
        <v>#VALUE!</v>
      </c>
      <c r="AV39" s="208" t="e">
        <f t="shared" si="64"/>
        <v>#VALUE!</v>
      </c>
      <c r="AW39" s="201" t="str">
        <f t="shared" si="65"/>
        <v>Fase de Degradação</v>
      </c>
      <c r="AX39" s="253" t="e">
        <f>VLOOKUP(D39,#REF!,5,FALSE)</f>
        <v>#REF!</v>
      </c>
      <c r="AY39" s="201"/>
      <c r="AZ39" s="273" t="s">
        <v>1224</v>
      </c>
      <c r="BB39">
        <f>IFERROR(VLOOKUP(Tabela1[[#This Row],[Denominação]],[10]Planilha1!$A:$B,2,FALSE),"")</f>
        <v>113037.16999999998</v>
      </c>
    </row>
    <row r="40" spans="1:54" ht="15" hidden="1" customHeight="1" x14ac:dyDescent="0.3">
      <c r="A40" s="253">
        <v>39</v>
      </c>
      <c r="B40" s="171" t="s">
        <v>357</v>
      </c>
      <c r="C40" s="209" t="s">
        <v>178</v>
      </c>
      <c r="D40" s="171">
        <v>10006217</v>
      </c>
      <c r="E40" s="253" t="s">
        <v>1252</v>
      </c>
      <c r="F40" s="210">
        <v>4529</v>
      </c>
      <c r="G40" s="171">
        <v>43153</v>
      </c>
      <c r="H40" s="171">
        <v>2013</v>
      </c>
      <c r="I40" s="213">
        <v>437393.5</v>
      </c>
      <c r="J40" s="213">
        <v>53448</v>
      </c>
      <c r="K40" s="170">
        <v>560654.16000000015</v>
      </c>
      <c r="L40" s="215">
        <v>1.69</v>
      </c>
      <c r="M40" s="212">
        <v>4389</v>
      </c>
      <c r="N40" s="212">
        <v>87451</v>
      </c>
      <c r="O40" s="171">
        <v>347</v>
      </c>
      <c r="P40" s="271" t="str">
        <f>IFERROR(VLOOKUP(Tabela1[[#This Row],[TAG]],#REF!,14,FALSE),"")</f>
        <v/>
      </c>
      <c r="Q40" s="204" t="e">
        <f t="shared" si="45"/>
        <v>#VALUE!</v>
      </c>
      <c r="R40" s="204" t="e">
        <f t="shared" si="46"/>
        <v>#VALUE!</v>
      </c>
      <c r="S40" s="204" t="e">
        <f t="shared" si="47"/>
        <v>#VALUE!</v>
      </c>
      <c r="T40" s="204" t="e">
        <f t="shared" si="48"/>
        <v>#VALUE!</v>
      </c>
      <c r="U40" s="204" t="e">
        <f t="shared" si="49"/>
        <v>#VALUE!</v>
      </c>
      <c r="V40" s="204" t="e">
        <f t="shared" si="50"/>
        <v>#VALUE!</v>
      </c>
      <c r="W40" s="218">
        <v>412.33</v>
      </c>
      <c r="X40" s="218">
        <v>1746.29</v>
      </c>
      <c r="Y40" s="203">
        <v>0.1</v>
      </c>
      <c r="Z40" s="203">
        <f>IF(Tabela1[[#This Row],[Ano Aquisição]]=2023,0,IFERROR(VLOOKUP(H40,inflação!$F:$H,3,FALSE),""))</f>
        <v>0.60660000000000003</v>
      </c>
      <c r="AA40" s="203">
        <v>0.8</v>
      </c>
      <c r="AB40" s="202">
        <f t="shared" si="51"/>
        <v>-437393.5</v>
      </c>
      <c r="AC40" s="204" t="e">
        <f t="shared" ref="AC40:AC66" si="66">-(((P40*$W40)+($X40*12))*((1+$Y40)^AC$1))</f>
        <v>#VALUE!</v>
      </c>
      <c r="AD40" s="204" t="e">
        <f t="shared" ref="AD40:AD66" si="67">-((((Q40-P40)*$W40)+($X40*12))*((1+$Y40)^AD$1))</f>
        <v>#VALUE!</v>
      </c>
      <c r="AE40" s="204" t="e">
        <f t="shared" ref="AE40:AE66" si="68">-((((R40-Q40)*$W40)+($X40*12))*((1+$Y40)^AE$1))</f>
        <v>#VALUE!</v>
      </c>
      <c r="AF40" s="204" t="e">
        <f t="shared" ref="AF40:AF66" si="69">-((((S40-R40)*$W40)+($X40*12))*((1+$Y40)^AF$1))</f>
        <v>#VALUE!</v>
      </c>
      <c r="AG40" s="204" t="e">
        <f t="shared" ref="AG40:AG66" si="70">-((((T40-S40)*$W40)+($X40*12))*((1+$Y40)^AG$1))</f>
        <v>#VALUE!</v>
      </c>
      <c r="AH40" s="204" t="e">
        <f t="shared" ref="AH40:AH66" si="71">-((((U40-T40)*$W40)+($X40*12))*((1+$Y40)^AH$1))</f>
        <v>#VALUE!</v>
      </c>
      <c r="AI40" s="204" t="e">
        <f t="shared" ref="AI40:AI66" si="72">-((((V40-U40)*$W40)+($X40*12))*((1+$Y40)^AI$1))</f>
        <v>#VALUE!</v>
      </c>
      <c r="AJ40" s="205">
        <f t="shared" si="52"/>
        <v>-702716.39710000006</v>
      </c>
      <c r="AK40" s="204" t="e">
        <f t="shared" si="53"/>
        <v>#VALUE!</v>
      </c>
      <c r="AL40" s="204" t="e">
        <f t="shared" si="54"/>
        <v>#VALUE!</v>
      </c>
      <c r="AM40" s="204" t="e">
        <f t="shared" si="55"/>
        <v>#VALUE!</v>
      </c>
      <c r="AN40" s="204" t="e">
        <f t="shared" si="56"/>
        <v>#VALUE!</v>
      </c>
      <c r="AO40" s="204" t="e">
        <f t="shared" si="57"/>
        <v>#VALUE!</v>
      </c>
      <c r="AP40" s="204" t="e">
        <f t="shared" si="58"/>
        <v>#VALUE!</v>
      </c>
      <c r="AQ40" s="204" t="e">
        <f t="shared" si="59"/>
        <v>#VALUE!</v>
      </c>
      <c r="AR40" s="206" t="e">
        <f t="shared" si="60"/>
        <v>#VALUE!</v>
      </c>
      <c r="AS40" s="170" t="e">
        <f t="shared" si="61"/>
        <v>#VALUE!</v>
      </c>
      <c r="AT40" s="170" t="e">
        <f t="shared" si="62"/>
        <v>#VALUE!</v>
      </c>
      <c r="AU40" s="207" t="e">
        <f t="shared" si="63"/>
        <v>#VALUE!</v>
      </c>
      <c r="AV40" s="208" t="e">
        <f t="shared" si="64"/>
        <v>#VALUE!</v>
      </c>
      <c r="AW40" s="201" t="str">
        <f t="shared" si="65"/>
        <v>Fase de Degradação</v>
      </c>
      <c r="AX40" s="253" t="e">
        <f>VLOOKUP(D40,#REF!,5,FALSE)</f>
        <v>#REF!</v>
      </c>
      <c r="AY40" s="201"/>
      <c r="AZ40" s="273" t="s">
        <v>1224</v>
      </c>
      <c r="BB40">
        <f>IFERROR(VLOOKUP(Tabela1[[#This Row],[Denominação]],[10]Planilha1!$A:$B,2,FALSE),"")</f>
        <v>560654.16000000015</v>
      </c>
    </row>
    <row r="41" spans="1:54" ht="15" hidden="1" customHeight="1" x14ac:dyDescent="0.3">
      <c r="A41" s="268">
        <v>40</v>
      </c>
      <c r="B41" s="171" t="s">
        <v>547</v>
      </c>
      <c r="C41" s="209" t="s">
        <v>575</v>
      </c>
      <c r="D41" s="171">
        <v>10006218</v>
      </c>
      <c r="E41" s="253" t="s">
        <v>1252</v>
      </c>
      <c r="F41" s="210">
        <v>4529</v>
      </c>
      <c r="G41" s="171">
        <v>43152</v>
      </c>
      <c r="H41" s="171">
        <v>2013</v>
      </c>
      <c r="I41" s="213">
        <v>249739.06</v>
      </c>
      <c r="J41" s="213">
        <v>35301</v>
      </c>
      <c r="K41" s="170">
        <v>78477.42999999992</v>
      </c>
      <c r="L41" s="207">
        <v>1.05</v>
      </c>
      <c r="M41" s="212">
        <v>4389</v>
      </c>
      <c r="N41" s="212">
        <v>83246</v>
      </c>
      <c r="O41" s="171">
        <v>262</v>
      </c>
      <c r="P41" s="271" t="str">
        <f>IFERROR(VLOOKUP(Tabela1[[#This Row],[TAG]],#REF!,14,FALSE),"")</f>
        <v/>
      </c>
      <c r="Q41" s="204" t="e">
        <f t="shared" si="45"/>
        <v>#VALUE!</v>
      </c>
      <c r="R41" s="204" t="e">
        <f t="shared" si="46"/>
        <v>#VALUE!</v>
      </c>
      <c r="S41" s="204" t="e">
        <f t="shared" si="47"/>
        <v>#VALUE!</v>
      </c>
      <c r="T41" s="204" t="e">
        <f t="shared" si="48"/>
        <v>#VALUE!</v>
      </c>
      <c r="U41" s="204" t="e">
        <f t="shared" si="49"/>
        <v>#VALUE!</v>
      </c>
      <c r="V41" s="204" t="e">
        <f t="shared" si="50"/>
        <v>#VALUE!</v>
      </c>
      <c r="W41" s="218">
        <v>336.22</v>
      </c>
      <c r="X41" s="218">
        <v>790.26</v>
      </c>
      <c r="Y41" s="203">
        <v>0.1</v>
      </c>
      <c r="Z41" s="203">
        <f>IF(Tabela1[[#This Row],[Ano Aquisição]]=2023,0,IFERROR(VLOOKUP(H41,inflação!$F:$H,3,FALSE),""))</f>
        <v>0.60660000000000003</v>
      </c>
      <c r="AA41" s="203">
        <v>0.8</v>
      </c>
      <c r="AB41" s="202">
        <f t="shared" si="51"/>
        <v>-249739.06</v>
      </c>
      <c r="AC41" s="204" t="e">
        <f t="shared" si="66"/>
        <v>#VALUE!</v>
      </c>
      <c r="AD41" s="204" t="e">
        <f t="shared" si="67"/>
        <v>#VALUE!</v>
      </c>
      <c r="AE41" s="204" t="e">
        <f t="shared" si="68"/>
        <v>#VALUE!</v>
      </c>
      <c r="AF41" s="204" t="e">
        <f t="shared" si="69"/>
        <v>#VALUE!</v>
      </c>
      <c r="AG41" s="204" t="e">
        <f t="shared" si="70"/>
        <v>#VALUE!</v>
      </c>
      <c r="AH41" s="204" t="e">
        <f t="shared" si="71"/>
        <v>#VALUE!</v>
      </c>
      <c r="AI41" s="204" t="e">
        <f t="shared" si="72"/>
        <v>#VALUE!</v>
      </c>
      <c r="AJ41" s="205">
        <f t="shared" si="52"/>
        <v>-401230.77379599999</v>
      </c>
      <c r="AK41" s="204" t="e">
        <f t="shared" si="53"/>
        <v>#VALUE!</v>
      </c>
      <c r="AL41" s="204" t="e">
        <f t="shared" si="54"/>
        <v>#VALUE!</v>
      </c>
      <c r="AM41" s="204" t="e">
        <f t="shared" si="55"/>
        <v>#VALUE!</v>
      </c>
      <c r="AN41" s="204" t="e">
        <f t="shared" si="56"/>
        <v>#VALUE!</v>
      </c>
      <c r="AO41" s="204" t="e">
        <f t="shared" si="57"/>
        <v>#VALUE!</v>
      </c>
      <c r="AP41" s="204" t="e">
        <f t="shared" si="58"/>
        <v>#VALUE!</v>
      </c>
      <c r="AQ41" s="204" t="e">
        <f t="shared" si="59"/>
        <v>#VALUE!</v>
      </c>
      <c r="AR41" s="206" t="e">
        <f t="shared" si="60"/>
        <v>#VALUE!</v>
      </c>
      <c r="AS41" s="170" t="e">
        <f t="shared" si="61"/>
        <v>#VALUE!</v>
      </c>
      <c r="AT41" s="170" t="e">
        <f t="shared" si="62"/>
        <v>#VALUE!</v>
      </c>
      <c r="AU41" s="207" t="e">
        <f t="shared" si="63"/>
        <v>#VALUE!</v>
      </c>
      <c r="AV41" s="208" t="e">
        <f t="shared" si="64"/>
        <v>#VALUE!</v>
      </c>
      <c r="AW41" s="201" t="str">
        <f t="shared" si="65"/>
        <v>Fase de Vida Útil</v>
      </c>
      <c r="AX41" s="253" t="e">
        <f>VLOOKUP(D41,#REF!,5,FALSE)</f>
        <v>#REF!</v>
      </c>
      <c r="AY41" s="201"/>
      <c r="AZ41" s="273" t="s">
        <v>1224</v>
      </c>
      <c r="BB41">
        <f>IFERROR(VLOOKUP(Tabela1[[#This Row],[Denominação]],[10]Planilha1!$A:$B,2,FALSE),"")</f>
        <v>78477.42999999992</v>
      </c>
    </row>
    <row r="42" spans="1:54" ht="15" hidden="1" customHeight="1" x14ac:dyDescent="0.3">
      <c r="A42" s="253">
        <v>41</v>
      </c>
      <c r="B42" s="171" t="s">
        <v>127</v>
      </c>
      <c r="C42" s="209" t="s">
        <v>128</v>
      </c>
      <c r="D42" s="171">
        <v>10006355</v>
      </c>
      <c r="E42" s="253" t="s">
        <v>1253</v>
      </c>
      <c r="F42" s="210">
        <v>4527</v>
      </c>
      <c r="G42" s="171">
        <v>45732</v>
      </c>
      <c r="H42" s="171">
        <v>2015</v>
      </c>
      <c r="I42" s="213">
        <v>1272844.47</v>
      </c>
      <c r="J42" s="213">
        <v>382831</v>
      </c>
      <c r="K42" s="170">
        <v>387641.80000000016</v>
      </c>
      <c r="L42" s="215">
        <v>1.06</v>
      </c>
      <c r="M42" s="212">
        <v>4823</v>
      </c>
      <c r="N42" s="212">
        <v>68994</v>
      </c>
      <c r="O42" s="171">
        <v>656</v>
      </c>
      <c r="P42" s="271" t="str">
        <f>IFERROR(VLOOKUP(Tabela1[[#This Row],[TAG]],#REF!,14,FALSE),"")</f>
        <v/>
      </c>
      <c r="Q42" s="204" t="e">
        <f>P42+P42</f>
        <v>#VALUE!</v>
      </c>
      <c r="R42" s="204" t="e">
        <f t="shared" si="46"/>
        <v>#VALUE!</v>
      </c>
      <c r="S42" s="204" t="e">
        <f t="shared" si="47"/>
        <v>#VALUE!</v>
      </c>
      <c r="T42" s="204" t="e">
        <f t="shared" si="48"/>
        <v>#VALUE!</v>
      </c>
      <c r="U42" s="204" t="e">
        <f t="shared" si="49"/>
        <v>#VALUE!</v>
      </c>
      <c r="V42" s="204" t="e">
        <f t="shared" si="50"/>
        <v>#VALUE!</v>
      </c>
      <c r="W42" s="218">
        <v>240.6</v>
      </c>
      <c r="X42" s="218">
        <v>808.03</v>
      </c>
      <c r="Y42" s="203">
        <v>0.1</v>
      </c>
      <c r="Z42" s="203">
        <f>IF(Tabela1[[#This Row],[Ano Aquisição]]=2023,0,IFERROR(VLOOKUP(H42,inflação!$F:$H,3,FALSE),""))</f>
        <v>0.4834</v>
      </c>
      <c r="AA42" s="203">
        <v>0.8</v>
      </c>
      <c r="AB42" s="202">
        <f t="shared" si="51"/>
        <v>-1272844.47</v>
      </c>
      <c r="AC42" s="204" t="e">
        <f t="shared" si="66"/>
        <v>#VALUE!</v>
      </c>
      <c r="AD42" s="204" t="e">
        <f t="shared" si="67"/>
        <v>#VALUE!</v>
      </c>
      <c r="AE42" s="204" t="e">
        <f t="shared" si="68"/>
        <v>#VALUE!</v>
      </c>
      <c r="AF42" s="204" t="e">
        <f t="shared" si="69"/>
        <v>#VALUE!</v>
      </c>
      <c r="AG42" s="204" t="e">
        <f t="shared" si="70"/>
        <v>#VALUE!</v>
      </c>
      <c r="AH42" s="204" t="e">
        <f t="shared" si="71"/>
        <v>#VALUE!</v>
      </c>
      <c r="AI42" s="204" t="e">
        <f t="shared" si="72"/>
        <v>#VALUE!</v>
      </c>
      <c r="AJ42" s="205">
        <f t="shared" si="52"/>
        <v>-1888137.4867980001</v>
      </c>
      <c r="AK42" s="204" t="e">
        <f t="shared" si="53"/>
        <v>#VALUE!</v>
      </c>
      <c r="AL42" s="204" t="e">
        <f t="shared" si="54"/>
        <v>#VALUE!</v>
      </c>
      <c r="AM42" s="204" t="e">
        <f t="shared" si="55"/>
        <v>#VALUE!</v>
      </c>
      <c r="AN42" s="204" t="e">
        <f t="shared" si="56"/>
        <v>#VALUE!</v>
      </c>
      <c r="AO42" s="204" t="e">
        <f t="shared" si="57"/>
        <v>#VALUE!</v>
      </c>
      <c r="AP42" s="204" t="e">
        <f t="shared" si="58"/>
        <v>#VALUE!</v>
      </c>
      <c r="AQ42" s="204" t="e">
        <f t="shared" si="59"/>
        <v>#VALUE!</v>
      </c>
      <c r="AR42" s="206" t="e">
        <f t="shared" si="60"/>
        <v>#VALUE!</v>
      </c>
      <c r="AS42" s="170" t="e">
        <f t="shared" si="61"/>
        <v>#VALUE!</v>
      </c>
      <c r="AT42" s="170" t="e">
        <f t="shared" si="62"/>
        <v>#VALUE!</v>
      </c>
      <c r="AU42" s="207" t="e">
        <f t="shared" si="63"/>
        <v>#VALUE!</v>
      </c>
      <c r="AV42" s="208" t="e">
        <f t="shared" si="64"/>
        <v>#VALUE!</v>
      </c>
      <c r="AW42" s="201" t="str">
        <f t="shared" si="65"/>
        <v>Fase de Vida Útil</v>
      </c>
      <c r="AX42" s="253" t="e">
        <f>VLOOKUP(D42,#REF!,5,FALSE)</f>
        <v>#REF!</v>
      </c>
      <c r="AY42" s="201"/>
      <c r="AZ42" s="273" t="s">
        <v>1224</v>
      </c>
      <c r="BB42">
        <f>IFERROR(VLOOKUP(Tabela1[[#This Row],[Denominação]],[10]Planilha1!$A:$B,2,FALSE),"")</f>
        <v>387641.80000000016</v>
      </c>
    </row>
    <row r="43" spans="1:54" ht="15" hidden="1" customHeight="1" x14ac:dyDescent="0.3">
      <c r="A43" s="268">
        <v>42</v>
      </c>
      <c r="B43" s="171" t="s">
        <v>291</v>
      </c>
      <c r="C43" s="209" t="s">
        <v>292</v>
      </c>
      <c r="D43" s="171">
        <v>10006392</v>
      </c>
      <c r="E43" s="253" t="s">
        <v>1254</v>
      </c>
      <c r="F43" s="210">
        <v>4527</v>
      </c>
      <c r="G43" s="171">
        <v>46500</v>
      </c>
      <c r="H43" s="171">
        <v>2016</v>
      </c>
      <c r="I43" s="213">
        <v>1884728.58</v>
      </c>
      <c r="J43" s="213">
        <v>734434</v>
      </c>
      <c r="K43" s="170">
        <v>370158.01000000007</v>
      </c>
      <c r="L43" s="207">
        <v>1.18</v>
      </c>
      <c r="M43" s="212">
        <v>4966</v>
      </c>
      <c r="N43" s="212">
        <v>61964</v>
      </c>
      <c r="O43" s="171">
        <v>778</v>
      </c>
      <c r="P43" s="271" t="str">
        <f>IFERROR(VLOOKUP(Tabela1[[#This Row],[TAG]],#REF!,14,FALSE),"")</f>
        <v/>
      </c>
      <c r="Q43" s="204" t="e">
        <f t="shared" si="45"/>
        <v>#VALUE!</v>
      </c>
      <c r="R43" s="204" t="e">
        <f t="shared" si="46"/>
        <v>#VALUE!</v>
      </c>
      <c r="S43" s="204" t="e">
        <f t="shared" si="47"/>
        <v>#VALUE!</v>
      </c>
      <c r="T43" s="204" t="e">
        <f t="shared" si="48"/>
        <v>#VALUE!</v>
      </c>
      <c r="U43" s="204" t="e">
        <f t="shared" si="49"/>
        <v>#VALUE!</v>
      </c>
      <c r="V43" s="204" t="e">
        <f t="shared" si="50"/>
        <v>#VALUE!</v>
      </c>
      <c r="W43" s="218">
        <v>312.44</v>
      </c>
      <c r="X43" s="218">
        <v>1686.37</v>
      </c>
      <c r="Y43" s="203">
        <v>0.1</v>
      </c>
      <c r="Z43" s="203">
        <f>IF(Tabela1[[#This Row],[Ano Aquisição]]=2023,0,IFERROR(VLOOKUP(H43,inflação!$F:$H,3,FALSE),""))</f>
        <v>0.37669999999999998</v>
      </c>
      <c r="AA43" s="203">
        <v>0.8</v>
      </c>
      <c r="AB43" s="202">
        <f t="shared" si="51"/>
        <v>-1884728.58</v>
      </c>
      <c r="AC43" s="204" t="e">
        <f t="shared" si="66"/>
        <v>#VALUE!</v>
      </c>
      <c r="AD43" s="204" t="e">
        <f t="shared" si="67"/>
        <v>#VALUE!</v>
      </c>
      <c r="AE43" s="204" t="e">
        <f t="shared" si="68"/>
        <v>#VALUE!</v>
      </c>
      <c r="AF43" s="204" t="e">
        <f t="shared" si="69"/>
        <v>#VALUE!</v>
      </c>
      <c r="AG43" s="204" t="e">
        <f t="shared" si="70"/>
        <v>#VALUE!</v>
      </c>
      <c r="AH43" s="204" t="e">
        <f t="shared" si="71"/>
        <v>#VALUE!</v>
      </c>
      <c r="AI43" s="204" t="e">
        <f t="shared" si="72"/>
        <v>#VALUE!</v>
      </c>
      <c r="AJ43" s="205">
        <f t="shared" si="52"/>
        <v>-2594705.8360860003</v>
      </c>
      <c r="AK43" s="204" t="e">
        <f t="shared" si="53"/>
        <v>#VALUE!</v>
      </c>
      <c r="AL43" s="204" t="e">
        <f t="shared" si="54"/>
        <v>#VALUE!</v>
      </c>
      <c r="AM43" s="204" t="e">
        <f t="shared" si="55"/>
        <v>#VALUE!</v>
      </c>
      <c r="AN43" s="204" t="e">
        <f t="shared" si="56"/>
        <v>#VALUE!</v>
      </c>
      <c r="AO43" s="204" t="e">
        <f t="shared" si="57"/>
        <v>#VALUE!</v>
      </c>
      <c r="AP43" s="204" t="e">
        <f t="shared" si="58"/>
        <v>#VALUE!</v>
      </c>
      <c r="AQ43" s="204" t="e">
        <f t="shared" si="59"/>
        <v>#VALUE!</v>
      </c>
      <c r="AR43" s="206" t="e">
        <f t="shared" si="60"/>
        <v>#VALUE!</v>
      </c>
      <c r="AS43" s="170" t="e">
        <f t="shared" si="61"/>
        <v>#VALUE!</v>
      </c>
      <c r="AT43" s="170" t="e">
        <f t="shared" si="62"/>
        <v>#VALUE!</v>
      </c>
      <c r="AU43" s="207" t="e">
        <f t="shared" si="63"/>
        <v>#VALUE!</v>
      </c>
      <c r="AV43" s="208" t="e">
        <f t="shared" si="64"/>
        <v>#VALUE!</v>
      </c>
      <c r="AW43" s="201" t="str">
        <f t="shared" si="65"/>
        <v>Fase de Degradação</v>
      </c>
      <c r="AX43" s="253" t="e">
        <f>VLOOKUP(D43,#REF!,5,FALSE)</f>
        <v>#REF!</v>
      </c>
      <c r="AY43" s="201"/>
      <c r="AZ43" s="273" t="s">
        <v>1224</v>
      </c>
      <c r="BB43">
        <f>IFERROR(VLOOKUP(Tabela1[[#This Row],[Denominação]],[10]Planilha1!$A:$B,2,FALSE),"")</f>
        <v>370158.01000000007</v>
      </c>
    </row>
    <row r="44" spans="1:54" ht="15" hidden="1" customHeight="1" x14ac:dyDescent="0.3">
      <c r="A44" s="253">
        <v>43</v>
      </c>
      <c r="B44" s="171" t="s">
        <v>548</v>
      </c>
      <c r="C44" s="209" t="s">
        <v>576</v>
      </c>
      <c r="D44" s="171">
        <v>10006417</v>
      </c>
      <c r="E44" s="253" t="s">
        <v>1255</v>
      </c>
      <c r="F44" s="210">
        <v>4529</v>
      </c>
      <c r="G44" s="171">
        <v>46504</v>
      </c>
      <c r="H44" s="171">
        <v>2016</v>
      </c>
      <c r="I44" s="213">
        <v>1178191.7</v>
      </c>
      <c r="J44" s="213">
        <v>408924</v>
      </c>
      <c r="K44" s="170">
        <v>117043.81</v>
      </c>
      <c r="L44" s="207">
        <v>1.78</v>
      </c>
      <c r="M44" s="212">
        <v>4327</v>
      </c>
      <c r="N44" s="212">
        <v>59598</v>
      </c>
      <c r="O44" s="171">
        <v>154</v>
      </c>
      <c r="P44" s="271" t="str">
        <f>IFERROR(VLOOKUP(Tabela1[[#This Row],[TAG]],#REF!,14,FALSE),"")</f>
        <v/>
      </c>
      <c r="Q44" s="204" t="e">
        <f t="shared" si="45"/>
        <v>#VALUE!</v>
      </c>
      <c r="R44" s="204" t="e">
        <f t="shared" si="46"/>
        <v>#VALUE!</v>
      </c>
      <c r="S44" s="204" t="e">
        <f t="shared" si="47"/>
        <v>#VALUE!</v>
      </c>
      <c r="T44" s="204" t="e">
        <f t="shared" si="48"/>
        <v>#VALUE!</v>
      </c>
      <c r="U44" s="204" t="e">
        <f t="shared" si="49"/>
        <v>#VALUE!</v>
      </c>
      <c r="V44" s="204" t="e">
        <f t="shared" si="50"/>
        <v>#VALUE!</v>
      </c>
      <c r="W44" s="218">
        <v>448.55</v>
      </c>
      <c r="X44" s="218">
        <v>1185.03</v>
      </c>
      <c r="Y44" s="203">
        <v>0.1</v>
      </c>
      <c r="Z44" s="203">
        <f>IF(Tabela1[[#This Row],[Ano Aquisição]]=2023,0,IFERROR(VLOOKUP(H44,inflação!$F:$H,3,FALSE),""))</f>
        <v>0.37669999999999998</v>
      </c>
      <c r="AA44" s="203">
        <v>0.8</v>
      </c>
      <c r="AB44" s="202">
        <f t="shared" si="51"/>
        <v>-1178191.7</v>
      </c>
      <c r="AC44" s="204" t="e">
        <f t="shared" si="66"/>
        <v>#VALUE!</v>
      </c>
      <c r="AD44" s="204" t="e">
        <f t="shared" si="67"/>
        <v>#VALUE!</v>
      </c>
      <c r="AE44" s="204" t="e">
        <f t="shared" si="68"/>
        <v>#VALUE!</v>
      </c>
      <c r="AF44" s="204" t="e">
        <f t="shared" si="69"/>
        <v>#VALUE!</v>
      </c>
      <c r="AG44" s="204" t="e">
        <f t="shared" si="70"/>
        <v>#VALUE!</v>
      </c>
      <c r="AH44" s="204" t="e">
        <f t="shared" si="71"/>
        <v>#VALUE!</v>
      </c>
      <c r="AI44" s="204" t="e">
        <f t="shared" si="72"/>
        <v>#VALUE!</v>
      </c>
      <c r="AJ44" s="205">
        <f t="shared" si="52"/>
        <v>-1622016.51339</v>
      </c>
      <c r="AK44" s="204" t="e">
        <f t="shared" si="53"/>
        <v>#VALUE!</v>
      </c>
      <c r="AL44" s="204" t="e">
        <f t="shared" si="54"/>
        <v>#VALUE!</v>
      </c>
      <c r="AM44" s="204" t="e">
        <f t="shared" si="55"/>
        <v>#VALUE!</v>
      </c>
      <c r="AN44" s="204" t="e">
        <f t="shared" si="56"/>
        <v>#VALUE!</v>
      </c>
      <c r="AO44" s="204" t="e">
        <f t="shared" si="57"/>
        <v>#VALUE!</v>
      </c>
      <c r="AP44" s="204" t="e">
        <f t="shared" si="58"/>
        <v>#VALUE!</v>
      </c>
      <c r="AQ44" s="204" t="e">
        <f t="shared" si="59"/>
        <v>#VALUE!</v>
      </c>
      <c r="AR44" s="206" t="e">
        <f t="shared" si="60"/>
        <v>#VALUE!</v>
      </c>
      <c r="AS44" s="170" t="e">
        <f t="shared" si="61"/>
        <v>#VALUE!</v>
      </c>
      <c r="AT44" s="170" t="e">
        <f t="shared" si="62"/>
        <v>#VALUE!</v>
      </c>
      <c r="AU44" s="207" t="e">
        <f t="shared" si="63"/>
        <v>#VALUE!</v>
      </c>
      <c r="AV44" s="208" t="e">
        <f t="shared" si="64"/>
        <v>#VALUE!</v>
      </c>
      <c r="AW44" s="201" t="str">
        <f t="shared" si="65"/>
        <v>Fase de Degradação</v>
      </c>
      <c r="AX44" s="253" t="e">
        <f>VLOOKUP(D44,#REF!,5,FALSE)</f>
        <v>#REF!</v>
      </c>
      <c r="AY44" s="201"/>
      <c r="AZ44" s="273" t="s">
        <v>1224</v>
      </c>
      <c r="BB44">
        <f>IFERROR(VLOOKUP(Tabela1[[#This Row],[Denominação]],[10]Planilha1!$A:$B,2,FALSE),"")</f>
        <v>117043.81</v>
      </c>
    </row>
    <row r="45" spans="1:54" ht="15" hidden="1" customHeight="1" x14ac:dyDescent="0.3">
      <c r="A45" s="268">
        <v>44</v>
      </c>
      <c r="B45" s="171" t="s">
        <v>549</v>
      </c>
      <c r="C45" s="209" t="s">
        <v>577</v>
      </c>
      <c r="D45" s="171">
        <v>10006418</v>
      </c>
      <c r="E45" s="253" t="s">
        <v>1255</v>
      </c>
      <c r="F45" s="210">
        <v>4529</v>
      </c>
      <c r="G45" s="171">
        <v>46503</v>
      </c>
      <c r="H45" s="171">
        <v>2016</v>
      </c>
      <c r="I45" s="213">
        <v>547789.79</v>
      </c>
      <c r="J45" s="213">
        <v>194707</v>
      </c>
      <c r="K45" s="170">
        <v>63801.02000000004</v>
      </c>
      <c r="L45" s="207">
        <v>1.21</v>
      </c>
      <c r="M45" s="212">
        <v>4327</v>
      </c>
      <c r="N45" s="212">
        <v>57496</v>
      </c>
      <c r="O45" s="171">
        <v>84</v>
      </c>
      <c r="P45" s="271" t="str">
        <f>IFERROR(VLOOKUP(Tabela1[[#This Row],[TAG]],#REF!,14,FALSE),"")</f>
        <v/>
      </c>
      <c r="Q45" s="204" t="e">
        <f t="shared" si="45"/>
        <v>#VALUE!</v>
      </c>
      <c r="R45" s="204" t="e">
        <f t="shared" si="46"/>
        <v>#VALUE!</v>
      </c>
      <c r="S45" s="204" t="e">
        <f t="shared" si="47"/>
        <v>#VALUE!</v>
      </c>
      <c r="T45" s="204" t="e">
        <f t="shared" si="48"/>
        <v>#VALUE!</v>
      </c>
      <c r="U45" s="204" t="e">
        <f t="shared" si="49"/>
        <v>#VALUE!</v>
      </c>
      <c r="V45" s="204" t="e">
        <f t="shared" si="50"/>
        <v>#VALUE!</v>
      </c>
      <c r="W45" s="218">
        <v>331.2</v>
      </c>
      <c r="X45" s="218">
        <v>550.67999999999995</v>
      </c>
      <c r="Y45" s="203">
        <v>0.1</v>
      </c>
      <c r="Z45" s="203">
        <f>IF(Tabela1[[#This Row],[Ano Aquisição]]=2023,0,IFERROR(VLOOKUP(H45,inflação!$F:$H,3,FALSE),""))</f>
        <v>0.37669999999999998</v>
      </c>
      <c r="AA45" s="203">
        <v>0.8</v>
      </c>
      <c r="AB45" s="202">
        <f t="shared" si="51"/>
        <v>-547789.79</v>
      </c>
      <c r="AC45" s="204" t="e">
        <f t="shared" si="66"/>
        <v>#VALUE!</v>
      </c>
      <c r="AD45" s="204" t="e">
        <f t="shared" si="67"/>
        <v>#VALUE!</v>
      </c>
      <c r="AE45" s="204" t="e">
        <f t="shared" si="68"/>
        <v>#VALUE!</v>
      </c>
      <c r="AF45" s="204" t="e">
        <f t="shared" si="69"/>
        <v>#VALUE!</v>
      </c>
      <c r="AG45" s="204" t="e">
        <f t="shared" si="70"/>
        <v>#VALUE!</v>
      </c>
      <c r="AH45" s="204" t="e">
        <f t="shared" si="71"/>
        <v>#VALUE!</v>
      </c>
      <c r="AI45" s="204" t="e">
        <f t="shared" si="72"/>
        <v>#VALUE!</v>
      </c>
      <c r="AJ45" s="205">
        <f t="shared" si="52"/>
        <v>-754142.20389300003</v>
      </c>
      <c r="AK45" s="204" t="e">
        <f t="shared" si="53"/>
        <v>#VALUE!</v>
      </c>
      <c r="AL45" s="204" t="e">
        <f t="shared" si="54"/>
        <v>#VALUE!</v>
      </c>
      <c r="AM45" s="204" t="e">
        <f t="shared" si="55"/>
        <v>#VALUE!</v>
      </c>
      <c r="AN45" s="204" t="e">
        <f t="shared" si="56"/>
        <v>#VALUE!</v>
      </c>
      <c r="AO45" s="204" t="e">
        <f t="shared" si="57"/>
        <v>#VALUE!</v>
      </c>
      <c r="AP45" s="204" t="e">
        <f t="shared" si="58"/>
        <v>#VALUE!</v>
      </c>
      <c r="AQ45" s="204" t="e">
        <f t="shared" si="59"/>
        <v>#VALUE!</v>
      </c>
      <c r="AR45" s="206" t="e">
        <f t="shared" si="60"/>
        <v>#VALUE!</v>
      </c>
      <c r="AS45" s="170" t="e">
        <f t="shared" si="61"/>
        <v>#VALUE!</v>
      </c>
      <c r="AT45" s="170" t="e">
        <f t="shared" si="62"/>
        <v>#VALUE!</v>
      </c>
      <c r="AU45" s="207" t="e">
        <f t="shared" si="63"/>
        <v>#VALUE!</v>
      </c>
      <c r="AV45" s="208" t="e">
        <f t="shared" si="64"/>
        <v>#VALUE!</v>
      </c>
      <c r="AW45" s="201" t="str">
        <f t="shared" si="65"/>
        <v>Fase de Degradação</v>
      </c>
      <c r="AX45" s="253" t="e">
        <f>VLOOKUP(D45,#REF!,5,FALSE)</f>
        <v>#REF!</v>
      </c>
      <c r="AY45" s="201"/>
      <c r="AZ45" s="273" t="s">
        <v>1224</v>
      </c>
      <c r="BB45">
        <f>IFERROR(VLOOKUP(Tabela1[[#This Row],[Denominação]],[10]Planilha1!$A:$B,2,FALSE),"")</f>
        <v>63801.02000000004</v>
      </c>
    </row>
    <row r="46" spans="1:54" ht="15" hidden="1" customHeight="1" x14ac:dyDescent="0.3">
      <c r="A46" s="253">
        <v>45</v>
      </c>
      <c r="B46" s="171" t="s">
        <v>550</v>
      </c>
      <c r="C46" s="209" t="s">
        <v>578</v>
      </c>
      <c r="D46" s="171">
        <v>20002959</v>
      </c>
      <c r="E46" s="253" t="s">
        <v>1256</v>
      </c>
      <c r="F46" s="210">
        <v>4529</v>
      </c>
      <c r="G46" s="171">
        <v>49112</v>
      </c>
      <c r="H46" s="171">
        <v>2018</v>
      </c>
      <c r="I46" s="213">
        <v>1766765.15</v>
      </c>
      <c r="J46" s="213">
        <v>964972</v>
      </c>
      <c r="K46" s="170">
        <v>96678.39999999998</v>
      </c>
      <c r="L46" s="207">
        <v>1.96</v>
      </c>
      <c r="M46" s="212">
        <v>5043</v>
      </c>
      <c r="N46" s="212">
        <v>40270</v>
      </c>
      <c r="O46" s="171">
        <v>104</v>
      </c>
      <c r="P46" s="271" t="str">
        <f>IFERROR(VLOOKUP(Tabela1[[#This Row],[TAG]],#REF!,14,FALSE),"")</f>
        <v/>
      </c>
      <c r="Q46" s="204" t="e">
        <f t="shared" si="45"/>
        <v>#VALUE!</v>
      </c>
      <c r="R46" s="204" t="e">
        <f t="shared" si="46"/>
        <v>#VALUE!</v>
      </c>
      <c r="S46" s="204" t="e">
        <f t="shared" si="47"/>
        <v>#VALUE!</v>
      </c>
      <c r="T46" s="204" t="e">
        <f t="shared" si="48"/>
        <v>#VALUE!</v>
      </c>
      <c r="U46" s="204" t="e">
        <f t="shared" si="49"/>
        <v>#VALUE!</v>
      </c>
      <c r="V46" s="204" t="e">
        <f t="shared" si="50"/>
        <v>#VALUE!</v>
      </c>
      <c r="W46" s="218">
        <v>444.6</v>
      </c>
      <c r="X46" s="218">
        <v>1751.48</v>
      </c>
      <c r="Y46" s="203">
        <v>0.1</v>
      </c>
      <c r="Z46" s="203">
        <f>IF(Tabela1[[#This Row],[Ano Aquisição]]=2023,0,IFERROR(VLOOKUP(H46,inflação!$F:$H,3,FALSE),""))</f>
        <v>0.2843</v>
      </c>
      <c r="AA46" s="203">
        <v>0.8</v>
      </c>
      <c r="AB46" s="202">
        <f t="shared" si="51"/>
        <v>-1766765.15</v>
      </c>
      <c r="AC46" s="204" t="e">
        <f t="shared" si="66"/>
        <v>#VALUE!</v>
      </c>
      <c r="AD46" s="204" t="e">
        <f t="shared" si="67"/>
        <v>#VALUE!</v>
      </c>
      <c r="AE46" s="204" t="e">
        <f t="shared" si="68"/>
        <v>#VALUE!</v>
      </c>
      <c r="AF46" s="204" t="e">
        <f t="shared" si="69"/>
        <v>#VALUE!</v>
      </c>
      <c r="AG46" s="204" t="e">
        <f t="shared" si="70"/>
        <v>#VALUE!</v>
      </c>
      <c r="AH46" s="204" t="e">
        <f t="shared" si="71"/>
        <v>#VALUE!</v>
      </c>
      <c r="AI46" s="204" t="e">
        <f t="shared" si="72"/>
        <v>#VALUE!</v>
      </c>
      <c r="AJ46" s="205">
        <f t="shared" si="52"/>
        <v>-2269056.4821449998</v>
      </c>
      <c r="AK46" s="204" t="e">
        <f t="shared" si="53"/>
        <v>#VALUE!</v>
      </c>
      <c r="AL46" s="204" t="e">
        <f t="shared" si="54"/>
        <v>#VALUE!</v>
      </c>
      <c r="AM46" s="204" t="e">
        <f t="shared" si="55"/>
        <v>#VALUE!</v>
      </c>
      <c r="AN46" s="204" t="e">
        <f t="shared" si="56"/>
        <v>#VALUE!</v>
      </c>
      <c r="AO46" s="204" t="e">
        <f t="shared" si="57"/>
        <v>#VALUE!</v>
      </c>
      <c r="AP46" s="204" t="e">
        <f t="shared" si="58"/>
        <v>#VALUE!</v>
      </c>
      <c r="AQ46" s="204" t="e">
        <f t="shared" si="59"/>
        <v>#VALUE!</v>
      </c>
      <c r="AR46" s="206" t="e">
        <f t="shared" si="60"/>
        <v>#VALUE!</v>
      </c>
      <c r="AS46" s="170" t="e">
        <f t="shared" si="61"/>
        <v>#VALUE!</v>
      </c>
      <c r="AT46" s="170" t="e">
        <f t="shared" si="62"/>
        <v>#VALUE!</v>
      </c>
      <c r="AU46" s="207" t="e">
        <f t="shared" si="63"/>
        <v>#VALUE!</v>
      </c>
      <c r="AV46" s="208" t="e">
        <f t="shared" si="64"/>
        <v>#VALUE!</v>
      </c>
      <c r="AW46" s="201" t="str">
        <f t="shared" si="65"/>
        <v>Fase de Degradação</v>
      </c>
      <c r="AX46" s="253" t="e">
        <f>VLOOKUP(D46,#REF!,5,FALSE)</f>
        <v>#REF!</v>
      </c>
      <c r="AY46" s="201"/>
      <c r="AZ46" s="273" t="s">
        <v>1224</v>
      </c>
      <c r="BB46">
        <f>IFERROR(VLOOKUP(Tabela1[[#This Row],[Denominação]],[10]Planilha1!$A:$B,2,FALSE),"")</f>
        <v>96678.39999999998</v>
      </c>
    </row>
    <row r="47" spans="1:54" ht="15" hidden="1" customHeight="1" x14ac:dyDescent="0.3">
      <c r="A47" s="268">
        <v>46</v>
      </c>
      <c r="B47" s="171" t="s">
        <v>551</v>
      </c>
      <c r="C47" s="209" t="s">
        <v>579</v>
      </c>
      <c r="D47" s="171">
        <v>20002960</v>
      </c>
      <c r="E47" s="253" t="s">
        <v>1256</v>
      </c>
      <c r="F47" s="210">
        <v>4529</v>
      </c>
      <c r="G47" s="171">
        <v>49113</v>
      </c>
      <c r="H47" s="171">
        <v>2018</v>
      </c>
      <c r="I47" s="213">
        <v>591425.51</v>
      </c>
      <c r="J47" s="213">
        <v>323024</v>
      </c>
      <c r="K47" s="170">
        <v>64970.99</v>
      </c>
      <c r="L47" s="207">
        <v>1.02</v>
      </c>
      <c r="M47" s="212">
        <v>5043</v>
      </c>
      <c r="N47" s="212">
        <v>42076</v>
      </c>
      <c r="O47" s="171">
        <v>87</v>
      </c>
      <c r="P47" s="271" t="str">
        <f>IFERROR(VLOOKUP(Tabela1[[#This Row],[TAG]],#REF!,14,FALSE),"")</f>
        <v/>
      </c>
      <c r="Q47" s="204" t="e">
        <f>P47+P47</f>
        <v>#VALUE!</v>
      </c>
      <c r="R47" s="204" t="e">
        <f t="shared" si="46"/>
        <v>#VALUE!</v>
      </c>
      <c r="S47" s="204" t="e">
        <f t="shared" si="47"/>
        <v>#VALUE!</v>
      </c>
      <c r="T47" s="204" t="e">
        <f t="shared" si="48"/>
        <v>#VALUE!</v>
      </c>
      <c r="U47" s="204" t="e">
        <f t="shared" si="49"/>
        <v>#VALUE!</v>
      </c>
      <c r="V47" s="204" t="e">
        <f t="shared" si="50"/>
        <v>#VALUE!</v>
      </c>
      <c r="W47" s="218">
        <v>446.4</v>
      </c>
      <c r="X47" s="218">
        <v>1299.01</v>
      </c>
      <c r="Y47" s="203">
        <v>0.1</v>
      </c>
      <c r="Z47" s="203">
        <f>IF(Tabela1[[#This Row],[Ano Aquisição]]=2023,0,IFERROR(VLOOKUP(H47,inflação!$F:$H,3,FALSE),""))</f>
        <v>0.2843</v>
      </c>
      <c r="AA47" s="203">
        <v>0.8</v>
      </c>
      <c r="AB47" s="202">
        <f t="shared" si="51"/>
        <v>-591425.51</v>
      </c>
      <c r="AC47" s="204" t="e">
        <f t="shared" si="66"/>
        <v>#VALUE!</v>
      </c>
      <c r="AD47" s="204" t="e">
        <f t="shared" si="67"/>
        <v>#VALUE!</v>
      </c>
      <c r="AE47" s="204" t="e">
        <f t="shared" si="68"/>
        <v>#VALUE!</v>
      </c>
      <c r="AF47" s="204" t="e">
        <f t="shared" si="69"/>
        <v>#VALUE!</v>
      </c>
      <c r="AG47" s="204" t="e">
        <f t="shared" si="70"/>
        <v>#VALUE!</v>
      </c>
      <c r="AH47" s="204" t="e">
        <f t="shared" si="71"/>
        <v>#VALUE!</v>
      </c>
      <c r="AI47" s="204" t="e">
        <f t="shared" si="72"/>
        <v>#VALUE!</v>
      </c>
      <c r="AJ47" s="205">
        <f t="shared" si="52"/>
        <v>-759567.78249300004</v>
      </c>
      <c r="AK47" s="204" t="e">
        <f t="shared" si="53"/>
        <v>#VALUE!</v>
      </c>
      <c r="AL47" s="204" t="e">
        <f t="shared" si="54"/>
        <v>#VALUE!</v>
      </c>
      <c r="AM47" s="204" t="e">
        <f t="shared" si="55"/>
        <v>#VALUE!</v>
      </c>
      <c r="AN47" s="204" t="e">
        <f t="shared" si="56"/>
        <v>#VALUE!</v>
      </c>
      <c r="AO47" s="204" t="e">
        <f t="shared" si="57"/>
        <v>#VALUE!</v>
      </c>
      <c r="AP47" s="204" t="e">
        <f t="shared" si="58"/>
        <v>#VALUE!</v>
      </c>
      <c r="AQ47" s="204" t="e">
        <f t="shared" si="59"/>
        <v>#VALUE!</v>
      </c>
      <c r="AR47" s="206" t="e">
        <f t="shared" si="60"/>
        <v>#VALUE!</v>
      </c>
      <c r="AS47" s="170" t="e">
        <f t="shared" si="61"/>
        <v>#VALUE!</v>
      </c>
      <c r="AT47" s="170" t="e">
        <f t="shared" si="62"/>
        <v>#VALUE!</v>
      </c>
      <c r="AU47" s="207" t="e">
        <f t="shared" si="63"/>
        <v>#VALUE!</v>
      </c>
      <c r="AV47" s="208" t="e">
        <f t="shared" si="64"/>
        <v>#VALUE!</v>
      </c>
      <c r="AW47" s="201" t="str">
        <f t="shared" si="65"/>
        <v>Fase de Vida Útil</v>
      </c>
      <c r="AX47" s="253" t="e">
        <f>VLOOKUP(D47,#REF!,5,FALSE)</f>
        <v>#REF!</v>
      </c>
      <c r="AY47" s="201"/>
      <c r="AZ47" s="273" t="s">
        <v>1224</v>
      </c>
      <c r="BB47">
        <f>IFERROR(VLOOKUP(Tabela1[[#This Row],[Denominação]],[10]Planilha1!$A:$B,2,FALSE),"")</f>
        <v>64970.99</v>
      </c>
    </row>
    <row r="48" spans="1:54" ht="15" hidden="1" customHeight="1" x14ac:dyDescent="0.3">
      <c r="A48" s="253">
        <v>47</v>
      </c>
      <c r="B48" s="171" t="s">
        <v>552</v>
      </c>
      <c r="C48" s="209" t="s">
        <v>580</v>
      </c>
      <c r="D48" s="171">
        <v>20003525</v>
      </c>
      <c r="E48" s="253" t="s">
        <v>1257</v>
      </c>
      <c r="F48" s="210">
        <v>4529</v>
      </c>
      <c r="G48" s="171">
        <v>51087</v>
      </c>
      <c r="H48" s="171">
        <v>2019</v>
      </c>
      <c r="I48" s="213">
        <v>1868832.25</v>
      </c>
      <c r="J48" s="213">
        <v>1198349</v>
      </c>
      <c r="K48" s="170">
        <v>100575.61999999995</v>
      </c>
      <c r="L48" s="207">
        <v>1.29</v>
      </c>
      <c r="M48" s="212">
        <v>4498</v>
      </c>
      <c r="N48" s="212">
        <v>33602</v>
      </c>
      <c r="O48" s="171">
        <v>138</v>
      </c>
      <c r="P48" s="271" t="str">
        <f>IFERROR(VLOOKUP(Tabela1[[#This Row],[TAG]],#REF!,14,FALSE),"")</f>
        <v/>
      </c>
      <c r="Q48" s="204" t="e">
        <f t="shared" si="45"/>
        <v>#VALUE!</v>
      </c>
      <c r="R48" s="204" t="e">
        <f t="shared" si="46"/>
        <v>#VALUE!</v>
      </c>
      <c r="S48" s="204" t="e">
        <f t="shared" si="47"/>
        <v>#VALUE!</v>
      </c>
      <c r="T48" s="204" t="e">
        <f t="shared" si="48"/>
        <v>#VALUE!</v>
      </c>
      <c r="U48" s="204" t="e">
        <f t="shared" si="49"/>
        <v>#VALUE!</v>
      </c>
      <c r="V48" s="204" t="e">
        <f t="shared" si="50"/>
        <v>#VALUE!</v>
      </c>
      <c r="W48" s="218">
        <v>303.95999999999998</v>
      </c>
      <c r="X48" s="218">
        <v>1192.42</v>
      </c>
      <c r="Y48" s="203">
        <v>0.1</v>
      </c>
      <c r="Z48" s="203">
        <f>IF(Tabela1[[#This Row],[Ano Aquisição]]=2023,0,IFERROR(VLOOKUP(H48,inflação!$F:$H,3,FALSE),""))</f>
        <v>0.24679999999999999</v>
      </c>
      <c r="AA48" s="203">
        <v>0.8</v>
      </c>
      <c r="AB48" s="202">
        <f t="shared" si="51"/>
        <v>-1868832.25</v>
      </c>
      <c r="AC48" s="204" t="e">
        <f t="shared" si="66"/>
        <v>#VALUE!</v>
      </c>
      <c r="AD48" s="204" t="e">
        <f t="shared" si="67"/>
        <v>#VALUE!</v>
      </c>
      <c r="AE48" s="204" t="e">
        <f t="shared" si="68"/>
        <v>#VALUE!</v>
      </c>
      <c r="AF48" s="204" t="e">
        <f t="shared" si="69"/>
        <v>#VALUE!</v>
      </c>
      <c r="AG48" s="204" t="e">
        <f t="shared" si="70"/>
        <v>#VALUE!</v>
      </c>
      <c r="AH48" s="204" t="e">
        <f t="shared" si="71"/>
        <v>#VALUE!</v>
      </c>
      <c r="AI48" s="204" t="e">
        <f t="shared" si="72"/>
        <v>#VALUE!</v>
      </c>
      <c r="AJ48" s="205">
        <f t="shared" si="52"/>
        <v>-2330060.0492999996</v>
      </c>
      <c r="AK48" s="204" t="e">
        <f t="shared" si="53"/>
        <v>#VALUE!</v>
      </c>
      <c r="AL48" s="204" t="e">
        <f t="shared" si="54"/>
        <v>#VALUE!</v>
      </c>
      <c r="AM48" s="204" t="e">
        <f t="shared" si="55"/>
        <v>#VALUE!</v>
      </c>
      <c r="AN48" s="204" t="e">
        <f t="shared" si="56"/>
        <v>#VALUE!</v>
      </c>
      <c r="AO48" s="204" t="e">
        <f t="shared" si="57"/>
        <v>#VALUE!</v>
      </c>
      <c r="AP48" s="204" t="e">
        <f t="shared" si="58"/>
        <v>#VALUE!</v>
      </c>
      <c r="AQ48" s="204" t="e">
        <f t="shared" si="59"/>
        <v>#VALUE!</v>
      </c>
      <c r="AR48" s="206" t="e">
        <f t="shared" si="60"/>
        <v>#VALUE!</v>
      </c>
      <c r="AS48" s="170" t="e">
        <f t="shared" si="61"/>
        <v>#VALUE!</v>
      </c>
      <c r="AT48" s="170" t="e">
        <f t="shared" si="62"/>
        <v>#VALUE!</v>
      </c>
      <c r="AU48" s="207" t="e">
        <f t="shared" si="63"/>
        <v>#VALUE!</v>
      </c>
      <c r="AV48" s="208" t="e">
        <f t="shared" si="64"/>
        <v>#VALUE!</v>
      </c>
      <c r="AW48" s="201" t="str">
        <f t="shared" si="65"/>
        <v>Fase de Degradação</v>
      </c>
      <c r="AX48" s="253" t="e">
        <f>VLOOKUP(D48,#REF!,5,FALSE)</f>
        <v>#REF!</v>
      </c>
      <c r="AY48" s="201"/>
      <c r="AZ48" s="273" t="s">
        <v>1224</v>
      </c>
      <c r="BB48">
        <f>IFERROR(VLOOKUP(Tabela1[[#This Row],[Denominação]],[10]Planilha1!$A:$B,2,FALSE),"")</f>
        <v>100575.61999999995</v>
      </c>
    </row>
    <row r="49" spans="1:54" ht="15" hidden="1" customHeight="1" x14ac:dyDescent="0.3">
      <c r="A49" s="268">
        <v>48</v>
      </c>
      <c r="B49" s="171" t="s">
        <v>553</v>
      </c>
      <c r="C49" s="209" t="s">
        <v>581</v>
      </c>
      <c r="D49" s="171">
        <v>20003526</v>
      </c>
      <c r="E49" s="253" t="s">
        <v>1257</v>
      </c>
      <c r="F49" s="210">
        <v>4529</v>
      </c>
      <c r="G49" s="171">
        <v>51086</v>
      </c>
      <c r="H49" s="171">
        <v>2019</v>
      </c>
      <c r="I49" s="213">
        <v>488352.36</v>
      </c>
      <c r="J49" s="213">
        <v>313143</v>
      </c>
      <c r="K49" s="170">
        <v>29253.980000000014</v>
      </c>
      <c r="L49" s="207">
        <v>0.94</v>
      </c>
      <c r="M49" s="212">
        <v>4498</v>
      </c>
      <c r="N49" s="212">
        <v>33760</v>
      </c>
      <c r="O49" s="171">
        <v>79</v>
      </c>
      <c r="P49" s="271" t="str">
        <f>IFERROR(VLOOKUP(Tabela1[[#This Row],[TAG]],#REF!,14,FALSE),"")</f>
        <v/>
      </c>
      <c r="Q49" s="204" t="e">
        <f t="shared" si="45"/>
        <v>#VALUE!</v>
      </c>
      <c r="R49" s="204" t="e">
        <f t="shared" si="46"/>
        <v>#VALUE!</v>
      </c>
      <c r="S49" s="204" t="e">
        <f t="shared" si="47"/>
        <v>#VALUE!</v>
      </c>
      <c r="T49" s="204" t="e">
        <f t="shared" si="48"/>
        <v>#VALUE!</v>
      </c>
      <c r="U49" s="204" t="e">
        <f t="shared" si="49"/>
        <v>#VALUE!</v>
      </c>
      <c r="V49" s="204" t="e">
        <f t="shared" si="50"/>
        <v>#VALUE!</v>
      </c>
      <c r="W49" s="218">
        <v>363.43</v>
      </c>
      <c r="X49" s="218">
        <v>614.41999999999996</v>
      </c>
      <c r="Y49" s="203">
        <v>0.1</v>
      </c>
      <c r="Z49" s="203">
        <f>IF(Tabela1[[#This Row],[Ano Aquisição]]=2023,0,IFERROR(VLOOKUP(H49,inflação!$F:$H,3,FALSE),""))</f>
        <v>0.24679999999999999</v>
      </c>
      <c r="AA49" s="203">
        <v>0.8</v>
      </c>
      <c r="AB49" s="202">
        <f t="shared" si="51"/>
        <v>-488352.36</v>
      </c>
      <c r="AC49" s="204" t="e">
        <f t="shared" si="66"/>
        <v>#VALUE!</v>
      </c>
      <c r="AD49" s="204" t="e">
        <f t="shared" si="67"/>
        <v>#VALUE!</v>
      </c>
      <c r="AE49" s="204" t="e">
        <f t="shared" si="68"/>
        <v>#VALUE!</v>
      </c>
      <c r="AF49" s="204" t="e">
        <f t="shared" si="69"/>
        <v>#VALUE!</v>
      </c>
      <c r="AG49" s="204" t="e">
        <f t="shared" si="70"/>
        <v>#VALUE!</v>
      </c>
      <c r="AH49" s="204" t="e">
        <f t="shared" si="71"/>
        <v>#VALUE!</v>
      </c>
      <c r="AI49" s="204" t="e">
        <f t="shared" si="72"/>
        <v>#VALUE!</v>
      </c>
      <c r="AJ49" s="205">
        <f t="shared" si="52"/>
        <v>-608877.72244799999</v>
      </c>
      <c r="AK49" s="204" t="e">
        <f t="shared" si="53"/>
        <v>#VALUE!</v>
      </c>
      <c r="AL49" s="204" t="e">
        <f t="shared" si="54"/>
        <v>#VALUE!</v>
      </c>
      <c r="AM49" s="204" t="e">
        <f t="shared" si="55"/>
        <v>#VALUE!</v>
      </c>
      <c r="AN49" s="204" t="e">
        <f t="shared" si="56"/>
        <v>#VALUE!</v>
      </c>
      <c r="AO49" s="204" t="e">
        <f t="shared" si="57"/>
        <v>#VALUE!</v>
      </c>
      <c r="AP49" s="204" t="e">
        <f t="shared" si="58"/>
        <v>#VALUE!</v>
      </c>
      <c r="AQ49" s="204" t="e">
        <f t="shared" si="59"/>
        <v>#VALUE!</v>
      </c>
      <c r="AR49" s="206" t="e">
        <f t="shared" si="60"/>
        <v>#VALUE!</v>
      </c>
      <c r="AS49" s="170" t="e">
        <f t="shared" si="61"/>
        <v>#VALUE!</v>
      </c>
      <c r="AT49" s="170" t="e">
        <f t="shared" si="62"/>
        <v>#VALUE!</v>
      </c>
      <c r="AU49" s="207" t="e">
        <f t="shared" si="63"/>
        <v>#VALUE!</v>
      </c>
      <c r="AV49" s="208" t="e">
        <f t="shared" si="64"/>
        <v>#VALUE!</v>
      </c>
      <c r="AW49" s="201" t="str">
        <f t="shared" si="65"/>
        <v>Confiabilidade em Crescimento</v>
      </c>
      <c r="AX49" s="253" t="e">
        <f>VLOOKUP(D49,#REF!,5,FALSE)</f>
        <v>#REF!</v>
      </c>
      <c r="AY49" s="201"/>
      <c r="AZ49" s="273" t="s">
        <v>1224</v>
      </c>
      <c r="BB49">
        <f>IFERROR(VLOOKUP(Tabela1[[#This Row],[Denominação]],[10]Planilha1!$A:$B,2,FALSE),"")</f>
        <v>29253.980000000014</v>
      </c>
    </row>
    <row r="50" spans="1:54" ht="15" hidden="1" customHeight="1" x14ac:dyDescent="0.3">
      <c r="A50" s="253">
        <v>49</v>
      </c>
      <c r="B50" s="201" t="s">
        <v>886</v>
      </c>
      <c r="C50" s="211" t="s">
        <v>887</v>
      </c>
      <c r="D50" s="201">
        <v>10006654</v>
      </c>
      <c r="E50" s="253" t="s">
        <v>1258</v>
      </c>
      <c r="F50" s="253">
        <v>4529</v>
      </c>
      <c r="G50" s="201">
        <v>52899</v>
      </c>
      <c r="H50" s="201">
        <v>2020</v>
      </c>
      <c r="I50" s="216">
        <v>838220.16</v>
      </c>
      <c r="J50" s="214">
        <v>679606</v>
      </c>
      <c r="K50" s="170">
        <v>31661.02</v>
      </c>
      <c r="L50" s="207">
        <v>0.96</v>
      </c>
      <c r="M50" s="212">
        <v>5094</v>
      </c>
      <c r="N50" s="212">
        <v>16407</v>
      </c>
      <c r="O50" s="171">
        <v>64</v>
      </c>
      <c r="P50" s="271" t="str">
        <f>IFERROR(VLOOKUP(Tabela1[[#This Row],[TAG]],#REF!,14,FALSE),"")</f>
        <v/>
      </c>
      <c r="Q50" s="204" t="e">
        <f t="shared" si="45"/>
        <v>#VALUE!</v>
      </c>
      <c r="R50" s="204" t="e">
        <f t="shared" si="46"/>
        <v>#VALUE!</v>
      </c>
      <c r="S50" s="204" t="e">
        <f t="shared" si="47"/>
        <v>#VALUE!</v>
      </c>
      <c r="T50" s="204" t="e">
        <f t="shared" si="48"/>
        <v>#VALUE!</v>
      </c>
      <c r="U50" s="204" t="e">
        <f t="shared" si="49"/>
        <v>#VALUE!</v>
      </c>
      <c r="V50" s="204" t="e">
        <f t="shared" si="50"/>
        <v>#VALUE!</v>
      </c>
      <c r="W50" s="218">
        <v>411.61</v>
      </c>
      <c r="X50" s="218">
        <v>740.65</v>
      </c>
      <c r="Y50" s="203">
        <v>0.1</v>
      </c>
      <c r="Z50" s="203">
        <f>IF(Tabela1[[#This Row],[Ano Aquisição]]=2023,0,IFERROR(VLOOKUP(H50,inflação!$F:$H,3,FALSE),""))</f>
        <v>0.20369999999999999</v>
      </c>
      <c r="AA50" s="203">
        <v>0.8</v>
      </c>
      <c r="AB50" s="202">
        <f t="shared" si="51"/>
        <v>-838220.16</v>
      </c>
      <c r="AC50" s="204" t="e">
        <f t="shared" si="66"/>
        <v>#VALUE!</v>
      </c>
      <c r="AD50" s="204" t="e">
        <f t="shared" si="67"/>
        <v>#VALUE!</v>
      </c>
      <c r="AE50" s="204" t="e">
        <f t="shared" si="68"/>
        <v>#VALUE!</v>
      </c>
      <c r="AF50" s="204" t="e">
        <f t="shared" si="69"/>
        <v>#VALUE!</v>
      </c>
      <c r="AG50" s="204" t="e">
        <f t="shared" si="70"/>
        <v>#VALUE!</v>
      </c>
      <c r="AH50" s="204" t="e">
        <f t="shared" si="71"/>
        <v>#VALUE!</v>
      </c>
      <c r="AI50" s="204" t="e">
        <f t="shared" si="72"/>
        <v>#VALUE!</v>
      </c>
      <c r="AJ50" s="205">
        <f t="shared" si="52"/>
        <v>-1008965.606592</v>
      </c>
      <c r="AK50" s="204" t="e">
        <f t="shared" si="53"/>
        <v>#VALUE!</v>
      </c>
      <c r="AL50" s="204" t="e">
        <f t="shared" si="54"/>
        <v>#VALUE!</v>
      </c>
      <c r="AM50" s="204" t="e">
        <f t="shared" si="55"/>
        <v>#VALUE!</v>
      </c>
      <c r="AN50" s="204" t="e">
        <f t="shared" si="56"/>
        <v>#VALUE!</v>
      </c>
      <c r="AO50" s="204" t="e">
        <f t="shared" si="57"/>
        <v>#VALUE!</v>
      </c>
      <c r="AP50" s="204" t="e">
        <f t="shared" si="58"/>
        <v>#VALUE!</v>
      </c>
      <c r="AQ50" s="204" t="e">
        <f t="shared" si="59"/>
        <v>#VALUE!</v>
      </c>
      <c r="AR50" s="206" t="e">
        <f t="shared" si="60"/>
        <v>#VALUE!</v>
      </c>
      <c r="AS50" s="170" t="e">
        <f t="shared" si="61"/>
        <v>#VALUE!</v>
      </c>
      <c r="AT50" s="170" t="e">
        <f t="shared" si="62"/>
        <v>#VALUE!</v>
      </c>
      <c r="AU50" s="207" t="e">
        <f t="shared" si="63"/>
        <v>#VALUE!</v>
      </c>
      <c r="AV50" s="208" t="e">
        <f t="shared" si="64"/>
        <v>#VALUE!</v>
      </c>
      <c r="AW50" s="201" t="str">
        <f t="shared" si="65"/>
        <v>Confiabilidade em Crescimento</v>
      </c>
      <c r="AX50" s="253" t="e">
        <f>VLOOKUP(D50,#REF!,5,FALSE)</f>
        <v>#REF!</v>
      </c>
      <c r="AY50" s="201"/>
      <c r="AZ50" s="273" t="s">
        <v>1224</v>
      </c>
      <c r="BB50">
        <f>IFERROR(VLOOKUP(Tabela1[[#This Row],[Denominação]],[10]Planilha1!$A:$B,2,FALSE),"")</f>
        <v>31661.02</v>
      </c>
    </row>
    <row r="51" spans="1:54" ht="15" hidden="1" customHeight="1" x14ac:dyDescent="0.3">
      <c r="A51" s="268">
        <v>50</v>
      </c>
      <c r="B51" s="201" t="s">
        <v>888</v>
      </c>
      <c r="C51" s="211" t="s">
        <v>889</v>
      </c>
      <c r="D51" s="201">
        <v>10006655</v>
      </c>
      <c r="E51" s="253" t="s">
        <v>1236</v>
      </c>
      <c r="F51" s="253">
        <v>4529</v>
      </c>
      <c r="G51" s="201">
        <v>52900</v>
      </c>
      <c r="H51" s="201">
        <v>2020</v>
      </c>
      <c r="I51" s="216">
        <v>838456.88</v>
      </c>
      <c r="J51" s="214">
        <v>679815</v>
      </c>
      <c r="K51" s="170">
        <v>79244.47</v>
      </c>
      <c r="L51" s="207">
        <v>1.1299999999999999</v>
      </c>
      <c r="M51" s="212">
        <v>4364</v>
      </c>
      <c r="N51" s="212">
        <v>16517</v>
      </c>
      <c r="O51" s="171">
        <v>63</v>
      </c>
      <c r="P51" s="271" t="str">
        <f>IFERROR(VLOOKUP(Tabela1[[#This Row],[TAG]],#REF!,14,FALSE),"")</f>
        <v/>
      </c>
      <c r="Q51" s="204" t="e">
        <f t="shared" si="45"/>
        <v>#VALUE!</v>
      </c>
      <c r="R51" s="204" t="e">
        <f t="shared" si="46"/>
        <v>#VALUE!</v>
      </c>
      <c r="S51" s="204" t="e">
        <f t="shared" si="47"/>
        <v>#VALUE!</v>
      </c>
      <c r="T51" s="204" t="e">
        <f t="shared" si="48"/>
        <v>#VALUE!</v>
      </c>
      <c r="U51" s="204" t="e">
        <f t="shared" si="49"/>
        <v>#VALUE!</v>
      </c>
      <c r="V51" s="204" t="e">
        <f t="shared" si="50"/>
        <v>#VALUE!</v>
      </c>
      <c r="W51" s="218">
        <v>361.95</v>
      </c>
      <c r="X51" s="218">
        <v>734.5</v>
      </c>
      <c r="Y51" s="203">
        <v>0.1</v>
      </c>
      <c r="Z51" s="203">
        <f>IF(Tabela1[[#This Row],[Ano Aquisição]]=2023,0,IFERROR(VLOOKUP(H51,inflação!$F:$H,3,FALSE),""))</f>
        <v>0.20369999999999999</v>
      </c>
      <c r="AA51" s="203">
        <v>0.8</v>
      </c>
      <c r="AB51" s="202">
        <f t="shared" si="51"/>
        <v>-838456.88</v>
      </c>
      <c r="AC51" s="204" t="e">
        <f t="shared" si="66"/>
        <v>#VALUE!</v>
      </c>
      <c r="AD51" s="204" t="e">
        <f t="shared" si="67"/>
        <v>#VALUE!</v>
      </c>
      <c r="AE51" s="204" t="e">
        <f t="shared" si="68"/>
        <v>#VALUE!</v>
      </c>
      <c r="AF51" s="204" t="e">
        <f t="shared" si="69"/>
        <v>#VALUE!</v>
      </c>
      <c r="AG51" s="204" t="e">
        <f t="shared" si="70"/>
        <v>#VALUE!</v>
      </c>
      <c r="AH51" s="204" t="e">
        <f t="shared" si="71"/>
        <v>#VALUE!</v>
      </c>
      <c r="AI51" s="204" t="e">
        <f t="shared" si="72"/>
        <v>#VALUE!</v>
      </c>
      <c r="AJ51" s="205">
        <f t="shared" si="52"/>
        <v>-1009250.546456</v>
      </c>
      <c r="AK51" s="204" t="e">
        <f t="shared" si="53"/>
        <v>#VALUE!</v>
      </c>
      <c r="AL51" s="204" t="e">
        <f t="shared" si="54"/>
        <v>#VALUE!</v>
      </c>
      <c r="AM51" s="204" t="e">
        <f t="shared" si="55"/>
        <v>#VALUE!</v>
      </c>
      <c r="AN51" s="204" t="e">
        <f t="shared" si="56"/>
        <v>#VALUE!</v>
      </c>
      <c r="AO51" s="204" t="e">
        <f t="shared" si="57"/>
        <v>#VALUE!</v>
      </c>
      <c r="AP51" s="204" t="e">
        <f t="shared" si="58"/>
        <v>#VALUE!</v>
      </c>
      <c r="AQ51" s="204" t="e">
        <f t="shared" si="59"/>
        <v>#VALUE!</v>
      </c>
      <c r="AR51" s="206" t="e">
        <f t="shared" si="60"/>
        <v>#VALUE!</v>
      </c>
      <c r="AS51" s="170" t="e">
        <f t="shared" si="61"/>
        <v>#VALUE!</v>
      </c>
      <c r="AT51" s="170" t="e">
        <f t="shared" si="62"/>
        <v>#VALUE!</v>
      </c>
      <c r="AU51" s="207" t="e">
        <f t="shared" si="63"/>
        <v>#VALUE!</v>
      </c>
      <c r="AV51" s="208" t="e">
        <f t="shared" si="64"/>
        <v>#VALUE!</v>
      </c>
      <c r="AW51" s="201" t="str">
        <f t="shared" si="65"/>
        <v>Fase de Degradação</v>
      </c>
      <c r="AX51" s="253" t="e">
        <f>VLOOKUP(D51,#REF!,5,FALSE)</f>
        <v>#REF!</v>
      </c>
      <c r="AY51" s="201"/>
      <c r="AZ51" s="273" t="s">
        <v>1224</v>
      </c>
      <c r="BB51">
        <f>IFERROR(VLOOKUP(Tabela1[[#This Row],[Denominação]],[10]Planilha1!$A:$B,2,FALSE),"")</f>
        <v>79244.47</v>
      </c>
    </row>
    <row r="52" spans="1:54" ht="15" hidden="1" customHeight="1" x14ac:dyDescent="0.3">
      <c r="A52" s="253">
        <v>51</v>
      </c>
      <c r="B52" s="255" t="s">
        <v>890</v>
      </c>
      <c r="C52" s="256" t="s">
        <v>891</v>
      </c>
      <c r="D52" s="255">
        <v>10006661</v>
      </c>
      <c r="E52" s="253" t="s">
        <v>1259</v>
      </c>
      <c r="F52" s="257">
        <v>4529</v>
      </c>
      <c r="G52" s="255">
        <v>53924</v>
      </c>
      <c r="H52" s="255">
        <v>2021</v>
      </c>
      <c r="I52" s="258">
        <v>860580.21</v>
      </c>
      <c r="J52" s="218">
        <v>724072</v>
      </c>
      <c r="K52" s="265">
        <v>8785</v>
      </c>
      <c r="L52" s="259">
        <v>0.61</v>
      </c>
      <c r="M52" s="212">
        <v>4221</v>
      </c>
      <c r="N52" s="260">
        <v>15840</v>
      </c>
      <c r="O52" s="254">
        <v>21</v>
      </c>
      <c r="P52" s="271" t="str">
        <f>IFERROR(VLOOKUP(Tabela1[[#This Row],[TAG]],#REF!,14,FALSE),"")</f>
        <v/>
      </c>
      <c r="Q52" s="262" t="e">
        <f>P52+P52</f>
        <v>#VALUE!</v>
      </c>
      <c r="R52" s="262" t="e">
        <f t="shared" si="46"/>
        <v>#VALUE!</v>
      </c>
      <c r="S52" s="262" t="e">
        <f t="shared" si="47"/>
        <v>#VALUE!</v>
      </c>
      <c r="T52" s="262" t="e">
        <f t="shared" si="48"/>
        <v>#VALUE!</v>
      </c>
      <c r="U52" s="262" t="e">
        <f t="shared" si="49"/>
        <v>#VALUE!</v>
      </c>
      <c r="V52" s="262" t="e">
        <f t="shared" si="50"/>
        <v>#VALUE!</v>
      </c>
      <c r="W52" s="218">
        <v>475.43</v>
      </c>
      <c r="X52" s="218">
        <v>490.59</v>
      </c>
      <c r="Y52" s="261">
        <v>0.1</v>
      </c>
      <c r="Z52" s="261">
        <f>IF(Tabela1[[#This Row],[Ano Aquisição]]=2023,0,IFERROR(VLOOKUP(H52,inflação!$F:$H,3,FALSE),""))</f>
        <v>0.1585</v>
      </c>
      <c r="AA52" s="261">
        <v>0.8</v>
      </c>
      <c r="AB52" s="202">
        <f t="shared" si="51"/>
        <v>-860580.21</v>
      </c>
      <c r="AC52" s="262" t="e">
        <f t="shared" si="66"/>
        <v>#VALUE!</v>
      </c>
      <c r="AD52" s="262" t="e">
        <f t="shared" si="67"/>
        <v>#VALUE!</v>
      </c>
      <c r="AE52" s="262" t="e">
        <f t="shared" si="68"/>
        <v>#VALUE!</v>
      </c>
      <c r="AF52" s="262" t="e">
        <f t="shared" si="69"/>
        <v>#VALUE!</v>
      </c>
      <c r="AG52" s="262" t="e">
        <f t="shared" si="70"/>
        <v>#VALUE!</v>
      </c>
      <c r="AH52" s="262" t="e">
        <f t="shared" si="71"/>
        <v>#VALUE!</v>
      </c>
      <c r="AI52" s="262" t="e">
        <f t="shared" si="72"/>
        <v>#VALUE!</v>
      </c>
      <c r="AJ52" s="263">
        <f t="shared" si="52"/>
        <v>-996982.17328500003</v>
      </c>
      <c r="AK52" s="262" t="e">
        <f t="shared" si="53"/>
        <v>#VALUE!</v>
      </c>
      <c r="AL52" s="262" t="e">
        <f t="shared" si="54"/>
        <v>#VALUE!</v>
      </c>
      <c r="AM52" s="262" t="e">
        <f t="shared" si="55"/>
        <v>#VALUE!</v>
      </c>
      <c r="AN52" s="262" t="e">
        <f t="shared" si="56"/>
        <v>#VALUE!</v>
      </c>
      <c r="AO52" s="262" t="e">
        <f t="shared" si="57"/>
        <v>#VALUE!</v>
      </c>
      <c r="AP52" s="262" t="e">
        <f t="shared" si="58"/>
        <v>#VALUE!</v>
      </c>
      <c r="AQ52" s="262" t="e">
        <f t="shared" si="59"/>
        <v>#VALUE!</v>
      </c>
      <c r="AR52" s="264" t="e">
        <f t="shared" si="60"/>
        <v>#VALUE!</v>
      </c>
      <c r="AS52" s="265" t="e">
        <f t="shared" si="61"/>
        <v>#VALUE!</v>
      </c>
      <c r="AT52" s="265" t="e">
        <f t="shared" si="62"/>
        <v>#VALUE!</v>
      </c>
      <c r="AU52" s="259" t="e">
        <f t="shared" si="63"/>
        <v>#VALUE!</v>
      </c>
      <c r="AV52" s="266" t="e">
        <f t="shared" si="64"/>
        <v>#VALUE!</v>
      </c>
      <c r="AW52" s="255" t="str">
        <f t="shared" si="65"/>
        <v>Confiabilidade em Crescimento</v>
      </c>
      <c r="AX52" s="253" t="e">
        <f>VLOOKUP(D52,#REF!,5,FALSE)</f>
        <v>#REF!</v>
      </c>
      <c r="AY52" s="201"/>
      <c r="AZ52" s="273" t="s">
        <v>1224</v>
      </c>
      <c r="BB52">
        <f>IFERROR(VLOOKUP(Tabela1[[#This Row],[Denominação]],[10]Planilha1!$A:$B,2,FALSE),"")</f>
        <v>8785</v>
      </c>
    </row>
    <row r="53" spans="1:54" ht="15" hidden="1" customHeight="1" x14ac:dyDescent="0.3">
      <c r="A53" s="268">
        <v>52</v>
      </c>
      <c r="B53" s="255" t="s">
        <v>892</v>
      </c>
      <c r="C53" s="256" t="s">
        <v>893</v>
      </c>
      <c r="D53" s="255">
        <v>10006662</v>
      </c>
      <c r="E53" s="253" t="s">
        <v>1259</v>
      </c>
      <c r="F53" s="257">
        <v>4529</v>
      </c>
      <c r="G53" s="255">
        <v>53925</v>
      </c>
      <c r="H53" s="255">
        <v>2021</v>
      </c>
      <c r="I53" s="258">
        <v>860579.59</v>
      </c>
      <c r="J53" s="218">
        <v>724073</v>
      </c>
      <c r="K53" s="265">
        <v>5977.3600000000006</v>
      </c>
      <c r="L53" s="259">
        <v>0.48</v>
      </c>
      <c r="M53" s="212">
        <v>4464</v>
      </c>
      <c r="N53" s="260">
        <v>15318</v>
      </c>
      <c r="O53" s="254">
        <v>11</v>
      </c>
      <c r="P53" s="271" t="str">
        <f>IFERROR(VLOOKUP(Tabela1[[#This Row],[TAG]],#REF!,14,FALSE),"")</f>
        <v/>
      </c>
      <c r="Q53" s="262" t="e">
        <f>P53+P53</f>
        <v>#VALUE!</v>
      </c>
      <c r="R53" s="262" t="e">
        <f t="shared" si="46"/>
        <v>#VALUE!</v>
      </c>
      <c r="S53" s="262" t="e">
        <f t="shared" si="47"/>
        <v>#VALUE!</v>
      </c>
      <c r="T53" s="262" t="e">
        <f t="shared" si="48"/>
        <v>#VALUE!</v>
      </c>
      <c r="U53" s="262" t="e">
        <f t="shared" si="49"/>
        <v>#VALUE!</v>
      </c>
      <c r="V53" s="262" t="e">
        <f t="shared" si="50"/>
        <v>#VALUE!</v>
      </c>
      <c r="W53" s="218">
        <v>359.54</v>
      </c>
      <c r="X53" s="218">
        <v>336.54</v>
      </c>
      <c r="Y53" s="261">
        <v>0.1</v>
      </c>
      <c r="Z53" s="261">
        <f>IF(Tabela1[[#This Row],[Ano Aquisição]]=2023,0,IFERROR(VLOOKUP(H53,inflação!$F:$H,3,FALSE),""))</f>
        <v>0.1585</v>
      </c>
      <c r="AA53" s="261">
        <v>0.8</v>
      </c>
      <c r="AB53" s="202">
        <f t="shared" si="51"/>
        <v>-860579.59</v>
      </c>
      <c r="AC53" s="262" t="e">
        <f t="shared" si="66"/>
        <v>#VALUE!</v>
      </c>
      <c r="AD53" s="262" t="e">
        <f t="shared" si="67"/>
        <v>#VALUE!</v>
      </c>
      <c r="AE53" s="262" t="e">
        <f t="shared" si="68"/>
        <v>#VALUE!</v>
      </c>
      <c r="AF53" s="262" t="e">
        <f t="shared" si="69"/>
        <v>#VALUE!</v>
      </c>
      <c r="AG53" s="262" t="e">
        <f t="shared" si="70"/>
        <v>#VALUE!</v>
      </c>
      <c r="AH53" s="262" t="e">
        <f t="shared" si="71"/>
        <v>#VALUE!</v>
      </c>
      <c r="AI53" s="262" t="e">
        <f t="shared" si="72"/>
        <v>#VALUE!</v>
      </c>
      <c r="AJ53" s="263">
        <f t="shared" si="52"/>
        <v>-996981.45501500007</v>
      </c>
      <c r="AK53" s="262" t="e">
        <f t="shared" si="53"/>
        <v>#VALUE!</v>
      </c>
      <c r="AL53" s="262" t="e">
        <f t="shared" si="54"/>
        <v>#VALUE!</v>
      </c>
      <c r="AM53" s="262" t="e">
        <f t="shared" si="55"/>
        <v>#VALUE!</v>
      </c>
      <c r="AN53" s="262" t="e">
        <f t="shared" si="56"/>
        <v>#VALUE!</v>
      </c>
      <c r="AO53" s="262" t="e">
        <f t="shared" si="57"/>
        <v>#VALUE!</v>
      </c>
      <c r="AP53" s="262" t="e">
        <f t="shared" si="58"/>
        <v>#VALUE!</v>
      </c>
      <c r="AQ53" s="262" t="e">
        <f t="shared" si="59"/>
        <v>#VALUE!</v>
      </c>
      <c r="AR53" s="264" t="e">
        <f t="shared" si="60"/>
        <v>#VALUE!</v>
      </c>
      <c r="AS53" s="265" t="e">
        <f t="shared" si="61"/>
        <v>#VALUE!</v>
      </c>
      <c r="AT53" s="265" t="e">
        <f t="shared" si="62"/>
        <v>#VALUE!</v>
      </c>
      <c r="AU53" s="259" t="e">
        <f t="shared" si="63"/>
        <v>#VALUE!</v>
      </c>
      <c r="AV53" s="266" t="e">
        <f t="shared" si="64"/>
        <v>#VALUE!</v>
      </c>
      <c r="AW53" s="255" t="str">
        <f t="shared" si="65"/>
        <v>Confiabilidade em Crescimento</v>
      </c>
      <c r="AX53" s="253" t="e">
        <f>VLOOKUP(D53,#REF!,5,FALSE)</f>
        <v>#REF!</v>
      </c>
      <c r="AY53" s="201"/>
      <c r="AZ53" s="273" t="s">
        <v>1224</v>
      </c>
      <c r="BB53">
        <f>IFERROR(VLOOKUP(Tabela1[[#This Row],[Denominação]],[10]Planilha1!$A:$B,2,FALSE),"")</f>
        <v>5977.3600000000006</v>
      </c>
    </row>
    <row r="54" spans="1:54" ht="15" hidden="1" customHeight="1" x14ac:dyDescent="0.3">
      <c r="A54" s="253">
        <v>53</v>
      </c>
      <c r="B54" s="255" t="s">
        <v>894</v>
      </c>
      <c r="C54" s="256" t="s">
        <v>895</v>
      </c>
      <c r="D54" s="255">
        <v>10006666</v>
      </c>
      <c r="E54" s="253" t="s">
        <v>1260</v>
      </c>
      <c r="F54" s="257">
        <v>4529</v>
      </c>
      <c r="G54" s="255">
        <v>53926</v>
      </c>
      <c r="H54" s="255">
        <v>2021</v>
      </c>
      <c r="I54" s="258">
        <v>863735.1</v>
      </c>
      <c r="J54" s="218">
        <v>740664</v>
      </c>
      <c r="K54" s="265">
        <v>8967.3100000000013</v>
      </c>
      <c r="L54" s="259">
        <v>0.56999999999999995</v>
      </c>
      <c r="M54" s="212">
        <v>4369</v>
      </c>
      <c r="N54" s="260">
        <v>15120</v>
      </c>
      <c r="O54" s="254">
        <v>22</v>
      </c>
      <c r="P54" s="271" t="str">
        <f>IFERROR(VLOOKUP(Tabela1[[#This Row],[TAG]],#REF!,14,FALSE),"")</f>
        <v/>
      </c>
      <c r="Q54" s="262" t="e">
        <f t="shared" si="45"/>
        <v>#VALUE!</v>
      </c>
      <c r="R54" s="262" t="e">
        <f t="shared" si="46"/>
        <v>#VALUE!</v>
      </c>
      <c r="S54" s="262" t="e">
        <f t="shared" si="47"/>
        <v>#VALUE!</v>
      </c>
      <c r="T54" s="262" t="e">
        <f t="shared" si="48"/>
        <v>#VALUE!</v>
      </c>
      <c r="U54" s="262" t="e">
        <f t="shared" si="49"/>
        <v>#VALUE!</v>
      </c>
      <c r="V54" s="262" t="e">
        <f t="shared" si="50"/>
        <v>#VALUE!</v>
      </c>
      <c r="W54" s="218">
        <v>418.2</v>
      </c>
      <c r="X54" s="218">
        <v>318.41000000000003</v>
      </c>
      <c r="Y54" s="261">
        <v>0.1</v>
      </c>
      <c r="Z54" s="261">
        <f>IF(Tabela1[[#This Row],[Ano Aquisição]]=2023,0,IFERROR(VLOOKUP(H54,inflação!$F:$H,3,FALSE),""))</f>
        <v>0.1585</v>
      </c>
      <c r="AA54" s="261">
        <v>0.8</v>
      </c>
      <c r="AB54" s="202">
        <f t="shared" si="51"/>
        <v>-863735.1</v>
      </c>
      <c r="AC54" s="262" t="e">
        <f t="shared" si="66"/>
        <v>#VALUE!</v>
      </c>
      <c r="AD54" s="262" t="e">
        <f t="shared" si="67"/>
        <v>#VALUE!</v>
      </c>
      <c r="AE54" s="262" t="e">
        <f t="shared" si="68"/>
        <v>#VALUE!</v>
      </c>
      <c r="AF54" s="262" t="e">
        <f t="shared" si="69"/>
        <v>#VALUE!</v>
      </c>
      <c r="AG54" s="262" t="e">
        <f t="shared" si="70"/>
        <v>#VALUE!</v>
      </c>
      <c r="AH54" s="262" t="e">
        <f t="shared" si="71"/>
        <v>#VALUE!</v>
      </c>
      <c r="AI54" s="262" t="e">
        <f t="shared" si="72"/>
        <v>#VALUE!</v>
      </c>
      <c r="AJ54" s="263">
        <f t="shared" si="52"/>
        <v>-1000637.11335</v>
      </c>
      <c r="AK54" s="262" t="e">
        <f t="shared" si="53"/>
        <v>#VALUE!</v>
      </c>
      <c r="AL54" s="262" t="e">
        <f t="shared" si="54"/>
        <v>#VALUE!</v>
      </c>
      <c r="AM54" s="262" t="e">
        <f t="shared" si="55"/>
        <v>#VALUE!</v>
      </c>
      <c r="AN54" s="262" t="e">
        <f t="shared" si="56"/>
        <v>#VALUE!</v>
      </c>
      <c r="AO54" s="262" t="e">
        <f t="shared" si="57"/>
        <v>#VALUE!</v>
      </c>
      <c r="AP54" s="262" t="e">
        <f t="shared" si="58"/>
        <v>#VALUE!</v>
      </c>
      <c r="AQ54" s="262" t="e">
        <f t="shared" si="59"/>
        <v>#VALUE!</v>
      </c>
      <c r="AR54" s="264" t="e">
        <f t="shared" si="60"/>
        <v>#VALUE!</v>
      </c>
      <c r="AS54" s="265" t="e">
        <f t="shared" si="61"/>
        <v>#VALUE!</v>
      </c>
      <c r="AT54" s="265" t="e">
        <f t="shared" si="62"/>
        <v>#VALUE!</v>
      </c>
      <c r="AU54" s="259" t="e">
        <f t="shared" si="63"/>
        <v>#VALUE!</v>
      </c>
      <c r="AV54" s="266" t="e">
        <f t="shared" si="64"/>
        <v>#VALUE!</v>
      </c>
      <c r="AW54" s="255" t="str">
        <f t="shared" si="65"/>
        <v>Confiabilidade em Crescimento</v>
      </c>
      <c r="AX54" s="253" t="e">
        <f>VLOOKUP(D54,#REF!,5,FALSE)</f>
        <v>#REF!</v>
      </c>
      <c r="AY54" s="201"/>
      <c r="AZ54" s="273" t="s">
        <v>1224</v>
      </c>
      <c r="BB54">
        <f>IFERROR(VLOOKUP(Tabela1[[#This Row],[Denominação]],[10]Planilha1!$A:$B,2,FALSE),"")</f>
        <v>8967.3100000000013</v>
      </c>
    </row>
    <row r="55" spans="1:54" ht="15" hidden="1" customHeight="1" x14ac:dyDescent="0.3">
      <c r="A55" s="268">
        <v>54</v>
      </c>
      <c r="B55" s="255" t="s">
        <v>896</v>
      </c>
      <c r="C55" s="256" t="s">
        <v>897</v>
      </c>
      <c r="D55" s="255">
        <v>10006670</v>
      </c>
      <c r="E55" s="253" t="s">
        <v>1260</v>
      </c>
      <c r="F55" s="257">
        <v>4529</v>
      </c>
      <c r="G55" s="255">
        <v>55628</v>
      </c>
      <c r="H55" s="255">
        <v>2021</v>
      </c>
      <c r="I55" s="258">
        <v>681253.42</v>
      </c>
      <c r="J55" s="218">
        <v>606154</v>
      </c>
      <c r="K55" s="265">
        <v>1467.8999999999999</v>
      </c>
      <c r="L55" s="259">
        <v>1.41</v>
      </c>
      <c r="M55" s="212">
        <v>4369</v>
      </c>
      <c r="N55" s="260">
        <v>6289</v>
      </c>
      <c r="O55" s="254">
        <v>4</v>
      </c>
      <c r="P55" s="271" t="str">
        <f>IFERROR(VLOOKUP(Tabela1[[#This Row],[TAG]],#REF!,14,FALSE),"")</f>
        <v/>
      </c>
      <c r="Q55" s="262" t="e">
        <f t="shared" si="45"/>
        <v>#VALUE!</v>
      </c>
      <c r="R55" s="262" t="e">
        <f t="shared" si="46"/>
        <v>#VALUE!</v>
      </c>
      <c r="S55" s="262" t="e">
        <f t="shared" si="47"/>
        <v>#VALUE!</v>
      </c>
      <c r="T55" s="262" t="e">
        <f t="shared" si="48"/>
        <v>#VALUE!</v>
      </c>
      <c r="U55" s="262" t="e">
        <f t="shared" si="49"/>
        <v>#VALUE!</v>
      </c>
      <c r="V55" s="262" t="e">
        <f t="shared" si="50"/>
        <v>#VALUE!</v>
      </c>
      <c r="W55" s="218">
        <v>487.91</v>
      </c>
      <c r="X55" s="218">
        <v>514.41</v>
      </c>
      <c r="Y55" s="261">
        <v>0.1</v>
      </c>
      <c r="Z55" s="261">
        <f>IF(Tabela1[[#This Row],[Ano Aquisição]]=2023,0,IFERROR(VLOOKUP(H55,inflação!$F:$H,3,FALSE),""))</f>
        <v>0.1585</v>
      </c>
      <c r="AA55" s="261">
        <v>0.8</v>
      </c>
      <c r="AB55" s="202">
        <f t="shared" si="51"/>
        <v>-681253.42</v>
      </c>
      <c r="AC55" s="262" t="e">
        <f t="shared" si="66"/>
        <v>#VALUE!</v>
      </c>
      <c r="AD55" s="262" t="e">
        <f t="shared" si="67"/>
        <v>#VALUE!</v>
      </c>
      <c r="AE55" s="262" t="e">
        <f t="shared" si="68"/>
        <v>#VALUE!</v>
      </c>
      <c r="AF55" s="262" t="e">
        <f t="shared" si="69"/>
        <v>#VALUE!</v>
      </c>
      <c r="AG55" s="262" t="e">
        <f t="shared" si="70"/>
        <v>#VALUE!</v>
      </c>
      <c r="AH55" s="262" t="e">
        <f t="shared" si="71"/>
        <v>#VALUE!</v>
      </c>
      <c r="AI55" s="262" t="e">
        <f t="shared" si="72"/>
        <v>#VALUE!</v>
      </c>
      <c r="AJ55" s="263">
        <f t="shared" si="52"/>
        <v>-789232.08707000013</v>
      </c>
      <c r="AK55" s="262" t="e">
        <f t="shared" si="53"/>
        <v>#VALUE!</v>
      </c>
      <c r="AL55" s="262" t="e">
        <f t="shared" si="54"/>
        <v>#VALUE!</v>
      </c>
      <c r="AM55" s="262" t="e">
        <f t="shared" si="55"/>
        <v>#VALUE!</v>
      </c>
      <c r="AN55" s="262" t="e">
        <f t="shared" si="56"/>
        <v>#VALUE!</v>
      </c>
      <c r="AO55" s="262" t="e">
        <f t="shared" si="57"/>
        <v>#VALUE!</v>
      </c>
      <c r="AP55" s="262" t="e">
        <f t="shared" si="58"/>
        <v>#VALUE!</v>
      </c>
      <c r="AQ55" s="262" t="e">
        <f t="shared" si="59"/>
        <v>#VALUE!</v>
      </c>
      <c r="AR55" s="264" t="e">
        <f t="shared" si="60"/>
        <v>#VALUE!</v>
      </c>
      <c r="AS55" s="265" t="e">
        <f t="shared" si="61"/>
        <v>#VALUE!</v>
      </c>
      <c r="AT55" s="265" t="e">
        <f t="shared" si="62"/>
        <v>#VALUE!</v>
      </c>
      <c r="AU55" s="259" t="e">
        <f t="shared" si="63"/>
        <v>#VALUE!</v>
      </c>
      <c r="AV55" s="266" t="e">
        <f t="shared" si="64"/>
        <v>#VALUE!</v>
      </c>
      <c r="AW55" s="255" t="str">
        <f t="shared" si="65"/>
        <v>Fase de Degradação</v>
      </c>
      <c r="AX55" s="253" t="e">
        <f>VLOOKUP(D55,#REF!,5,FALSE)</f>
        <v>#REF!</v>
      </c>
      <c r="AY55" s="201"/>
      <c r="AZ55" s="273" t="s">
        <v>1224</v>
      </c>
      <c r="BB55">
        <f>IFERROR(VLOOKUP(Tabela1[[#This Row],[Denominação]],[10]Planilha1!$A:$B,2,FALSE),"")</f>
        <v>1467.8999999999999</v>
      </c>
    </row>
    <row r="56" spans="1:54" ht="15" hidden="1" customHeight="1" x14ac:dyDescent="0.3">
      <c r="A56" s="253">
        <v>55</v>
      </c>
      <c r="B56" s="255" t="s">
        <v>898</v>
      </c>
      <c r="C56" s="256" t="s">
        <v>899</v>
      </c>
      <c r="D56" s="255">
        <v>10006685</v>
      </c>
      <c r="E56" s="253" t="s">
        <v>1239</v>
      </c>
      <c r="F56" s="257">
        <v>4529</v>
      </c>
      <c r="G56" s="255">
        <v>53927</v>
      </c>
      <c r="H56" s="255">
        <v>2021</v>
      </c>
      <c r="I56" s="258">
        <v>863735.16</v>
      </c>
      <c r="J56" s="218">
        <v>740664</v>
      </c>
      <c r="K56" s="265">
        <v>43706.689999999995</v>
      </c>
      <c r="L56" s="259">
        <v>1.2</v>
      </c>
      <c r="M56" s="212">
        <v>4114</v>
      </c>
      <c r="N56" s="260">
        <v>15484</v>
      </c>
      <c r="O56" s="254">
        <v>45</v>
      </c>
      <c r="P56" s="271" t="str">
        <f>IFERROR(VLOOKUP(Tabela1[[#This Row],[TAG]],#REF!,14,FALSE),"")</f>
        <v/>
      </c>
      <c r="Q56" s="262" t="e">
        <f t="shared" si="45"/>
        <v>#VALUE!</v>
      </c>
      <c r="R56" s="262" t="e">
        <f t="shared" si="46"/>
        <v>#VALUE!</v>
      </c>
      <c r="S56" s="262" t="e">
        <f t="shared" si="47"/>
        <v>#VALUE!</v>
      </c>
      <c r="T56" s="262" t="e">
        <f t="shared" si="48"/>
        <v>#VALUE!</v>
      </c>
      <c r="U56" s="262" t="e">
        <f t="shared" si="49"/>
        <v>#VALUE!</v>
      </c>
      <c r="V56" s="262" t="e">
        <f t="shared" si="50"/>
        <v>#VALUE!</v>
      </c>
      <c r="W56" s="218">
        <v>530.82000000000005</v>
      </c>
      <c r="X56" s="218">
        <v>1177.1400000000001</v>
      </c>
      <c r="Y56" s="261">
        <v>0.1</v>
      </c>
      <c r="Z56" s="261">
        <f>IF(Tabela1[[#This Row],[Ano Aquisição]]=2023,0,IFERROR(VLOOKUP(H56,inflação!$F:$H,3,FALSE),""))</f>
        <v>0.1585</v>
      </c>
      <c r="AA56" s="261">
        <v>0.8</v>
      </c>
      <c r="AB56" s="202">
        <f t="shared" si="51"/>
        <v>-863735.16</v>
      </c>
      <c r="AC56" s="262" t="e">
        <f t="shared" si="66"/>
        <v>#VALUE!</v>
      </c>
      <c r="AD56" s="262" t="e">
        <f t="shared" si="67"/>
        <v>#VALUE!</v>
      </c>
      <c r="AE56" s="262" t="e">
        <f t="shared" si="68"/>
        <v>#VALUE!</v>
      </c>
      <c r="AF56" s="262" t="e">
        <f t="shared" si="69"/>
        <v>#VALUE!</v>
      </c>
      <c r="AG56" s="262" t="e">
        <f t="shared" si="70"/>
        <v>#VALUE!</v>
      </c>
      <c r="AH56" s="262" t="e">
        <f t="shared" si="71"/>
        <v>#VALUE!</v>
      </c>
      <c r="AI56" s="262" t="e">
        <f t="shared" si="72"/>
        <v>#VALUE!</v>
      </c>
      <c r="AJ56" s="263">
        <f t="shared" si="52"/>
        <v>-1000637.1828600001</v>
      </c>
      <c r="AK56" s="262" t="e">
        <f t="shared" si="53"/>
        <v>#VALUE!</v>
      </c>
      <c r="AL56" s="262" t="e">
        <f t="shared" si="54"/>
        <v>#VALUE!</v>
      </c>
      <c r="AM56" s="262" t="e">
        <f t="shared" si="55"/>
        <v>#VALUE!</v>
      </c>
      <c r="AN56" s="262" t="e">
        <f t="shared" si="56"/>
        <v>#VALUE!</v>
      </c>
      <c r="AO56" s="262" t="e">
        <f t="shared" si="57"/>
        <v>#VALUE!</v>
      </c>
      <c r="AP56" s="262" t="e">
        <f t="shared" si="58"/>
        <v>#VALUE!</v>
      </c>
      <c r="AQ56" s="262" t="e">
        <f t="shared" si="59"/>
        <v>#VALUE!</v>
      </c>
      <c r="AR56" s="264" t="e">
        <f t="shared" si="60"/>
        <v>#VALUE!</v>
      </c>
      <c r="AS56" s="265" t="e">
        <f t="shared" si="61"/>
        <v>#VALUE!</v>
      </c>
      <c r="AT56" s="265" t="e">
        <f t="shared" si="62"/>
        <v>#VALUE!</v>
      </c>
      <c r="AU56" s="259" t="e">
        <f t="shared" si="63"/>
        <v>#VALUE!</v>
      </c>
      <c r="AV56" s="266" t="e">
        <f t="shared" si="64"/>
        <v>#VALUE!</v>
      </c>
      <c r="AW56" s="255" t="str">
        <f t="shared" si="65"/>
        <v>Fase de Degradação</v>
      </c>
      <c r="AX56" s="253" t="e">
        <f>VLOOKUP(D56,#REF!,5,FALSE)</f>
        <v>#REF!</v>
      </c>
      <c r="AY56" s="201"/>
      <c r="AZ56" s="273" t="s">
        <v>1224</v>
      </c>
      <c r="BB56">
        <f>IFERROR(VLOOKUP(Tabela1[[#This Row],[Denominação]],[10]Planilha1!$A:$B,2,FALSE),"")</f>
        <v>43706.689999999995</v>
      </c>
    </row>
    <row r="57" spans="1:54" ht="15" hidden="1" customHeight="1" x14ac:dyDescent="0.3">
      <c r="A57" s="268">
        <v>56</v>
      </c>
      <c r="B57" s="255" t="s">
        <v>900</v>
      </c>
      <c r="C57" s="256" t="s">
        <v>901</v>
      </c>
      <c r="D57" s="255">
        <v>10006697</v>
      </c>
      <c r="E57" s="253" t="s">
        <v>1261</v>
      </c>
      <c r="F57" s="257">
        <v>4529</v>
      </c>
      <c r="G57" s="255">
        <v>55196</v>
      </c>
      <c r="H57" s="255">
        <v>2021</v>
      </c>
      <c r="I57" s="258">
        <v>867358.81</v>
      </c>
      <c r="J57" s="218">
        <v>757761</v>
      </c>
      <c r="K57" s="265">
        <v>3980.8799999999997</v>
      </c>
      <c r="L57" s="259">
        <v>0.48</v>
      </c>
      <c r="M57" s="212">
        <v>5030</v>
      </c>
      <c r="N57" s="260">
        <v>13606</v>
      </c>
      <c r="O57" s="254">
        <v>15</v>
      </c>
      <c r="P57" s="271" t="str">
        <f>IFERROR(VLOOKUP(Tabela1[[#This Row],[TAG]],#REF!,14,FALSE),"")</f>
        <v/>
      </c>
      <c r="Q57" s="262" t="e">
        <f t="shared" si="45"/>
        <v>#VALUE!</v>
      </c>
      <c r="R57" s="262" t="e">
        <f t="shared" si="46"/>
        <v>#VALUE!</v>
      </c>
      <c r="S57" s="262" t="e">
        <f t="shared" si="47"/>
        <v>#VALUE!</v>
      </c>
      <c r="T57" s="262" t="e">
        <f t="shared" si="48"/>
        <v>#VALUE!</v>
      </c>
      <c r="U57" s="262" t="e">
        <f t="shared" si="49"/>
        <v>#VALUE!</v>
      </c>
      <c r="V57" s="262" t="e">
        <f t="shared" si="50"/>
        <v>#VALUE!</v>
      </c>
      <c r="W57" s="218">
        <v>463.26</v>
      </c>
      <c r="X57" s="218">
        <v>516.58000000000004</v>
      </c>
      <c r="Y57" s="261">
        <v>0.1</v>
      </c>
      <c r="Z57" s="261">
        <f>IF(Tabela1[[#This Row],[Ano Aquisição]]=2023,0,IFERROR(VLOOKUP(H57,inflação!$F:$H,3,FALSE),""))</f>
        <v>0.1585</v>
      </c>
      <c r="AA57" s="261">
        <v>0.8</v>
      </c>
      <c r="AB57" s="202">
        <f t="shared" si="51"/>
        <v>-867358.81</v>
      </c>
      <c r="AC57" s="262" t="e">
        <f t="shared" si="66"/>
        <v>#VALUE!</v>
      </c>
      <c r="AD57" s="262" t="e">
        <f t="shared" si="67"/>
        <v>#VALUE!</v>
      </c>
      <c r="AE57" s="262" t="e">
        <f t="shared" si="68"/>
        <v>#VALUE!</v>
      </c>
      <c r="AF57" s="262" t="e">
        <f t="shared" si="69"/>
        <v>#VALUE!</v>
      </c>
      <c r="AG57" s="262" t="e">
        <f t="shared" si="70"/>
        <v>#VALUE!</v>
      </c>
      <c r="AH57" s="262" t="e">
        <f t="shared" si="71"/>
        <v>#VALUE!</v>
      </c>
      <c r="AI57" s="262" t="e">
        <f t="shared" si="72"/>
        <v>#VALUE!</v>
      </c>
      <c r="AJ57" s="263">
        <f t="shared" si="52"/>
        <v>-1004835.1813850001</v>
      </c>
      <c r="AK57" s="262" t="e">
        <f t="shared" si="53"/>
        <v>#VALUE!</v>
      </c>
      <c r="AL57" s="262" t="e">
        <f t="shared" si="54"/>
        <v>#VALUE!</v>
      </c>
      <c r="AM57" s="262" t="e">
        <f t="shared" si="55"/>
        <v>#VALUE!</v>
      </c>
      <c r="AN57" s="262" t="e">
        <f t="shared" si="56"/>
        <v>#VALUE!</v>
      </c>
      <c r="AO57" s="262" t="e">
        <f t="shared" si="57"/>
        <v>#VALUE!</v>
      </c>
      <c r="AP57" s="262" t="e">
        <f t="shared" si="58"/>
        <v>#VALUE!</v>
      </c>
      <c r="AQ57" s="262" t="e">
        <f t="shared" si="59"/>
        <v>#VALUE!</v>
      </c>
      <c r="AR57" s="264" t="e">
        <f t="shared" si="60"/>
        <v>#VALUE!</v>
      </c>
      <c r="AS57" s="265" t="e">
        <f t="shared" si="61"/>
        <v>#VALUE!</v>
      </c>
      <c r="AT57" s="265" t="e">
        <f t="shared" si="62"/>
        <v>#VALUE!</v>
      </c>
      <c r="AU57" s="259" t="e">
        <f t="shared" si="63"/>
        <v>#VALUE!</v>
      </c>
      <c r="AV57" s="266" t="e">
        <f t="shared" si="64"/>
        <v>#VALUE!</v>
      </c>
      <c r="AW57" s="255" t="str">
        <f t="shared" si="65"/>
        <v>Confiabilidade em Crescimento</v>
      </c>
      <c r="AX57" s="253" t="e">
        <f>VLOOKUP(D57,#REF!,5,FALSE)</f>
        <v>#REF!</v>
      </c>
      <c r="AY57" s="201"/>
      <c r="AZ57" s="273" t="s">
        <v>1224</v>
      </c>
      <c r="BB57">
        <f>IFERROR(VLOOKUP(Tabela1[[#This Row],[Denominação]],[10]Planilha1!$A:$B,2,FALSE),"")</f>
        <v>3980.8799999999997</v>
      </c>
    </row>
    <row r="58" spans="1:54" ht="15" hidden="1" customHeight="1" x14ac:dyDescent="0.3">
      <c r="A58" s="347">
        <v>57</v>
      </c>
      <c r="B58" s="348" t="s">
        <v>902</v>
      </c>
      <c r="C58" s="349" t="s">
        <v>903</v>
      </c>
      <c r="D58" s="348">
        <v>10006699</v>
      </c>
      <c r="E58" s="347" t="s">
        <v>1261</v>
      </c>
      <c r="F58" s="350">
        <v>4529</v>
      </c>
      <c r="G58" s="348">
        <v>55195</v>
      </c>
      <c r="H58" s="348">
        <v>2021</v>
      </c>
      <c r="I58" s="351">
        <v>674489.51</v>
      </c>
      <c r="J58" s="352">
        <v>589263</v>
      </c>
      <c r="K58" s="353">
        <v>0</v>
      </c>
      <c r="L58" s="354">
        <v>0.7</v>
      </c>
      <c r="M58" s="364">
        <v>5030</v>
      </c>
      <c r="N58" s="355">
        <v>8209</v>
      </c>
      <c r="O58" s="356">
        <v>6</v>
      </c>
      <c r="P58" s="271" t="str">
        <f>IFERROR(VLOOKUP(Tabela1[[#This Row],[TAG]],#REF!,14,FALSE),"")</f>
        <v/>
      </c>
      <c r="Q58" s="359" t="e">
        <f t="shared" si="45"/>
        <v>#VALUE!</v>
      </c>
      <c r="R58" s="359" t="e">
        <f t="shared" si="46"/>
        <v>#VALUE!</v>
      </c>
      <c r="S58" s="359" t="e">
        <f t="shared" si="47"/>
        <v>#VALUE!</v>
      </c>
      <c r="T58" s="359" t="e">
        <f t="shared" si="48"/>
        <v>#VALUE!</v>
      </c>
      <c r="U58" s="359" t="e">
        <f t="shared" si="49"/>
        <v>#VALUE!</v>
      </c>
      <c r="V58" s="359" t="e">
        <f t="shared" si="50"/>
        <v>#VALUE!</v>
      </c>
      <c r="W58" s="352"/>
      <c r="X58" s="352"/>
      <c r="Y58" s="357">
        <v>0.1</v>
      </c>
      <c r="Z58" s="357">
        <f>IF(Tabela1[[#This Row],[Ano Aquisição]]=2023,0,IFERROR(VLOOKUP(H58,inflação!$F:$H,3,FALSE),""))</f>
        <v>0.1585</v>
      </c>
      <c r="AA58" s="357">
        <v>0.8</v>
      </c>
      <c r="AB58" s="358">
        <f t="shared" si="51"/>
        <v>-674489.51</v>
      </c>
      <c r="AC58" s="359" t="e">
        <f t="shared" si="66"/>
        <v>#VALUE!</v>
      </c>
      <c r="AD58" s="359" t="e">
        <f t="shared" si="67"/>
        <v>#VALUE!</v>
      </c>
      <c r="AE58" s="359" t="e">
        <f t="shared" si="68"/>
        <v>#VALUE!</v>
      </c>
      <c r="AF58" s="359" t="e">
        <f t="shared" si="69"/>
        <v>#VALUE!</v>
      </c>
      <c r="AG58" s="359" t="e">
        <f t="shared" si="70"/>
        <v>#VALUE!</v>
      </c>
      <c r="AH58" s="359" t="e">
        <f t="shared" si="71"/>
        <v>#VALUE!</v>
      </c>
      <c r="AI58" s="359" t="e">
        <f t="shared" si="72"/>
        <v>#VALUE!</v>
      </c>
      <c r="AJ58" s="360">
        <f t="shared" si="52"/>
        <v>-781396.09733500006</v>
      </c>
      <c r="AK58" s="359" t="e">
        <f t="shared" si="53"/>
        <v>#VALUE!</v>
      </c>
      <c r="AL58" s="359" t="e">
        <f t="shared" si="54"/>
        <v>#VALUE!</v>
      </c>
      <c r="AM58" s="359" t="e">
        <f t="shared" si="55"/>
        <v>#VALUE!</v>
      </c>
      <c r="AN58" s="359" t="e">
        <f t="shared" si="56"/>
        <v>#VALUE!</v>
      </c>
      <c r="AO58" s="359" t="e">
        <f t="shared" si="57"/>
        <v>#VALUE!</v>
      </c>
      <c r="AP58" s="359" t="e">
        <f t="shared" si="58"/>
        <v>#VALUE!</v>
      </c>
      <c r="AQ58" s="359" t="e">
        <f t="shared" si="59"/>
        <v>#VALUE!</v>
      </c>
      <c r="AR58" s="361" t="e">
        <f t="shared" si="60"/>
        <v>#VALUE!</v>
      </c>
      <c r="AS58" s="353" t="e">
        <f t="shared" si="61"/>
        <v>#VALUE!</v>
      </c>
      <c r="AT58" s="353" t="e">
        <f t="shared" si="62"/>
        <v>#VALUE!</v>
      </c>
      <c r="AU58" s="354" t="e">
        <f t="shared" si="63"/>
        <v>#VALUE!</v>
      </c>
      <c r="AV58" s="362" t="e">
        <f t="shared" si="64"/>
        <v>#VALUE!</v>
      </c>
      <c r="AW58" s="348" t="str">
        <f t="shared" si="65"/>
        <v>Confiabilidade em Crescimento</v>
      </c>
      <c r="AX58" s="347" t="e">
        <f>VLOOKUP(D58,#REF!,5,FALSE)</f>
        <v>#REF!</v>
      </c>
      <c r="AY58" s="363"/>
      <c r="AZ58" s="316" t="s">
        <v>1224</v>
      </c>
      <c r="BB58">
        <f>IFERROR(VLOOKUP(Tabela1[[#This Row],[Denominação]],[10]Planilha1!$A:$B,2,FALSE),"")</f>
        <v>0</v>
      </c>
    </row>
    <row r="59" spans="1:54" ht="15" hidden="1" customHeight="1" x14ac:dyDescent="0.3">
      <c r="A59" s="268">
        <v>58</v>
      </c>
      <c r="B59" s="255" t="s">
        <v>904</v>
      </c>
      <c r="C59" s="256" t="s">
        <v>905</v>
      </c>
      <c r="D59" s="255">
        <v>10006698</v>
      </c>
      <c r="E59" s="253" t="s">
        <v>1262</v>
      </c>
      <c r="F59" s="257">
        <v>4529</v>
      </c>
      <c r="G59" s="255">
        <v>55197</v>
      </c>
      <c r="H59" s="255">
        <v>2021</v>
      </c>
      <c r="I59" s="258">
        <v>867357.48</v>
      </c>
      <c r="J59" s="218">
        <v>757759</v>
      </c>
      <c r="K59" s="265">
        <v>13232.259999999998</v>
      </c>
      <c r="L59" s="259">
        <v>0.52</v>
      </c>
      <c r="M59" s="212">
        <v>4475</v>
      </c>
      <c r="N59" s="260">
        <v>13342</v>
      </c>
      <c r="O59" s="254">
        <v>17</v>
      </c>
      <c r="P59" s="271" t="str">
        <f>IFERROR(VLOOKUP(Tabela1[[#This Row],[TAG]],#REF!,14,FALSE),"")</f>
        <v/>
      </c>
      <c r="Q59" s="262" t="e">
        <f t="shared" si="45"/>
        <v>#VALUE!</v>
      </c>
      <c r="R59" s="262" t="e">
        <f t="shared" si="46"/>
        <v>#VALUE!</v>
      </c>
      <c r="S59" s="262" t="e">
        <f t="shared" si="47"/>
        <v>#VALUE!</v>
      </c>
      <c r="T59" s="262" t="e">
        <f t="shared" si="48"/>
        <v>#VALUE!</v>
      </c>
      <c r="U59" s="262" t="e">
        <f t="shared" si="49"/>
        <v>#VALUE!</v>
      </c>
      <c r="V59" s="262" t="e">
        <f t="shared" si="50"/>
        <v>#VALUE!</v>
      </c>
      <c r="W59" s="218">
        <v>234.1</v>
      </c>
      <c r="X59" s="218">
        <v>246.01</v>
      </c>
      <c r="Y59" s="261">
        <v>0.1</v>
      </c>
      <c r="Z59" s="261">
        <f>IF(Tabela1[[#This Row],[Ano Aquisição]]=2023,0,IFERROR(VLOOKUP(H59,inflação!$F:$H,3,FALSE),""))</f>
        <v>0.1585</v>
      </c>
      <c r="AA59" s="261">
        <v>0.8</v>
      </c>
      <c r="AB59" s="202">
        <f t="shared" si="51"/>
        <v>-867357.48</v>
      </c>
      <c r="AC59" s="262" t="e">
        <f t="shared" si="66"/>
        <v>#VALUE!</v>
      </c>
      <c r="AD59" s="262" t="e">
        <f t="shared" si="67"/>
        <v>#VALUE!</v>
      </c>
      <c r="AE59" s="262" t="e">
        <f t="shared" si="68"/>
        <v>#VALUE!</v>
      </c>
      <c r="AF59" s="262" t="e">
        <f t="shared" si="69"/>
        <v>#VALUE!</v>
      </c>
      <c r="AG59" s="262" t="e">
        <f t="shared" si="70"/>
        <v>#VALUE!</v>
      </c>
      <c r="AH59" s="262" t="e">
        <f t="shared" si="71"/>
        <v>#VALUE!</v>
      </c>
      <c r="AI59" s="262" t="e">
        <f t="shared" si="72"/>
        <v>#VALUE!</v>
      </c>
      <c r="AJ59" s="263">
        <f t="shared" si="52"/>
        <v>-1004833.64058</v>
      </c>
      <c r="AK59" s="262" t="e">
        <f t="shared" si="53"/>
        <v>#VALUE!</v>
      </c>
      <c r="AL59" s="262" t="e">
        <f t="shared" si="54"/>
        <v>#VALUE!</v>
      </c>
      <c r="AM59" s="262" t="e">
        <f t="shared" si="55"/>
        <v>#VALUE!</v>
      </c>
      <c r="AN59" s="262" t="e">
        <f t="shared" si="56"/>
        <v>#VALUE!</v>
      </c>
      <c r="AO59" s="262" t="e">
        <f t="shared" si="57"/>
        <v>#VALUE!</v>
      </c>
      <c r="AP59" s="262" t="e">
        <f t="shared" si="58"/>
        <v>#VALUE!</v>
      </c>
      <c r="AQ59" s="262" t="e">
        <f t="shared" si="59"/>
        <v>#VALUE!</v>
      </c>
      <c r="AR59" s="264" t="e">
        <f t="shared" si="60"/>
        <v>#VALUE!</v>
      </c>
      <c r="AS59" s="265" t="e">
        <f t="shared" si="61"/>
        <v>#VALUE!</v>
      </c>
      <c r="AT59" s="265" t="e">
        <f t="shared" si="62"/>
        <v>#VALUE!</v>
      </c>
      <c r="AU59" s="259" t="e">
        <f t="shared" si="63"/>
        <v>#VALUE!</v>
      </c>
      <c r="AV59" s="266" t="e">
        <f t="shared" si="64"/>
        <v>#VALUE!</v>
      </c>
      <c r="AW59" s="255" t="str">
        <f t="shared" si="65"/>
        <v>Confiabilidade em Crescimento</v>
      </c>
      <c r="AX59" s="253" t="e">
        <f>VLOOKUP(D59,#REF!,5,FALSE)</f>
        <v>#REF!</v>
      </c>
      <c r="AY59" s="201"/>
      <c r="AZ59" s="273" t="s">
        <v>1224</v>
      </c>
      <c r="BB59">
        <f>IFERROR(VLOOKUP(Tabela1[[#This Row],[Denominação]],[10]Planilha1!$A:$B,2,FALSE),"")</f>
        <v>13232.259999999998</v>
      </c>
    </row>
    <row r="60" spans="1:54" ht="15" hidden="1" customHeight="1" x14ac:dyDescent="0.3">
      <c r="A60" s="253">
        <v>59</v>
      </c>
      <c r="B60" s="255" t="s">
        <v>906</v>
      </c>
      <c r="C60" s="256" t="s">
        <v>907</v>
      </c>
      <c r="D60" s="255">
        <v>10006700</v>
      </c>
      <c r="E60" s="253" t="s">
        <v>1262</v>
      </c>
      <c r="F60" s="257">
        <v>4529</v>
      </c>
      <c r="G60" s="255">
        <v>55194</v>
      </c>
      <c r="H60" s="255">
        <v>2021</v>
      </c>
      <c r="I60" s="258">
        <v>674489.45</v>
      </c>
      <c r="J60" s="218">
        <v>589262</v>
      </c>
      <c r="K60" s="265">
        <v>18904.18</v>
      </c>
      <c r="L60" s="259">
        <v>1.29</v>
      </c>
      <c r="M60" s="212">
        <v>4475</v>
      </c>
      <c r="N60" s="260">
        <v>6511</v>
      </c>
      <c r="O60" s="254">
        <v>7</v>
      </c>
      <c r="P60" s="271" t="str">
        <f>IFERROR(VLOOKUP(Tabela1[[#This Row],[TAG]],#REF!,14,FALSE),"")</f>
        <v/>
      </c>
      <c r="Q60" s="262" t="e">
        <f t="shared" si="45"/>
        <v>#VALUE!</v>
      </c>
      <c r="R60" s="262" t="e">
        <f t="shared" si="46"/>
        <v>#VALUE!</v>
      </c>
      <c r="S60" s="262" t="e">
        <f t="shared" si="47"/>
        <v>#VALUE!</v>
      </c>
      <c r="T60" s="262" t="e">
        <f t="shared" si="48"/>
        <v>#VALUE!</v>
      </c>
      <c r="U60" s="262" t="e">
        <f t="shared" si="49"/>
        <v>#VALUE!</v>
      </c>
      <c r="V60" s="262" t="e">
        <f t="shared" si="50"/>
        <v>#VALUE!</v>
      </c>
      <c r="W60" s="218">
        <v>468.57</v>
      </c>
      <c r="X60" s="218">
        <v>594.16</v>
      </c>
      <c r="Y60" s="261">
        <v>0.1</v>
      </c>
      <c r="Z60" s="261">
        <f>IF(Tabela1[[#This Row],[Ano Aquisição]]=2023,0,IFERROR(VLOOKUP(H60,inflação!$F:$H,3,FALSE),""))</f>
        <v>0.1585</v>
      </c>
      <c r="AA60" s="261">
        <v>0.8</v>
      </c>
      <c r="AB60" s="202">
        <f t="shared" si="51"/>
        <v>-674489.45</v>
      </c>
      <c r="AC60" s="262" t="e">
        <f t="shared" si="66"/>
        <v>#VALUE!</v>
      </c>
      <c r="AD60" s="262" t="e">
        <f t="shared" si="67"/>
        <v>#VALUE!</v>
      </c>
      <c r="AE60" s="262" t="e">
        <f t="shared" si="68"/>
        <v>#VALUE!</v>
      </c>
      <c r="AF60" s="262" t="e">
        <f t="shared" si="69"/>
        <v>#VALUE!</v>
      </c>
      <c r="AG60" s="262" t="e">
        <f t="shared" si="70"/>
        <v>#VALUE!</v>
      </c>
      <c r="AH60" s="262" t="e">
        <f t="shared" si="71"/>
        <v>#VALUE!</v>
      </c>
      <c r="AI60" s="262" t="e">
        <f t="shared" si="72"/>
        <v>#VALUE!</v>
      </c>
      <c r="AJ60" s="263">
        <f t="shared" si="52"/>
        <v>-781396.027825</v>
      </c>
      <c r="AK60" s="262" t="e">
        <f t="shared" si="53"/>
        <v>#VALUE!</v>
      </c>
      <c r="AL60" s="262" t="e">
        <f t="shared" si="54"/>
        <v>#VALUE!</v>
      </c>
      <c r="AM60" s="262" t="e">
        <f t="shared" si="55"/>
        <v>#VALUE!</v>
      </c>
      <c r="AN60" s="262" t="e">
        <f t="shared" si="56"/>
        <v>#VALUE!</v>
      </c>
      <c r="AO60" s="262" t="e">
        <f t="shared" si="57"/>
        <v>#VALUE!</v>
      </c>
      <c r="AP60" s="262" t="e">
        <f t="shared" si="58"/>
        <v>#VALUE!</v>
      </c>
      <c r="AQ60" s="262" t="e">
        <f t="shared" si="59"/>
        <v>#VALUE!</v>
      </c>
      <c r="AR60" s="264" t="e">
        <f t="shared" si="60"/>
        <v>#VALUE!</v>
      </c>
      <c r="AS60" s="265" t="e">
        <f t="shared" si="61"/>
        <v>#VALUE!</v>
      </c>
      <c r="AT60" s="265" t="e">
        <f t="shared" si="62"/>
        <v>#VALUE!</v>
      </c>
      <c r="AU60" s="259" t="e">
        <f t="shared" si="63"/>
        <v>#VALUE!</v>
      </c>
      <c r="AV60" s="266" t="e">
        <f t="shared" si="64"/>
        <v>#VALUE!</v>
      </c>
      <c r="AW60" s="255" t="str">
        <f t="shared" si="65"/>
        <v>Fase de Degradação</v>
      </c>
      <c r="AX60" s="253" t="e">
        <f>VLOOKUP(D60,#REF!,5,FALSE)</f>
        <v>#REF!</v>
      </c>
      <c r="AY60" s="201"/>
      <c r="AZ60" s="273" t="s">
        <v>1224</v>
      </c>
      <c r="BB60">
        <f>IFERROR(VLOOKUP(Tabela1[[#This Row],[Denominação]],[10]Planilha1!$A:$B,2,FALSE),"")</f>
        <v>18904.18</v>
      </c>
    </row>
    <row r="61" spans="1:54" ht="15" hidden="1" customHeight="1" x14ac:dyDescent="0.3">
      <c r="A61" s="268">
        <v>60</v>
      </c>
      <c r="B61" s="255" t="s">
        <v>908</v>
      </c>
      <c r="C61" s="256" t="s">
        <v>909</v>
      </c>
      <c r="D61" s="255">
        <v>10006701</v>
      </c>
      <c r="E61" s="253" t="s">
        <v>1258</v>
      </c>
      <c r="F61" s="257">
        <v>4529</v>
      </c>
      <c r="G61" s="255">
        <v>55624</v>
      </c>
      <c r="H61" s="255">
        <v>2021</v>
      </c>
      <c r="I61" s="258">
        <v>681253.62</v>
      </c>
      <c r="J61" s="218">
        <v>606155</v>
      </c>
      <c r="K61" s="265">
        <v>1760.24</v>
      </c>
      <c r="L61" s="259">
        <v>0.85</v>
      </c>
      <c r="M61" s="212">
        <v>5094</v>
      </c>
      <c r="N61" s="260">
        <v>9886</v>
      </c>
      <c r="O61" s="254">
        <v>5</v>
      </c>
      <c r="P61" s="271" t="str">
        <f>IFERROR(VLOOKUP(Tabela1[[#This Row],[TAG]],#REF!,14,FALSE),"")</f>
        <v/>
      </c>
      <c r="Q61" s="262" t="e">
        <f t="shared" si="45"/>
        <v>#VALUE!</v>
      </c>
      <c r="R61" s="262" t="e">
        <f t="shared" si="46"/>
        <v>#VALUE!</v>
      </c>
      <c r="S61" s="262" t="e">
        <f t="shared" si="47"/>
        <v>#VALUE!</v>
      </c>
      <c r="T61" s="262" t="e">
        <f t="shared" si="48"/>
        <v>#VALUE!</v>
      </c>
      <c r="U61" s="262" t="e">
        <f t="shared" si="49"/>
        <v>#VALUE!</v>
      </c>
      <c r="V61" s="262" t="e">
        <f t="shared" si="50"/>
        <v>#VALUE!</v>
      </c>
      <c r="W61" s="218">
        <v>229.76</v>
      </c>
      <c r="X61" s="218">
        <v>316.41000000000003</v>
      </c>
      <c r="Y61" s="261">
        <v>0.1</v>
      </c>
      <c r="Z61" s="261">
        <f>IF(Tabela1[[#This Row],[Ano Aquisição]]=2023,0,IFERROR(VLOOKUP(H61,inflação!$F:$H,3,FALSE),""))</f>
        <v>0.1585</v>
      </c>
      <c r="AA61" s="261">
        <v>0.8</v>
      </c>
      <c r="AB61" s="202">
        <f t="shared" si="51"/>
        <v>-681253.62</v>
      </c>
      <c r="AC61" s="262" t="e">
        <f t="shared" si="66"/>
        <v>#VALUE!</v>
      </c>
      <c r="AD61" s="262" t="e">
        <f t="shared" si="67"/>
        <v>#VALUE!</v>
      </c>
      <c r="AE61" s="262" t="e">
        <f t="shared" si="68"/>
        <v>#VALUE!</v>
      </c>
      <c r="AF61" s="262" t="e">
        <f t="shared" si="69"/>
        <v>#VALUE!</v>
      </c>
      <c r="AG61" s="262" t="e">
        <f t="shared" si="70"/>
        <v>#VALUE!</v>
      </c>
      <c r="AH61" s="262" t="e">
        <f t="shared" si="71"/>
        <v>#VALUE!</v>
      </c>
      <c r="AI61" s="262" t="e">
        <f t="shared" si="72"/>
        <v>#VALUE!</v>
      </c>
      <c r="AJ61" s="263">
        <f t="shared" si="52"/>
        <v>-789232.31877000001</v>
      </c>
      <c r="AK61" s="262" t="e">
        <f t="shared" si="53"/>
        <v>#VALUE!</v>
      </c>
      <c r="AL61" s="262" t="e">
        <f t="shared" si="54"/>
        <v>#VALUE!</v>
      </c>
      <c r="AM61" s="262" t="e">
        <f t="shared" si="55"/>
        <v>#VALUE!</v>
      </c>
      <c r="AN61" s="262" t="e">
        <f t="shared" si="56"/>
        <v>#VALUE!</v>
      </c>
      <c r="AO61" s="262" t="e">
        <f t="shared" si="57"/>
        <v>#VALUE!</v>
      </c>
      <c r="AP61" s="262" t="e">
        <f t="shared" si="58"/>
        <v>#VALUE!</v>
      </c>
      <c r="AQ61" s="262" t="e">
        <f t="shared" si="59"/>
        <v>#VALUE!</v>
      </c>
      <c r="AR61" s="264" t="e">
        <f t="shared" si="60"/>
        <v>#VALUE!</v>
      </c>
      <c r="AS61" s="265" t="e">
        <f t="shared" si="61"/>
        <v>#VALUE!</v>
      </c>
      <c r="AT61" s="265" t="e">
        <f t="shared" si="62"/>
        <v>#VALUE!</v>
      </c>
      <c r="AU61" s="259" t="e">
        <f t="shared" si="63"/>
        <v>#VALUE!</v>
      </c>
      <c r="AV61" s="266" t="e">
        <f t="shared" si="64"/>
        <v>#VALUE!</v>
      </c>
      <c r="AW61" s="255" t="str">
        <f t="shared" si="65"/>
        <v>Confiabilidade em Crescimento</v>
      </c>
      <c r="AX61" s="253" t="e">
        <f>VLOOKUP(D61,#REF!,5,FALSE)</f>
        <v>#REF!</v>
      </c>
      <c r="AY61" s="201"/>
      <c r="AZ61" s="273" t="s">
        <v>1224</v>
      </c>
      <c r="BB61">
        <f>IFERROR(VLOOKUP(Tabela1[[#This Row],[Denominação]],[10]Planilha1!$A:$B,2,FALSE),"")</f>
        <v>1760.24</v>
      </c>
    </row>
    <row r="62" spans="1:54" ht="15" hidden="1" customHeight="1" x14ac:dyDescent="0.3">
      <c r="A62" s="253">
        <v>61</v>
      </c>
      <c r="B62" s="255" t="s">
        <v>910</v>
      </c>
      <c r="C62" s="256" t="s">
        <v>911</v>
      </c>
      <c r="D62" s="255">
        <v>10006765</v>
      </c>
      <c r="E62" s="253" t="s">
        <v>1263</v>
      </c>
      <c r="F62" s="257">
        <v>4529</v>
      </c>
      <c r="G62" s="255">
        <v>56675</v>
      </c>
      <c r="H62" s="255">
        <v>2021</v>
      </c>
      <c r="I62" s="258">
        <v>890786.1</v>
      </c>
      <c r="J62" s="218">
        <v>827534</v>
      </c>
      <c r="K62" s="265">
        <v>6595.03</v>
      </c>
      <c r="L62" s="259">
        <v>1</v>
      </c>
      <c r="M62" s="212">
        <v>4132</v>
      </c>
      <c r="N62" s="260">
        <v>8573</v>
      </c>
      <c r="O62" s="254">
        <v>14</v>
      </c>
      <c r="P62" s="271" t="str">
        <f>IFERROR(VLOOKUP(Tabela1[[#This Row],[TAG]],#REF!,14,FALSE),"")</f>
        <v/>
      </c>
      <c r="Q62" s="262" t="e">
        <f t="shared" si="45"/>
        <v>#VALUE!</v>
      </c>
      <c r="R62" s="262" t="e">
        <f t="shared" si="46"/>
        <v>#VALUE!</v>
      </c>
      <c r="S62" s="262" t="e">
        <f t="shared" si="47"/>
        <v>#VALUE!</v>
      </c>
      <c r="T62" s="262" t="e">
        <f t="shared" si="48"/>
        <v>#VALUE!</v>
      </c>
      <c r="U62" s="262" t="e">
        <f t="shared" si="49"/>
        <v>#VALUE!</v>
      </c>
      <c r="V62" s="262" t="e">
        <f t="shared" si="50"/>
        <v>#VALUE!</v>
      </c>
      <c r="W62" s="218">
        <v>561.67999999999995</v>
      </c>
      <c r="X62" s="218">
        <v>741.63</v>
      </c>
      <c r="Y62" s="261">
        <v>0.1</v>
      </c>
      <c r="Z62" s="261">
        <f>IF(Tabela1[[#This Row],[Ano Aquisição]]=2023,0,IFERROR(VLOOKUP(H62,inflação!$F:$H,3,FALSE),""))</f>
        <v>0.1585</v>
      </c>
      <c r="AA62" s="261">
        <v>0.8</v>
      </c>
      <c r="AB62" s="202">
        <f t="shared" si="51"/>
        <v>-890786.1</v>
      </c>
      <c r="AC62" s="262" t="e">
        <f t="shared" si="66"/>
        <v>#VALUE!</v>
      </c>
      <c r="AD62" s="262" t="e">
        <f t="shared" si="67"/>
        <v>#VALUE!</v>
      </c>
      <c r="AE62" s="262" t="e">
        <f t="shared" si="68"/>
        <v>#VALUE!</v>
      </c>
      <c r="AF62" s="262" t="e">
        <f t="shared" si="69"/>
        <v>#VALUE!</v>
      </c>
      <c r="AG62" s="262" t="e">
        <f t="shared" si="70"/>
        <v>#VALUE!</v>
      </c>
      <c r="AH62" s="262" t="e">
        <f t="shared" si="71"/>
        <v>#VALUE!</v>
      </c>
      <c r="AI62" s="262" t="e">
        <f t="shared" si="72"/>
        <v>#VALUE!</v>
      </c>
      <c r="AJ62" s="263">
        <f t="shared" si="52"/>
        <v>-1031975.6968500001</v>
      </c>
      <c r="AK62" s="262" t="e">
        <f t="shared" si="53"/>
        <v>#VALUE!</v>
      </c>
      <c r="AL62" s="262" t="e">
        <f t="shared" si="54"/>
        <v>#VALUE!</v>
      </c>
      <c r="AM62" s="262" t="e">
        <f t="shared" si="55"/>
        <v>#VALUE!</v>
      </c>
      <c r="AN62" s="262" t="e">
        <f t="shared" si="56"/>
        <v>#VALUE!</v>
      </c>
      <c r="AO62" s="262" t="e">
        <f t="shared" si="57"/>
        <v>#VALUE!</v>
      </c>
      <c r="AP62" s="262" t="e">
        <f t="shared" si="58"/>
        <v>#VALUE!</v>
      </c>
      <c r="AQ62" s="262" t="e">
        <f t="shared" si="59"/>
        <v>#VALUE!</v>
      </c>
      <c r="AR62" s="264" t="e">
        <f t="shared" si="60"/>
        <v>#VALUE!</v>
      </c>
      <c r="AS62" s="265" t="e">
        <f t="shared" si="61"/>
        <v>#VALUE!</v>
      </c>
      <c r="AT62" s="265" t="e">
        <f t="shared" si="62"/>
        <v>#VALUE!</v>
      </c>
      <c r="AU62" s="259" t="e">
        <f t="shared" si="63"/>
        <v>#VALUE!</v>
      </c>
      <c r="AV62" s="266" t="e">
        <f t="shared" si="64"/>
        <v>#VALUE!</v>
      </c>
      <c r="AW62" s="255" t="str">
        <f t="shared" si="65"/>
        <v>Fase de Vida Útil</v>
      </c>
      <c r="AX62" s="253" t="e">
        <f>VLOOKUP(D62,#REF!,5,FALSE)</f>
        <v>#REF!</v>
      </c>
      <c r="AY62" s="201"/>
      <c r="AZ62" s="273" t="s">
        <v>1224</v>
      </c>
      <c r="BB62">
        <f>IFERROR(VLOOKUP(Tabela1[[#This Row],[Denominação]],[10]Planilha1!$A:$B,2,FALSE),"")</f>
        <v>6595.03</v>
      </c>
    </row>
    <row r="63" spans="1:54" ht="15" hidden="1" customHeight="1" x14ac:dyDescent="0.3">
      <c r="A63" s="268">
        <v>62</v>
      </c>
      <c r="B63" s="255" t="s">
        <v>912</v>
      </c>
      <c r="C63" s="256" t="s">
        <v>913</v>
      </c>
      <c r="D63" s="255">
        <v>10006766</v>
      </c>
      <c r="E63" s="253" t="s">
        <v>1264</v>
      </c>
      <c r="F63" s="257">
        <v>4529</v>
      </c>
      <c r="G63" s="255">
        <v>56680</v>
      </c>
      <c r="H63" s="255">
        <v>2021</v>
      </c>
      <c r="I63" s="258">
        <v>893080.09</v>
      </c>
      <c r="J63" s="218">
        <v>829666</v>
      </c>
      <c r="K63" s="265">
        <v>3039.2300000000005</v>
      </c>
      <c r="L63" s="259">
        <v>1.01</v>
      </c>
      <c r="M63" s="212">
        <v>3800</v>
      </c>
      <c r="N63" s="260">
        <v>8816</v>
      </c>
      <c r="O63" s="254">
        <v>15</v>
      </c>
      <c r="P63" s="271" t="str">
        <f>IFERROR(VLOOKUP(Tabela1[[#This Row],[TAG]],#REF!,14,FALSE),"")</f>
        <v/>
      </c>
      <c r="Q63" s="262" t="e">
        <f t="shared" si="45"/>
        <v>#VALUE!</v>
      </c>
      <c r="R63" s="262" t="e">
        <f t="shared" si="46"/>
        <v>#VALUE!</v>
      </c>
      <c r="S63" s="262" t="e">
        <f t="shared" si="47"/>
        <v>#VALUE!</v>
      </c>
      <c r="T63" s="262" t="e">
        <f t="shared" si="48"/>
        <v>#VALUE!</v>
      </c>
      <c r="U63" s="262" t="e">
        <f t="shared" si="49"/>
        <v>#VALUE!</v>
      </c>
      <c r="V63" s="262" t="e">
        <f t="shared" si="50"/>
        <v>#VALUE!</v>
      </c>
      <c r="W63" s="218">
        <v>378.46</v>
      </c>
      <c r="X63" s="218">
        <v>450.22</v>
      </c>
      <c r="Y63" s="261">
        <v>0.1</v>
      </c>
      <c r="Z63" s="261">
        <f>IF(Tabela1[[#This Row],[Ano Aquisição]]=2023,0,IFERROR(VLOOKUP(H63,inflação!$F:$H,3,FALSE),""))</f>
        <v>0.1585</v>
      </c>
      <c r="AA63" s="261">
        <v>0.8</v>
      </c>
      <c r="AB63" s="202">
        <f t="shared" si="51"/>
        <v>-893080.09</v>
      </c>
      <c r="AC63" s="262" t="e">
        <f t="shared" si="66"/>
        <v>#VALUE!</v>
      </c>
      <c r="AD63" s="262" t="e">
        <f t="shared" si="67"/>
        <v>#VALUE!</v>
      </c>
      <c r="AE63" s="262" t="e">
        <f t="shared" si="68"/>
        <v>#VALUE!</v>
      </c>
      <c r="AF63" s="262" t="e">
        <f t="shared" si="69"/>
        <v>#VALUE!</v>
      </c>
      <c r="AG63" s="262" t="e">
        <f t="shared" si="70"/>
        <v>#VALUE!</v>
      </c>
      <c r="AH63" s="262" t="e">
        <f t="shared" si="71"/>
        <v>#VALUE!</v>
      </c>
      <c r="AI63" s="262" t="e">
        <f t="shared" si="72"/>
        <v>#VALUE!</v>
      </c>
      <c r="AJ63" s="263">
        <f t="shared" si="52"/>
        <v>-1034633.284265</v>
      </c>
      <c r="AK63" s="262" t="e">
        <f t="shared" si="53"/>
        <v>#VALUE!</v>
      </c>
      <c r="AL63" s="262" t="e">
        <f t="shared" si="54"/>
        <v>#VALUE!</v>
      </c>
      <c r="AM63" s="262" t="e">
        <f t="shared" si="55"/>
        <v>#VALUE!</v>
      </c>
      <c r="AN63" s="262" t="e">
        <f t="shared" si="56"/>
        <v>#VALUE!</v>
      </c>
      <c r="AO63" s="262" t="e">
        <f t="shared" si="57"/>
        <v>#VALUE!</v>
      </c>
      <c r="AP63" s="262" t="e">
        <f t="shared" si="58"/>
        <v>#VALUE!</v>
      </c>
      <c r="AQ63" s="262" t="e">
        <f t="shared" si="59"/>
        <v>#VALUE!</v>
      </c>
      <c r="AR63" s="264" t="e">
        <f t="shared" si="60"/>
        <v>#VALUE!</v>
      </c>
      <c r="AS63" s="265" t="e">
        <f t="shared" si="61"/>
        <v>#VALUE!</v>
      </c>
      <c r="AT63" s="265" t="e">
        <f t="shared" si="62"/>
        <v>#VALUE!</v>
      </c>
      <c r="AU63" s="259" t="e">
        <f t="shared" si="63"/>
        <v>#VALUE!</v>
      </c>
      <c r="AV63" s="266" t="e">
        <f t="shared" si="64"/>
        <v>#VALUE!</v>
      </c>
      <c r="AW63" s="255" t="str">
        <f t="shared" si="65"/>
        <v>Fase de Vida Útil</v>
      </c>
      <c r="AX63" s="253" t="e">
        <f>VLOOKUP(D63,#REF!,5,FALSE)</f>
        <v>#REF!</v>
      </c>
      <c r="AY63" s="201"/>
      <c r="AZ63" s="273" t="s">
        <v>1224</v>
      </c>
      <c r="BB63">
        <f>IFERROR(VLOOKUP(Tabela1[[#This Row],[Denominação]],[10]Planilha1!$A:$B,2,FALSE),"")</f>
        <v>3039.2300000000005</v>
      </c>
    </row>
    <row r="64" spans="1:54" ht="15" hidden="1" customHeight="1" x14ac:dyDescent="0.3">
      <c r="A64" s="253">
        <v>63</v>
      </c>
      <c r="B64" s="255" t="s">
        <v>914</v>
      </c>
      <c r="C64" s="256" t="s">
        <v>915</v>
      </c>
      <c r="D64" s="255">
        <v>10006767</v>
      </c>
      <c r="E64" s="253" t="s">
        <v>1263</v>
      </c>
      <c r="F64" s="257">
        <v>4529</v>
      </c>
      <c r="G64" s="255">
        <v>56676</v>
      </c>
      <c r="H64" s="255">
        <v>2021</v>
      </c>
      <c r="I64" s="258">
        <v>640938.73</v>
      </c>
      <c r="J64" s="218">
        <v>595427</v>
      </c>
      <c r="K64" s="265">
        <v>1301.3700000000001</v>
      </c>
      <c r="L64" s="259">
        <v>0.95</v>
      </c>
      <c r="M64" s="212">
        <v>4132</v>
      </c>
      <c r="N64" s="260">
        <v>5907</v>
      </c>
      <c r="O64" s="254">
        <v>11</v>
      </c>
      <c r="P64" s="271" t="str">
        <f>IFERROR(VLOOKUP(Tabela1[[#This Row],[TAG]],#REF!,14,FALSE),"")</f>
        <v/>
      </c>
      <c r="Q64" s="262" t="e">
        <f t="shared" si="45"/>
        <v>#VALUE!</v>
      </c>
      <c r="R64" s="262" t="e">
        <f t="shared" si="46"/>
        <v>#VALUE!</v>
      </c>
      <c r="S64" s="262" t="e">
        <f t="shared" si="47"/>
        <v>#VALUE!</v>
      </c>
      <c r="T64" s="262" t="e">
        <f t="shared" si="48"/>
        <v>#VALUE!</v>
      </c>
      <c r="U64" s="262" t="e">
        <f t="shared" si="49"/>
        <v>#VALUE!</v>
      </c>
      <c r="V64" s="262" t="e">
        <f t="shared" si="50"/>
        <v>#VALUE!</v>
      </c>
      <c r="W64" s="218">
        <v>1060.9000000000001</v>
      </c>
      <c r="X64" s="218">
        <v>751.79</v>
      </c>
      <c r="Y64" s="261">
        <v>0.1</v>
      </c>
      <c r="Z64" s="261">
        <f>IF(Tabela1[[#This Row],[Ano Aquisição]]=2023,0,IFERROR(VLOOKUP(H64,inflação!$F:$H,3,FALSE),""))</f>
        <v>0.1585</v>
      </c>
      <c r="AA64" s="261">
        <v>0.8</v>
      </c>
      <c r="AB64" s="202">
        <f t="shared" si="51"/>
        <v>-640938.73</v>
      </c>
      <c r="AC64" s="262" t="e">
        <f t="shared" si="66"/>
        <v>#VALUE!</v>
      </c>
      <c r="AD64" s="262" t="e">
        <f t="shared" si="67"/>
        <v>#VALUE!</v>
      </c>
      <c r="AE64" s="262" t="e">
        <f t="shared" si="68"/>
        <v>#VALUE!</v>
      </c>
      <c r="AF64" s="262" t="e">
        <f t="shared" si="69"/>
        <v>#VALUE!</v>
      </c>
      <c r="AG64" s="262" t="e">
        <f t="shared" si="70"/>
        <v>#VALUE!</v>
      </c>
      <c r="AH64" s="262" t="e">
        <f t="shared" si="71"/>
        <v>#VALUE!</v>
      </c>
      <c r="AI64" s="262" t="e">
        <f t="shared" si="72"/>
        <v>#VALUE!</v>
      </c>
      <c r="AJ64" s="263">
        <f t="shared" si="52"/>
        <v>-742527.51870500005</v>
      </c>
      <c r="AK64" s="262" t="e">
        <f t="shared" si="53"/>
        <v>#VALUE!</v>
      </c>
      <c r="AL64" s="262" t="e">
        <f t="shared" si="54"/>
        <v>#VALUE!</v>
      </c>
      <c r="AM64" s="262" t="e">
        <f t="shared" si="55"/>
        <v>#VALUE!</v>
      </c>
      <c r="AN64" s="262" t="e">
        <f t="shared" si="56"/>
        <v>#VALUE!</v>
      </c>
      <c r="AO64" s="262" t="e">
        <f t="shared" si="57"/>
        <v>#VALUE!</v>
      </c>
      <c r="AP64" s="262" t="e">
        <f t="shared" si="58"/>
        <v>#VALUE!</v>
      </c>
      <c r="AQ64" s="262" t="e">
        <f t="shared" si="59"/>
        <v>#VALUE!</v>
      </c>
      <c r="AR64" s="264" t="e">
        <f t="shared" si="60"/>
        <v>#VALUE!</v>
      </c>
      <c r="AS64" s="265" t="e">
        <f t="shared" si="61"/>
        <v>#VALUE!</v>
      </c>
      <c r="AT64" s="265" t="e">
        <f t="shared" si="62"/>
        <v>#VALUE!</v>
      </c>
      <c r="AU64" s="259" t="e">
        <f t="shared" si="63"/>
        <v>#VALUE!</v>
      </c>
      <c r="AV64" s="266" t="e">
        <f t="shared" si="64"/>
        <v>#VALUE!</v>
      </c>
      <c r="AW64" s="255" t="str">
        <f t="shared" si="65"/>
        <v>Confiabilidade em Crescimento</v>
      </c>
      <c r="AX64" s="253" t="e">
        <f>VLOOKUP(D64,#REF!,5,FALSE)</f>
        <v>#REF!</v>
      </c>
      <c r="AY64" s="201"/>
      <c r="AZ64" s="273" t="s">
        <v>1224</v>
      </c>
      <c r="BB64">
        <f>IFERROR(VLOOKUP(Tabela1[[#This Row],[Denominação]],[10]Planilha1!$A:$B,2,FALSE),"")</f>
        <v>1301.3700000000001</v>
      </c>
    </row>
    <row r="65" spans="1:54" ht="15" hidden="1" customHeight="1" x14ac:dyDescent="0.3">
      <c r="A65" s="268">
        <v>64</v>
      </c>
      <c r="B65" s="255" t="s">
        <v>916</v>
      </c>
      <c r="C65" s="256" t="s">
        <v>917</v>
      </c>
      <c r="D65" s="255">
        <v>10006768</v>
      </c>
      <c r="E65" s="253" t="s">
        <v>1264</v>
      </c>
      <c r="F65" s="257">
        <v>4529</v>
      </c>
      <c r="G65" s="255">
        <v>56681</v>
      </c>
      <c r="H65" s="255">
        <v>2021</v>
      </c>
      <c r="I65" s="258">
        <v>643232.25</v>
      </c>
      <c r="J65" s="218">
        <v>597558</v>
      </c>
      <c r="K65" s="265">
        <v>738.45</v>
      </c>
      <c r="L65" s="259">
        <v>1.03</v>
      </c>
      <c r="M65" s="212">
        <v>3800</v>
      </c>
      <c r="N65" s="260">
        <v>4941</v>
      </c>
      <c r="O65" s="254">
        <v>15</v>
      </c>
      <c r="P65" s="271" t="str">
        <f>IFERROR(VLOOKUP(Tabela1[[#This Row],[TAG]],#REF!,14,FALSE),"")</f>
        <v/>
      </c>
      <c r="Q65" s="262" t="e">
        <f t="shared" si="45"/>
        <v>#VALUE!</v>
      </c>
      <c r="R65" s="262" t="e">
        <f t="shared" si="46"/>
        <v>#VALUE!</v>
      </c>
      <c r="S65" s="262" t="e">
        <f t="shared" si="47"/>
        <v>#VALUE!</v>
      </c>
      <c r="T65" s="262" t="e">
        <f t="shared" si="48"/>
        <v>#VALUE!</v>
      </c>
      <c r="U65" s="262" t="e">
        <f t="shared" si="49"/>
        <v>#VALUE!</v>
      </c>
      <c r="V65" s="262" t="e">
        <f t="shared" si="50"/>
        <v>#VALUE!</v>
      </c>
      <c r="W65" s="218">
        <v>440.83</v>
      </c>
      <c r="X65" s="218">
        <v>428.91</v>
      </c>
      <c r="Y65" s="261">
        <v>0.1</v>
      </c>
      <c r="Z65" s="261">
        <f>IF(Tabela1[[#This Row],[Ano Aquisição]]=2023,0,IFERROR(VLOOKUP(H65,inflação!$F:$H,3,FALSE),""))</f>
        <v>0.1585</v>
      </c>
      <c r="AA65" s="261">
        <v>0.8</v>
      </c>
      <c r="AB65" s="202">
        <f t="shared" si="51"/>
        <v>-643232.25</v>
      </c>
      <c r="AC65" s="262" t="e">
        <f t="shared" si="66"/>
        <v>#VALUE!</v>
      </c>
      <c r="AD65" s="262" t="e">
        <f t="shared" si="67"/>
        <v>#VALUE!</v>
      </c>
      <c r="AE65" s="262" t="e">
        <f t="shared" si="68"/>
        <v>#VALUE!</v>
      </c>
      <c r="AF65" s="262" t="e">
        <f t="shared" si="69"/>
        <v>#VALUE!</v>
      </c>
      <c r="AG65" s="262" t="e">
        <f t="shared" si="70"/>
        <v>#VALUE!</v>
      </c>
      <c r="AH65" s="262" t="e">
        <f t="shared" si="71"/>
        <v>#VALUE!</v>
      </c>
      <c r="AI65" s="262" t="e">
        <f t="shared" si="72"/>
        <v>#VALUE!</v>
      </c>
      <c r="AJ65" s="263">
        <f t="shared" si="52"/>
        <v>-745184.56162500009</v>
      </c>
      <c r="AK65" s="262" t="e">
        <f t="shared" si="53"/>
        <v>#VALUE!</v>
      </c>
      <c r="AL65" s="262" t="e">
        <f t="shared" si="54"/>
        <v>#VALUE!</v>
      </c>
      <c r="AM65" s="262" t="e">
        <f t="shared" si="55"/>
        <v>#VALUE!</v>
      </c>
      <c r="AN65" s="262" t="e">
        <f t="shared" si="56"/>
        <v>#VALUE!</v>
      </c>
      <c r="AO65" s="262" t="e">
        <f t="shared" si="57"/>
        <v>#VALUE!</v>
      </c>
      <c r="AP65" s="262" t="e">
        <f t="shared" si="58"/>
        <v>#VALUE!</v>
      </c>
      <c r="AQ65" s="262" t="e">
        <f t="shared" si="59"/>
        <v>#VALUE!</v>
      </c>
      <c r="AR65" s="264" t="e">
        <f t="shared" si="60"/>
        <v>#VALUE!</v>
      </c>
      <c r="AS65" s="265" t="e">
        <f t="shared" si="61"/>
        <v>#VALUE!</v>
      </c>
      <c r="AT65" s="265" t="e">
        <f t="shared" si="62"/>
        <v>#VALUE!</v>
      </c>
      <c r="AU65" s="259" t="e">
        <f t="shared" si="63"/>
        <v>#VALUE!</v>
      </c>
      <c r="AV65" s="266" t="e">
        <f t="shared" si="64"/>
        <v>#VALUE!</v>
      </c>
      <c r="AW65" s="255" t="str">
        <f t="shared" si="65"/>
        <v>Fase de Vida Útil</v>
      </c>
      <c r="AX65" s="253" t="e">
        <f>VLOOKUP(D65,#REF!,5,FALSE)</f>
        <v>#REF!</v>
      </c>
      <c r="AY65" s="201"/>
      <c r="AZ65" s="273" t="s">
        <v>1224</v>
      </c>
      <c r="BB65">
        <f>IFERROR(VLOOKUP(Tabela1[[#This Row],[Denominação]],[10]Planilha1!$A:$B,2,FALSE),"")</f>
        <v>738.45</v>
      </c>
    </row>
    <row r="66" spans="1:54" ht="15" hidden="1" customHeight="1" x14ac:dyDescent="0.3">
      <c r="A66" s="253">
        <v>65</v>
      </c>
      <c r="B66" s="255" t="s">
        <v>918</v>
      </c>
      <c r="C66" s="256" t="s">
        <v>919</v>
      </c>
      <c r="D66" s="255">
        <v>10006781</v>
      </c>
      <c r="E66" s="253" t="s">
        <v>1235</v>
      </c>
      <c r="F66" s="257">
        <v>4529</v>
      </c>
      <c r="G66" s="255">
        <v>56703</v>
      </c>
      <c r="H66" s="255">
        <v>2022</v>
      </c>
      <c r="I66" s="258">
        <v>859093.25</v>
      </c>
      <c r="J66" s="218">
        <v>798091</v>
      </c>
      <c r="K66" s="265">
        <v>8253.86</v>
      </c>
      <c r="L66" s="259">
        <v>0.99</v>
      </c>
      <c r="M66" s="212">
        <v>4464</v>
      </c>
      <c r="N66" s="260">
        <v>9627</v>
      </c>
      <c r="O66" s="254">
        <v>23</v>
      </c>
      <c r="P66" s="271" t="str">
        <f>IFERROR(VLOOKUP(Tabela1[[#This Row],[TAG]],#REF!,14,FALSE),"")</f>
        <v/>
      </c>
      <c r="Q66" s="262" t="e">
        <f t="shared" ref="Q66" si="73">P66+P66</f>
        <v>#VALUE!</v>
      </c>
      <c r="R66" s="262" t="e">
        <f t="shared" ref="R66" si="74">Q66+P66</f>
        <v>#VALUE!</v>
      </c>
      <c r="S66" s="262" t="e">
        <f t="shared" ref="S66" si="75">R66+P66</f>
        <v>#VALUE!</v>
      </c>
      <c r="T66" s="262" t="e">
        <f t="shared" ref="T66" si="76">S66+P66</f>
        <v>#VALUE!</v>
      </c>
      <c r="U66" s="262" t="e">
        <f t="shared" ref="U66" si="77">T66+P66</f>
        <v>#VALUE!</v>
      </c>
      <c r="V66" s="262" t="e">
        <f t="shared" ref="V66" si="78">U66+P66</f>
        <v>#VALUE!</v>
      </c>
      <c r="W66" s="218">
        <v>450.93</v>
      </c>
      <c r="X66" s="218">
        <v>879.23</v>
      </c>
      <c r="Y66" s="261">
        <v>0.1</v>
      </c>
      <c r="Z66" s="261">
        <f>IF(Tabela1[[#This Row],[Ano Aquisição]]=2023,0,IFERROR(VLOOKUP(H66,inflação!$F:$H,3,FALSE),""))</f>
        <v>5.79E-2</v>
      </c>
      <c r="AA66" s="261">
        <v>0.8</v>
      </c>
      <c r="AB66" s="202">
        <f t="shared" si="51"/>
        <v>-859093.25</v>
      </c>
      <c r="AC66" s="262" t="e">
        <f t="shared" si="66"/>
        <v>#VALUE!</v>
      </c>
      <c r="AD66" s="262" t="e">
        <f t="shared" si="67"/>
        <v>#VALUE!</v>
      </c>
      <c r="AE66" s="262" t="e">
        <f t="shared" si="68"/>
        <v>#VALUE!</v>
      </c>
      <c r="AF66" s="262" t="e">
        <f t="shared" si="69"/>
        <v>#VALUE!</v>
      </c>
      <c r="AG66" s="262" t="e">
        <f t="shared" si="70"/>
        <v>#VALUE!</v>
      </c>
      <c r="AH66" s="262" t="e">
        <f t="shared" si="71"/>
        <v>#VALUE!</v>
      </c>
      <c r="AI66" s="262" t="e">
        <f t="shared" si="72"/>
        <v>#VALUE!</v>
      </c>
      <c r="AJ66" s="263">
        <f t="shared" si="52"/>
        <v>-908834.749175</v>
      </c>
      <c r="AK66" s="262" t="e">
        <f t="shared" si="53"/>
        <v>#VALUE!</v>
      </c>
      <c r="AL66" s="262" t="e">
        <f t="shared" si="54"/>
        <v>#VALUE!</v>
      </c>
      <c r="AM66" s="262" t="e">
        <f t="shared" si="55"/>
        <v>#VALUE!</v>
      </c>
      <c r="AN66" s="262" t="e">
        <f t="shared" si="56"/>
        <v>#VALUE!</v>
      </c>
      <c r="AO66" s="262" t="e">
        <f t="shared" si="57"/>
        <v>#VALUE!</v>
      </c>
      <c r="AP66" s="262" t="e">
        <f t="shared" si="58"/>
        <v>#VALUE!</v>
      </c>
      <c r="AQ66" s="262" t="e">
        <f t="shared" si="59"/>
        <v>#VALUE!</v>
      </c>
      <c r="AR66" s="264" t="e">
        <f t="shared" ref="AR66:AR97" si="79">(NPV(Y66,AK66,AL66,AM66,AN66,AO66,AP66,AQ66)+(SUM(AJ66,(J66*-1))))-(NPV(Y66,AC66,AD66,AE66,AF66,AG66,AH66,AI66))</f>
        <v>#VALUE!</v>
      </c>
      <c r="AS66" s="265" t="e">
        <f t="shared" si="61"/>
        <v>#VALUE!</v>
      </c>
      <c r="AT66" s="265" t="e">
        <f t="shared" si="62"/>
        <v>#VALUE!</v>
      </c>
      <c r="AU66" s="259" t="e">
        <f t="shared" si="63"/>
        <v>#VALUE!</v>
      </c>
      <c r="AV66" s="266" t="e">
        <f t="shared" ref="AV66:AV97" si="80">AU66/(((J66/1000)+((AJ66*-1)/1000)))</f>
        <v>#VALUE!</v>
      </c>
      <c r="AW66" s="255" t="str">
        <f t="shared" si="65"/>
        <v>Confiabilidade em Crescimento</v>
      </c>
      <c r="AX66" s="253" t="e">
        <f>VLOOKUP(D66,#REF!,5,FALSE)</f>
        <v>#REF!</v>
      </c>
      <c r="AY66" s="201"/>
      <c r="AZ66" s="273" t="s">
        <v>1224</v>
      </c>
      <c r="BB66">
        <f>IFERROR(VLOOKUP(Tabela1[[#This Row],[Denominação]],[10]Planilha1!$A:$B,2,FALSE),"")</f>
        <v>19338.539999999994</v>
      </c>
    </row>
    <row r="67" spans="1:54" ht="15" hidden="1" customHeight="1" x14ac:dyDescent="0.3">
      <c r="A67" s="268">
        <v>66</v>
      </c>
      <c r="B67" s="255" t="s">
        <v>1806</v>
      </c>
      <c r="C67" s="256" t="s">
        <v>1646</v>
      </c>
      <c r="D67" s="255">
        <v>10006831</v>
      </c>
      <c r="E67" s="253" t="s">
        <v>1237</v>
      </c>
      <c r="F67" s="257">
        <v>4529</v>
      </c>
      <c r="G67" s="255">
        <v>56704</v>
      </c>
      <c r="H67" s="255">
        <v>2022</v>
      </c>
      <c r="I67" s="258">
        <v>859093.02</v>
      </c>
      <c r="J67" s="218">
        <v>798091</v>
      </c>
      <c r="K67" s="265">
        <v>1753.8100000000004</v>
      </c>
      <c r="L67" s="259">
        <v>1.07</v>
      </c>
      <c r="M67" s="212">
        <v>4344</v>
      </c>
      <c r="N67" s="260">
        <v>3590</v>
      </c>
      <c r="O67" s="254">
        <v>8</v>
      </c>
      <c r="P67" s="271" t="str">
        <f>IFERROR(VLOOKUP(Tabela1[[#This Row],[TAG]],#REF!,14,FALSE),"")</f>
        <v/>
      </c>
      <c r="Q67" s="262" t="e">
        <f t="shared" ref="Q67" si="81">P67+P67</f>
        <v>#VALUE!</v>
      </c>
      <c r="R67" s="262" t="e">
        <f t="shared" ref="R67" si="82">Q67+P67</f>
        <v>#VALUE!</v>
      </c>
      <c r="S67" s="262" t="e">
        <f t="shared" ref="S67" si="83">R67+P67</f>
        <v>#VALUE!</v>
      </c>
      <c r="T67" s="262" t="e">
        <f t="shared" ref="T67" si="84">S67+P67</f>
        <v>#VALUE!</v>
      </c>
      <c r="U67" s="262" t="e">
        <f t="shared" ref="U67" si="85">T67+P67</f>
        <v>#VALUE!</v>
      </c>
      <c r="V67" s="262" t="e">
        <f t="shared" ref="V67" si="86">U67+P67</f>
        <v>#VALUE!</v>
      </c>
      <c r="W67" s="218">
        <v>272.76</v>
      </c>
      <c r="X67" s="218">
        <v>351.79</v>
      </c>
      <c r="Y67" s="261">
        <v>0.1</v>
      </c>
      <c r="Z67" s="261">
        <f>IF(Tabela1[[#This Row],[Ano Aquisição]]=2023,0,IFERROR(VLOOKUP(H67,inflação!$F:$H,3,FALSE),""))</f>
        <v>5.79E-2</v>
      </c>
      <c r="AA67" s="261">
        <v>0.8</v>
      </c>
      <c r="AB67" s="202">
        <f t="shared" si="51"/>
        <v>-859093.02</v>
      </c>
      <c r="AC67" s="262" t="e">
        <f t="shared" ref="AC67" si="87">-(((P67*$W67)+($X67*12))*((1+$Y67)^AC$1))</f>
        <v>#VALUE!</v>
      </c>
      <c r="AD67" s="262" t="e">
        <f t="shared" ref="AD67" si="88">-((((Q67-P67)*$W67)+($X67*12))*((1+$Y67)^AD$1))</f>
        <v>#VALUE!</v>
      </c>
      <c r="AE67" s="262" t="e">
        <f t="shared" ref="AE67" si="89">-((((R67-Q67)*$W67)+($X67*12))*((1+$Y67)^AE$1))</f>
        <v>#VALUE!</v>
      </c>
      <c r="AF67" s="262" t="e">
        <f t="shared" ref="AF67" si="90">-((((S67-R67)*$W67)+($X67*12))*((1+$Y67)^AF$1))</f>
        <v>#VALUE!</v>
      </c>
      <c r="AG67" s="262" t="e">
        <f t="shared" ref="AG67" si="91">-((((T67-S67)*$W67)+($X67*12))*((1+$Y67)^AG$1))</f>
        <v>#VALUE!</v>
      </c>
      <c r="AH67" s="262" t="e">
        <f t="shared" ref="AH67" si="92">-((((U67-T67)*$W67)+($X67*12))*((1+$Y67)^AH$1))</f>
        <v>#VALUE!</v>
      </c>
      <c r="AI67" s="262" t="e">
        <f t="shared" ref="AI67" si="93">-((((V67-U67)*$W67)+($X67*12))*((1+$Y67)^AI$1))</f>
        <v>#VALUE!</v>
      </c>
      <c r="AJ67" s="263">
        <f t="shared" si="52"/>
        <v>-908834.50585800002</v>
      </c>
      <c r="AK67" s="262" t="e">
        <f t="shared" ref="AK67" si="94">AC67*(1-$AA67)</f>
        <v>#VALUE!</v>
      </c>
      <c r="AL67" s="262" t="e">
        <f t="shared" ref="AL67" si="95">AD67*(1-$AA67)</f>
        <v>#VALUE!</v>
      </c>
      <c r="AM67" s="262" t="e">
        <f t="shared" ref="AM67" si="96">AE67*(1-$AA67)</f>
        <v>#VALUE!</v>
      </c>
      <c r="AN67" s="262" t="e">
        <f t="shared" ref="AN67" si="97">AF67*(1-$AA67)</f>
        <v>#VALUE!</v>
      </c>
      <c r="AO67" s="262" t="e">
        <f t="shared" ref="AO67" si="98">AG67*(1-$AA67)</f>
        <v>#VALUE!</v>
      </c>
      <c r="AP67" s="262" t="e">
        <f t="shared" ref="AP67" si="99">AH67*(1-$AA67)</f>
        <v>#VALUE!</v>
      </c>
      <c r="AQ67" s="262" t="e">
        <f t="shared" ref="AQ67" si="100">AI67*(1-$AA67)</f>
        <v>#VALUE!</v>
      </c>
      <c r="AR67" s="264" t="e">
        <f t="shared" si="79"/>
        <v>#VALUE!</v>
      </c>
      <c r="AS67" s="265" t="e">
        <f t="shared" ref="AS67" si="101">SUM(AC67:AI67)</f>
        <v>#VALUE!</v>
      </c>
      <c r="AT67" s="265" t="e">
        <f t="shared" ref="AT67" si="102">SUM(AK67:AQ67)</f>
        <v>#VALUE!</v>
      </c>
      <c r="AU67" s="259" t="e">
        <f t="shared" si="63"/>
        <v>#VALUE!</v>
      </c>
      <c r="AV67" s="266" t="e">
        <f t="shared" si="80"/>
        <v>#VALUE!</v>
      </c>
      <c r="AW67" s="255" t="str">
        <f t="shared" si="65"/>
        <v>Fase de Vida Útil</v>
      </c>
      <c r="AX67" s="253" t="e">
        <f>VLOOKUP(D67,#REF!,5,FALSE)</f>
        <v>#REF!</v>
      </c>
      <c r="AY67" s="201"/>
      <c r="AZ67" s="273" t="s">
        <v>1224</v>
      </c>
      <c r="BB67">
        <f>IFERROR(VLOOKUP(Tabela1[[#This Row],[Denominação]],[10]Planilha1!$A:$B,2,FALSE),"")</f>
        <v>5898.29</v>
      </c>
    </row>
    <row r="68" spans="1:54" ht="15" hidden="1" customHeight="1" x14ac:dyDescent="0.3">
      <c r="A68" s="253">
        <v>67</v>
      </c>
      <c r="B68" s="300" t="s">
        <v>1807</v>
      </c>
      <c r="C68" s="301" t="s">
        <v>1676</v>
      </c>
      <c r="D68" s="300">
        <v>10006931</v>
      </c>
      <c r="E68" s="299" t="s">
        <v>1759</v>
      </c>
      <c r="F68" s="302">
        <v>3336</v>
      </c>
      <c r="G68" s="300"/>
      <c r="H68" s="300">
        <v>2022</v>
      </c>
      <c r="I68" s="303"/>
      <c r="J68" s="304"/>
      <c r="K68" s="305"/>
      <c r="L68" s="306"/>
      <c r="M68" s="307"/>
      <c r="N68" s="307"/>
      <c r="O68" s="308"/>
      <c r="P68" s="271" t="str">
        <f>IFERROR(VLOOKUP(Tabela1[[#This Row],[TAG]],#REF!,14,FALSE),"")</f>
        <v/>
      </c>
      <c r="Q68" s="311"/>
      <c r="R68" s="311"/>
      <c r="S68" s="311"/>
      <c r="T68" s="311"/>
      <c r="U68" s="311"/>
      <c r="V68" s="311"/>
      <c r="W68" s="304"/>
      <c r="X68" s="304"/>
      <c r="Y68" s="309"/>
      <c r="Z68" s="309">
        <f>IF(Tabela1[[#This Row],[Ano Aquisição]]=2023,0,IFERROR(VLOOKUP(H68,inflação!$F:$H,3,FALSE),""))</f>
        <v>5.79E-2</v>
      </c>
      <c r="AA68" s="309"/>
      <c r="AB68" s="310"/>
      <c r="AC68" s="311"/>
      <c r="AD68" s="311"/>
      <c r="AE68" s="311"/>
      <c r="AF68" s="311"/>
      <c r="AG68" s="311"/>
      <c r="AH68" s="311"/>
      <c r="AI68" s="311"/>
      <c r="AJ68" s="312"/>
      <c r="AK68" s="311"/>
      <c r="AL68" s="311"/>
      <c r="AM68" s="311"/>
      <c r="AN68" s="311"/>
      <c r="AO68" s="311"/>
      <c r="AP68" s="311"/>
      <c r="AQ68" s="311"/>
      <c r="AR68" s="313"/>
      <c r="AS68" s="305"/>
      <c r="AT68" s="305"/>
      <c r="AU68" s="306"/>
      <c r="AV68" s="314"/>
      <c r="AW68" s="300"/>
      <c r="AX68" s="299" t="e">
        <f>VLOOKUP(D68,#REF!,5,FALSE)</f>
        <v>#REF!</v>
      </c>
      <c r="AY68" s="315"/>
      <c r="AZ68" s="316" t="s">
        <v>1224</v>
      </c>
      <c r="BB68" t="str">
        <f>IFERROR(VLOOKUP(Tabela1[[#This Row],[Denominação]],[10]Planilha1!$A:$B,2,FALSE),"")</f>
        <v/>
      </c>
    </row>
    <row r="69" spans="1:54" ht="15" hidden="1" customHeight="1" x14ac:dyDescent="0.3">
      <c r="A69" s="268">
        <v>68</v>
      </c>
      <c r="B69" s="300" t="s">
        <v>1808</v>
      </c>
      <c r="C69" s="301" t="s">
        <v>1677</v>
      </c>
      <c r="D69" s="300">
        <v>10006932</v>
      </c>
      <c r="E69" s="299" t="s">
        <v>1760</v>
      </c>
      <c r="F69" s="302">
        <v>3336</v>
      </c>
      <c r="G69" s="300"/>
      <c r="H69" s="300">
        <v>2022</v>
      </c>
      <c r="I69" s="303"/>
      <c r="J69" s="304"/>
      <c r="K69" s="305"/>
      <c r="L69" s="306"/>
      <c r="M69" s="307"/>
      <c r="N69" s="307"/>
      <c r="O69" s="308"/>
      <c r="P69" s="271" t="str">
        <f>IFERROR(VLOOKUP(Tabela1[[#This Row],[TAG]],#REF!,14,FALSE),"")</f>
        <v/>
      </c>
      <c r="Q69" s="311"/>
      <c r="R69" s="311"/>
      <c r="S69" s="311"/>
      <c r="T69" s="311"/>
      <c r="U69" s="311"/>
      <c r="V69" s="311"/>
      <c r="W69" s="304"/>
      <c r="X69" s="304"/>
      <c r="Y69" s="309"/>
      <c r="Z69" s="309">
        <f>IF(Tabela1[[#This Row],[Ano Aquisição]]=2023,0,IFERROR(VLOOKUP(H69,inflação!$F:$H,3,FALSE),""))</f>
        <v>5.79E-2</v>
      </c>
      <c r="AA69" s="309"/>
      <c r="AB69" s="310"/>
      <c r="AC69" s="311"/>
      <c r="AD69" s="311"/>
      <c r="AE69" s="311"/>
      <c r="AF69" s="311"/>
      <c r="AG69" s="311"/>
      <c r="AH69" s="311"/>
      <c r="AI69" s="311"/>
      <c r="AJ69" s="312"/>
      <c r="AK69" s="311"/>
      <c r="AL69" s="311"/>
      <c r="AM69" s="311"/>
      <c r="AN69" s="311"/>
      <c r="AO69" s="311"/>
      <c r="AP69" s="311"/>
      <c r="AQ69" s="311"/>
      <c r="AR69" s="313"/>
      <c r="AS69" s="305"/>
      <c r="AT69" s="305"/>
      <c r="AU69" s="306"/>
      <c r="AV69" s="314"/>
      <c r="AW69" s="300"/>
      <c r="AX69" s="299" t="e">
        <f>VLOOKUP(D69,#REF!,5,FALSE)</f>
        <v>#REF!</v>
      </c>
      <c r="AY69" s="315"/>
      <c r="AZ69" s="316" t="s">
        <v>1224</v>
      </c>
      <c r="BB69" t="str">
        <f>IFERROR(VLOOKUP(Tabela1[[#This Row],[Denominação]],[10]Planilha1!$A:$B,2,FALSE),"")</f>
        <v/>
      </c>
    </row>
    <row r="70" spans="1:54" ht="15" hidden="1" customHeight="1" x14ac:dyDescent="0.3">
      <c r="A70" s="253">
        <v>69</v>
      </c>
      <c r="B70" s="370" t="s">
        <v>745</v>
      </c>
      <c r="C70" s="371" t="s">
        <v>746</v>
      </c>
      <c r="D70" s="370">
        <v>10001567</v>
      </c>
      <c r="E70" s="369" t="s">
        <v>2151</v>
      </c>
      <c r="F70" s="369">
        <v>2572</v>
      </c>
      <c r="G70" s="370">
        <v>8284</v>
      </c>
      <c r="H70" s="370">
        <v>1991</v>
      </c>
      <c r="I70" s="385">
        <v>4874.7299999999996</v>
      </c>
      <c r="J70" s="372">
        <v>0</v>
      </c>
      <c r="K70" s="373">
        <v>323153.05999999953</v>
      </c>
      <c r="L70" s="374">
        <v>1.85</v>
      </c>
      <c r="M70" s="375">
        <v>4864</v>
      </c>
      <c r="N70" s="375">
        <v>195897</v>
      </c>
      <c r="O70" s="376">
        <v>508</v>
      </c>
      <c r="P70" s="377">
        <v>24</v>
      </c>
      <c r="Q70" s="378">
        <f>P70+P70</f>
        <v>48</v>
      </c>
      <c r="R70" s="378">
        <f>Q70+P70</f>
        <v>72</v>
      </c>
      <c r="S70" s="378">
        <f>R70+P70</f>
        <v>96</v>
      </c>
      <c r="T70" s="378">
        <f>S70+P70</f>
        <v>120</v>
      </c>
      <c r="U70" s="378">
        <f>T70+P70</f>
        <v>144</v>
      </c>
      <c r="V70" s="378">
        <f>U70+P70</f>
        <v>168</v>
      </c>
      <c r="W70" s="379">
        <v>497.44</v>
      </c>
      <c r="X70" s="379">
        <v>3538.25</v>
      </c>
      <c r="Y70" s="203">
        <v>0.1</v>
      </c>
      <c r="Z70" s="380">
        <f>IF(Tabela1[[#This Row],[Ano Aquisição]]=2023,0,IFERROR(VLOOKUP(H70,inflação!$F:$H,3,FALSE),""))</f>
        <v>2.0259230769230769</v>
      </c>
      <c r="AA70" s="203">
        <v>0.8</v>
      </c>
      <c r="AB70" s="379">
        <f t="shared" ref="AB70:AB98" si="103">I70*-1</f>
        <v>-4874.7299999999996</v>
      </c>
      <c r="AC70" s="378">
        <f>-(((P70*$W70)+($X70*12))*((1+$Y70)^AC$1))</f>
        <v>-59837.315999999999</v>
      </c>
      <c r="AD70" s="378">
        <f t="shared" ref="AD70:AI70" si="104">-((((Q70-P70)*$W70)+($X70*12))*((1+$Y70)^AD$1))</f>
        <v>-65821.047600000005</v>
      </c>
      <c r="AE70" s="378">
        <f t="shared" si="104"/>
        <v>-72403.152360000022</v>
      </c>
      <c r="AF70" s="378">
        <f t="shared" si="104"/>
        <v>-79643.467596000017</v>
      </c>
      <c r="AG70" s="378">
        <f t="shared" si="104"/>
        <v>-87607.814355600029</v>
      </c>
      <c r="AH70" s="378">
        <f t="shared" si="104"/>
        <v>-96368.595791160042</v>
      </c>
      <c r="AI70" s="378">
        <f t="shared" si="104"/>
        <v>-106005.45537027606</v>
      </c>
      <c r="AJ70" s="381">
        <f t="shared" ref="AJ70:AJ98" si="105">-(I70*(1+Z70))</f>
        <v>-14750.55800076923</v>
      </c>
      <c r="AK70" s="378">
        <f t="shared" ref="AK70:AQ70" si="106">AC70*(1-$AA70)</f>
        <v>-11967.463199999997</v>
      </c>
      <c r="AL70" s="378">
        <f t="shared" si="106"/>
        <v>-13164.209519999999</v>
      </c>
      <c r="AM70" s="378">
        <f t="shared" si="106"/>
        <v>-14480.630472000001</v>
      </c>
      <c r="AN70" s="378">
        <f t="shared" si="106"/>
        <v>-15928.6935192</v>
      </c>
      <c r="AO70" s="378">
        <f t="shared" si="106"/>
        <v>-17521.562871120001</v>
      </c>
      <c r="AP70" s="378">
        <f t="shared" si="106"/>
        <v>-19273.719158232005</v>
      </c>
      <c r="AQ70" s="378">
        <f t="shared" si="106"/>
        <v>-21201.091074055206</v>
      </c>
      <c r="AR70" s="382">
        <f t="shared" ref="AR70:AR98" si="107">(NPV(Y70,AK70,AL70,AM70,AN70,AO70,AP70,AQ70)+(SUM(AJ70,(J70*-1))))-(NPV(Y70,AC70,AD70,AE70,AF70,AG70,AH70,AI70))</f>
        <v>289875.77799923072</v>
      </c>
      <c r="AS70" s="373">
        <f>SUM(AC70:AI70)</f>
        <v>-567686.84907303611</v>
      </c>
      <c r="AT70" s="373">
        <f>SUM(AK70:AQ70)</f>
        <v>-113537.36981460721</v>
      </c>
      <c r="AU70" s="374">
        <f t="shared" ref="AU70:AU98" si="108">(((AVERAGE(AC70:AI70)/1000)-(AVERAGE(AK70:AQ70)/1000))+(((AJ70/1000)*-1)/7)+((J70/1000)/7))*-1</f>
        <v>62.771274465379953</v>
      </c>
      <c r="AV70" s="383">
        <f t="shared" ref="AV70:AV98" si="109">AU70/(((J70/1000)+((AJ70*-1)/1000)))</f>
        <v>4.2555186361157649</v>
      </c>
      <c r="AW70" s="370" t="str">
        <f t="shared" ref="AW70:AW98" si="110">IF(L70&gt;1.1,"Fase de Degradação",IF(L70&lt;1,"Confiabilidade em Crescimento","Fase de Vida Útil"))</f>
        <v>Fase de Degradação</v>
      </c>
      <c r="AX70" s="369" t="s">
        <v>1592</v>
      </c>
      <c r="AY70" s="370"/>
      <c r="AZ70" s="384" t="s">
        <v>1224</v>
      </c>
      <c r="BB70">
        <f>IFERROR(VLOOKUP(Tabela1[[#This Row],[Denominação]],[10]Planilha1!$A:$B,2,FALSE),"")</f>
        <v>323153.05999999953</v>
      </c>
    </row>
    <row r="71" spans="1:54" ht="15" hidden="1" customHeight="1" x14ac:dyDescent="0.3">
      <c r="A71" s="268">
        <v>70</v>
      </c>
      <c r="B71" s="201" t="s">
        <v>747</v>
      </c>
      <c r="C71" s="211" t="s">
        <v>748</v>
      </c>
      <c r="D71" s="201">
        <v>10006361</v>
      </c>
      <c r="E71" s="253" t="s">
        <v>1265</v>
      </c>
      <c r="F71" s="253">
        <v>2318</v>
      </c>
      <c r="G71" s="204">
        <v>900000013851</v>
      </c>
      <c r="H71" s="201">
        <v>2015</v>
      </c>
      <c r="I71" s="216">
        <v>50000</v>
      </c>
      <c r="J71" s="214">
        <v>0</v>
      </c>
      <c r="K71" s="170">
        <v>202377.44999999998</v>
      </c>
      <c r="L71" s="207">
        <v>0.96</v>
      </c>
      <c r="M71" s="212">
        <v>3854</v>
      </c>
      <c r="N71" s="212">
        <v>67349</v>
      </c>
      <c r="O71" s="171">
        <v>207</v>
      </c>
      <c r="P71" s="271" t="str">
        <f>IFERROR(VLOOKUP(Tabela1[[#This Row],[TAG]],#REF!,14,FALSE),"")</f>
        <v/>
      </c>
      <c r="Q71" s="204" t="e">
        <f t="shared" ref="Q71:Q79" si="111">P71+P71</f>
        <v>#VALUE!</v>
      </c>
      <c r="R71" s="204" t="e">
        <f t="shared" ref="R71:R79" si="112">Q71+P71</f>
        <v>#VALUE!</v>
      </c>
      <c r="S71" s="204" t="e">
        <f t="shared" ref="S71:S79" si="113">R71+P71</f>
        <v>#VALUE!</v>
      </c>
      <c r="T71" s="204" t="e">
        <f t="shared" ref="T71:T79" si="114">S71+P71</f>
        <v>#VALUE!</v>
      </c>
      <c r="U71" s="204" t="e">
        <f t="shared" ref="U71:U79" si="115">T71+P71</f>
        <v>#VALUE!</v>
      </c>
      <c r="V71" s="204" t="e">
        <f t="shared" ref="V71:V79" si="116">U71+P71</f>
        <v>#VALUE!</v>
      </c>
      <c r="W71" s="218">
        <v>465.44</v>
      </c>
      <c r="X71" s="218">
        <v>983.13</v>
      </c>
      <c r="Y71" s="203">
        <v>0.1</v>
      </c>
      <c r="Z71" s="203">
        <f>IF(Tabela1[[#This Row],[Ano Aquisição]]=2023,0,IFERROR(VLOOKUP(H71,inflação!$F:$H,3,FALSE),""))</f>
        <v>0.4834</v>
      </c>
      <c r="AA71" s="203">
        <v>0.8</v>
      </c>
      <c r="AB71" s="202">
        <f t="shared" si="103"/>
        <v>-50000</v>
      </c>
      <c r="AC71" s="204" t="e">
        <f t="shared" ref="AC71:AC79" si="117">-(((P71*$W71)+($X71*12))*((1+$Y71)^AC$1))</f>
        <v>#VALUE!</v>
      </c>
      <c r="AD71" s="204" t="e">
        <f t="shared" ref="AD71:AD79" si="118">-((((Q71-P71)*$W71)+($X71*12))*((1+$Y71)^AD$1))</f>
        <v>#VALUE!</v>
      </c>
      <c r="AE71" s="204" t="e">
        <f t="shared" ref="AE71:AE79" si="119">-((((R71-Q71)*$W71)+($X71*12))*((1+$Y71)^AE$1))</f>
        <v>#VALUE!</v>
      </c>
      <c r="AF71" s="204" t="e">
        <f t="shared" ref="AF71:AF79" si="120">-((((S71-R71)*$W71)+($X71*12))*((1+$Y71)^AF$1))</f>
        <v>#VALUE!</v>
      </c>
      <c r="AG71" s="204" t="e">
        <f t="shared" ref="AG71:AG79" si="121">-((((T71-S71)*$W71)+($X71*12))*((1+$Y71)^AG$1))</f>
        <v>#VALUE!</v>
      </c>
      <c r="AH71" s="204" t="e">
        <f t="shared" ref="AH71:AH79" si="122">-((((U71-T71)*$W71)+($X71*12))*((1+$Y71)^AH$1))</f>
        <v>#VALUE!</v>
      </c>
      <c r="AI71" s="204" t="e">
        <f t="shared" ref="AI71:AI79" si="123">-((((V71-U71)*$W71)+($X71*12))*((1+$Y71)^AI$1))</f>
        <v>#VALUE!</v>
      </c>
      <c r="AJ71" s="205">
        <f t="shared" si="105"/>
        <v>-74170</v>
      </c>
      <c r="AK71" s="204" t="e">
        <f t="shared" ref="AK71:AK79" si="124">AC71*(1-$AA71)</f>
        <v>#VALUE!</v>
      </c>
      <c r="AL71" s="204" t="e">
        <f t="shared" ref="AL71:AL79" si="125">AD71*(1-$AA71)</f>
        <v>#VALUE!</v>
      </c>
      <c r="AM71" s="204" t="e">
        <f t="shared" ref="AM71:AM79" si="126">AE71*(1-$AA71)</f>
        <v>#VALUE!</v>
      </c>
      <c r="AN71" s="204" t="e">
        <f t="shared" ref="AN71:AN79" si="127">AF71*(1-$AA71)</f>
        <v>#VALUE!</v>
      </c>
      <c r="AO71" s="204" t="e">
        <f t="shared" ref="AO71:AO79" si="128">AG71*(1-$AA71)</f>
        <v>#VALUE!</v>
      </c>
      <c r="AP71" s="204" t="e">
        <f t="shared" ref="AP71:AP79" si="129">AH71*(1-$AA71)</f>
        <v>#VALUE!</v>
      </c>
      <c r="AQ71" s="204" t="e">
        <f t="shared" ref="AQ71:AQ79" si="130">AI71*(1-$AA71)</f>
        <v>#VALUE!</v>
      </c>
      <c r="AR71" s="206" t="e">
        <f t="shared" si="107"/>
        <v>#VALUE!</v>
      </c>
      <c r="AS71" s="170" t="e">
        <f t="shared" ref="AS71:AS79" si="131">SUM(AC71:AI71)</f>
        <v>#VALUE!</v>
      </c>
      <c r="AT71" s="170" t="e">
        <f t="shared" ref="AT71:AT79" si="132">SUM(AK71:AQ71)</f>
        <v>#VALUE!</v>
      </c>
      <c r="AU71" s="207" t="e">
        <f t="shared" si="108"/>
        <v>#VALUE!</v>
      </c>
      <c r="AV71" s="208" t="e">
        <f t="shared" si="109"/>
        <v>#VALUE!</v>
      </c>
      <c r="AW71" s="201" t="str">
        <f t="shared" si="110"/>
        <v>Confiabilidade em Crescimento</v>
      </c>
      <c r="AX71" s="253" t="e">
        <f>VLOOKUP(D71,#REF!,5,FALSE)</f>
        <v>#REF!</v>
      </c>
      <c r="AY71" s="201"/>
      <c r="AZ71" s="273" t="s">
        <v>1224</v>
      </c>
      <c r="BB71">
        <f>IFERROR(VLOOKUP(Tabela1[[#This Row],[Denominação]],[10]Planilha1!$A:$B,2,FALSE),"")</f>
        <v>202377.44999999998</v>
      </c>
    </row>
    <row r="72" spans="1:54" ht="15" hidden="1" customHeight="1" x14ac:dyDescent="0.3">
      <c r="A72" s="253">
        <v>71</v>
      </c>
      <c r="B72" s="201" t="s">
        <v>920</v>
      </c>
      <c r="C72" s="211" t="s">
        <v>921</v>
      </c>
      <c r="D72" s="201">
        <v>20001523</v>
      </c>
      <c r="E72" s="253" t="s">
        <v>1266</v>
      </c>
      <c r="F72" s="253">
        <v>2525</v>
      </c>
      <c r="G72" s="201">
        <v>43972</v>
      </c>
      <c r="H72" s="201">
        <v>2015</v>
      </c>
      <c r="I72" s="216">
        <v>1278.1600000000001</v>
      </c>
      <c r="J72" s="214">
        <v>340</v>
      </c>
      <c r="K72" s="170">
        <v>28360.949999999986</v>
      </c>
      <c r="L72" s="207">
        <v>0.43</v>
      </c>
      <c r="M72" s="320">
        <v>5853.5532000000003</v>
      </c>
      <c r="N72" s="212">
        <v>72045</v>
      </c>
      <c r="O72" s="171">
        <v>8</v>
      </c>
      <c r="P72" s="271" t="str">
        <f>IFERROR(VLOOKUP(Tabela1[[#This Row],[TAG]],#REF!,14,FALSE),"")</f>
        <v/>
      </c>
      <c r="Q72" s="204" t="e">
        <f t="shared" si="111"/>
        <v>#VALUE!</v>
      </c>
      <c r="R72" s="204" t="e">
        <f t="shared" si="112"/>
        <v>#VALUE!</v>
      </c>
      <c r="S72" s="204" t="e">
        <f t="shared" si="113"/>
        <v>#VALUE!</v>
      </c>
      <c r="T72" s="204" t="e">
        <f t="shared" si="114"/>
        <v>#VALUE!</v>
      </c>
      <c r="U72" s="204" t="e">
        <f t="shared" si="115"/>
        <v>#VALUE!</v>
      </c>
      <c r="V72" s="204" t="e">
        <f t="shared" si="116"/>
        <v>#VALUE!</v>
      </c>
      <c r="W72" s="304">
        <v>219.15</v>
      </c>
      <c r="X72" s="304">
        <v>185.47</v>
      </c>
      <c r="Y72" s="203">
        <v>0.1</v>
      </c>
      <c r="Z72" s="203">
        <f>IF(Tabela1[[#This Row],[Ano Aquisição]]=2023,0,IFERROR(VLOOKUP(H72,inflação!$F:$H,3,FALSE),""))</f>
        <v>0.4834</v>
      </c>
      <c r="AA72" s="203">
        <v>0.8</v>
      </c>
      <c r="AB72" s="202">
        <f t="shared" si="103"/>
        <v>-1278.1600000000001</v>
      </c>
      <c r="AC72" s="204" t="e">
        <f t="shared" si="117"/>
        <v>#VALUE!</v>
      </c>
      <c r="AD72" s="204" t="e">
        <f t="shared" si="118"/>
        <v>#VALUE!</v>
      </c>
      <c r="AE72" s="204" t="e">
        <f t="shared" si="119"/>
        <v>#VALUE!</v>
      </c>
      <c r="AF72" s="204" t="e">
        <f t="shared" si="120"/>
        <v>#VALUE!</v>
      </c>
      <c r="AG72" s="204" t="e">
        <f t="shared" si="121"/>
        <v>#VALUE!</v>
      </c>
      <c r="AH72" s="204" t="e">
        <f t="shared" si="122"/>
        <v>#VALUE!</v>
      </c>
      <c r="AI72" s="204" t="e">
        <f t="shared" si="123"/>
        <v>#VALUE!</v>
      </c>
      <c r="AJ72" s="205">
        <f t="shared" si="105"/>
        <v>-1896.0225440000002</v>
      </c>
      <c r="AK72" s="204" t="e">
        <f t="shared" si="124"/>
        <v>#VALUE!</v>
      </c>
      <c r="AL72" s="204" t="e">
        <f t="shared" si="125"/>
        <v>#VALUE!</v>
      </c>
      <c r="AM72" s="204" t="e">
        <f t="shared" si="126"/>
        <v>#VALUE!</v>
      </c>
      <c r="AN72" s="204" t="e">
        <f t="shared" si="127"/>
        <v>#VALUE!</v>
      </c>
      <c r="AO72" s="204" t="e">
        <f t="shared" si="128"/>
        <v>#VALUE!</v>
      </c>
      <c r="AP72" s="204" t="e">
        <f t="shared" si="129"/>
        <v>#VALUE!</v>
      </c>
      <c r="AQ72" s="204" t="e">
        <f t="shared" si="130"/>
        <v>#VALUE!</v>
      </c>
      <c r="AR72" s="206" t="e">
        <f t="shared" si="107"/>
        <v>#VALUE!</v>
      </c>
      <c r="AS72" s="170" t="e">
        <f t="shared" si="131"/>
        <v>#VALUE!</v>
      </c>
      <c r="AT72" s="170" t="e">
        <f t="shared" si="132"/>
        <v>#VALUE!</v>
      </c>
      <c r="AU72" s="207" t="e">
        <f t="shared" si="108"/>
        <v>#VALUE!</v>
      </c>
      <c r="AV72" s="208" t="e">
        <f t="shared" si="109"/>
        <v>#VALUE!</v>
      </c>
      <c r="AW72" s="201" t="str">
        <f t="shared" si="110"/>
        <v>Confiabilidade em Crescimento</v>
      </c>
      <c r="AX72" s="253" t="e">
        <f>VLOOKUP(D72,#REF!,5,FALSE)</f>
        <v>#REF!</v>
      </c>
      <c r="AY72" s="201"/>
      <c r="AZ72" s="273" t="s">
        <v>1224</v>
      </c>
      <c r="BB72">
        <f>IFERROR(VLOOKUP(Tabela1[[#This Row],[Denominação]],[10]Planilha1!$A:$B,2,FALSE),"")</f>
        <v>28360.949999999986</v>
      </c>
    </row>
    <row r="73" spans="1:54" ht="15" hidden="1" customHeight="1" x14ac:dyDescent="0.3">
      <c r="A73" s="268">
        <v>72</v>
      </c>
      <c r="B73" s="201" t="s">
        <v>749</v>
      </c>
      <c r="C73" s="211" t="s">
        <v>750</v>
      </c>
      <c r="D73" s="201">
        <v>10006300</v>
      </c>
      <c r="E73" s="253" t="s">
        <v>1267</v>
      </c>
      <c r="F73" s="253">
        <v>2526</v>
      </c>
      <c r="G73" s="201">
        <v>43973</v>
      </c>
      <c r="H73" s="201">
        <v>2013</v>
      </c>
      <c r="I73" s="216">
        <v>799935.56</v>
      </c>
      <c r="J73" s="214">
        <v>130098</v>
      </c>
      <c r="K73" s="170">
        <v>251642.46000000002</v>
      </c>
      <c r="L73" s="207">
        <v>1.1299999999999999</v>
      </c>
      <c r="M73" s="307">
        <v>4795.2647999999999</v>
      </c>
      <c r="N73" s="212">
        <v>70240</v>
      </c>
      <c r="O73" s="171">
        <v>198</v>
      </c>
      <c r="P73" s="271" t="str">
        <f>IFERROR(VLOOKUP(Tabela1[[#This Row],[TAG]],#REF!,14,FALSE),"")</f>
        <v/>
      </c>
      <c r="Q73" s="204" t="e">
        <f t="shared" si="111"/>
        <v>#VALUE!</v>
      </c>
      <c r="R73" s="204" t="e">
        <f t="shared" si="112"/>
        <v>#VALUE!</v>
      </c>
      <c r="S73" s="204" t="e">
        <f t="shared" si="113"/>
        <v>#VALUE!</v>
      </c>
      <c r="T73" s="204" t="e">
        <f t="shared" si="114"/>
        <v>#VALUE!</v>
      </c>
      <c r="U73" s="204" t="e">
        <f t="shared" si="115"/>
        <v>#VALUE!</v>
      </c>
      <c r="V73" s="204" t="e">
        <f t="shared" si="116"/>
        <v>#VALUE!</v>
      </c>
      <c r="W73" s="304">
        <v>1032.25</v>
      </c>
      <c r="X73" s="304">
        <v>3676.47</v>
      </c>
      <c r="Y73" s="203">
        <v>0.1</v>
      </c>
      <c r="Z73" s="203">
        <f>IF(Tabela1[[#This Row],[Ano Aquisição]]=2023,0,IFERROR(VLOOKUP(H73,inflação!$F:$H,3,FALSE),""))</f>
        <v>0.60660000000000003</v>
      </c>
      <c r="AA73" s="203">
        <v>0.8</v>
      </c>
      <c r="AB73" s="202">
        <f t="shared" si="103"/>
        <v>-799935.56</v>
      </c>
      <c r="AC73" s="204" t="e">
        <f t="shared" si="117"/>
        <v>#VALUE!</v>
      </c>
      <c r="AD73" s="204" t="e">
        <f t="shared" si="118"/>
        <v>#VALUE!</v>
      </c>
      <c r="AE73" s="204" t="e">
        <f t="shared" si="119"/>
        <v>#VALUE!</v>
      </c>
      <c r="AF73" s="204" t="e">
        <f t="shared" si="120"/>
        <v>#VALUE!</v>
      </c>
      <c r="AG73" s="204" t="e">
        <f t="shared" si="121"/>
        <v>#VALUE!</v>
      </c>
      <c r="AH73" s="204" t="e">
        <f t="shared" si="122"/>
        <v>#VALUE!</v>
      </c>
      <c r="AI73" s="204" t="e">
        <f t="shared" si="123"/>
        <v>#VALUE!</v>
      </c>
      <c r="AJ73" s="205">
        <f t="shared" si="105"/>
        <v>-1285176.4706960001</v>
      </c>
      <c r="AK73" s="204" t="e">
        <f t="shared" si="124"/>
        <v>#VALUE!</v>
      </c>
      <c r="AL73" s="204" t="e">
        <f t="shared" si="125"/>
        <v>#VALUE!</v>
      </c>
      <c r="AM73" s="204" t="e">
        <f t="shared" si="126"/>
        <v>#VALUE!</v>
      </c>
      <c r="AN73" s="204" t="e">
        <f t="shared" si="127"/>
        <v>#VALUE!</v>
      </c>
      <c r="AO73" s="204" t="e">
        <f t="shared" si="128"/>
        <v>#VALUE!</v>
      </c>
      <c r="AP73" s="204" t="e">
        <f t="shared" si="129"/>
        <v>#VALUE!</v>
      </c>
      <c r="AQ73" s="204" t="e">
        <f t="shared" si="130"/>
        <v>#VALUE!</v>
      </c>
      <c r="AR73" s="206" t="e">
        <f t="shared" si="107"/>
        <v>#VALUE!</v>
      </c>
      <c r="AS73" s="170" t="e">
        <f t="shared" si="131"/>
        <v>#VALUE!</v>
      </c>
      <c r="AT73" s="170" t="e">
        <f t="shared" si="132"/>
        <v>#VALUE!</v>
      </c>
      <c r="AU73" s="207" t="e">
        <f t="shared" si="108"/>
        <v>#VALUE!</v>
      </c>
      <c r="AV73" s="208" t="e">
        <f t="shared" si="109"/>
        <v>#VALUE!</v>
      </c>
      <c r="AW73" s="201" t="str">
        <f t="shared" si="110"/>
        <v>Fase de Degradação</v>
      </c>
      <c r="AX73" s="253" t="e">
        <f>VLOOKUP(D73,#REF!,5,FALSE)</f>
        <v>#REF!</v>
      </c>
      <c r="AY73" s="201"/>
      <c r="AZ73" s="273" t="s">
        <v>1224</v>
      </c>
      <c r="BB73">
        <f>IFERROR(VLOOKUP(Tabela1[[#This Row],[Denominação]],[10]Planilha1!$A:$B,2,FALSE),"")</f>
        <v>251642.46000000002</v>
      </c>
    </row>
    <row r="74" spans="1:54" ht="15" hidden="1" customHeight="1" x14ac:dyDescent="0.3">
      <c r="A74" s="253">
        <v>73</v>
      </c>
      <c r="B74" s="201" t="s">
        <v>751</v>
      </c>
      <c r="C74" s="211" t="s">
        <v>752</v>
      </c>
      <c r="D74" s="201">
        <v>10006301</v>
      </c>
      <c r="E74" s="253" t="s">
        <v>1268</v>
      </c>
      <c r="F74" s="253">
        <v>2526</v>
      </c>
      <c r="G74" s="201">
        <v>44981</v>
      </c>
      <c r="H74" s="201">
        <v>2014</v>
      </c>
      <c r="I74" s="216">
        <v>117782.87</v>
      </c>
      <c r="J74" s="214">
        <v>49430</v>
      </c>
      <c r="K74" s="170">
        <v>260686.56000000003</v>
      </c>
      <c r="L74" s="207">
        <v>0.87</v>
      </c>
      <c r="M74" s="320">
        <v>5853.5532000000003</v>
      </c>
      <c r="N74" s="212">
        <v>72028</v>
      </c>
      <c r="O74" s="171">
        <v>176</v>
      </c>
      <c r="P74" s="271" t="str">
        <f>IFERROR(VLOOKUP(Tabela1[[#This Row],[TAG]],#REF!,14,FALSE),"")</f>
        <v/>
      </c>
      <c r="Q74" s="204" t="e">
        <f t="shared" si="111"/>
        <v>#VALUE!</v>
      </c>
      <c r="R74" s="204" t="e">
        <f t="shared" si="112"/>
        <v>#VALUE!</v>
      </c>
      <c r="S74" s="204" t="e">
        <f t="shared" si="113"/>
        <v>#VALUE!</v>
      </c>
      <c r="T74" s="204" t="e">
        <f t="shared" si="114"/>
        <v>#VALUE!</v>
      </c>
      <c r="U74" s="204" t="e">
        <f t="shared" si="115"/>
        <v>#VALUE!</v>
      </c>
      <c r="V74" s="204" t="e">
        <f t="shared" si="116"/>
        <v>#VALUE!</v>
      </c>
      <c r="W74" s="304">
        <v>404.06</v>
      </c>
      <c r="X74" s="304">
        <v>449.39</v>
      </c>
      <c r="Y74" s="203">
        <v>0.1</v>
      </c>
      <c r="Z74" s="203">
        <f>IF(Tabela1[[#This Row],[Ano Aquisição]]=2023,0,IFERROR(VLOOKUP(H74,inflação!$F:$H,3,FALSE),""))</f>
        <v>0.54749999999999999</v>
      </c>
      <c r="AA74" s="203">
        <v>0.8</v>
      </c>
      <c r="AB74" s="202">
        <f t="shared" si="103"/>
        <v>-117782.87</v>
      </c>
      <c r="AC74" s="204" t="e">
        <f t="shared" si="117"/>
        <v>#VALUE!</v>
      </c>
      <c r="AD74" s="204" t="e">
        <f t="shared" si="118"/>
        <v>#VALUE!</v>
      </c>
      <c r="AE74" s="204" t="e">
        <f t="shared" si="119"/>
        <v>#VALUE!</v>
      </c>
      <c r="AF74" s="204" t="e">
        <f t="shared" si="120"/>
        <v>#VALUE!</v>
      </c>
      <c r="AG74" s="204" t="e">
        <f t="shared" si="121"/>
        <v>#VALUE!</v>
      </c>
      <c r="AH74" s="204" t="e">
        <f t="shared" si="122"/>
        <v>#VALUE!</v>
      </c>
      <c r="AI74" s="204" t="e">
        <f t="shared" si="123"/>
        <v>#VALUE!</v>
      </c>
      <c r="AJ74" s="205">
        <f t="shared" si="105"/>
        <v>-182268.99132499998</v>
      </c>
      <c r="AK74" s="204" t="e">
        <f t="shared" si="124"/>
        <v>#VALUE!</v>
      </c>
      <c r="AL74" s="204" t="e">
        <f t="shared" si="125"/>
        <v>#VALUE!</v>
      </c>
      <c r="AM74" s="204" t="e">
        <f t="shared" si="126"/>
        <v>#VALUE!</v>
      </c>
      <c r="AN74" s="204" t="e">
        <f t="shared" si="127"/>
        <v>#VALUE!</v>
      </c>
      <c r="AO74" s="204" t="e">
        <f t="shared" si="128"/>
        <v>#VALUE!</v>
      </c>
      <c r="AP74" s="204" t="e">
        <f t="shared" si="129"/>
        <v>#VALUE!</v>
      </c>
      <c r="AQ74" s="204" t="e">
        <f t="shared" si="130"/>
        <v>#VALUE!</v>
      </c>
      <c r="AR74" s="206" t="e">
        <f t="shared" si="107"/>
        <v>#VALUE!</v>
      </c>
      <c r="AS74" s="170" t="e">
        <f t="shared" si="131"/>
        <v>#VALUE!</v>
      </c>
      <c r="AT74" s="170" t="e">
        <f t="shared" si="132"/>
        <v>#VALUE!</v>
      </c>
      <c r="AU74" s="207" t="e">
        <f t="shared" si="108"/>
        <v>#VALUE!</v>
      </c>
      <c r="AV74" s="208" t="e">
        <f t="shared" si="109"/>
        <v>#VALUE!</v>
      </c>
      <c r="AW74" s="201" t="str">
        <f t="shared" si="110"/>
        <v>Confiabilidade em Crescimento</v>
      </c>
      <c r="AX74" s="253" t="e">
        <f>VLOOKUP(D74,#REF!,5,FALSE)</f>
        <v>#REF!</v>
      </c>
      <c r="AY74" s="201"/>
      <c r="AZ74" s="273" t="s">
        <v>1224</v>
      </c>
      <c r="BB74">
        <f>IFERROR(VLOOKUP(Tabela1[[#This Row],[Denominação]],[10]Planilha1!$A:$B,2,FALSE),"")</f>
        <v>260686.56000000003</v>
      </c>
    </row>
    <row r="75" spans="1:54" ht="15" hidden="1" customHeight="1" x14ac:dyDescent="0.3">
      <c r="A75" s="268">
        <v>74</v>
      </c>
      <c r="B75" s="201" t="s">
        <v>753</v>
      </c>
      <c r="C75" s="211" t="s">
        <v>754</v>
      </c>
      <c r="D75" s="201">
        <v>20001610</v>
      </c>
      <c r="E75" s="253" t="s">
        <v>1269</v>
      </c>
      <c r="F75" s="253">
        <v>2525</v>
      </c>
      <c r="G75" s="171">
        <v>45008</v>
      </c>
      <c r="H75" s="201">
        <v>2014</v>
      </c>
      <c r="I75" s="214">
        <v>98309.82</v>
      </c>
      <c r="J75" s="213">
        <v>24368</v>
      </c>
      <c r="K75" s="170">
        <v>76068.679999999993</v>
      </c>
      <c r="L75" s="207">
        <v>0.97</v>
      </c>
      <c r="M75" s="320">
        <v>5853.5532000000003</v>
      </c>
      <c r="N75" s="212">
        <v>69682</v>
      </c>
      <c r="O75" s="171">
        <v>77</v>
      </c>
      <c r="P75" s="271" t="str">
        <f>IFERROR(VLOOKUP(Tabela1[[#This Row],[TAG]],#REF!,14,FALSE),"")</f>
        <v/>
      </c>
      <c r="Q75" s="204" t="e">
        <f t="shared" si="111"/>
        <v>#VALUE!</v>
      </c>
      <c r="R75" s="204" t="e">
        <f t="shared" si="112"/>
        <v>#VALUE!</v>
      </c>
      <c r="S75" s="204" t="e">
        <f t="shared" si="113"/>
        <v>#VALUE!</v>
      </c>
      <c r="T75" s="204" t="e">
        <f t="shared" si="114"/>
        <v>#VALUE!</v>
      </c>
      <c r="U75" s="204" t="e">
        <f t="shared" si="115"/>
        <v>#VALUE!</v>
      </c>
      <c r="V75" s="204" t="e">
        <f t="shared" si="116"/>
        <v>#VALUE!</v>
      </c>
      <c r="W75" s="304">
        <v>334.27</v>
      </c>
      <c r="X75" s="304">
        <v>683.30815437984631</v>
      </c>
      <c r="Y75" s="203">
        <v>0.1</v>
      </c>
      <c r="Z75" s="203">
        <f>IF(Tabela1[[#This Row],[Ano Aquisição]]=2023,0,IFERROR(VLOOKUP(H75,inflação!$F:$H,3,FALSE),""))</f>
        <v>0.54749999999999999</v>
      </c>
      <c r="AA75" s="203">
        <v>0.8</v>
      </c>
      <c r="AB75" s="202">
        <f t="shared" si="103"/>
        <v>-98309.82</v>
      </c>
      <c r="AC75" s="204" t="e">
        <f t="shared" si="117"/>
        <v>#VALUE!</v>
      </c>
      <c r="AD75" s="204" t="e">
        <f t="shared" si="118"/>
        <v>#VALUE!</v>
      </c>
      <c r="AE75" s="204" t="e">
        <f t="shared" si="119"/>
        <v>#VALUE!</v>
      </c>
      <c r="AF75" s="204" t="e">
        <f t="shared" si="120"/>
        <v>#VALUE!</v>
      </c>
      <c r="AG75" s="204" t="e">
        <f t="shared" si="121"/>
        <v>#VALUE!</v>
      </c>
      <c r="AH75" s="204" t="e">
        <f t="shared" si="122"/>
        <v>#VALUE!</v>
      </c>
      <c r="AI75" s="204" t="e">
        <f t="shared" si="123"/>
        <v>#VALUE!</v>
      </c>
      <c r="AJ75" s="205">
        <f t="shared" si="105"/>
        <v>-152134.44644999999</v>
      </c>
      <c r="AK75" s="204" t="e">
        <f t="shared" si="124"/>
        <v>#VALUE!</v>
      </c>
      <c r="AL75" s="204" t="e">
        <f t="shared" si="125"/>
        <v>#VALUE!</v>
      </c>
      <c r="AM75" s="204" t="e">
        <f t="shared" si="126"/>
        <v>#VALUE!</v>
      </c>
      <c r="AN75" s="204" t="e">
        <f t="shared" si="127"/>
        <v>#VALUE!</v>
      </c>
      <c r="AO75" s="204" t="e">
        <f t="shared" si="128"/>
        <v>#VALUE!</v>
      </c>
      <c r="AP75" s="204" t="e">
        <f t="shared" si="129"/>
        <v>#VALUE!</v>
      </c>
      <c r="AQ75" s="204" t="e">
        <f t="shared" si="130"/>
        <v>#VALUE!</v>
      </c>
      <c r="AR75" s="206" t="e">
        <f t="shared" si="107"/>
        <v>#VALUE!</v>
      </c>
      <c r="AS75" s="170" t="e">
        <f t="shared" si="131"/>
        <v>#VALUE!</v>
      </c>
      <c r="AT75" s="170" t="e">
        <f t="shared" si="132"/>
        <v>#VALUE!</v>
      </c>
      <c r="AU75" s="207" t="e">
        <f t="shared" si="108"/>
        <v>#VALUE!</v>
      </c>
      <c r="AV75" s="208" t="e">
        <f t="shared" si="109"/>
        <v>#VALUE!</v>
      </c>
      <c r="AW75" s="201" t="str">
        <f t="shared" si="110"/>
        <v>Confiabilidade em Crescimento</v>
      </c>
      <c r="AX75" s="253" t="e">
        <f>VLOOKUP(D75,#REF!,5,FALSE)</f>
        <v>#REF!</v>
      </c>
      <c r="AY75" s="201"/>
      <c r="AZ75" s="273" t="s">
        <v>1224</v>
      </c>
      <c r="BB75">
        <f>IFERROR(VLOOKUP(Tabela1[[#This Row],[Denominação]],[10]Planilha1!$A:$B,2,FALSE),"")</f>
        <v>76068.679999999993</v>
      </c>
    </row>
    <row r="76" spans="1:54" ht="15" hidden="1" customHeight="1" x14ac:dyDescent="0.3">
      <c r="A76" s="253">
        <v>75</v>
      </c>
      <c r="B76" s="171" t="s">
        <v>361</v>
      </c>
      <c r="C76" s="209" t="s">
        <v>182</v>
      </c>
      <c r="D76" s="171">
        <v>10006371</v>
      </c>
      <c r="E76" s="253" t="s">
        <v>1270</v>
      </c>
      <c r="F76" s="210">
        <v>2525</v>
      </c>
      <c r="G76" s="171">
        <v>46368</v>
      </c>
      <c r="H76" s="171">
        <v>2015</v>
      </c>
      <c r="I76" s="213">
        <v>716413.01</v>
      </c>
      <c r="J76" s="213">
        <v>253040</v>
      </c>
      <c r="K76" s="170">
        <v>1855986.5199999996</v>
      </c>
      <c r="L76" s="215">
        <v>0.88</v>
      </c>
      <c r="M76" s="320">
        <v>5406</v>
      </c>
      <c r="N76" s="212">
        <v>64994</v>
      </c>
      <c r="O76" s="171">
        <v>552</v>
      </c>
      <c r="P76" s="271" t="str">
        <f>IFERROR(VLOOKUP(Tabela1[[#This Row],[TAG]],#REF!,14,FALSE),"")</f>
        <v/>
      </c>
      <c r="Q76" s="204" t="e">
        <f t="shared" si="111"/>
        <v>#VALUE!</v>
      </c>
      <c r="R76" s="204" t="e">
        <f t="shared" si="112"/>
        <v>#VALUE!</v>
      </c>
      <c r="S76" s="204" t="e">
        <f t="shared" si="113"/>
        <v>#VALUE!</v>
      </c>
      <c r="T76" s="204" t="e">
        <f t="shared" si="114"/>
        <v>#VALUE!</v>
      </c>
      <c r="U76" s="204" t="e">
        <f t="shared" si="115"/>
        <v>#VALUE!</v>
      </c>
      <c r="V76" s="204" t="e">
        <f t="shared" si="116"/>
        <v>#VALUE!</v>
      </c>
      <c r="W76" s="304">
        <v>1301.8399999999999</v>
      </c>
      <c r="X76" s="304">
        <v>12485.47</v>
      </c>
      <c r="Y76" s="203">
        <v>0.1</v>
      </c>
      <c r="Z76" s="203">
        <f>IF(Tabela1[[#This Row],[Ano Aquisição]]=2023,0,IFERROR(VLOOKUP(H76,inflação!$F:$H,3,FALSE),""))</f>
        <v>0.4834</v>
      </c>
      <c r="AA76" s="203">
        <v>0.8</v>
      </c>
      <c r="AB76" s="202">
        <f t="shared" si="103"/>
        <v>-716413.01</v>
      </c>
      <c r="AC76" s="204" t="e">
        <f t="shared" si="117"/>
        <v>#VALUE!</v>
      </c>
      <c r="AD76" s="204" t="e">
        <f t="shared" si="118"/>
        <v>#VALUE!</v>
      </c>
      <c r="AE76" s="204" t="e">
        <f t="shared" si="119"/>
        <v>#VALUE!</v>
      </c>
      <c r="AF76" s="204" t="e">
        <f t="shared" si="120"/>
        <v>#VALUE!</v>
      </c>
      <c r="AG76" s="204" t="e">
        <f t="shared" si="121"/>
        <v>#VALUE!</v>
      </c>
      <c r="AH76" s="204" t="e">
        <f t="shared" si="122"/>
        <v>#VALUE!</v>
      </c>
      <c r="AI76" s="204" t="e">
        <f t="shared" si="123"/>
        <v>#VALUE!</v>
      </c>
      <c r="AJ76" s="205">
        <f t="shared" si="105"/>
        <v>-1062727.0590340002</v>
      </c>
      <c r="AK76" s="204" t="e">
        <f t="shared" si="124"/>
        <v>#VALUE!</v>
      </c>
      <c r="AL76" s="204" t="e">
        <f t="shared" si="125"/>
        <v>#VALUE!</v>
      </c>
      <c r="AM76" s="204" t="e">
        <f t="shared" si="126"/>
        <v>#VALUE!</v>
      </c>
      <c r="AN76" s="204" t="e">
        <f t="shared" si="127"/>
        <v>#VALUE!</v>
      </c>
      <c r="AO76" s="204" t="e">
        <f t="shared" si="128"/>
        <v>#VALUE!</v>
      </c>
      <c r="AP76" s="204" t="e">
        <f t="shared" si="129"/>
        <v>#VALUE!</v>
      </c>
      <c r="AQ76" s="204" t="e">
        <f t="shared" si="130"/>
        <v>#VALUE!</v>
      </c>
      <c r="AR76" s="206" t="e">
        <f t="shared" si="107"/>
        <v>#VALUE!</v>
      </c>
      <c r="AS76" s="170" t="e">
        <f t="shared" si="131"/>
        <v>#VALUE!</v>
      </c>
      <c r="AT76" s="170" t="e">
        <f t="shared" si="132"/>
        <v>#VALUE!</v>
      </c>
      <c r="AU76" s="207" t="e">
        <f t="shared" si="108"/>
        <v>#VALUE!</v>
      </c>
      <c r="AV76" s="208" t="e">
        <f t="shared" si="109"/>
        <v>#VALUE!</v>
      </c>
      <c r="AW76" s="201" t="str">
        <f t="shared" si="110"/>
        <v>Confiabilidade em Crescimento</v>
      </c>
      <c r="AX76" s="253" t="e">
        <f>VLOOKUP(D76,#REF!,5,FALSE)</f>
        <v>#REF!</v>
      </c>
      <c r="AY76" s="201"/>
      <c r="AZ76" s="273" t="s">
        <v>1224</v>
      </c>
      <c r="BB76">
        <f>IFERROR(VLOOKUP(Tabela1[[#This Row],[Denominação]],[10]Planilha1!$A:$B,2,FALSE),"")</f>
        <v>1855986.5199999996</v>
      </c>
    </row>
    <row r="77" spans="1:54" ht="15" hidden="1" customHeight="1" x14ac:dyDescent="0.3">
      <c r="A77" s="268">
        <v>76</v>
      </c>
      <c r="B77" s="171" t="s">
        <v>597</v>
      </c>
      <c r="C77" s="209" t="s">
        <v>598</v>
      </c>
      <c r="D77" s="171">
        <v>10006372</v>
      </c>
      <c r="E77" s="253" t="s">
        <v>1271</v>
      </c>
      <c r="F77" s="210">
        <v>2525</v>
      </c>
      <c r="G77" s="171">
        <v>46369</v>
      </c>
      <c r="H77" s="171">
        <v>2015</v>
      </c>
      <c r="I77" s="213">
        <v>38997.879999999997</v>
      </c>
      <c r="J77" s="213">
        <v>13418</v>
      </c>
      <c r="K77" s="170">
        <v>455992.22999999946</v>
      </c>
      <c r="L77" s="215">
        <v>0.86</v>
      </c>
      <c r="M77" s="320">
        <v>5406</v>
      </c>
      <c r="N77" s="212">
        <v>65015</v>
      </c>
      <c r="O77" s="171">
        <v>271</v>
      </c>
      <c r="P77" s="271" t="str">
        <f>IFERROR(VLOOKUP(Tabela1[[#This Row],[TAG]],#REF!,14,FALSE),"")</f>
        <v/>
      </c>
      <c r="Q77" s="204" t="e">
        <f t="shared" si="111"/>
        <v>#VALUE!</v>
      </c>
      <c r="R77" s="204" t="e">
        <f t="shared" si="112"/>
        <v>#VALUE!</v>
      </c>
      <c r="S77" s="204" t="e">
        <f t="shared" si="113"/>
        <v>#VALUE!</v>
      </c>
      <c r="T77" s="204" t="e">
        <f t="shared" si="114"/>
        <v>#VALUE!</v>
      </c>
      <c r="U77" s="204" t="e">
        <f t="shared" si="115"/>
        <v>#VALUE!</v>
      </c>
      <c r="V77" s="204" t="e">
        <f t="shared" si="116"/>
        <v>#VALUE!</v>
      </c>
      <c r="W77" s="304">
        <v>944.14</v>
      </c>
      <c r="X77" s="304">
        <v>5718.79</v>
      </c>
      <c r="Y77" s="203">
        <v>0.1</v>
      </c>
      <c r="Z77" s="203">
        <f>IF(Tabela1[[#This Row],[Ano Aquisição]]=2023,0,IFERROR(VLOOKUP(H77,inflação!$F:$H,3,FALSE),""))</f>
        <v>0.4834</v>
      </c>
      <c r="AA77" s="203">
        <v>0.8</v>
      </c>
      <c r="AB77" s="202">
        <f t="shared" si="103"/>
        <v>-38997.879999999997</v>
      </c>
      <c r="AC77" s="204" t="e">
        <f t="shared" si="117"/>
        <v>#VALUE!</v>
      </c>
      <c r="AD77" s="204" t="e">
        <f t="shared" si="118"/>
        <v>#VALUE!</v>
      </c>
      <c r="AE77" s="204" t="e">
        <f t="shared" si="119"/>
        <v>#VALUE!</v>
      </c>
      <c r="AF77" s="204" t="e">
        <f t="shared" si="120"/>
        <v>#VALUE!</v>
      </c>
      <c r="AG77" s="204" t="e">
        <f t="shared" si="121"/>
        <v>#VALUE!</v>
      </c>
      <c r="AH77" s="204" t="e">
        <f t="shared" si="122"/>
        <v>#VALUE!</v>
      </c>
      <c r="AI77" s="204" t="e">
        <f t="shared" si="123"/>
        <v>#VALUE!</v>
      </c>
      <c r="AJ77" s="205">
        <f t="shared" si="105"/>
        <v>-57849.455192000001</v>
      </c>
      <c r="AK77" s="204" t="e">
        <f t="shared" si="124"/>
        <v>#VALUE!</v>
      </c>
      <c r="AL77" s="204" t="e">
        <f t="shared" si="125"/>
        <v>#VALUE!</v>
      </c>
      <c r="AM77" s="204" t="e">
        <f t="shared" si="126"/>
        <v>#VALUE!</v>
      </c>
      <c r="AN77" s="204" t="e">
        <f t="shared" si="127"/>
        <v>#VALUE!</v>
      </c>
      <c r="AO77" s="204" t="e">
        <f t="shared" si="128"/>
        <v>#VALUE!</v>
      </c>
      <c r="AP77" s="204" t="e">
        <f t="shared" si="129"/>
        <v>#VALUE!</v>
      </c>
      <c r="AQ77" s="204" t="e">
        <f t="shared" si="130"/>
        <v>#VALUE!</v>
      </c>
      <c r="AR77" s="206" t="e">
        <f t="shared" si="107"/>
        <v>#VALUE!</v>
      </c>
      <c r="AS77" s="170" t="e">
        <f t="shared" si="131"/>
        <v>#VALUE!</v>
      </c>
      <c r="AT77" s="170" t="e">
        <f t="shared" si="132"/>
        <v>#VALUE!</v>
      </c>
      <c r="AU77" s="207" t="e">
        <f t="shared" si="108"/>
        <v>#VALUE!</v>
      </c>
      <c r="AV77" s="208" t="e">
        <f t="shared" si="109"/>
        <v>#VALUE!</v>
      </c>
      <c r="AW77" s="201" t="str">
        <f t="shared" si="110"/>
        <v>Confiabilidade em Crescimento</v>
      </c>
      <c r="AX77" s="253" t="e">
        <f>VLOOKUP(D77,#REF!,5,FALSE)</f>
        <v>#REF!</v>
      </c>
      <c r="AY77" s="201"/>
      <c r="AZ77" s="273" t="s">
        <v>1224</v>
      </c>
      <c r="BB77">
        <f>IFERROR(VLOOKUP(Tabela1[[#This Row],[Denominação]],[10]Planilha1!$A:$B,2,FALSE),"")</f>
        <v>455992.22999999946</v>
      </c>
    </row>
    <row r="78" spans="1:54" ht="15" hidden="1" customHeight="1" x14ac:dyDescent="0.3">
      <c r="A78" s="253">
        <v>77</v>
      </c>
      <c r="B78" s="201" t="s">
        <v>922</v>
      </c>
      <c r="C78" s="211" t="s">
        <v>923</v>
      </c>
      <c r="D78" s="201">
        <v>10000219</v>
      </c>
      <c r="E78" s="253" t="s">
        <v>1272</v>
      </c>
      <c r="F78" s="253">
        <v>4023</v>
      </c>
      <c r="G78" s="201">
        <v>37312</v>
      </c>
      <c r="H78" s="201">
        <v>2008</v>
      </c>
      <c r="I78" s="216">
        <v>96683.38</v>
      </c>
      <c r="J78" s="214">
        <v>12719</v>
      </c>
      <c r="K78" s="170">
        <v>305704.55000000022</v>
      </c>
      <c r="L78" s="207">
        <v>1.4</v>
      </c>
      <c r="M78" s="212">
        <v>4547</v>
      </c>
      <c r="N78" s="212">
        <v>198057</v>
      </c>
      <c r="O78" s="171">
        <v>375</v>
      </c>
      <c r="P78" s="271" t="str">
        <f>IFERROR(VLOOKUP(Tabela1[[#This Row],[TAG]],#REF!,14,FALSE),"")</f>
        <v/>
      </c>
      <c r="Q78" s="204" t="e">
        <f t="shared" si="111"/>
        <v>#VALUE!</v>
      </c>
      <c r="R78" s="204" t="e">
        <f t="shared" si="112"/>
        <v>#VALUE!</v>
      </c>
      <c r="S78" s="204" t="e">
        <f t="shared" si="113"/>
        <v>#VALUE!</v>
      </c>
      <c r="T78" s="204" t="e">
        <f t="shared" si="114"/>
        <v>#VALUE!</v>
      </c>
      <c r="U78" s="204" t="e">
        <f t="shared" si="115"/>
        <v>#VALUE!</v>
      </c>
      <c r="V78" s="204" t="e">
        <f t="shared" si="116"/>
        <v>#VALUE!</v>
      </c>
      <c r="W78" s="218">
        <v>534.11</v>
      </c>
      <c r="X78" s="218">
        <v>1044.73</v>
      </c>
      <c r="Y78" s="203">
        <v>0.1</v>
      </c>
      <c r="Z78" s="203">
        <f>IF(Tabela1[[#This Row],[Ano Aquisição]]=2023,0,IFERROR(VLOOKUP(H78,inflação!$F:$H,3,FALSE),""))</f>
        <v>0.89119999999999999</v>
      </c>
      <c r="AA78" s="203">
        <v>0.8</v>
      </c>
      <c r="AB78" s="202">
        <f t="shared" si="103"/>
        <v>-96683.38</v>
      </c>
      <c r="AC78" s="204" t="e">
        <f t="shared" si="117"/>
        <v>#VALUE!</v>
      </c>
      <c r="AD78" s="204" t="e">
        <f t="shared" si="118"/>
        <v>#VALUE!</v>
      </c>
      <c r="AE78" s="204" t="e">
        <f t="shared" si="119"/>
        <v>#VALUE!</v>
      </c>
      <c r="AF78" s="204" t="e">
        <f t="shared" si="120"/>
        <v>#VALUE!</v>
      </c>
      <c r="AG78" s="204" t="e">
        <f t="shared" si="121"/>
        <v>#VALUE!</v>
      </c>
      <c r="AH78" s="204" t="e">
        <f t="shared" si="122"/>
        <v>#VALUE!</v>
      </c>
      <c r="AI78" s="204" t="e">
        <f t="shared" si="123"/>
        <v>#VALUE!</v>
      </c>
      <c r="AJ78" s="205">
        <f t="shared" si="105"/>
        <v>-182847.60825600001</v>
      </c>
      <c r="AK78" s="204" t="e">
        <f t="shared" si="124"/>
        <v>#VALUE!</v>
      </c>
      <c r="AL78" s="204" t="e">
        <f t="shared" si="125"/>
        <v>#VALUE!</v>
      </c>
      <c r="AM78" s="204" t="e">
        <f t="shared" si="126"/>
        <v>#VALUE!</v>
      </c>
      <c r="AN78" s="204" t="e">
        <f t="shared" si="127"/>
        <v>#VALUE!</v>
      </c>
      <c r="AO78" s="204" t="e">
        <f t="shared" si="128"/>
        <v>#VALUE!</v>
      </c>
      <c r="AP78" s="204" t="e">
        <f t="shared" si="129"/>
        <v>#VALUE!</v>
      </c>
      <c r="AQ78" s="204" t="e">
        <f t="shared" si="130"/>
        <v>#VALUE!</v>
      </c>
      <c r="AR78" s="206" t="e">
        <f t="shared" si="107"/>
        <v>#VALUE!</v>
      </c>
      <c r="AS78" s="170" t="e">
        <f t="shared" si="131"/>
        <v>#VALUE!</v>
      </c>
      <c r="AT78" s="170" t="e">
        <f t="shared" si="132"/>
        <v>#VALUE!</v>
      </c>
      <c r="AU78" s="207" t="e">
        <f t="shared" si="108"/>
        <v>#VALUE!</v>
      </c>
      <c r="AV78" s="208" t="e">
        <f t="shared" si="109"/>
        <v>#VALUE!</v>
      </c>
      <c r="AW78" s="201" t="str">
        <f t="shared" si="110"/>
        <v>Fase de Degradação</v>
      </c>
      <c r="AX78" s="253" t="e">
        <f>VLOOKUP(D78,#REF!,5,FALSE)</f>
        <v>#REF!</v>
      </c>
      <c r="AY78" s="201"/>
      <c r="AZ78" s="273" t="s">
        <v>1224</v>
      </c>
      <c r="BB78">
        <f>IFERROR(VLOOKUP(Tabela1[[#This Row],[Denominação]],[10]Planilha1!$A:$B,2,FALSE),"")</f>
        <v>305704.55000000022</v>
      </c>
    </row>
    <row r="79" spans="1:54" ht="15" hidden="1" customHeight="1" x14ac:dyDescent="0.3">
      <c r="A79" s="268">
        <v>78</v>
      </c>
      <c r="B79" s="201" t="s">
        <v>924</v>
      </c>
      <c r="C79" s="211" t="s">
        <v>925</v>
      </c>
      <c r="D79" s="201">
        <v>10000222</v>
      </c>
      <c r="E79" s="253" t="s">
        <v>1272</v>
      </c>
      <c r="F79" s="253">
        <v>4023</v>
      </c>
      <c r="G79" s="201">
        <v>20050</v>
      </c>
      <c r="H79" s="201">
        <v>1995</v>
      </c>
      <c r="I79" s="216">
        <v>228817.81</v>
      </c>
      <c r="J79" s="214">
        <v>0</v>
      </c>
      <c r="K79" s="170">
        <v>214767.05999999976</v>
      </c>
      <c r="L79" s="207">
        <v>1.44</v>
      </c>
      <c r="M79" s="212">
        <v>4547</v>
      </c>
      <c r="N79" s="212">
        <v>198595</v>
      </c>
      <c r="O79" s="171">
        <v>325</v>
      </c>
      <c r="P79" s="271" t="str">
        <f>IFERROR(VLOOKUP(Tabela1[[#This Row],[TAG]],#REF!,14,FALSE),"")</f>
        <v/>
      </c>
      <c r="Q79" s="204" t="e">
        <f t="shared" si="111"/>
        <v>#VALUE!</v>
      </c>
      <c r="R79" s="204" t="e">
        <f t="shared" si="112"/>
        <v>#VALUE!</v>
      </c>
      <c r="S79" s="204" t="e">
        <f t="shared" si="113"/>
        <v>#VALUE!</v>
      </c>
      <c r="T79" s="204" t="e">
        <f t="shared" si="114"/>
        <v>#VALUE!</v>
      </c>
      <c r="U79" s="204" t="e">
        <f t="shared" si="115"/>
        <v>#VALUE!</v>
      </c>
      <c r="V79" s="204" t="e">
        <f t="shared" si="116"/>
        <v>#VALUE!</v>
      </c>
      <c r="W79" s="218">
        <v>342.36</v>
      </c>
      <c r="X79" s="218">
        <v>1079.6500000000001</v>
      </c>
      <c r="Y79" s="203">
        <v>0.1</v>
      </c>
      <c r="Z79" s="203">
        <f>IF(Tabela1[[#This Row],[Ano Aquisição]]=2023,0,IFERROR(VLOOKUP(H79,inflação!$F:$H,3,FALSE),""))</f>
        <v>1.7719846153846153</v>
      </c>
      <c r="AA79" s="203">
        <v>0.8</v>
      </c>
      <c r="AB79" s="202">
        <f t="shared" si="103"/>
        <v>-228817.81</v>
      </c>
      <c r="AC79" s="204" t="e">
        <f t="shared" si="117"/>
        <v>#VALUE!</v>
      </c>
      <c r="AD79" s="204" t="e">
        <f t="shared" si="118"/>
        <v>#VALUE!</v>
      </c>
      <c r="AE79" s="204" t="e">
        <f t="shared" si="119"/>
        <v>#VALUE!</v>
      </c>
      <c r="AF79" s="204" t="e">
        <f t="shared" si="120"/>
        <v>#VALUE!</v>
      </c>
      <c r="AG79" s="204" t="e">
        <f t="shared" si="121"/>
        <v>#VALUE!</v>
      </c>
      <c r="AH79" s="204" t="e">
        <f t="shared" si="122"/>
        <v>#VALUE!</v>
      </c>
      <c r="AI79" s="204" t="e">
        <f t="shared" si="123"/>
        <v>#VALUE!</v>
      </c>
      <c r="AJ79" s="205">
        <f t="shared" si="105"/>
        <v>-634279.44904599991</v>
      </c>
      <c r="AK79" s="204" t="e">
        <f t="shared" si="124"/>
        <v>#VALUE!</v>
      </c>
      <c r="AL79" s="204" t="e">
        <f t="shared" si="125"/>
        <v>#VALUE!</v>
      </c>
      <c r="AM79" s="204" t="e">
        <f t="shared" si="126"/>
        <v>#VALUE!</v>
      </c>
      <c r="AN79" s="204" t="e">
        <f t="shared" si="127"/>
        <v>#VALUE!</v>
      </c>
      <c r="AO79" s="204" t="e">
        <f t="shared" si="128"/>
        <v>#VALUE!</v>
      </c>
      <c r="AP79" s="204" t="e">
        <f t="shared" si="129"/>
        <v>#VALUE!</v>
      </c>
      <c r="AQ79" s="204" t="e">
        <f t="shared" si="130"/>
        <v>#VALUE!</v>
      </c>
      <c r="AR79" s="206" t="e">
        <f t="shared" si="107"/>
        <v>#VALUE!</v>
      </c>
      <c r="AS79" s="170" t="e">
        <f t="shared" si="131"/>
        <v>#VALUE!</v>
      </c>
      <c r="AT79" s="170" t="e">
        <f t="shared" si="132"/>
        <v>#VALUE!</v>
      </c>
      <c r="AU79" s="207" t="e">
        <f t="shared" si="108"/>
        <v>#VALUE!</v>
      </c>
      <c r="AV79" s="208" t="e">
        <f t="shared" si="109"/>
        <v>#VALUE!</v>
      </c>
      <c r="AW79" s="201" t="str">
        <f t="shared" si="110"/>
        <v>Fase de Degradação</v>
      </c>
      <c r="AX79" s="253" t="e">
        <f>VLOOKUP(D79,#REF!,5,FALSE)</f>
        <v>#REF!</v>
      </c>
      <c r="AY79" s="201"/>
      <c r="AZ79" s="273" t="s">
        <v>1224</v>
      </c>
      <c r="BB79">
        <f>IFERROR(VLOOKUP(Tabela1[[#This Row],[Denominação]],[10]Planilha1!$A:$B,2,FALSE),"")</f>
        <v>214767.05999999976</v>
      </c>
    </row>
    <row r="80" spans="1:54" ht="15" hidden="1" customHeight="1" x14ac:dyDescent="0.3">
      <c r="A80" s="253">
        <v>79</v>
      </c>
      <c r="B80" s="300" t="s">
        <v>1809</v>
      </c>
      <c r="C80" s="318" t="s">
        <v>1678</v>
      </c>
      <c r="D80" s="315">
        <v>10006180</v>
      </c>
      <c r="E80" s="299" t="s">
        <v>1273</v>
      </c>
      <c r="F80" s="299">
        <v>4022</v>
      </c>
      <c r="G80" s="315" t="s">
        <v>1666</v>
      </c>
      <c r="H80" s="315">
        <v>2000</v>
      </c>
      <c r="I80" s="329">
        <v>43128.89</v>
      </c>
      <c r="J80" s="330">
        <v>0</v>
      </c>
      <c r="K80" s="326">
        <v>112318.2499999999</v>
      </c>
      <c r="L80" s="319">
        <v>1.1100000000000001</v>
      </c>
      <c r="M80" s="320">
        <v>2753</v>
      </c>
      <c r="N80" s="320">
        <v>85032</v>
      </c>
      <c r="O80" s="321">
        <v>101</v>
      </c>
      <c r="P80" s="271" t="str">
        <f>IFERROR(VLOOKUP(Tabela1[[#This Row],[TAG]],#REF!,14,FALSE),"")</f>
        <v/>
      </c>
      <c r="Q80" s="323" t="e">
        <f t="shared" ref="Q80" si="133">P80+P80</f>
        <v>#VALUE!</v>
      </c>
      <c r="R80" s="323" t="e">
        <f t="shared" ref="R80" si="134">Q80+P80</f>
        <v>#VALUE!</v>
      </c>
      <c r="S80" s="323" t="e">
        <f t="shared" ref="S80" si="135">R80+P80</f>
        <v>#VALUE!</v>
      </c>
      <c r="T80" s="323" t="e">
        <f t="shared" ref="T80" si="136">S80+P80</f>
        <v>#VALUE!</v>
      </c>
      <c r="U80" s="323" t="e">
        <f t="shared" ref="U80" si="137">T80+P80</f>
        <v>#VALUE!</v>
      </c>
      <c r="V80" s="323" t="e">
        <f t="shared" ref="V80" si="138">U80+P80</f>
        <v>#VALUE!</v>
      </c>
      <c r="W80" s="304">
        <v>362.52</v>
      </c>
      <c r="X80" s="304">
        <v>770.54</v>
      </c>
      <c r="Y80" s="322">
        <v>0.1</v>
      </c>
      <c r="Z80" s="322">
        <f>IF(Tabela1[[#This Row],[Ano Aquisição]]=2023,0,IFERROR(VLOOKUP(H80,inflação!$F:$H,3,FALSE),""))</f>
        <v>1.4548000000000001</v>
      </c>
      <c r="AA80" s="322">
        <v>0.8</v>
      </c>
      <c r="AB80" s="310">
        <f t="shared" si="103"/>
        <v>-43128.89</v>
      </c>
      <c r="AC80" s="323" t="e">
        <f t="shared" ref="AC80" si="139">-(((P80*$W80)+($X80*12))*((1+$Y80)^AC$1))</f>
        <v>#VALUE!</v>
      </c>
      <c r="AD80" s="323" t="e">
        <f t="shared" ref="AD80" si="140">-((((Q80-P80)*$W80)+($X80*12))*((1+$Y80)^AD$1))</f>
        <v>#VALUE!</v>
      </c>
      <c r="AE80" s="323" t="e">
        <f t="shared" ref="AE80" si="141">-((((R80-Q80)*$W80)+($X80*12))*((1+$Y80)^AE$1))</f>
        <v>#VALUE!</v>
      </c>
      <c r="AF80" s="323" t="e">
        <f t="shared" ref="AF80" si="142">-((((S80-R80)*$W80)+($X80*12))*((1+$Y80)^AF$1))</f>
        <v>#VALUE!</v>
      </c>
      <c r="AG80" s="323" t="e">
        <f t="shared" ref="AG80" si="143">-((((T80-S80)*$W80)+($X80*12))*((1+$Y80)^AG$1))</f>
        <v>#VALUE!</v>
      </c>
      <c r="AH80" s="323" t="e">
        <f t="shared" ref="AH80" si="144">-((((U80-T80)*$W80)+($X80*12))*((1+$Y80)^AH$1))</f>
        <v>#VALUE!</v>
      </c>
      <c r="AI80" s="323" t="e">
        <f t="shared" ref="AI80" si="145">-((((V80-U80)*$W80)+($X80*12))*((1+$Y80)^AI$1))</f>
        <v>#VALUE!</v>
      </c>
      <c r="AJ80" s="324">
        <f t="shared" si="105"/>
        <v>-105872.799172</v>
      </c>
      <c r="AK80" s="323" t="e">
        <f t="shared" ref="AK80" si="146">AC80*(1-$AA80)</f>
        <v>#VALUE!</v>
      </c>
      <c r="AL80" s="323" t="e">
        <f t="shared" ref="AL80" si="147">AD80*(1-$AA80)</f>
        <v>#VALUE!</v>
      </c>
      <c r="AM80" s="323" t="e">
        <f t="shared" ref="AM80" si="148">AE80*(1-$AA80)</f>
        <v>#VALUE!</v>
      </c>
      <c r="AN80" s="323" t="e">
        <f t="shared" ref="AN80" si="149">AF80*(1-$AA80)</f>
        <v>#VALUE!</v>
      </c>
      <c r="AO80" s="323" t="e">
        <f t="shared" ref="AO80" si="150">AG80*(1-$AA80)</f>
        <v>#VALUE!</v>
      </c>
      <c r="AP80" s="323" t="e">
        <f t="shared" ref="AP80" si="151">AH80*(1-$AA80)</f>
        <v>#VALUE!</v>
      </c>
      <c r="AQ80" s="323" t="e">
        <f t="shared" ref="AQ80" si="152">AI80*(1-$AA80)</f>
        <v>#VALUE!</v>
      </c>
      <c r="AR80" s="325" t="e">
        <f t="shared" si="107"/>
        <v>#VALUE!</v>
      </c>
      <c r="AS80" s="326" t="e">
        <f t="shared" ref="AS80" si="153">SUM(AC80:AI80)</f>
        <v>#VALUE!</v>
      </c>
      <c r="AT80" s="326" t="e">
        <f t="shared" ref="AT80" si="154">SUM(AK80:AQ80)</f>
        <v>#VALUE!</v>
      </c>
      <c r="AU80" s="319" t="e">
        <f t="shared" si="108"/>
        <v>#VALUE!</v>
      </c>
      <c r="AV80" s="327" t="e">
        <f t="shared" si="109"/>
        <v>#VALUE!</v>
      </c>
      <c r="AW80" s="315" t="str">
        <f t="shared" si="110"/>
        <v>Fase de Degradação</v>
      </c>
      <c r="AX80" s="299" t="e">
        <f>VLOOKUP(D80,#REF!,5,FALSE)</f>
        <v>#REF!</v>
      </c>
      <c r="AY80" s="315"/>
      <c r="AZ80" s="316" t="s">
        <v>1224</v>
      </c>
      <c r="BB80">
        <f>IFERROR(VLOOKUP(Tabela1[[#This Row],[Denominação]],[10]Planilha1!$A:$B,2,FALSE),"")</f>
        <v>112318.2499999999</v>
      </c>
    </row>
    <row r="81" spans="1:54" ht="15" hidden="1" customHeight="1" x14ac:dyDescent="0.3">
      <c r="A81" s="268">
        <v>80</v>
      </c>
      <c r="B81" s="201" t="s">
        <v>926</v>
      </c>
      <c r="C81" s="211" t="s">
        <v>927</v>
      </c>
      <c r="D81" s="201">
        <v>10001830</v>
      </c>
      <c r="E81" s="253" t="s">
        <v>1273</v>
      </c>
      <c r="F81" s="253">
        <v>4022</v>
      </c>
      <c r="G81" s="201">
        <v>31765</v>
      </c>
      <c r="H81" s="201">
        <v>2001</v>
      </c>
      <c r="I81" s="216">
        <v>43128.89</v>
      </c>
      <c r="J81" s="214">
        <v>0</v>
      </c>
      <c r="K81" s="170">
        <v>109194.49999999996</v>
      </c>
      <c r="L81" s="207">
        <v>1.97</v>
      </c>
      <c r="M81" s="212">
        <v>2753</v>
      </c>
      <c r="N81" s="212">
        <v>193437</v>
      </c>
      <c r="O81" s="171">
        <v>163</v>
      </c>
      <c r="P81" s="271" t="str">
        <f>IFERROR(VLOOKUP(Tabela1[[#This Row],[TAG]],#REF!,14,FALSE),"")</f>
        <v/>
      </c>
      <c r="Q81" s="204" t="e">
        <f>P81+P81</f>
        <v>#VALUE!</v>
      </c>
      <c r="R81" s="204" t="e">
        <f>Q81+P81</f>
        <v>#VALUE!</v>
      </c>
      <c r="S81" s="204" t="e">
        <f>R81+P81</f>
        <v>#VALUE!</v>
      </c>
      <c r="T81" s="204" t="e">
        <f>S81+P81</f>
        <v>#VALUE!</v>
      </c>
      <c r="U81" s="204" t="e">
        <f>T81+P81</f>
        <v>#VALUE!</v>
      </c>
      <c r="V81" s="204" t="e">
        <f>U81+P81</f>
        <v>#VALUE!</v>
      </c>
      <c r="W81" s="218">
        <v>353.87</v>
      </c>
      <c r="X81" s="218">
        <v>743.13527777777801</v>
      </c>
      <c r="Y81" s="203">
        <v>0.1</v>
      </c>
      <c r="Z81" s="203">
        <f>IF(Tabela1[[#This Row],[Ano Aquisição]]=2023,0,IFERROR(VLOOKUP(H81,inflação!$F:$H,3,FALSE),""))</f>
        <v>1.3951</v>
      </c>
      <c r="AA81" s="203">
        <v>0.8</v>
      </c>
      <c r="AB81" s="202">
        <f t="shared" si="103"/>
        <v>-43128.89</v>
      </c>
      <c r="AC81" s="204" t="e">
        <f>-(((P81*$W81)+($X81*12))*((1+$Y81)^AC$1))</f>
        <v>#VALUE!</v>
      </c>
      <c r="AD81" s="204" t="e">
        <f t="shared" ref="AD81:AI81" si="155">-((((Q81-P81)*$W81)+($X81*12))*((1+$Y81)^AD$1))</f>
        <v>#VALUE!</v>
      </c>
      <c r="AE81" s="204" t="e">
        <f t="shared" si="155"/>
        <v>#VALUE!</v>
      </c>
      <c r="AF81" s="204" t="e">
        <f t="shared" si="155"/>
        <v>#VALUE!</v>
      </c>
      <c r="AG81" s="204" t="e">
        <f t="shared" si="155"/>
        <v>#VALUE!</v>
      </c>
      <c r="AH81" s="204" t="e">
        <f t="shared" si="155"/>
        <v>#VALUE!</v>
      </c>
      <c r="AI81" s="204" t="e">
        <f t="shared" si="155"/>
        <v>#VALUE!</v>
      </c>
      <c r="AJ81" s="205">
        <f t="shared" si="105"/>
        <v>-103298.00443900001</v>
      </c>
      <c r="AK81" s="204" t="e">
        <f t="shared" ref="AK81:AQ81" si="156">AC81*(1-$AA81)</f>
        <v>#VALUE!</v>
      </c>
      <c r="AL81" s="204" t="e">
        <f t="shared" si="156"/>
        <v>#VALUE!</v>
      </c>
      <c r="AM81" s="204" t="e">
        <f t="shared" si="156"/>
        <v>#VALUE!</v>
      </c>
      <c r="AN81" s="204" t="e">
        <f t="shared" si="156"/>
        <v>#VALUE!</v>
      </c>
      <c r="AO81" s="204" t="e">
        <f t="shared" si="156"/>
        <v>#VALUE!</v>
      </c>
      <c r="AP81" s="204" t="e">
        <f t="shared" si="156"/>
        <v>#VALUE!</v>
      </c>
      <c r="AQ81" s="204" t="e">
        <f t="shared" si="156"/>
        <v>#VALUE!</v>
      </c>
      <c r="AR81" s="206" t="e">
        <f t="shared" si="107"/>
        <v>#VALUE!</v>
      </c>
      <c r="AS81" s="170" t="e">
        <f>SUM(AC81:AI81)</f>
        <v>#VALUE!</v>
      </c>
      <c r="AT81" s="170" t="e">
        <f>SUM(AK81:AQ81)</f>
        <v>#VALUE!</v>
      </c>
      <c r="AU81" s="207" t="e">
        <f t="shared" si="108"/>
        <v>#VALUE!</v>
      </c>
      <c r="AV81" s="208" t="e">
        <f t="shared" si="109"/>
        <v>#VALUE!</v>
      </c>
      <c r="AW81" s="201" t="str">
        <f t="shared" si="110"/>
        <v>Fase de Degradação</v>
      </c>
      <c r="AX81" s="253" t="e">
        <f>VLOOKUP(D81,#REF!,5,FALSE)</f>
        <v>#REF!</v>
      </c>
      <c r="AY81" s="201"/>
      <c r="AZ81" s="273" t="s">
        <v>1224</v>
      </c>
      <c r="BB81">
        <f>IFERROR(VLOOKUP(Tabela1[[#This Row],[Denominação]],[10]Planilha1!$A:$B,2,FALSE),"")</f>
        <v>109194.49999999996</v>
      </c>
    </row>
    <row r="82" spans="1:54" ht="15" hidden="1" customHeight="1" x14ac:dyDescent="0.3">
      <c r="A82" s="253">
        <v>81</v>
      </c>
      <c r="B82" s="255" t="s">
        <v>1810</v>
      </c>
      <c r="C82" s="211" t="s">
        <v>1679</v>
      </c>
      <c r="D82" s="201">
        <v>10003433</v>
      </c>
      <c r="E82" s="253" t="s">
        <v>1273</v>
      </c>
      <c r="F82" s="253">
        <v>4022</v>
      </c>
      <c r="G82" s="201"/>
      <c r="H82" s="201">
        <v>2003</v>
      </c>
      <c r="I82" s="216">
        <v>43128.89</v>
      </c>
      <c r="J82" s="214">
        <v>0</v>
      </c>
      <c r="K82" s="170">
        <v>77727.95</v>
      </c>
      <c r="L82" s="207">
        <v>0.92</v>
      </c>
      <c r="M82" s="212">
        <v>2753</v>
      </c>
      <c r="N82" s="212">
        <v>141712</v>
      </c>
      <c r="O82" s="171">
        <v>123</v>
      </c>
      <c r="P82" s="271" t="str">
        <f>IFERROR(VLOOKUP(Tabela1[[#This Row],[TAG]],#REF!,14,FALSE),"")</f>
        <v/>
      </c>
      <c r="Q82" s="204" t="e">
        <f t="shared" ref="Q82:Q84" si="157">P82+P82</f>
        <v>#VALUE!</v>
      </c>
      <c r="R82" s="204" t="e">
        <f t="shared" ref="R82:R84" si="158">Q82+P82</f>
        <v>#VALUE!</v>
      </c>
      <c r="S82" s="204" t="e">
        <f t="shared" ref="S82:S84" si="159">R82+P82</f>
        <v>#VALUE!</v>
      </c>
      <c r="T82" s="204" t="e">
        <f t="shared" ref="T82:T84" si="160">S82+P82</f>
        <v>#VALUE!</v>
      </c>
      <c r="U82" s="204" t="e">
        <f t="shared" ref="U82:U84" si="161">T82+P82</f>
        <v>#VALUE!</v>
      </c>
      <c r="V82" s="204" t="e">
        <f t="shared" ref="V82:V84" si="162">U82+P82</f>
        <v>#VALUE!</v>
      </c>
      <c r="W82" s="218">
        <v>388.14</v>
      </c>
      <c r="X82" s="218">
        <v>331.92</v>
      </c>
      <c r="Y82" s="203">
        <v>0.1</v>
      </c>
      <c r="Z82" s="203">
        <f>IF(Tabela1[[#This Row],[Ano Aquisição]]=2023,0,IFERROR(VLOOKUP(H82,inflação!$F:$H,3,FALSE),""))</f>
        <v>1.1931</v>
      </c>
      <c r="AA82" s="203">
        <v>0.8</v>
      </c>
      <c r="AB82" s="202">
        <f t="shared" si="103"/>
        <v>-43128.89</v>
      </c>
      <c r="AC82" s="204" t="e">
        <f t="shared" ref="AC82:AC84" si="163">-(((P82*$W82)+($X82*12))*((1+$Y82)^AC$1))</f>
        <v>#VALUE!</v>
      </c>
      <c r="AD82" s="204" t="e">
        <f t="shared" ref="AD82:AD84" si="164">-((((Q82-P82)*$W82)+($X82*12))*((1+$Y82)^AD$1))</f>
        <v>#VALUE!</v>
      </c>
      <c r="AE82" s="204" t="e">
        <f t="shared" ref="AE82:AE84" si="165">-((((R82-Q82)*$W82)+($X82*12))*((1+$Y82)^AE$1))</f>
        <v>#VALUE!</v>
      </c>
      <c r="AF82" s="204" t="e">
        <f t="shared" ref="AF82:AF84" si="166">-((((S82-R82)*$W82)+($X82*12))*((1+$Y82)^AF$1))</f>
        <v>#VALUE!</v>
      </c>
      <c r="AG82" s="204" t="e">
        <f t="shared" ref="AG82:AG84" si="167">-((((T82-S82)*$W82)+($X82*12))*((1+$Y82)^AG$1))</f>
        <v>#VALUE!</v>
      </c>
      <c r="AH82" s="204" t="e">
        <f t="shared" ref="AH82:AH84" si="168">-((((U82-T82)*$W82)+($X82*12))*((1+$Y82)^AH$1))</f>
        <v>#VALUE!</v>
      </c>
      <c r="AI82" s="204" t="e">
        <f t="shared" ref="AI82:AI84" si="169">-((((V82-U82)*$W82)+($X82*12))*((1+$Y82)^AI$1))</f>
        <v>#VALUE!</v>
      </c>
      <c r="AJ82" s="205">
        <f t="shared" si="105"/>
        <v>-94585.968659000006</v>
      </c>
      <c r="AK82" s="204" t="e">
        <f t="shared" ref="AK82:AK84" si="170">AC82*(1-$AA82)</f>
        <v>#VALUE!</v>
      </c>
      <c r="AL82" s="204" t="e">
        <f t="shared" ref="AL82:AL84" si="171">AD82*(1-$AA82)</f>
        <v>#VALUE!</v>
      </c>
      <c r="AM82" s="204" t="e">
        <f t="shared" ref="AM82:AM84" si="172">AE82*(1-$AA82)</f>
        <v>#VALUE!</v>
      </c>
      <c r="AN82" s="204" t="e">
        <f t="shared" ref="AN82:AN84" si="173">AF82*(1-$AA82)</f>
        <v>#VALUE!</v>
      </c>
      <c r="AO82" s="204" t="e">
        <f t="shared" ref="AO82:AO84" si="174">AG82*(1-$AA82)</f>
        <v>#VALUE!</v>
      </c>
      <c r="AP82" s="204" t="e">
        <f t="shared" ref="AP82:AP84" si="175">AH82*(1-$AA82)</f>
        <v>#VALUE!</v>
      </c>
      <c r="AQ82" s="204" t="e">
        <f t="shared" ref="AQ82:AQ84" si="176">AI82*(1-$AA82)</f>
        <v>#VALUE!</v>
      </c>
      <c r="AR82" s="206" t="e">
        <f t="shared" si="107"/>
        <v>#VALUE!</v>
      </c>
      <c r="AS82" s="170" t="e">
        <f t="shared" ref="AS82:AS84" si="177">SUM(AC82:AI82)</f>
        <v>#VALUE!</v>
      </c>
      <c r="AT82" s="170" t="e">
        <f t="shared" ref="AT82:AT84" si="178">SUM(AK82:AQ82)</f>
        <v>#VALUE!</v>
      </c>
      <c r="AU82" s="207" t="e">
        <f t="shared" si="108"/>
        <v>#VALUE!</v>
      </c>
      <c r="AV82" s="208" t="e">
        <f t="shared" si="109"/>
        <v>#VALUE!</v>
      </c>
      <c r="AW82" s="201" t="str">
        <f t="shared" si="110"/>
        <v>Confiabilidade em Crescimento</v>
      </c>
      <c r="AX82" s="253" t="e">
        <f>VLOOKUP(D82,#REF!,5,FALSE)</f>
        <v>#REF!</v>
      </c>
      <c r="AY82" s="201"/>
      <c r="AZ82" s="273" t="s">
        <v>1224</v>
      </c>
      <c r="BB82">
        <f>IFERROR(VLOOKUP(Tabela1[[#This Row],[Denominação]],[10]Planilha1!$A:$B,2,FALSE),"")</f>
        <v>77727.95</v>
      </c>
    </row>
    <row r="83" spans="1:54" ht="15" hidden="1" customHeight="1" x14ac:dyDescent="0.3">
      <c r="A83" s="268">
        <v>82</v>
      </c>
      <c r="B83" s="255" t="s">
        <v>1811</v>
      </c>
      <c r="C83" s="211" t="s">
        <v>1680</v>
      </c>
      <c r="D83" s="201">
        <v>10000244</v>
      </c>
      <c r="E83" s="253" t="s">
        <v>1273</v>
      </c>
      <c r="F83" s="253">
        <v>4022</v>
      </c>
      <c r="G83" s="201"/>
      <c r="H83" s="201">
        <v>2000</v>
      </c>
      <c r="I83" s="216">
        <v>43128.89</v>
      </c>
      <c r="J83" s="214">
        <v>0</v>
      </c>
      <c r="K83" s="170">
        <v>106169.36000000006</v>
      </c>
      <c r="L83" s="207">
        <v>1.34</v>
      </c>
      <c r="M83" s="212">
        <v>2753</v>
      </c>
      <c r="N83" s="212">
        <v>147425</v>
      </c>
      <c r="O83" s="171">
        <v>114</v>
      </c>
      <c r="P83" s="271" t="str">
        <f>IFERROR(VLOOKUP(Tabela1[[#This Row],[TAG]],#REF!,14,FALSE),"")</f>
        <v/>
      </c>
      <c r="Q83" s="204" t="e">
        <f t="shared" si="157"/>
        <v>#VALUE!</v>
      </c>
      <c r="R83" s="204" t="e">
        <f t="shared" si="158"/>
        <v>#VALUE!</v>
      </c>
      <c r="S83" s="204" t="e">
        <f t="shared" si="159"/>
        <v>#VALUE!</v>
      </c>
      <c r="T83" s="204" t="e">
        <f t="shared" si="160"/>
        <v>#VALUE!</v>
      </c>
      <c r="U83" s="204" t="e">
        <f t="shared" si="161"/>
        <v>#VALUE!</v>
      </c>
      <c r="V83" s="204" t="e">
        <f t="shared" si="162"/>
        <v>#VALUE!</v>
      </c>
      <c r="W83" s="218">
        <v>309.20999999999998</v>
      </c>
      <c r="X83" s="218">
        <v>779.38</v>
      </c>
      <c r="Y83" s="203">
        <v>0.1</v>
      </c>
      <c r="Z83" s="203">
        <f>IF(Tabela1[[#This Row],[Ano Aquisição]]=2023,0,IFERROR(VLOOKUP(H83,inflação!$F:$H,3,FALSE),""))</f>
        <v>1.4548000000000001</v>
      </c>
      <c r="AA83" s="203">
        <v>0.8</v>
      </c>
      <c r="AB83" s="202">
        <f t="shared" si="103"/>
        <v>-43128.89</v>
      </c>
      <c r="AC83" s="204" t="e">
        <f t="shared" si="163"/>
        <v>#VALUE!</v>
      </c>
      <c r="AD83" s="204" t="e">
        <f t="shared" si="164"/>
        <v>#VALUE!</v>
      </c>
      <c r="AE83" s="204" t="e">
        <f t="shared" si="165"/>
        <v>#VALUE!</v>
      </c>
      <c r="AF83" s="204" t="e">
        <f t="shared" si="166"/>
        <v>#VALUE!</v>
      </c>
      <c r="AG83" s="204" t="e">
        <f t="shared" si="167"/>
        <v>#VALUE!</v>
      </c>
      <c r="AH83" s="204" t="e">
        <f t="shared" si="168"/>
        <v>#VALUE!</v>
      </c>
      <c r="AI83" s="204" t="e">
        <f t="shared" si="169"/>
        <v>#VALUE!</v>
      </c>
      <c r="AJ83" s="205">
        <f t="shared" si="105"/>
        <v>-105872.799172</v>
      </c>
      <c r="AK83" s="204" t="e">
        <f t="shared" si="170"/>
        <v>#VALUE!</v>
      </c>
      <c r="AL83" s="204" t="e">
        <f t="shared" si="171"/>
        <v>#VALUE!</v>
      </c>
      <c r="AM83" s="204" t="e">
        <f t="shared" si="172"/>
        <v>#VALUE!</v>
      </c>
      <c r="AN83" s="204" t="e">
        <f t="shared" si="173"/>
        <v>#VALUE!</v>
      </c>
      <c r="AO83" s="204" t="e">
        <f t="shared" si="174"/>
        <v>#VALUE!</v>
      </c>
      <c r="AP83" s="204" t="e">
        <f t="shared" si="175"/>
        <v>#VALUE!</v>
      </c>
      <c r="AQ83" s="204" t="e">
        <f t="shared" si="176"/>
        <v>#VALUE!</v>
      </c>
      <c r="AR83" s="206" t="e">
        <f t="shared" si="107"/>
        <v>#VALUE!</v>
      </c>
      <c r="AS83" s="170" t="e">
        <f t="shared" si="177"/>
        <v>#VALUE!</v>
      </c>
      <c r="AT83" s="170" t="e">
        <f t="shared" si="178"/>
        <v>#VALUE!</v>
      </c>
      <c r="AU83" s="207" t="e">
        <f t="shared" si="108"/>
        <v>#VALUE!</v>
      </c>
      <c r="AV83" s="208" t="e">
        <f t="shared" si="109"/>
        <v>#VALUE!</v>
      </c>
      <c r="AW83" s="201" t="str">
        <f t="shared" si="110"/>
        <v>Fase de Degradação</v>
      </c>
      <c r="AX83" s="253" t="e">
        <f>VLOOKUP(D83,#REF!,5,FALSE)</f>
        <v>#REF!</v>
      </c>
      <c r="AY83" s="201"/>
      <c r="AZ83" s="273" t="s">
        <v>1224</v>
      </c>
      <c r="BB83">
        <f>IFERROR(VLOOKUP(Tabela1[[#This Row],[Denominação]],[10]Planilha1!$A:$B,2,FALSE),"")</f>
        <v>106169.36000000006</v>
      </c>
    </row>
    <row r="84" spans="1:54" ht="15" hidden="1" customHeight="1" x14ac:dyDescent="0.3">
      <c r="A84" s="253">
        <v>83</v>
      </c>
      <c r="B84" s="255" t="s">
        <v>1812</v>
      </c>
      <c r="C84" s="211" t="s">
        <v>1681</v>
      </c>
      <c r="D84" s="201">
        <v>10003420</v>
      </c>
      <c r="E84" s="253" t="s">
        <v>1273</v>
      </c>
      <c r="F84" s="253">
        <v>4022</v>
      </c>
      <c r="G84" s="201">
        <v>20343</v>
      </c>
      <c r="H84" s="201">
        <v>2003</v>
      </c>
      <c r="I84" s="216">
        <v>43128.89</v>
      </c>
      <c r="J84" s="214">
        <v>0</v>
      </c>
      <c r="K84" s="170">
        <v>229737.41999999984</v>
      </c>
      <c r="L84" s="207">
        <v>1.34</v>
      </c>
      <c r="M84" s="212">
        <v>2753</v>
      </c>
      <c r="N84" s="212">
        <v>168049</v>
      </c>
      <c r="O84" s="171">
        <v>312</v>
      </c>
      <c r="P84" s="271" t="str">
        <f>IFERROR(VLOOKUP(Tabela1[[#This Row],[TAG]],#REF!,14,FALSE),"")</f>
        <v/>
      </c>
      <c r="Q84" s="204" t="e">
        <f t="shared" si="157"/>
        <v>#VALUE!</v>
      </c>
      <c r="R84" s="204" t="e">
        <f t="shared" si="158"/>
        <v>#VALUE!</v>
      </c>
      <c r="S84" s="204" t="e">
        <f t="shared" si="159"/>
        <v>#VALUE!</v>
      </c>
      <c r="T84" s="204" t="e">
        <f t="shared" si="160"/>
        <v>#VALUE!</v>
      </c>
      <c r="U84" s="204" t="e">
        <f t="shared" si="161"/>
        <v>#VALUE!</v>
      </c>
      <c r="V84" s="204" t="e">
        <f t="shared" si="162"/>
        <v>#VALUE!</v>
      </c>
      <c r="W84" s="218">
        <v>456.74</v>
      </c>
      <c r="X84" s="218">
        <v>754.87</v>
      </c>
      <c r="Y84" s="203">
        <v>0.1</v>
      </c>
      <c r="Z84" s="203">
        <f>IF(Tabela1[[#This Row],[Ano Aquisição]]=2023,0,IFERROR(VLOOKUP(H84,inflação!$F:$H,3,FALSE),""))</f>
        <v>1.1931</v>
      </c>
      <c r="AA84" s="203">
        <v>0.8</v>
      </c>
      <c r="AB84" s="202">
        <f t="shared" si="103"/>
        <v>-43128.89</v>
      </c>
      <c r="AC84" s="204" t="e">
        <f t="shared" si="163"/>
        <v>#VALUE!</v>
      </c>
      <c r="AD84" s="204" t="e">
        <f t="shared" si="164"/>
        <v>#VALUE!</v>
      </c>
      <c r="AE84" s="204" t="e">
        <f t="shared" si="165"/>
        <v>#VALUE!</v>
      </c>
      <c r="AF84" s="204" t="e">
        <f t="shared" si="166"/>
        <v>#VALUE!</v>
      </c>
      <c r="AG84" s="204" t="e">
        <f t="shared" si="167"/>
        <v>#VALUE!</v>
      </c>
      <c r="AH84" s="204" t="e">
        <f t="shared" si="168"/>
        <v>#VALUE!</v>
      </c>
      <c r="AI84" s="204" t="e">
        <f t="shared" si="169"/>
        <v>#VALUE!</v>
      </c>
      <c r="AJ84" s="205">
        <f t="shared" si="105"/>
        <v>-94585.968659000006</v>
      </c>
      <c r="AK84" s="204" t="e">
        <f t="shared" si="170"/>
        <v>#VALUE!</v>
      </c>
      <c r="AL84" s="204" t="e">
        <f t="shared" si="171"/>
        <v>#VALUE!</v>
      </c>
      <c r="AM84" s="204" t="e">
        <f t="shared" si="172"/>
        <v>#VALUE!</v>
      </c>
      <c r="AN84" s="204" t="e">
        <f t="shared" si="173"/>
        <v>#VALUE!</v>
      </c>
      <c r="AO84" s="204" t="e">
        <f t="shared" si="174"/>
        <v>#VALUE!</v>
      </c>
      <c r="AP84" s="204" t="e">
        <f t="shared" si="175"/>
        <v>#VALUE!</v>
      </c>
      <c r="AQ84" s="204" t="e">
        <f t="shared" si="176"/>
        <v>#VALUE!</v>
      </c>
      <c r="AR84" s="206" t="e">
        <f t="shared" si="107"/>
        <v>#VALUE!</v>
      </c>
      <c r="AS84" s="170" t="e">
        <f t="shared" si="177"/>
        <v>#VALUE!</v>
      </c>
      <c r="AT84" s="170" t="e">
        <f t="shared" si="178"/>
        <v>#VALUE!</v>
      </c>
      <c r="AU84" s="207" t="e">
        <f t="shared" si="108"/>
        <v>#VALUE!</v>
      </c>
      <c r="AV84" s="208" t="e">
        <f t="shared" si="109"/>
        <v>#VALUE!</v>
      </c>
      <c r="AW84" s="201" t="str">
        <f t="shared" si="110"/>
        <v>Fase de Degradação</v>
      </c>
      <c r="AX84" s="253" t="e">
        <f>VLOOKUP(D84,#REF!,5,FALSE)</f>
        <v>#REF!</v>
      </c>
      <c r="AY84" s="201"/>
      <c r="AZ84" s="273" t="s">
        <v>1224</v>
      </c>
      <c r="BB84">
        <f>IFERROR(VLOOKUP(Tabela1[[#This Row],[Denominação]],[10]Planilha1!$A:$B,2,FALSE),"")</f>
        <v>229737.41999999984</v>
      </c>
    </row>
    <row r="85" spans="1:54" ht="15" hidden="1" customHeight="1" x14ac:dyDescent="0.3">
      <c r="A85" s="268">
        <v>84</v>
      </c>
      <c r="B85" s="201" t="s">
        <v>928</v>
      </c>
      <c r="C85" s="211" t="s">
        <v>929</v>
      </c>
      <c r="D85" s="201">
        <v>10004021</v>
      </c>
      <c r="E85" s="253" t="s">
        <v>1273</v>
      </c>
      <c r="F85" s="253">
        <v>4022</v>
      </c>
      <c r="G85" s="201">
        <v>20028</v>
      </c>
      <c r="H85" s="201">
        <v>1994</v>
      </c>
      <c r="I85" s="216">
        <v>92332.73</v>
      </c>
      <c r="J85" s="214">
        <v>0</v>
      </c>
      <c r="K85" s="170">
        <v>177850.68000000005</v>
      </c>
      <c r="L85" s="207">
        <v>1.1100000000000001</v>
      </c>
      <c r="M85" s="212">
        <v>2753</v>
      </c>
      <c r="N85" s="212">
        <v>141297</v>
      </c>
      <c r="O85" s="171">
        <v>312</v>
      </c>
      <c r="P85" s="271" t="str">
        <f>IFERROR(VLOOKUP(Tabela1[[#This Row],[TAG]],#REF!,14,FALSE),"")</f>
        <v/>
      </c>
      <c r="Q85" s="204" t="e">
        <f t="shared" ref="Q85:Q92" si="179">P85+P85</f>
        <v>#VALUE!</v>
      </c>
      <c r="R85" s="204" t="e">
        <f t="shared" ref="R85:R92" si="180">Q85+P85</f>
        <v>#VALUE!</v>
      </c>
      <c r="S85" s="204" t="e">
        <f t="shared" ref="S85:S92" si="181">R85+P85</f>
        <v>#VALUE!</v>
      </c>
      <c r="T85" s="204" t="e">
        <f t="shared" ref="T85:T92" si="182">S85+P85</f>
        <v>#VALUE!</v>
      </c>
      <c r="U85" s="204" t="e">
        <f t="shared" ref="U85:U92" si="183">T85+P85</f>
        <v>#VALUE!</v>
      </c>
      <c r="V85" s="204" t="e">
        <f t="shared" ref="V85:V92" si="184">U85+P85</f>
        <v>#VALUE!</v>
      </c>
      <c r="W85" s="218">
        <v>423.74</v>
      </c>
      <c r="X85" s="218">
        <v>956.95</v>
      </c>
      <c r="Y85" s="203">
        <v>0.1</v>
      </c>
      <c r="Z85" s="203">
        <f>IF(Tabela1[[#This Row],[Ano Aquisição]]=2023,0,IFERROR(VLOOKUP(H85,inflação!$F:$H,3,FALSE),""))</f>
        <v>1.8354692307692306</v>
      </c>
      <c r="AA85" s="203">
        <v>0.8</v>
      </c>
      <c r="AB85" s="202">
        <f t="shared" si="103"/>
        <v>-92332.73</v>
      </c>
      <c r="AC85" s="204" t="e">
        <f t="shared" ref="AC85:AC92" si="185">-(((P85*$W85)+($X85*12))*((1+$Y85)^AC$1))</f>
        <v>#VALUE!</v>
      </c>
      <c r="AD85" s="204" t="e">
        <f t="shared" ref="AD85:AI92" si="186">-((((Q85-P85)*$W85)+($X85*12))*((1+$Y85)^AD$1))</f>
        <v>#VALUE!</v>
      </c>
      <c r="AE85" s="204" t="e">
        <f t="shared" si="186"/>
        <v>#VALUE!</v>
      </c>
      <c r="AF85" s="204" t="e">
        <f t="shared" si="186"/>
        <v>#VALUE!</v>
      </c>
      <c r="AG85" s="204" t="e">
        <f t="shared" si="186"/>
        <v>#VALUE!</v>
      </c>
      <c r="AH85" s="204" t="e">
        <f t="shared" si="186"/>
        <v>#VALUE!</v>
      </c>
      <c r="AI85" s="204" t="e">
        <f t="shared" si="186"/>
        <v>#VALUE!</v>
      </c>
      <c r="AJ85" s="205">
        <f t="shared" si="105"/>
        <v>-261806.61490792304</v>
      </c>
      <c r="AK85" s="204" t="e">
        <f t="shared" ref="AK85:AQ92" si="187">AC85*(1-$AA85)</f>
        <v>#VALUE!</v>
      </c>
      <c r="AL85" s="204" t="e">
        <f t="shared" si="187"/>
        <v>#VALUE!</v>
      </c>
      <c r="AM85" s="204" t="e">
        <f t="shared" si="187"/>
        <v>#VALUE!</v>
      </c>
      <c r="AN85" s="204" t="e">
        <f t="shared" si="187"/>
        <v>#VALUE!</v>
      </c>
      <c r="AO85" s="204" t="e">
        <f t="shared" si="187"/>
        <v>#VALUE!</v>
      </c>
      <c r="AP85" s="204" t="e">
        <f t="shared" si="187"/>
        <v>#VALUE!</v>
      </c>
      <c r="AQ85" s="204" t="e">
        <f t="shared" si="187"/>
        <v>#VALUE!</v>
      </c>
      <c r="AR85" s="206" t="e">
        <f t="shared" si="107"/>
        <v>#VALUE!</v>
      </c>
      <c r="AS85" s="170" t="e">
        <f t="shared" ref="AS85:AS92" si="188">SUM(AC85:AI85)</f>
        <v>#VALUE!</v>
      </c>
      <c r="AT85" s="170" t="e">
        <f t="shared" ref="AT85:AT92" si="189">SUM(AK85:AQ85)</f>
        <v>#VALUE!</v>
      </c>
      <c r="AU85" s="207" t="e">
        <f t="shared" si="108"/>
        <v>#VALUE!</v>
      </c>
      <c r="AV85" s="208" t="e">
        <f t="shared" si="109"/>
        <v>#VALUE!</v>
      </c>
      <c r="AW85" s="201" t="str">
        <f t="shared" si="110"/>
        <v>Fase de Degradação</v>
      </c>
      <c r="AX85" s="253" t="e">
        <f>VLOOKUP(D85,#REF!,5,FALSE)</f>
        <v>#REF!</v>
      </c>
      <c r="AY85" s="201"/>
      <c r="AZ85" s="273" t="s">
        <v>1224</v>
      </c>
      <c r="BB85">
        <f>IFERROR(VLOOKUP(Tabela1[[#This Row],[Denominação]],[10]Planilha1!$A:$B,2,FALSE),"")</f>
        <v>177850.68000000005</v>
      </c>
    </row>
    <row r="86" spans="1:54" ht="15" hidden="1" customHeight="1" x14ac:dyDescent="0.3">
      <c r="A86" s="253">
        <v>85</v>
      </c>
      <c r="B86" s="201" t="s">
        <v>930</v>
      </c>
      <c r="C86" s="211" t="s">
        <v>931</v>
      </c>
      <c r="D86" s="201">
        <v>10006183</v>
      </c>
      <c r="E86" s="253" t="s">
        <v>1273</v>
      </c>
      <c r="F86" s="253">
        <v>4022</v>
      </c>
      <c r="G86" s="201">
        <v>20383</v>
      </c>
      <c r="H86" s="201">
        <v>2001</v>
      </c>
      <c r="I86" s="216">
        <v>133650.03</v>
      </c>
      <c r="J86" s="214">
        <v>0</v>
      </c>
      <c r="K86" s="170">
        <v>113622.52000000002</v>
      </c>
      <c r="L86" s="207">
        <v>1.18</v>
      </c>
      <c r="M86" s="212">
        <v>2753</v>
      </c>
      <c r="N86" s="212">
        <v>84636</v>
      </c>
      <c r="O86" s="171">
        <v>156</v>
      </c>
      <c r="P86" s="271" t="str">
        <f>IFERROR(VLOOKUP(Tabela1[[#This Row],[TAG]],#REF!,14,FALSE),"")</f>
        <v/>
      </c>
      <c r="Q86" s="204" t="e">
        <f t="shared" si="179"/>
        <v>#VALUE!</v>
      </c>
      <c r="R86" s="204" t="e">
        <f t="shared" si="180"/>
        <v>#VALUE!</v>
      </c>
      <c r="S86" s="204" t="e">
        <f t="shared" si="181"/>
        <v>#VALUE!</v>
      </c>
      <c r="T86" s="204" t="e">
        <f t="shared" si="182"/>
        <v>#VALUE!</v>
      </c>
      <c r="U86" s="204" t="e">
        <f t="shared" si="183"/>
        <v>#VALUE!</v>
      </c>
      <c r="V86" s="204" t="e">
        <f t="shared" si="184"/>
        <v>#VALUE!</v>
      </c>
      <c r="W86" s="218">
        <v>460.32</v>
      </c>
      <c r="X86" s="218">
        <v>1022.92</v>
      </c>
      <c r="Y86" s="203">
        <v>0.1</v>
      </c>
      <c r="Z86" s="203">
        <f>IF(Tabela1[[#This Row],[Ano Aquisição]]=2023,0,IFERROR(VLOOKUP(H86,inflação!$F:$H,3,FALSE),""))</f>
        <v>1.3951</v>
      </c>
      <c r="AA86" s="203">
        <v>0.8</v>
      </c>
      <c r="AB86" s="202">
        <f t="shared" si="103"/>
        <v>-133650.03</v>
      </c>
      <c r="AC86" s="204" t="e">
        <f t="shared" si="185"/>
        <v>#VALUE!</v>
      </c>
      <c r="AD86" s="204" t="e">
        <f t="shared" si="186"/>
        <v>#VALUE!</v>
      </c>
      <c r="AE86" s="204" t="e">
        <f t="shared" si="186"/>
        <v>#VALUE!</v>
      </c>
      <c r="AF86" s="204" t="e">
        <f t="shared" si="186"/>
        <v>#VALUE!</v>
      </c>
      <c r="AG86" s="204" t="e">
        <f t="shared" si="186"/>
        <v>#VALUE!</v>
      </c>
      <c r="AH86" s="204" t="e">
        <f t="shared" si="186"/>
        <v>#VALUE!</v>
      </c>
      <c r="AI86" s="204" t="e">
        <f t="shared" si="186"/>
        <v>#VALUE!</v>
      </c>
      <c r="AJ86" s="205">
        <f t="shared" si="105"/>
        <v>-320105.18685300002</v>
      </c>
      <c r="AK86" s="204" t="e">
        <f t="shared" si="187"/>
        <v>#VALUE!</v>
      </c>
      <c r="AL86" s="204" t="e">
        <f t="shared" si="187"/>
        <v>#VALUE!</v>
      </c>
      <c r="AM86" s="204" t="e">
        <f t="shared" si="187"/>
        <v>#VALUE!</v>
      </c>
      <c r="AN86" s="204" t="e">
        <f t="shared" si="187"/>
        <v>#VALUE!</v>
      </c>
      <c r="AO86" s="204" t="e">
        <f t="shared" si="187"/>
        <v>#VALUE!</v>
      </c>
      <c r="AP86" s="204" t="e">
        <f t="shared" si="187"/>
        <v>#VALUE!</v>
      </c>
      <c r="AQ86" s="204" t="e">
        <f t="shared" si="187"/>
        <v>#VALUE!</v>
      </c>
      <c r="AR86" s="206" t="e">
        <f t="shared" si="107"/>
        <v>#VALUE!</v>
      </c>
      <c r="AS86" s="170" t="e">
        <f t="shared" si="188"/>
        <v>#VALUE!</v>
      </c>
      <c r="AT86" s="170" t="e">
        <f t="shared" si="189"/>
        <v>#VALUE!</v>
      </c>
      <c r="AU86" s="207" t="e">
        <f t="shared" si="108"/>
        <v>#VALUE!</v>
      </c>
      <c r="AV86" s="208" t="e">
        <f t="shared" si="109"/>
        <v>#VALUE!</v>
      </c>
      <c r="AW86" s="201" t="str">
        <f t="shared" si="110"/>
        <v>Fase de Degradação</v>
      </c>
      <c r="AX86" s="253" t="e">
        <f>VLOOKUP(D86,#REF!,5,FALSE)</f>
        <v>#REF!</v>
      </c>
      <c r="AY86" s="201"/>
      <c r="AZ86" s="273" t="s">
        <v>1224</v>
      </c>
      <c r="BB86">
        <f>IFERROR(VLOOKUP(Tabela1[[#This Row],[Denominação]],[10]Planilha1!$A:$B,2,FALSE),"")</f>
        <v>113622.52000000002</v>
      </c>
    </row>
    <row r="87" spans="1:54" ht="15" hidden="1" customHeight="1" x14ac:dyDescent="0.3">
      <c r="A87" s="268">
        <v>86</v>
      </c>
      <c r="B87" s="201" t="s">
        <v>932</v>
      </c>
      <c r="C87" s="211" t="s">
        <v>933</v>
      </c>
      <c r="D87" s="201">
        <v>10004567</v>
      </c>
      <c r="E87" s="253" t="s">
        <v>1274</v>
      </c>
      <c r="F87" s="253">
        <v>4026</v>
      </c>
      <c r="G87" s="201">
        <v>36403</v>
      </c>
      <c r="H87" s="201">
        <v>2009</v>
      </c>
      <c r="I87" s="216">
        <v>216216.11</v>
      </c>
      <c r="J87" s="214">
        <v>11815</v>
      </c>
      <c r="K87" s="170">
        <v>473760.06999999995</v>
      </c>
      <c r="L87" s="207">
        <v>1.1599999999999999</v>
      </c>
      <c r="M87" s="212">
        <v>2994</v>
      </c>
      <c r="N87" s="212">
        <v>142214</v>
      </c>
      <c r="O87" s="171">
        <v>378</v>
      </c>
      <c r="P87" s="271" t="str">
        <f>IFERROR(VLOOKUP(Tabela1[[#This Row],[TAG]],#REF!,14,FALSE),"")</f>
        <v/>
      </c>
      <c r="Q87" s="204" t="e">
        <f t="shared" si="179"/>
        <v>#VALUE!</v>
      </c>
      <c r="R87" s="204" t="e">
        <f t="shared" si="180"/>
        <v>#VALUE!</v>
      </c>
      <c r="S87" s="204" t="e">
        <f t="shared" si="181"/>
        <v>#VALUE!</v>
      </c>
      <c r="T87" s="204" t="e">
        <f t="shared" si="182"/>
        <v>#VALUE!</v>
      </c>
      <c r="U87" s="204" t="e">
        <f t="shared" si="183"/>
        <v>#VALUE!</v>
      </c>
      <c r="V87" s="204" t="e">
        <f t="shared" si="184"/>
        <v>#VALUE!</v>
      </c>
      <c r="W87" s="218">
        <v>517.37</v>
      </c>
      <c r="X87" s="218">
        <v>1892.31</v>
      </c>
      <c r="Y87" s="203">
        <v>0.1</v>
      </c>
      <c r="Z87" s="203">
        <f>IF(Tabela1[[#This Row],[Ano Aquisição]]=2023,0,IFERROR(VLOOKUP(H87,inflação!$F:$H,3,FALSE),""))</f>
        <v>0.83220000000000005</v>
      </c>
      <c r="AA87" s="203">
        <v>0.8</v>
      </c>
      <c r="AB87" s="202">
        <f t="shared" si="103"/>
        <v>-216216.11</v>
      </c>
      <c r="AC87" s="204" t="e">
        <f t="shared" si="185"/>
        <v>#VALUE!</v>
      </c>
      <c r="AD87" s="204" t="e">
        <f t="shared" si="186"/>
        <v>#VALUE!</v>
      </c>
      <c r="AE87" s="204" t="e">
        <f t="shared" si="186"/>
        <v>#VALUE!</v>
      </c>
      <c r="AF87" s="204" t="e">
        <f t="shared" si="186"/>
        <v>#VALUE!</v>
      </c>
      <c r="AG87" s="204" t="e">
        <f t="shared" si="186"/>
        <v>#VALUE!</v>
      </c>
      <c r="AH87" s="204" t="e">
        <f t="shared" si="186"/>
        <v>#VALUE!</v>
      </c>
      <c r="AI87" s="204" t="e">
        <f t="shared" si="186"/>
        <v>#VALUE!</v>
      </c>
      <c r="AJ87" s="205">
        <f t="shared" si="105"/>
        <v>-396151.15674199996</v>
      </c>
      <c r="AK87" s="204" t="e">
        <f t="shared" si="187"/>
        <v>#VALUE!</v>
      </c>
      <c r="AL87" s="204" t="e">
        <f t="shared" si="187"/>
        <v>#VALUE!</v>
      </c>
      <c r="AM87" s="204" t="e">
        <f t="shared" si="187"/>
        <v>#VALUE!</v>
      </c>
      <c r="AN87" s="204" t="e">
        <f t="shared" si="187"/>
        <v>#VALUE!</v>
      </c>
      <c r="AO87" s="204" t="e">
        <f t="shared" si="187"/>
        <v>#VALUE!</v>
      </c>
      <c r="AP87" s="204" t="e">
        <f t="shared" si="187"/>
        <v>#VALUE!</v>
      </c>
      <c r="AQ87" s="204" t="e">
        <f t="shared" si="187"/>
        <v>#VALUE!</v>
      </c>
      <c r="AR87" s="206" t="e">
        <f t="shared" si="107"/>
        <v>#VALUE!</v>
      </c>
      <c r="AS87" s="170" t="e">
        <f t="shared" si="188"/>
        <v>#VALUE!</v>
      </c>
      <c r="AT87" s="170" t="e">
        <f t="shared" si="189"/>
        <v>#VALUE!</v>
      </c>
      <c r="AU87" s="207" t="e">
        <f t="shared" si="108"/>
        <v>#VALUE!</v>
      </c>
      <c r="AV87" s="208" t="e">
        <f t="shared" si="109"/>
        <v>#VALUE!</v>
      </c>
      <c r="AW87" s="201" t="str">
        <f t="shared" si="110"/>
        <v>Fase de Degradação</v>
      </c>
      <c r="AX87" s="253" t="e">
        <f>VLOOKUP(D87,#REF!,5,FALSE)</f>
        <v>#REF!</v>
      </c>
      <c r="AY87" s="201"/>
      <c r="AZ87" s="273" t="s">
        <v>1224</v>
      </c>
      <c r="BB87">
        <f>IFERROR(VLOOKUP(Tabela1[[#This Row],[Denominação]],[10]Planilha1!$A:$B,2,FALSE),"")</f>
        <v>473760.06999999995</v>
      </c>
    </row>
    <row r="88" spans="1:54" ht="15" hidden="1" customHeight="1" x14ac:dyDescent="0.3">
      <c r="A88" s="253">
        <v>87</v>
      </c>
      <c r="B88" s="201" t="s">
        <v>934</v>
      </c>
      <c r="C88" s="211" t="s">
        <v>935</v>
      </c>
      <c r="D88" s="201">
        <v>10004568</v>
      </c>
      <c r="E88" s="253" t="s">
        <v>1274</v>
      </c>
      <c r="F88" s="253">
        <v>4026</v>
      </c>
      <c r="G88" s="201">
        <v>36401</v>
      </c>
      <c r="H88" s="201">
        <v>2009</v>
      </c>
      <c r="I88" s="216">
        <v>221090.19</v>
      </c>
      <c r="J88" s="214">
        <v>13108</v>
      </c>
      <c r="K88" s="170">
        <v>310092.51000000018</v>
      </c>
      <c r="L88" s="207">
        <v>0.99</v>
      </c>
      <c r="M88" s="212">
        <v>2994</v>
      </c>
      <c r="N88" s="212">
        <v>144014</v>
      </c>
      <c r="O88" s="171">
        <v>289</v>
      </c>
      <c r="P88" s="271" t="str">
        <f>IFERROR(VLOOKUP(Tabela1[[#This Row],[TAG]],#REF!,14,FALSE),"")</f>
        <v/>
      </c>
      <c r="Q88" s="204" t="e">
        <f t="shared" si="179"/>
        <v>#VALUE!</v>
      </c>
      <c r="R88" s="204" t="e">
        <f t="shared" si="180"/>
        <v>#VALUE!</v>
      </c>
      <c r="S88" s="204" t="e">
        <f t="shared" si="181"/>
        <v>#VALUE!</v>
      </c>
      <c r="T88" s="204" t="e">
        <f t="shared" si="182"/>
        <v>#VALUE!</v>
      </c>
      <c r="U88" s="204" t="e">
        <f t="shared" si="183"/>
        <v>#VALUE!</v>
      </c>
      <c r="V88" s="204" t="e">
        <f t="shared" si="184"/>
        <v>#VALUE!</v>
      </c>
      <c r="W88" s="218">
        <v>503.21</v>
      </c>
      <c r="X88" s="218">
        <v>717.25</v>
      </c>
      <c r="Y88" s="203">
        <v>0.1</v>
      </c>
      <c r="Z88" s="203">
        <f>IF(Tabela1[[#This Row],[Ano Aquisição]]=2023,0,IFERROR(VLOOKUP(H88,inflação!$F:$H,3,FALSE),""))</f>
        <v>0.83220000000000005</v>
      </c>
      <c r="AA88" s="203">
        <v>0.8</v>
      </c>
      <c r="AB88" s="202">
        <f t="shared" si="103"/>
        <v>-221090.19</v>
      </c>
      <c r="AC88" s="204" t="e">
        <f t="shared" si="185"/>
        <v>#VALUE!</v>
      </c>
      <c r="AD88" s="204" t="e">
        <f t="shared" si="186"/>
        <v>#VALUE!</v>
      </c>
      <c r="AE88" s="204" t="e">
        <f t="shared" si="186"/>
        <v>#VALUE!</v>
      </c>
      <c r="AF88" s="204" t="e">
        <f t="shared" si="186"/>
        <v>#VALUE!</v>
      </c>
      <c r="AG88" s="204" t="e">
        <f t="shared" si="186"/>
        <v>#VALUE!</v>
      </c>
      <c r="AH88" s="204" t="e">
        <f t="shared" si="186"/>
        <v>#VALUE!</v>
      </c>
      <c r="AI88" s="204" t="e">
        <f t="shared" si="186"/>
        <v>#VALUE!</v>
      </c>
      <c r="AJ88" s="205">
        <f t="shared" si="105"/>
        <v>-405081.44611800002</v>
      </c>
      <c r="AK88" s="204" t="e">
        <f t="shared" si="187"/>
        <v>#VALUE!</v>
      </c>
      <c r="AL88" s="204" t="e">
        <f t="shared" si="187"/>
        <v>#VALUE!</v>
      </c>
      <c r="AM88" s="204" t="e">
        <f t="shared" si="187"/>
        <v>#VALUE!</v>
      </c>
      <c r="AN88" s="204" t="e">
        <f t="shared" si="187"/>
        <v>#VALUE!</v>
      </c>
      <c r="AO88" s="204" t="e">
        <f t="shared" si="187"/>
        <v>#VALUE!</v>
      </c>
      <c r="AP88" s="204" t="e">
        <f t="shared" si="187"/>
        <v>#VALUE!</v>
      </c>
      <c r="AQ88" s="204" t="e">
        <f t="shared" si="187"/>
        <v>#VALUE!</v>
      </c>
      <c r="AR88" s="206" t="e">
        <f t="shared" si="107"/>
        <v>#VALUE!</v>
      </c>
      <c r="AS88" s="170" t="e">
        <f t="shared" si="188"/>
        <v>#VALUE!</v>
      </c>
      <c r="AT88" s="170" t="e">
        <f t="shared" si="189"/>
        <v>#VALUE!</v>
      </c>
      <c r="AU88" s="207" t="e">
        <f t="shared" si="108"/>
        <v>#VALUE!</v>
      </c>
      <c r="AV88" s="208" t="e">
        <f t="shared" si="109"/>
        <v>#VALUE!</v>
      </c>
      <c r="AW88" s="201" t="str">
        <f t="shared" si="110"/>
        <v>Confiabilidade em Crescimento</v>
      </c>
      <c r="AX88" s="253" t="e">
        <f>VLOOKUP(D88,#REF!,5,FALSE)</f>
        <v>#REF!</v>
      </c>
      <c r="AY88" s="201"/>
      <c r="AZ88" s="273" t="s">
        <v>1224</v>
      </c>
      <c r="BB88">
        <f>IFERROR(VLOOKUP(Tabela1[[#This Row],[Denominação]],[10]Planilha1!$A:$B,2,FALSE),"")</f>
        <v>310092.51000000018</v>
      </c>
    </row>
    <row r="89" spans="1:54" ht="15" hidden="1" customHeight="1" x14ac:dyDescent="0.3">
      <c r="A89" s="268">
        <v>88</v>
      </c>
      <c r="B89" s="201" t="s">
        <v>936</v>
      </c>
      <c r="C89" s="211" t="s">
        <v>937</v>
      </c>
      <c r="D89" s="201">
        <v>10004569</v>
      </c>
      <c r="E89" s="253" t="s">
        <v>1274</v>
      </c>
      <c r="F89" s="253">
        <v>4026</v>
      </c>
      <c r="G89" s="201">
        <v>36400</v>
      </c>
      <c r="H89" s="201">
        <v>2009</v>
      </c>
      <c r="I89" s="216">
        <v>233912.15</v>
      </c>
      <c r="J89" s="214">
        <v>13108</v>
      </c>
      <c r="K89" s="170">
        <v>531143.42999999993</v>
      </c>
      <c r="L89" s="207">
        <v>0.99</v>
      </c>
      <c r="M89" s="212">
        <v>2994</v>
      </c>
      <c r="N89" s="212">
        <v>142202</v>
      </c>
      <c r="O89" s="171">
        <v>320</v>
      </c>
      <c r="P89" s="271" t="str">
        <f>IFERROR(VLOOKUP(Tabela1[[#This Row],[TAG]],#REF!,14,FALSE),"")</f>
        <v/>
      </c>
      <c r="Q89" s="204" t="e">
        <f t="shared" si="179"/>
        <v>#VALUE!</v>
      </c>
      <c r="R89" s="204" t="e">
        <f t="shared" si="180"/>
        <v>#VALUE!</v>
      </c>
      <c r="S89" s="204" t="e">
        <f t="shared" si="181"/>
        <v>#VALUE!</v>
      </c>
      <c r="T89" s="204" t="e">
        <f t="shared" si="182"/>
        <v>#VALUE!</v>
      </c>
      <c r="U89" s="204" t="e">
        <f t="shared" si="183"/>
        <v>#VALUE!</v>
      </c>
      <c r="V89" s="204" t="e">
        <f t="shared" si="184"/>
        <v>#VALUE!</v>
      </c>
      <c r="W89" s="218">
        <v>347.11</v>
      </c>
      <c r="X89" s="218">
        <v>1234.2</v>
      </c>
      <c r="Y89" s="203">
        <v>0.1</v>
      </c>
      <c r="Z89" s="203">
        <f>IF(Tabela1[[#This Row],[Ano Aquisição]]=2023,0,IFERROR(VLOOKUP(H89,inflação!$F:$H,3,FALSE),""))</f>
        <v>0.83220000000000005</v>
      </c>
      <c r="AA89" s="203">
        <v>0.8</v>
      </c>
      <c r="AB89" s="202">
        <f t="shared" si="103"/>
        <v>-233912.15</v>
      </c>
      <c r="AC89" s="204" t="e">
        <f t="shared" si="185"/>
        <v>#VALUE!</v>
      </c>
      <c r="AD89" s="204" t="e">
        <f t="shared" si="186"/>
        <v>#VALUE!</v>
      </c>
      <c r="AE89" s="204" t="e">
        <f t="shared" si="186"/>
        <v>#VALUE!</v>
      </c>
      <c r="AF89" s="204" t="e">
        <f t="shared" si="186"/>
        <v>#VALUE!</v>
      </c>
      <c r="AG89" s="204" t="e">
        <f t="shared" si="186"/>
        <v>#VALUE!</v>
      </c>
      <c r="AH89" s="204" t="e">
        <f t="shared" si="186"/>
        <v>#VALUE!</v>
      </c>
      <c r="AI89" s="204" t="e">
        <f t="shared" si="186"/>
        <v>#VALUE!</v>
      </c>
      <c r="AJ89" s="205">
        <f t="shared" si="105"/>
        <v>-428573.84123000002</v>
      </c>
      <c r="AK89" s="204" t="e">
        <f t="shared" si="187"/>
        <v>#VALUE!</v>
      </c>
      <c r="AL89" s="204" t="e">
        <f t="shared" si="187"/>
        <v>#VALUE!</v>
      </c>
      <c r="AM89" s="204" t="e">
        <f t="shared" si="187"/>
        <v>#VALUE!</v>
      </c>
      <c r="AN89" s="204" t="e">
        <f t="shared" si="187"/>
        <v>#VALUE!</v>
      </c>
      <c r="AO89" s="204" t="e">
        <f t="shared" si="187"/>
        <v>#VALUE!</v>
      </c>
      <c r="AP89" s="204" t="e">
        <f t="shared" si="187"/>
        <v>#VALUE!</v>
      </c>
      <c r="AQ89" s="204" t="e">
        <f t="shared" si="187"/>
        <v>#VALUE!</v>
      </c>
      <c r="AR89" s="206" t="e">
        <f t="shared" si="107"/>
        <v>#VALUE!</v>
      </c>
      <c r="AS89" s="170" t="e">
        <f t="shared" si="188"/>
        <v>#VALUE!</v>
      </c>
      <c r="AT89" s="170" t="e">
        <f t="shared" si="189"/>
        <v>#VALUE!</v>
      </c>
      <c r="AU89" s="207" t="e">
        <f t="shared" si="108"/>
        <v>#VALUE!</v>
      </c>
      <c r="AV89" s="208" t="e">
        <f t="shared" si="109"/>
        <v>#VALUE!</v>
      </c>
      <c r="AW89" s="201" t="str">
        <f t="shared" si="110"/>
        <v>Confiabilidade em Crescimento</v>
      </c>
      <c r="AX89" s="253" t="e">
        <f>VLOOKUP(D89,#REF!,5,FALSE)</f>
        <v>#REF!</v>
      </c>
      <c r="AY89" s="201"/>
      <c r="AZ89" s="273" t="s">
        <v>1224</v>
      </c>
      <c r="BB89">
        <f>IFERROR(VLOOKUP(Tabela1[[#This Row],[Denominação]],[10]Planilha1!$A:$B,2,FALSE),"")</f>
        <v>531143.42999999993</v>
      </c>
    </row>
    <row r="90" spans="1:54" ht="15" hidden="1" customHeight="1" x14ac:dyDescent="0.3">
      <c r="A90" s="253">
        <v>89</v>
      </c>
      <c r="B90" s="201" t="s">
        <v>938</v>
      </c>
      <c r="C90" s="211" t="s">
        <v>939</v>
      </c>
      <c r="D90" s="201">
        <v>10005906</v>
      </c>
      <c r="E90" s="253" t="s">
        <v>1274</v>
      </c>
      <c r="F90" s="253">
        <v>4026</v>
      </c>
      <c r="G90" s="201">
        <v>36402</v>
      </c>
      <c r="H90" s="201">
        <v>2009</v>
      </c>
      <c r="I90" s="216">
        <v>217489.28</v>
      </c>
      <c r="J90" s="214">
        <v>13108</v>
      </c>
      <c r="K90" s="170">
        <v>268944.67999999993</v>
      </c>
      <c r="L90" s="207">
        <v>1.37</v>
      </c>
      <c r="M90" s="212">
        <v>2994</v>
      </c>
      <c r="N90" s="212">
        <v>100949</v>
      </c>
      <c r="O90" s="171">
        <v>177</v>
      </c>
      <c r="P90" s="271" t="str">
        <f>IFERROR(VLOOKUP(Tabela1[[#This Row],[TAG]],#REF!,14,FALSE),"")</f>
        <v/>
      </c>
      <c r="Q90" s="204" t="e">
        <f t="shared" si="179"/>
        <v>#VALUE!</v>
      </c>
      <c r="R90" s="204" t="e">
        <f t="shared" si="180"/>
        <v>#VALUE!</v>
      </c>
      <c r="S90" s="204" t="e">
        <f t="shared" si="181"/>
        <v>#VALUE!</v>
      </c>
      <c r="T90" s="204" t="e">
        <f t="shared" si="182"/>
        <v>#VALUE!</v>
      </c>
      <c r="U90" s="204" t="e">
        <f t="shared" si="183"/>
        <v>#VALUE!</v>
      </c>
      <c r="V90" s="204" t="e">
        <f t="shared" si="184"/>
        <v>#VALUE!</v>
      </c>
      <c r="W90" s="218">
        <v>569.91999999999996</v>
      </c>
      <c r="X90" s="218">
        <v>1164.7</v>
      </c>
      <c r="Y90" s="203">
        <v>0.1</v>
      </c>
      <c r="Z90" s="203">
        <f>IF(Tabela1[[#This Row],[Ano Aquisição]]=2023,0,IFERROR(VLOOKUP(H90,inflação!$F:$H,3,FALSE),""))</f>
        <v>0.83220000000000005</v>
      </c>
      <c r="AA90" s="203">
        <v>0.8</v>
      </c>
      <c r="AB90" s="202">
        <f t="shared" si="103"/>
        <v>-217489.28</v>
      </c>
      <c r="AC90" s="204" t="e">
        <f t="shared" si="185"/>
        <v>#VALUE!</v>
      </c>
      <c r="AD90" s="204" t="e">
        <f t="shared" si="186"/>
        <v>#VALUE!</v>
      </c>
      <c r="AE90" s="204" t="e">
        <f t="shared" si="186"/>
        <v>#VALUE!</v>
      </c>
      <c r="AF90" s="204" t="e">
        <f t="shared" si="186"/>
        <v>#VALUE!</v>
      </c>
      <c r="AG90" s="204" t="e">
        <f t="shared" si="186"/>
        <v>#VALUE!</v>
      </c>
      <c r="AH90" s="204" t="e">
        <f t="shared" si="186"/>
        <v>#VALUE!</v>
      </c>
      <c r="AI90" s="204" t="e">
        <f t="shared" si="186"/>
        <v>#VALUE!</v>
      </c>
      <c r="AJ90" s="205">
        <f t="shared" si="105"/>
        <v>-398483.85881599999</v>
      </c>
      <c r="AK90" s="204" t="e">
        <f t="shared" si="187"/>
        <v>#VALUE!</v>
      </c>
      <c r="AL90" s="204" t="e">
        <f t="shared" si="187"/>
        <v>#VALUE!</v>
      </c>
      <c r="AM90" s="204" t="e">
        <f t="shared" si="187"/>
        <v>#VALUE!</v>
      </c>
      <c r="AN90" s="204" t="e">
        <f t="shared" si="187"/>
        <v>#VALUE!</v>
      </c>
      <c r="AO90" s="204" t="e">
        <f t="shared" si="187"/>
        <v>#VALUE!</v>
      </c>
      <c r="AP90" s="204" t="e">
        <f t="shared" si="187"/>
        <v>#VALUE!</v>
      </c>
      <c r="AQ90" s="204" t="e">
        <f t="shared" si="187"/>
        <v>#VALUE!</v>
      </c>
      <c r="AR90" s="206" t="e">
        <f t="shared" si="107"/>
        <v>#VALUE!</v>
      </c>
      <c r="AS90" s="170" t="e">
        <f t="shared" si="188"/>
        <v>#VALUE!</v>
      </c>
      <c r="AT90" s="170" t="e">
        <f t="shared" si="189"/>
        <v>#VALUE!</v>
      </c>
      <c r="AU90" s="207" t="e">
        <f t="shared" si="108"/>
        <v>#VALUE!</v>
      </c>
      <c r="AV90" s="208" t="e">
        <f t="shared" si="109"/>
        <v>#VALUE!</v>
      </c>
      <c r="AW90" s="201" t="str">
        <f t="shared" si="110"/>
        <v>Fase de Degradação</v>
      </c>
      <c r="AX90" s="253" t="e">
        <f>VLOOKUP(D90,#REF!,5,FALSE)</f>
        <v>#REF!</v>
      </c>
      <c r="AY90" s="201"/>
      <c r="AZ90" s="273" t="s">
        <v>1224</v>
      </c>
      <c r="BB90">
        <f>IFERROR(VLOOKUP(Tabela1[[#This Row],[Denominação]],[10]Planilha1!$A:$B,2,FALSE),"")</f>
        <v>268944.67999999993</v>
      </c>
    </row>
    <row r="91" spans="1:54" ht="15" hidden="1" customHeight="1" x14ac:dyDescent="0.3">
      <c r="A91" s="268">
        <v>90</v>
      </c>
      <c r="B91" s="201" t="s">
        <v>940</v>
      </c>
      <c r="C91" s="211" t="s">
        <v>941</v>
      </c>
      <c r="D91" s="201">
        <v>10005907</v>
      </c>
      <c r="E91" s="253" t="s">
        <v>1272</v>
      </c>
      <c r="F91" s="253">
        <v>4023</v>
      </c>
      <c r="G91" s="201">
        <v>37313</v>
      </c>
      <c r="H91" s="201">
        <v>2008</v>
      </c>
      <c r="I91" s="216">
        <v>154287.62</v>
      </c>
      <c r="J91" s="214">
        <v>9522</v>
      </c>
      <c r="K91" s="170">
        <v>180353.57000000004</v>
      </c>
      <c r="L91" s="207">
        <v>0.99</v>
      </c>
      <c r="M91" s="212">
        <v>4547</v>
      </c>
      <c r="N91" s="212">
        <v>92832</v>
      </c>
      <c r="O91" s="171">
        <v>194</v>
      </c>
      <c r="P91" s="271" t="str">
        <f>IFERROR(VLOOKUP(Tabela1[[#This Row],[TAG]],#REF!,14,FALSE),"")</f>
        <v/>
      </c>
      <c r="Q91" s="204" t="e">
        <f t="shared" si="179"/>
        <v>#VALUE!</v>
      </c>
      <c r="R91" s="204" t="e">
        <f t="shared" si="180"/>
        <v>#VALUE!</v>
      </c>
      <c r="S91" s="204" t="e">
        <f t="shared" si="181"/>
        <v>#VALUE!</v>
      </c>
      <c r="T91" s="204" t="e">
        <f t="shared" si="182"/>
        <v>#VALUE!</v>
      </c>
      <c r="U91" s="204" t="e">
        <f t="shared" si="183"/>
        <v>#VALUE!</v>
      </c>
      <c r="V91" s="204" t="e">
        <f t="shared" si="184"/>
        <v>#VALUE!</v>
      </c>
      <c r="W91" s="218">
        <v>489.23</v>
      </c>
      <c r="X91" s="218">
        <v>931.69333333333361</v>
      </c>
      <c r="Y91" s="203">
        <v>0.1</v>
      </c>
      <c r="Z91" s="203">
        <f>IF(Tabela1[[#This Row],[Ano Aquisição]]=2023,0,IFERROR(VLOOKUP(H91,inflação!$F:$H,3,FALSE),""))</f>
        <v>0.89119999999999999</v>
      </c>
      <c r="AA91" s="203">
        <v>0.8</v>
      </c>
      <c r="AB91" s="202">
        <f t="shared" si="103"/>
        <v>-154287.62</v>
      </c>
      <c r="AC91" s="204" t="e">
        <f t="shared" si="185"/>
        <v>#VALUE!</v>
      </c>
      <c r="AD91" s="204" t="e">
        <f t="shared" si="186"/>
        <v>#VALUE!</v>
      </c>
      <c r="AE91" s="204" t="e">
        <f t="shared" si="186"/>
        <v>#VALUE!</v>
      </c>
      <c r="AF91" s="204" t="e">
        <f t="shared" si="186"/>
        <v>#VALUE!</v>
      </c>
      <c r="AG91" s="204" t="e">
        <f t="shared" si="186"/>
        <v>#VALUE!</v>
      </c>
      <c r="AH91" s="204" t="e">
        <f t="shared" si="186"/>
        <v>#VALUE!</v>
      </c>
      <c r="AI91" s="204" t="e">
        <f t="shared" si="186"/>
        <v>#VALUE!</v>
      </c>
      <c r="AJ91" s="205">
        <f t="shared" si="105"/>
        <v>-291788.74694400001</v>
      </c>
      <c r="AK91" s="204" t="e">
        <f t="shared" si="187"/>
        <v>#VALUE!</v>
      </c>
      <c r="AL91" s="204" t="e">
        <f t="shared" si="187"/>
        <v>#VALUE!</v>
      </c>
      <c r="AM91" s="204" t="e">
        <f t="shared" si="187"/>
        <v>#VALUE!</v>
      </c>
      <c r="AN91" s="204" t="e">
        <f t="shared" si="187"/>
        <v>#VALUE!</v>
      </c>
      <c r="AO91" s="204" t="e">
        <f t="shared" si="187"/>
        <v>#VALUE!</v>
      </c>
      <c r="AP91" s="204" t="e">
        <f t="shared" si="187"/>
        <v>#VALUE!</v>
      </c>
      <c r="AQ91" s="204" t="e">
        <f t="shared" si="187"/>
        <v>#VALUE!</v>
      </c>
      <c r="AR91" s="206" t="e">
        <f t="shared" si="107"/>
        <v>#VALUE!</v>
      </c>
      <c r="AS91" s="170" t="e">
        <f t="shared" si="188"/>
        <v>#VALUE!</v>
      </c>
      <c r="AT91" s="170" t="e">
        <f t="shared" si="189"/>
        <v>#VALUE!</v>
      </c>
      <c r="AU91" s="207" t="e">
        <f t="shared" si="108"/>
        <v>#VALUE!</v>
      </c>
      <c r="AV91" s="208" t="e">
        <f t="shared" si="109"/>
        <v>#VALUE!</v>
      </c>
      <c r="AW91" s="201" t="str">
        <f t="shared" si="110"/>
        <v>Confiabilidade em Crescimento</v>
      </c>
      <c r="AX91" s="253" t="e">
        <f>VLOOKUP(D91,#REF!,5,FALSE)</f>
        <v>#REF!</v>
      </c>
      <c r="AY91" s="201"/>
      <c r="AZ91" s="273" t="s">
        <v>1224</v>
      </c>
      <c r="BB91">
        <f>IFERROR(VLOOKUP(Tabela1[[#This Row],[Denominação]],[10]Planilha1!$A:$B,2,FALSE),"")</f>
        <v>180353.57000000004</v>
      </c>
    </row>
    <row r="92" spans="1:54" ht="15" hidden="1" customHeight="1" x14ac:dyDescent="0.3">
      <c r="A92" s="253">
        <v>91</v>
      </c>
      <c r="B92" s="201" t="s">
        <v>942</v>
      </c>
      <c r="C92" s="211" t="s">
        <v>943</v>
      </c>
      <c r="D92" s="201">
        <v>10004516</v>
      </c>
      <c r="E92" s="253" t="s">
        <v>1275</v>
      </c>
      <c r="F92" s="253">
        <v>4032</v>
      </c>
      <c r="G92" s="201">
        <v>35245</v>
      </c>
      <c r="H92" s="201">
        <v>2008</v>
      </c>
      <c r="I92" s="216">
        <v>66741.66</v>
      </c>
      <c r="J92" s="214">
        <v>5398</v>
      </c>
      <c r="K92" s="170">
        <v>151255.24999999991</v>
      </c>
      <c r="L92" s="207">
        <v>1.01</v>
      </c>
      <c r="M92" s="212">
        <v>3159</v>
      </c>
      <c r="N92" s="212">
        <v>144753</v>
      </c>
      <c r="O92" s="171">
        <v>120</v>
      </c>
      <c r="P92" s="271" t="str">
        <f>IFERROR(VLOOKUP(Tabela1[[#This Row],[TAG]],#REF!,14,FALSE),"")</f>
        <v/>
      </c>
      <c r="Q92" s="204" t="e">
        <f t="shared" si="179"/>
        <v>#VALUE!</v>
      </c>
      <c r="R92" s="204" t="e">
        <f t="shared" si="180"/>
        <v>#VALUE!</v>
      </c>
      <c r="S92" s="204" t="e">
        <f t="shared" si="181"/>
        <v>#VALUE!</v>
      </c>
      <c r="T92" s="204" t="e">
        <f t="shared" si="182"/>
        <v>#VALUE!</v>
      </c>
      <c r="U92" s="204" t="e">
        <f t="shared" si="183"/>
        <v>#VALUE!</v>
      </c>
      <c r="V92" s="204" t="e">
        <f t="shared" si="184"/>
        <v>#VALUE!</v>
      </c>
      <c r="W92" s="218">
        <v>600.88</v>
      </c>
      <c r="X92" s="218">
        <v>1323.37</v>
      </c>
      <c r="Y92" s="203">
        <v>0.1</v>
      </c>
      <c r="Z92" s="203">
        <f>IF(Tabela1[[#This Row],[Ano Aquisição]]=2023,0,IFERROR(VLOOKUP(H92,inflação!$F:$H,3,FALSE),""))</f>
        <v>0.89119999999999999</v>
      </c>
      <c r="AA92" s="203">
        <v>0.8</v>
      </c>
      <c r="AB92" s="202">
        <f t="shared" si="103"/>
        <v>-66741.66</v>
      </c>
      <c r="AC92" s="204" t="e">
        <f t="shared" si="185"/>
        <v>#VALUE!</v>
      </c>
      <c r="AD92" s="204" t="e">
        <f t="shared" si="186"/>
        <v>#VALUE!</v>
      </c>
      <c r="AE92" s="204" t="e">
        <f t="shared" si="186"/>
        <v>#VALUE!</v>
      </c>
      <c r="AF92" s="204" t="e">
        <f t="shared" si="186"/>
        <v>#VALUE!</v>
      </c>
      <c r="AG92" s="204" t="e">
        <f t="shared" si="186"/>
        <v>#VALUE!</v>
      </c>
      <c r="AH92" s="204" t="e">
        <f t="shared" si="186"/>
        <v>#VALUE!</v>
      </c>
      <c r="AI92" s="204" t="e">
        <f t="shared" si="186"/>
        <v>#VALUE!</v>
      </c>
      <c r="AJ92" s="205">
        <f t="shared" si="105"/>
        <v>-126221.82739200001</v>
      </c>
      <c r="AK92" s="204" t="e">
        <f t="shared" si="187"/>
        <v>#VALUE!</v>
      </c>
      <c r="AL92" s="204" t="e">
        <f t="shared" si="187"/>
        <v>#VALUE!</v>
      </c>
      <c r="AM92" s="204" t="e">
        <f t="shared" si="187"/>
        <v>#VALUE!</v>
      </c>
      <c r="AN92" s="204" t="e">
        <f t="shared" si="187"/>
        <v>#VALUE!</v>
      </c>
      <c r="AO92" s="204" t="e">
        <f t="shared" si="187"/>
        <v>#VALUE!</v>
      </c>
      <c r="AP92" s="204" t="e">
        <f t="shared" si="187"/>
        <v>#VALUE!</v>
      </c>
      <c r="AQ92" s="204" t="e">
        <f t="shared" si="187"/>
        <v>#VALUE!</v>
      </c>
      <c r="AR92" s="206" t="e">
        <f t="shared" si="107"/>
        <v>#VALUE!</v>
      </c>
      <c r="AS92" s="170" t="e">
        <f t="shared" si="188"/>
        <v>#VALUE!</v>
      </c>
      <c r="AT92" s="170" t="e">
        <f t="shared" si="189"/>
        <v>#VALUE!</v>
      </c>
      <c r="AU92" s="207" t="e">
        <f t="shared" si="108"/>
        <v>#VALUE!</v>
      </c>
      <c r="AV92" s="208" t="e">
        <f t="shared" si="109"/>
        <v>#VALUE!</v>
      </c>
      <c r="AW92" s="201" t="str">
        <f t="shared" si="110"/>
        <v>Fase de Vida Útil</v>
      </c>
      <c r="AX92" s="253" t="e">
        <f>VLOOKUP(D92,#REF!,5,FALSE)</f>
        <v>#REF!</v>
      </c>
      <c r="AY92" s="201"/>
      <c r="AZ92" s="273" t="s">
        <v>1224</v>
      </c>
      <c r="BB92">
        <f>IFERROR(VLOOKUP(Tabela1[[#This Row],[Denominação]],[10]Planilha1!$A:$B,2,FALSE),"")</f>
        <v>151255.24999999991</v>
      </c>
    </row>
    <row r="93" spans="1:54" ht="15" hidden="1" customHeight="1" x14ac:dyDescent="0.3">
      <c r="A93" s="268">
        <v>92</v>
      </c>
      <c r="B93" s="201" t="s">
        <v>944</v>
      </c>
      <c r="C93" s="211" t="s">
        <v>945</v>
      </c>
      <c r="D93" s="201">
        <v>10006741</v>
      </c>
      <c r="E93" s="253" t="s">
        <v>1276</v>
      </c>
      <c r="F93" s="253">
        <v>4024</v>
      </c>
      <c r="G93" s="201">
        <v>55737</v>
      </c>
      <c r="H93" s="201">
        <v>2021</v>
      </c>
      <c r="I93" s="216">
        <v>176429.67</v>
      </c>
      <c r="J93" s="214">
        <v>159159</v>
      </c>
      <c r="K93" s="170">
        <v>34694.160000000003</v>
      </c>
      <c r="L93" s="207">
        <v>0.77</v>
      </c>
      <c r="M93" s="212">
        <v>4441</v>
      </c>
      <c r="N93" s="212">
        <v>7481</v>
      </c>
      <c r="O93" s="171">
        <v>62</v>
      </c>
      <c r="P93" s="271" t="str">
        <f>IFERROR(VLOOKUP(Tabela1[[#This Row],[TAG]],#REF!,14,FALSE),"")</f>
        <v/>
      </c>
      <c r="Q93" s="204" t="e">
        <f t="shared" ref="Q93:Q98" si="190">P93+P93</f>
        <v>#VALUE!</v>
      </c>
      <c r="R93" s="204" t="e">
        <f t="shared" ref="R93:R98" si="191">Q93+P93</f>
        <v>#VALUE!</v>
      </c>
      <c r="S93" s="204" t="e">
        <f t="shared" ref="S93:S98" si="192">R93+P93</f>
        <v>#VALUE!</v>
      </c>
      <c r="T93" s="204" t="e">
        <f t="shared" ref="T93:T98" si="193">S93+P93</f>
        <v>#VALUE!</v>
      </c>
      <c r="U93" s="204" t="e">
        <f t="shared" ref="U93:U98" si="194">T93+P93</f>
        <v>#VALUE!</v>
      </c>
      <c r="V93" s="204" t="e">
        <f t="shared" ref="V93:V98" si="195">U93+P93</f>
        <v>#VALUE!</v>
      </c>
      <c r="W93" s="218">
        <v>733.28</v>
      </c>
      <c r="X93" s="218">
        <v>2590.8200000000002</v>
      </c>
      <c r="Y93" s="203">
        <v>0.1</v>
      </c>
      <c r="Z93" s="203">
        <f>IF(Tabela1[[#This Row],[Ano Aquisição]]=2023,0,IFERROR(VLOOKUP(H93,inflação!$F:$H,3,FALSE),""))</f>
        <v>0.1585</v>
      </c>
      <c r="AA93" s="203">
        <v>0.8</v>
      </c>
      <c r="AB93" s="202">
        <f t="shared" si="103"/>
        <v>-176429.67</v>
      </c>
      <c r="AC93" s="204" t="e">
        <f t="shared" ref="AC93:AC98" si="196">-(((P93*$W93)+($X93*12))*((1+$Y93)^AC$1))</f>
        <v>#VALUE!</v>
      </c>
      <c r="AD93" s="204" t="e">
        <f t="shared" ref="AD93:AD98" si="197">-((((Q93-P93)*$W93)+($X93*12))*((1+$Y93)^AD$1))</f>
        <v>#VALUE!</v>
      </c>
      <c r="AE93" s="204" t="e">
        <f t="shared" ref="AE93:AE98" si="198">-((((R93-Q93)*$W93)+($X93*12))*((1+$Y93)^AE$1))</f>
        <v>#VALUE!</v>
      </c>
      <c r="AF93" s="204" t="e">
        <f t="shared" ref="AF93:AF98" si="199">-((((S93-R93)*$W93)+($X93*12))*((1+$Y93)^AF$1))</f>
        <v>#VALUE!</v>
      </c>
      <c r="AG93" s="204" t="e">
        <f t="shared" ref="AG93:AG98" si="200">-((((T93-S93)*$W93)+($X93*12))*((1+$Y93)^AG$1))</f>
        <v>#VALUE!</v>
      </c>
      <c r="AH93" s="204" t="e">
        <f t="shared" ref="AH93:AH98" si="201">-((((U93-T93)*$W93)+($X93*12))*((1+$Y93)^AH$1))</f>
        <v>#VALUE!</v>
      </c>
      <c r="AI93" s="204" t="e">
        <f t="shared" ref="AI93:AI98" si="202">-((((V93-U93)*$W93)+($X93*12))*((1+$Y93)^AI$1))</f>
        <v>#VALUE!</v>
      </c>
      <c r="AJ93" s="205">
        <f t="shared" si="105"/>
        <v>-204393.77269500002</v>
      </c>
      <c r="AK93" s="204" t="e">
        <f t="shared" ref="AK93:AK98" si="203">AC93*(1-$AA93)</f>
        <v>#VALUE!</v>
      </c>
      <c r="AL93" s="204" t="e">
        <f t="shared" ref="AL93:AL98" si="204">AD93*(1-$AA93)</f>
        <v>#VALUE!</v>
      </c>
      <c r="AM93" s="204" t="e">
        <f t="shared" ref="AM93:AM98" si="205">AE93*(1-$AA93)</f>
        <v>#VALUE!</v>
      </c>
      <c r="AN93" s="204" t="e">
        <f t="shared" ref="AN93:AN98" si="206">AF93*(1-$AA93)</f>
        <v>#VALUE!</v>
      </c>
      <c r="AO93" s="204" t="e">
        <f t="shared" ref="AO93:AO98" si="207">AG93*(1-$AA93)</f>
        <v>#VALUE!</v>
      </c>
      <c r="AP93" s="204" t="e">
        <f t="shared" ref="AP93:AP98" si="208">AH93*(1-$AA93)</f>
        <v>#VALUE!</v>
      </c>
      <c r="AQ93" s="204" t="e">
        <f t="shared" ref="AQ93:AQ98" si="209">AI93*(1-$AA93)</f>
        <v>#VALUE!</v>
      </c>
      <c r="AR93" s="206" t="e">
        <f t="shared" si="107"/>
        <v>#VALUE!</v>
      </c>
      <c r="AS93" s="170" t="e">
        <f t="shared" ref="AS93:AS98" si="210">SUM(AC93:AI93)</f>
        <v>#VALUE!</v>
      </c>
      <c r="AT93" s="170" t="e">
        <f t="shared" ref="AT93:AT98" si="211">SUM(AK93:AQ93)</f>
        <v>#VALUE!</v>
      </c>
      <c r="AU93" s="207" t="e">
        <f t="shared" si="108"/>
        <v>#VALUE!</v>
      </c>
      <c r="AV93" s="208" t="e">
        <f t="shared" si="109"/>
        <v>#VALUE!</v>
      </c>
      <c r="AW93" s="201" t="str">
        <f t="shared" si="110"/>
        <v>Confiabilidade em Crescimento</v>
      </c>
      <c r="AX93" s="253" t="e">
        <f>VLOOKUP(D93,#REF!,5,FALSE)</f>
        <v>#REF!</v>
      </c>
      <c r="AY93" s="201"/>
      <c r="AZ93" s="273" t="s">
        <v>1224</v>
      </c>
      <c r="BB93">
        <f>IFERROR(VLOOKUP(Tabela1[[#This Row],[Denominação]],[10]Planilha1!$A:$B,2,FALSE),"")</f>
        <v>34694.160000000003</v>
      </c>
    </row>
    <row r="94" spans="1:54" ht="15" hidden="1" customHeight="1" x14ac:dyDescent="0.3">
      <c r="A94" s="253">
        <v>93</v>
      </c>
      <c r="B94" s="201" t="s">
        <v>946</v>
      </c>
      <c r="C94" s="211" t="s">
        <v>947</v>
      </c>
      <c r="D94" s="201">
        <v>10006742</v>
      </c>
      <c r="E94" s="253" t="s">
        <v>1276</v>
      </c>
      <c r="F94" s="253">
        <v>4024</v>
      </c>
      <c r="G94" s="201">
        <v>55738</v>
      </c>
      <c r="H94" s="201">
        <v>2021</v>
      </c>
      <c r="I94" s="216">
        <v>175448.4</v>
      </c>
      <c r="J94" s="214">
        <v>158272</v>
      </c>
      <c r="K94" s="170">
        <v>47726.37</v>
      </c>
      <c r="L94" s="207">
        <v>0.68</v>
      </c>
      <c r="M94" s="212">
        <v>4441</v>
      </c>
      <c r="N94" s="212">
        <v>6030</v>
      </c>
      <c r="O94" s="171">
        <v>42</v>
      </c>
      <c r="P94" s="271" t="str">
        <f>IFERROR(VLOOKUP(Tabela1[[#This Row],[TAG]],#REF!,14,FALSE),"")</f>
        <v/>
      </c>
      <c r="Q94" s="204" t="e">
        <f t="shared" si="190"/>
        <v>#VALUE!</v>
      </c>
      <c r="R94" s="204" t="e">
        <f t="shared" si="191"/>
        <v>#VALUE!</v>
      </c>
      <c r="S94" s="204" t="e">
        <f t="shared" si="192"/>
        <v>#VALUE!</v>
      </c>
      <c r="T94" s="204" t="e">
        <f t="shared" si="193"/>
        <v>#VALUE!</v>
      </c>
      <c r="U94" s="204" t="e">
        <f t="shared" si="194"/>
        <v>#VALUE!</v>
      </c>
      <c r="V94" s="204" t="e">
        <f t="shared" si="195"/>
        <v>#VALUE!</v>
      </c>
      <c r="W94" s="218">
        <v>589.84</v>
      </c>
      <c r="X94" s="218">
        <v>1635.15</v>
      </c>
      <c r="Y94" s="203">
        <v>0.1</v>
      </c>
      <c r="Z94" s="203">
        <f>IF(Tabela1[[#This Row],[Ano Aquisição]]=2023,0,IFERROR(VLOOKUP(H94,inflação!$F:$H,3,FALSE),""))</f>
        <v>0.1585</v>
      </c>
      <c r="AA94" s="203">
        <v>0.8</v>
      </c>
      <c r="AB94" s="202">
        <f t="shared" si="103"/>
        <v>-175448.4</v>
      </c>
      <c r="AC94" s="204" t="e">
        <f t="shared" si="196"/>
        <v>#VALUE!</v>
      </c>
      <c r="AD94" s="204" t="e">
        <f t="shared" si="197"/>
        <v>#VALUE!</v>
      </c>
      <c r="AE94" s="204" t="e">
        <f t="shared" si="198"/>
        <v>#VALUE!</v>
      </c>
      <c r="AF94" s="204" t="e">
        <f t="shared" si="199"/>
        <v>#VALUE!</v>
      </c>
      <c r="AG94" s="204" t="e">
        <f t="shared" si="200"/>
        <v>#VALUE!</v>
      </c>
      <c r="AH94" s="204" t="e">
        <f t="shared" si="201"/>
        <v>#VALUE!</v>
      </c>
      <c r="AI94" s="204" t="e">
        <f t="shared" si="202"/>
        <v>#VALUE!</v>
      </c>
      <c r="AJ94" s="205">
        <f t="shared" si="105"/>
        <v>-203256.97140000001</v>
      </c>
      <c r="AK94" s="204" t="e">
        <f t="shared" si="203"/>
        <v>#VALUE!</v>
      </c>
      <c r="AL94" s="204" t="e">
        <f t="shared" si="204"/>
        <v>#VALUE!</v>
      </c>
      <c r="AM94" s="204" t="e">
        <f t="shared" si="205"/>
        <v>#VALUE!</v>
      </c>
      <c r="AN94" s="204" t="e">
        <f t="shared" si="206"/>
        <v>#VALUE!</v>
      </c>
      <c r="AO94" s="204" t="e">
        <f t="shared" si="207"/>
        <v>#VALUE!</v>
      </c>
      <c r="AP94" s="204" t="e">
        <f t="shared" si="208"/>
        <v>#VALUE!</v>
      </c>
      <c r="AQ94" s="204" t="e">
        <f t="shared" si="209"/>
        <v>#VALUE!</v>
      </c>
      <c r="AR94" s="206" t="e">
        <f t="shared" si="107"/>
        <v>#VALUE!</v>
      </c>
      <c r="AS94" s="170" t="e">
        <f t="shared" si="210"/>
        <v>#VALUE!</v>
      </c>
      <c r="AT94" s="170" t="e">
        <f t="shared" si="211"/>
        <v>#VALUE!</v>
      </c>
      <c r="AU94" s="207" t="e">
        <f t="shared" si="108"/>
        <v>#VALUE!</v>
      </c>
      <c r="AV94" s="208" t="e">
        <f t="shared" si="109"/>
        <v>#VALUE!</v>
      </c>
      <c r="AW94" s="201" t="str">
        <f t="shared" si="110"/>
        <v>Confiabilidade em Crescimento</v>
      </c>
      <c r="AX94" s="253" t="e">
        <f>VLOOKUP(D94,#REF!,5,FALSE)</f>
        <v>#REF!</v>
      </c>
      <c r="AY94" s="201"/>
      <c r="AZ94" s="273" t="s">
        <v>1224</v>
      </c>
      <c r="BB94">
        <f>IFERROR(VLOOKUP(Tabela1[[#This Row],[Denominação]],[10]Planilha1!$A:$B,2,FALSE),"")</f>
        <v>47726.37</v>
      </c>
    </row>
    <row r="95" spans="1:54" ht="15" hidden="1" customHeight="1" x14ac:dyDescent="0.3">
      <c r="A95" s="268">
        <v>94</v>
      </c>
      <c r="B95" s="201" t="s">
        <v>948</v>
      </c>
      <c r="C95" s="211" t="s">
        <v>949</v>
      </c>
      <c r="D95" s="201">
        <v>10006743</v>
      </c>
      <c r="E95" s="253" t="s">
        <v>1276</v>
      </c>
      <c r="F95" s="253">
        <v>4024</v>
      </c>
      <c r="G95" s="201">
        <v>55629</v>
      </c>
      <c r="H95" s="201">
        <v>2021</v>
      </c>
      <c r="I95" s="216">
        <v>289002.02</v>
      </c>
      <c r="J95" s="214">
        <v>260711</v>
      </c>
      <c r="K95" s="170">
        <v>9245.23</v>
      </c>
      <c r="L95" s="207">
        <v>3.46</v>
      </c>
      <c r="M95" s="212">
        <v>4441</v>
      </c>
      <c r="N95" s="212">
        <v>8214</v>
      </c>
      <c r="O95" s="171">
        <v>6</v>
      </c>
      <c r="P95" s="271" t="str">
        <f>IFERROR(VLOOKUP(Tabela1[[#This Row],[TAG]],#REF!,14,FALSE),"")</f>
        <v/>
      </c>
      <c r="Q95" s="204" t="e">
        <f t="shared" si="190"/>
        <v>#VALUE!</v>
      </c>
      <c r="R95" s="204" t="e">
        <f t="shared" si="191"/>
        <v>#VALUE!</v>
      </c>
      <c r="S95" s="204" t="e">
        <f t="shared" si="192"/>
        <v>#VALUE!</v>
      </c>
      <c r="T95" s="204" t="e">
        <f t="shared" si="193"/>
        <v>#VALUE!</v>
      </c>
      <c r="U95" s="204" t="e">
        <f t="shared" si="194"/>
        <v>#VALUE!</v>
      </c>
      <c r="V95" s="204" t="e">
        <f t="shared" si="195"/>
        <v>#VALUE!</v>
      </c>
      <c r="W95" s="218">
        <v>267.83999999999997</v>
      </c>
      <c r="X95" s="218">
        <v>230.2</v>
      </c>
      <c r="Y95" s="203">
        <v>0.1</v>
      </c>
      <c r="Z95" s="203">
        <f>IF(Tabela1[[#This Row],[Ano Aquisição]]=2023,0,IFERROR(VLOOKUP(H95,inflação!$F:$H,3,FALSE),""))</f>
        <v>0.1585</v>
      </c>
      <c r="AA95" s="203">
        <v>0.8</v>
      </c>
      <c r="AB95" s="202">
        <f t="shared" si="103"/>
        <v>-289002.02</v>
      </c>
      <c r="AC95" s="204" t="e">
        <f t="shared" si="196"/>
        <v>#VALUE!</v>
      </c>
      <c r="AD95" s="204" t="e">
        <f t="shared" si="197"/>
        <v>#VALUE!</v>
      </c>
      <c r="AE95" s="204" t="e">
        <f t="shared" si="198"/>
        <v>#VALUE!</v>
      </c>
      <c r="AF95" s="204" t="e">
        <f t="shared" si="199"/>
        <v>#VALUE!</v>
      </c>
      <c r="AG95" s="204" t="e">
        <f t="shared" si="200"/>
        <v>#VALUE!</v>
      </c>
      <c r="AH95" s="204" t="e">
        <f t="shared" si="201"/>
        <v>#VALUE!</v>
      </c>
      <c r="AI95" s="204" t="e">
        <f t="shared" si="202"/>
        <v>#VALUE!</v>
      </c>
      <c r="AJ95" s="205">
        <f t="shared" si="105"/>
        <v>-334808.84017000004</v>
      </c>
      <c r="AK95" s="204" t="e">
        <f t="shared" si="203"/>
        <v>#VALUE!</v>
      </c>
      <c r="AL95" s="204" t="e">
        <f t="shared" si="204"/>
        <v>#VALUE!</v>
      </c>
      <c r="AM95" s="204" t="e">
        <f t="shared" si="205"/>
        <v>#VALUE!</v>
      </c>
      <c r="AN95" s="204" t="e">
        <f t="shared" si="206"/>
        <v>#VALUE!</v>
      </c>
      <c r="AO95" s="204" t="e">
        <f t="shared" si="207"/>
        <v>#VALUE!</v>
      </c>
      <c r="AP95" s="204" t="e">
        <f t="shared" si="208"/>
        <v>#VALUE!</v>
      </c>
      <c r="AQ95" s="204" t="e">
        <f t="shared" si="209"/>
        <v>#VALUE!</v>
      </c>
      <c r="AR95" s="206" t="e">
        <f t="shared" si="107"/>
        <v>#VALUE!</v>
      </c>
      <c r="AS95" s="170" t="e">
        <f t="shared" si="210"/>
        <v>#VALUE!</v>
      </c>
      <c r="AT95" s="170" t="e">
        <f t="shared" si="211"/>
        <v>#VALUE!</v>
      </c>
      <c r="AU95" s="207" t="e">
        <f t="shared" si="108"/>
        <v>#VALUE!</v>
      </c>
      <c r="AV95" s="208" t="e">
        <f t="shared" si="109"/>
        <v>#VALUE!</v>
      </c>
      <c r="AW95" s="201" t="str">
        <f t="shared" si="110"/>
        <v>Fase de Degradação</v>
      </c>
      <c r="AX95" s="253" t="e">
        <f>VLOOKUP(D95,#REF!,5,FALSE)</f>
        <v>#REF!</v>
      </c>
      <c r="AY95" s="201"/>
      <c r="AZ95" s="273" t="s">
        <v>1224</v>
      </c>
      <c r="BB95">
        <f>IFERROR(VLOOKUP(Tabela1[[#This Row],[Denominação]],[10]Planilha1!$A:$B,2,FALSE),"")</f>
        <v>9245.23</v>
      </c>
    </row>
    <row r="96" spans="1:54" ht="15" hidden="1" customHeight="1" x14ac:dyDescent="0.3">
      <c r="A96" s="253">
        <v>95</v>
      </c>
      <c r="B96" s="201" t="s">
        <v>950</v>
      </c>
      <c r="C96" s="211" t="s">
        <v>951</v>
      </c>
      <c r="D96" s="201">
        <v>10006744</v>
      </c>
      <c r="E96" s="253" t="s">
        <v>1273</v>
      </c>
      <c r="F96" s="253">
        <v>4022</v>
      </c>
      <c r="G96" s="201">
        <v>55742</v>
      </c>
      <c r="H96" s="201">
        <v>2021</v>
      </c>
      <c r="I96" s="216">
        <v>130057.95</v>
      </c>
      <c r="J96" s="214">
        <v>117326</v>
      </c>
      <c r="K96" s="170">
        <v>43158.84</v>
      </c>
      <c r="L96" s="207">
        <v>1.49</v>
      </c>
      <c r="M96" s="212">
        <v>2753</v>
      </c>
      <c r="N96" s="212">
        <v>11841</v>
      </c>
      <c r="O96" s="171">
        <v>53</v>
      </c>
      <c r="P96" s="271" t="str">
        <f>IFERROR(VLOOKUP(Tabela1[[#This Row],[TAG]],#REF!,14,FALSE),"")</f>
        <v/>
      </c>
      <c r="Q96" s="204" t="e">
        <f t="shared" si="190"/>
        <v>#VALUE!</v>
      </c>
      <c r="R96" s="204" t="e">
        <f t="shared" si="191"/>
        <v>#VALUE!</v>
      </c>
      <c r="S96" s="204" t="e">
        <f t="shared" si="192"/>
        <v>#VALUE!</v>
      </c>
      <c r="T96" s="204" t="e">
        <f t="shared" si="193"/>
        <v>#VALUE!</v>
      </c>
      <c r="U96" s="204" t="e">
        <f t="shared" si="194"/>
        <v>#VALUE!</v>
      </c>
      <c r="V96" s="204" t="e">
        <f t="shared" si="195"/>
        <v>#VALUE!</v>
      </c>
      <c r="W96" s="218">
        <v>671.84</v>
      </c>
      <c r="X96" s="218">
        <v>1924.85</v>
      </c>
      <c r="Y96" s="203">
        <v>0.1</v>
      </c>
      <c r="Z96" s="203">
        <f>IF(Tabela1[[#This Row],[Ano Aquisição]]=2023,0,IFERROR(VLOOKUP(H96,inflação!$F:$H,3,FALSE),""))</f>
        <v>0.1585</v>
      </c>
      <c r="AA96" s="203">
        <v>0.8</v>
      </c>
      <c r="AB96" s="202">
        <f t="shared" si="103"/>
        <v>-130057.95</v>
      </c>
      <c r="AC96" s="204" t="e">
        <f t="shared" si="196"/>
        <v>#VALUE!</v>
      </c>
      <c r="AD96" s="204" t="e">
        <f t="shared" si="197"/>
        <v>#VALUE!</v>
      </c>
      <c r="AE96" s="204" t="e">
        <f t="shared" si="198"/>
        <v>#VALUE!</v>
      </c>
      <c r="AF96" s="204" t="e">
        <f t="shared" si="199"/>
        <v>#VALUE!</v>
      </c>
      <c r="AG96" s="204" t="e">
        <f t="shared" si="200"/>
        <v>#VALUE!</v>
      </c>
      <c r="AH96" s="204" t="e">
        <f t="shared" si="201"/>
        <v>#VALUE!</v>
      </c>
      <c r="AI96" s="204" t="e">
        <f t="shared" si="202"/>
        <v>#VALUE!</v>
      </c>
      <c r="AJ96" s="205">
        <f t="shared" si="105"/>
        <v>-150672.135075</v>
      </c>
      <c r="AK96" s="204" t="e">
        <f t="shared" si="203"/>
        <v>#VALUE!</v>
      </c>
      <c r="AL96" s="204" t="e">
        <f t="shared" si="204"/>
        <v>#VALUE!</v>
      </c>
      <c r="AM96" s="204" t="e">
        <f t="shared" si="205"/>
        <v>#VALUE!</v>
      </c>
      <c r="AN96" s="204" t="e">
        <f t="shared" si="206"/>
        <v>#VALUE!</v>
      </c>
      <c r="AO96" s="204" t="e">
        <f t="shared" si="207"/>
        <v>#VALUE!</v>
      </c>
      <c r="AP96" s="204" t="e">
        <f t="shared" si="208"/>
        <v>#VALUE!</v>
      </c>
      <c r="AQ96" s="204" t="e">
        <f t="shared" si="209"/>
        <v>#VALUE!</v>
      </c>
      <c r="AR96" s="206" t="e">
        <f t="shared" si="107"/>
        <v>#VALUE!</v>
      </c>
      <c r="AS96" s="170" t="e">
        <f t="shared" si="210"/>
        <v>#VALUE!</v>
      </c>
      <c r="AT96" s="170" t="e">
        <f t="shared" si="211"/>
        <v>#VALUE!</v>
      </c>
      <c r="AU96" s="207" t="e">
        <f t="shared" si="108"/>
        <v>#VALUE!</v>
      </c>
      <c r="AV96" s="208" t="e">
        <f t="shared" si="109"/>
        <v>#VALUE!</v>
      </c>
      <c r="AW96" s="201" t="str">
        <f t="shared" si="110"/>
        <v>Fase de Degradação</v>
      </c>
      <c r="AX96" s="253" t="e">
        <f>VLOOKUP(D96,#REF!,5,FALSE)</f>
        <v>#REF!</v>
      </c>
      <c r="AY96" s="201"/>
      <c r="AZ96" s="273" t="s">
        <v>1224</v>
      </c>
      <c r="BB96">
        <f>IFERROR(VLOOKUP(Tabela1[[#This Row],[Denominação]],[10]Planilha1!$A:$B,2,FALSE),"")</f>
        <v>43158.84</v>
      </c>
    </row>
    <row r="97" spans="1:54" ht="15" hidden="1" customHeight="1" x14ac:dyDescent="0.3">
      <c r="A97" s="268">
        <v>96</v>
      </c>
      <c r="B97" s="201" t="s">
        <v>952</v>
      </c>
      <c r="C97" s="211" t="s">
        <v>953</v>
      </c>
      <c r="D97" s="201">
        <v>10006745</v>
      </c>
      <c r="E97" s="253" t="s">
        <v>1273</v>
      </c>
      <c r="F97" s="253">
        <v>4022</v>
      </c>
      <c r="G97" s="201">
        <v>55743</v>
      </c>
      <c r="H97" s="201">
        <v>2021</v>
      </c>
      <c r="I97" s="216">
        <v>130018.94</v>
      </c>
      <c r="J97" s="214">
        <v>117292</v>
      </c>
      <c r="K97" s="170">
        <v>25960.21999999999</v>
      </c>
      <c r="L97" s="207">
        <v>0.87</v>
      </c>
      <c r="M97" s="212">
        <v>2753</v>
      </c>
      <c r="N97" s="212">
        <v>8199</v>
      </c>
      <c r="O97" s="171">
        <v>53</v>
      </c>
      <c r="P97" s="271" t="str">
        <f>IFERROR(VLOOKUP(Tabela1[[#This Row],[TAG]],#REF!,14,FALSE),"")</f>
        <v/>
      </c>
      <c r="Q97" s="204" t="e">
        <f t="shared" si="190"/>
        <v>#VALUE!</v>
      </c>
      <c r="R97" s="204" t="e">
        <f t="shared" si="191"/>
        <v>#VALUE!</v>
      </c>
      <c r="S97" s="204" t="e">
        <f t="shared" si="192"/>
        <v>#VALUE!</v>
      </c>
      <c r="T97" s="204" t="e">
        <f t="shared" si="193"/>
        <v>#VALUE!</v>
      </c>
      <c r="U97" s="204" t="e">
        <f t="shared" si="194"/>
        <v>#VALUE!</v>
      </c>
      <c r="V97" s="204" t="e">
        <f t="shared" si="195"/>
        <v>#VALUE!</v>
      </c>
      <c r="W97" s="218">
        <v>503.81</v>
      </c>
      <c r="X97" s="218">
        <v>1810.35</v>
      </c>
      <c r="Y97" s="203">
        <v>0.1</v>
      </c>
      <c r="Z97" s="203">
        <f>IF(Tabela1[[#This Row],[Ano Aquisição]]=2023,0,IFERROR(VLOOKUP(H97,inflação!$F:$H,3,FALSE),""))</f>
        <v>0.1585</v>
      </c>
      <c r="AA97" s="203">
        <v>0.8</v>
      </c>
      <c r="AB97" s="202">
        <f t="shared" si="103"/>
        <v>-130018.94</v>
      </c>
      <c r="AC97" s="204" t="e">
        <f t="shared" si="196"/>
        <v>#VALUE!</v>
      </c>
      <c r="AD97" s="204" t="e">
        <f t="shared" si="197"/>
        <v>#VALUE!</v>
      </c>
      <c r="AE97" s="204" t="e">
        <f t="shared" si="198"/>
        <v>#VALUE!</v>
      </c>
      <c r="AF97" s="204" t="e">
        <f t="shared" si="199"/>
        <v>#VALUE!</v>
      </c>
      <c r="AG97" s="204" t="e">
        <f t="shared" si="200"/>
        <v>#VALUE!</v>
      </c>
      <c r="AH97" s="204" t="e">
        <f t="shared" si="201"/>
        <v>#VALUE!</v>
      </c>
      <c r="AI97" s="204" t="e">
        <f t="shared" si="202"/>
        <v>#VALUE!</v>
      </c>
      <c r="AJ97" s="205">
        <f t="shared" si="105"/>
        <v>-150626.94199000002</v>
      </c>
      <c r="AK97" s="204" t="e">
        <f t="shared" si="203"/>
        <v>#VALUE!</v>
      </c>
      <c r="AL97" s="204" t="e">
        <f t="shared" si="204"/>
        <v>#VALUE!</v>
      </c>
      <c r="AM97" s="204" t="e">
        <f t="shared" si="205"/>
        <v>#VALUE!</v>
      </c>
      <c r="AN97" s="204" t="e">
        <f t="shared" si="206"/>
        <v>#VALUE!</v>
      </c>
      <c r="AO97" s="204" t="e">
        <f t="shared" si="207"/>
        <v>#VALUE!</v>
      </c>
      <c r="AP97" s="204" t="e">
        <f t="shared" si="208"/>
        <v>#VALUE!</v>
      </c>
      <c r="AQ97" s="204" t="e">
        <f t="shared" si="209"/>
        <v>#VALUE!</v>
      </c>
      <c r="AR97" s="206" t="e">
        <f t="shared" si="107"/>
        <v>#VALUE!</v>
      </c>
      <c r="AS97" s="170" t="e">
        <f t="shared" si="210"/>
        <v>#VALUE!</v>
      </c>
      <c r="AT97" s="170" t="e">
        <f t="shared" si="211"/>
        <v>#VALUE!</v>
      </c>
      <c r="AU97" s="207" t="e">
        <f t="shared" si="108"/>
        <v>#VALUE!</v>
      </c>
      <c r="AV97" s="208" t="e">
        <f t="shared" si="109"/>
        <v>#VALUE!</v>
      </c>
      <c r="AW97" s="201" t="str">
        <f t="shared" si="110"/>
        <v>Confiabilidade em Crescimento</v>
      </c>
      <c r="AX97" s="253" t="e">
        <f>VLOOKUP(D97,#REF!,5,FALSE)</f>
        <v>#REF!</v>
      </c>
      <c r="AY97" s="201"/>
      <c r="AZ97" s="273" t="s">
        <v>1224</v>
      </c>
      <c r="BB97">
        <f>IFERROR(VLOOKUP(Tabela1[[#This Row],[Denominação]],[10]Planilha1!$A:$B,2,FALSE),"")</f>
        <v>25960.21999999999</v>
      </c>
    </row>
    <row r="98" spans="1:54" ht="15" hidden="1" customHeight="1" x14ac:dyDescent="0.3">
      <c r="A98" s="253">
        <v>97</v>
      </c>
      <c r="B98" s="201" t="s">
        <v>954</v>
      </c>
      <c r="C98" s="211" t="s">
        <v>955</v>
      </c>
      <c r="D98" s="201">
        <v>10006746</v>
      </c>
      <c r="E98" s="253" t="s">
        <v>1273</v>
      </c>
      <c r="F98" s="253">
        <v>4022</v>
      </c>
      <c r="G98" s="201">
        <v>55744</v>
      </c>
      <c r="H98" s="201">
        <v>2021</v>
      </c>
      <c r="I98" s="216">
        <v>130018.84</v>
      </c>
      <c r="J98" s="214">
        <v>117292</v>
      </c>
      <c r="K98" s="170">
        <v>26661.210000000003</v>
      </c>
      <c r="L98" s="207">
        <v>1.51</v>
      </c>
      <c r="M98" s="212">
        <v>2753</v>
      </c>
      <c r="N98" s="212">
        <v>11561</v>
      </c>
      <c r="O98" s="171">
        <v>51</v>
      </c>
      <c r="P98" s="271" t="str">
        <f>IFERROR(VLOOKUP(Tabela1[[#This Row],[TAG]],#REF!,14,FALSE),"")</f>
        <v/>
      </c>
      <c r="Q98" s="204" t="e">
        <f t="shared" si="190"/>
        <v>#VALUE!</v>
      </c>
      <c r="R98" s="204" t="e">
        <f t="shared" si="191"/>
        <v>#VALUE!</v>
      </c>
      <c r="S98" s="204" t="e">
        <f t="shared" si="192"/>
        <v>#VALUE!</v>
      </c>
      <c r="T98" s="204" t="e">
        <f t="shared" si="193"/>
        <v>#VALUE!</v>
      </c>
      <c r="U98" s="204" t="e">
        <f t="shared" si="194"/>
        <v>#VALUE!</v>
      </c>
      <c r="V98" s="204" t="e">
        <f t="shared" si="195"/>
        <v>#VALUE!</v>
      </c>
      <c r="W98" s="218">
        <v>570.87</v>
      </c>
      <c r="X98" s="218">
        <v>1923.27</v>
      </c>
      <c r="Y98" s="203">
        <v>0.1</v>
      </c>
      <c r="Z98" s="203">
        <f>IF(Tabela1[[#This Row],[Ano Aquisição]]=2023,0,IFERROR(VLOOKUP(H98,inflação!$F:$H,3,FALSE),""))</f>
        <v>0.1585</v>
      </c>
      <c r="AA98" s="203">
        <v>0.8</v>
      </c>
      <c r="AB98" s="202">
        <f t="shared" si="103"/>
        <v>-130018.84</v>
      </c>
      <c r="AC98" s="204" t="e">
        <f t="shared" si="196"/>
        <v>#VALUE!</v>
      </c>
      <c r="AD98" s="204" t="e">
        <f t="shared" si="197"/>
        <v>#VALUE!</v>
      </c>
      <c r="AE98" s="204" t="e">
        <f t="shared" si="198"/>
        <v>#VALUE!</v>
      </c>
      <c r="AF98" s="204" t="e">
        <f t="shared" si="199"/>
        <v>#VALUE!</v>
      </c>
      <c r="AG98" s="204" t="e">
        <f t="shared" si="200"/>
        <v>#VALUE!</v>
      </c>
      <c r="AH98" s="204" t="e">
        <f t="shared" si="201"/>
        <v>#VALUE!</v>
      </c>
      <c r="AI98" s="204" t="e">
        <f t="shared" si="202"/>
        <v>#VALUE!</v>
      </c>
      <c r="AJ98" s="205">
        <f t="shared" si="105"/>
        <v>-150626.82614000002</v>
      </c>
      <c r="AK98" s="204" t="e">
        <f t="shared" si="203"/>
        <v>#VALUE!</v>
      </c>
      <c r="AL98" s="204" t="e">
        <f t="shared" si="204"/>
        <v>#VALUE!</v>
      </c>
      <c r="AM98" s="204" t="e">
        <f t="shared" si="205"/>
        <v>#VALUE!</v>
      </c>
      <c r="AN98" s="204" t="e">
        <f t="shared" si="206"/>
        <v>#VALUE!</v>
      </c>
      <c r="AO98" s="204" t="e">
        <f t="shared" si="207"/>
        <v>#VALUE!</v>
      </c>
      <c r="AP98" s="204" t="e">
        <f t="shared" si="208"/>
        <v>#VALUE!</v>
      </c>
      <c r="AQ98" s="204" t="e">
        <f t="shared" si="209"/>
        <v>#VALUE!</v>
      </c>
      <c r="AR98" s="206" t="e">
        <f t="shared" si="107"/>
        <v>#VALUE!</v>
      </c>
      <c r="AS98" s="170" t="e">
        <f t="shared" si="210"/>
        <v>#VALUE!</v>
      </c>
      <c r="AT98" s="170" t="e">
        <f t="shared" si="211"/>
        <v>#VALUE!</v>
      </c>
      <c r="AU98" s="207" t="e">
        <f t="shared" si="108"/>
        <v>#VALUE!</v>
      </c>
      <c r="AV98" s="208" t="e">
        <f t="shared" si="109"/>
        <v>#VALUE!</v>
      </c>
      <c r="AW98" s="201" t="str">
        <f t="shared" si="110"/>
        <v>Fase de Degradação</v>
      </c>
      <c r="AX98" s="253" t="e">
        <f>VLOOKUP(D98,#REF!,5,FALSE)</f>
        <v>#REF!</v>
      </c>
      <c r="AY98" s="201"/>
      <c r="AZ98" s="273" t="s">
        <v>1224</v>
      </c>
      <c r="BB98">
        <f>IFERROR(VLOOKUP(Tabela1[[#This Row],[Denominação]],[10]Planilha1!$A:$B,2,FALSE),"")</f>
        <v>26661.210000000003</v>
      </c>
    </row>
    <row r="99" spans="1:54" ht="15" hidden="1" customHeight="1" x14ac:dyDescent="0.3">
      <c r="A99" s="268">
        <v>98</v>
      </c>
      <c r="B99" s="300" t="s">
        <v>1813</v>
      </c>
      <c r="C99" s="318" t="s">
        <v>1682</v>
      </c>
      <c r="D99" s="315">
        <v>20004430</v>
      </c>
      <c r="E99" s="299" t="s">
        <v>1761</v>
      </c>
      <c r="F99" s="299">
        <v>4023</v>
      </c>
      <c r="G99" s="315">
        <v>59264</v>
      </c>
      <c r="H99" s="315">
        <v>2022</v>
      </c>
      <c r="I99" s="329">
        <v>129276.19</v>
      </c>
      <c r="J99" s="330">
        <v>126198</v>
      </c>
      <c r="K99" s="326"/>
      <c r="L99" s="319"/>
      <c r="M99" s="320">
        <v>4547</v>
      </c>
      <c r="N99" s="320"/>
      <c r="O99" s="321"/>
      <c r="P99" s="271" t="str">
        <f>IFERROR(VLOOKUP(Tabela1[[#This Row],[TAG]],#REF!,14,FALSE),"")</f>
        <v/>
      </c>
      <c r="Q99" s="323"/>
      <c r="R99" s="323"/>
      <c r="S99" s="323"/>
      <c r="T99" s="323"/>
      <c r="U99" s="323"/>
      <c r="V99" s="323"/>
      <c r="W99" s="304" t="s">
        <v>1666</v>
      </c>
      <c r="X99" s="304" t="s">
        <v>1666</v>
      </c>
      <c r="Y99" s="322"/>
      <c r="Z99" s="322">
        <f>IF(Tabela1[[#This Row],[Ano Aquisição]]=2023,0,IFERROR(VLOOKUP(H99,inflação!$F:$H,3,FALSE),""))</f>
        <v>5.79E-2</v>
      </c>
      <c r="AA99" s="322"/>
      <c r="AB99" s="310"/>
      <c r="AC99" s="323"/>
      <c r="AD99" s="323"/>
      <c r="AE99" s="323"/>
      <c r="AF99" s="323"/>
      <c r="AG99" s="323"/>
      <c r="AH99" s="323"/>
      <c r="AI99" s="323"/>
      <c r="AJ99" s="324"/>
      <c r="AK99" s="323"/>
      <c r="AL99" s="323"/>
      <c r="AM99" s="323"/>
      <c r="AN99" s="323"/>
      <c r="AO99" s="323"/>
      <c r="AP99" s="323"/>
      <c r="AQ99" s="323"/>
      <c r="AR99" s="325"/>
      <c r="AS99" s="326"/>
      <c r="AT99" s="326"/>
      <c r="AU99" s="319"/>
      <c r="AV99" s="327"/>
      <c r="AW99" s="315"/>
      <c r="AX99" s="299" t="e">
        <f>VLOOKUP(D99,#REF!,5,FALSE)</f>
        <v>#REF!</v>
      </c>
      <c r="AY99" s="315"/>
      <c r="AZ99" s="316" t="s">
        <v>1224</v>
      </c>
      <c r="BB99" t="str">
        <f>IFERROR(VLOOKUP(Tabela1[[#This Row],[Denominação]],[10]Planilha1!$A:$B,2,FALSE),"")</f>
        <v/>
      </c>
    </row>
    <row r="100" spans="1:54" ht="15" hidden="1" customHeight="1" x14ac:dyDescent="0.3">
      <c r="A100" s="253">
        <v>99</v>
      </c>
      <c r="B100" s="300" t="s">
        <v>1814</v>
      </c>
      <c r="C100" s="318" t="s">
        <v>1683</v>
      </c>
      <c r="D100" s="315">
        <v>20004431</v>
      </c>
      <c r="E100" s="299" t="s">
        <v>1761</v>
      </c>
      <c r="F100" s="299">
        <v>4023</v>
      </c>
      <c r="G100" s="315">
        <v>59257</v>
      </c>
      <c r="H100" s="315">
        <v>2022</v>
      </c>
      <c r="I100" s="329">
        <v>339264.69</v>
      </c>
      <c r="J100" s="330">
        <v>332196</v>
      </c>
      <c r="K100" s="326"/>
      <c r="L100" s="319"/>
      <c r="M100" s="320">
        <v>4547</v>
      </c>
      <c r="N100" s="320"/>
      <c r="O100" s="321"/>
      <c r="P100" s="271" t="str">
        <f>IFERROR(VLOOKUP(Tabela1[[#This Row],[TAG]],#REF!,14,FALSE),"")</f>
        <v/>
      </c>
      <c r="Q100" s="323"/>
      <c r="R100" s="323"/>
      <c r="S100" s="323"/>
      <c r="T100" s="323"/>
      <c r="U100" s="323"/>
      <c r="V100" s="323"/>
      <c r="W100" s="304" t="s">
        <v>1666</v>
      </c>
      <c r="X100" s="304" t="s">
        <v>1666</v>
      </c>
      <c r="Y100" s="322"/>
      <c r="Z100" s="322">
        <f>IF(Tabela1[[#This Row],[Ano Aquisição]]=2023,0,IFERROR(VLOOKUP(H100,inflação!$F:$H,3,FALSE),""))</f>
        <v>5.79E-2</v>
      </c>
      <c r="AA100" s="322"/>
      <c r="AB100" s="310"/>
      <c r="AC100" s="323"/>
      <c r="AD100" s="323"/>
      <c r="AE100" s="323"/>
      <c r="AF100" s="323"/>
      <c r="AG100" s="323"/>
      <c r="AH100" s="323"/>
      <c r="AI100" s="323"/>
      <c r="AJ100" s="324"/>
      <c r="AK100" s="323"/>
      <c r="AL100" s="323"/>
      <c r="AM100" s="323"/>
      <c r="AN100" s="323"/>
      <c r="AO100" s="323"/>
      <c r="AP100" s="323"/>
      <c r="AQ100" s="323"/>
      <c r="AR100" s="325"/>
      <c r="AS100" s="326"/>
      <c r="AT100" s="326"/>
      <c r="AU100" s="319"/>
      <c r="AV100" s="327"/>
      <c r="AW100" s="315"/>
      <c r="AX100" s="299" t="e">
        <f>VLOOKUP(D100,#REF!,5,FALSE)</f>
        <v>#REF!</v>
      </c>
      <c r="AY100" s="315"/>
      <c r="AZ100" s="316" t="s">
        <v>1224</v>
      </c>
      <c r="BB100" t="str">
        <f>IFERROR(VLOOKUP(Tabela1[[#This Row],[Denominação]],[10]Planilha1!$A:$B,2,FALSE),"")</f>
        <v/>
      </c>
    </row>
    <row r="101" spans="1:54" ht="15" hidden="1" customHeight="1" x14ac:dyDescent="0.3">
      <c r="A101" s="268">
        <v>100</v>
      </c>
      <c r="B101" s="300" t="s">
        <v>1815</v>
      </c>
      <c r="C101" s="318" t="s">
        <v>1684</v>
      </c>
      <c r="D101" s="315">
        <v>20004432</v>
      </c>
      <c r="E101" s="299" t="s">
        <v>1761</v>
      </c>
      <c r="F101" s="299">
        <v>4023</v>
      </c>
      <c r="G101" s="315">
        <v>59260</v>
      </c>
      <c r="H101" s="315">
        <v>2022</v>
      </c>
      <c r="I101" s="329">
        <v>293778.64</v>
      </c>
      <c r="J101" s="330">
        <v>287250</v>
      </c>
      <c r="K101" s="326"/>
      <c r="L101" s="319"/>
      <c r="M101" s="320">
        <v>4547</v>
      </c>
      <c r="N101" s="320"/>
      <c r="O101" s="321"/>
      <c r="P101" s="271" t="str">
        <f>IFERROR(VLOOKUP(Tabela1[[#This Row],[TAG]],#REF!,14,FALSE),"")</f>
        <v/>
      </c>
      <c r="Q101" s="323"/>
      <c r="R101" s="323"/>
      <c r="S101" s="323"/>
      <c r="T101" s="323"/>
      <c r="U101" s="323"/>
      <c r="V101" s="323"/>
      <c r="W101" s="304" t="s">
        <v>1666</v>
      </c>
      <c r="X101" s="304" t="s">
        <v>1666</v>
      </c>
      <c r="Y101" s="322"/>
      <c r="Z101" s="322">
        <f>IF(Tabela1[[#This Row],[Ano Aquisição]]=2023,0,IFERROR(VLOOKUP(H101,inflação!$F:$H,3,FALSE),""))</f>
        <v>5.79E-2</v>
      </c>
      <c r="AA101" s="322"/>
      <c r="AB101" s="310"/>
      <c r="AC101" s="323"/>
      <c r="AD101" s="323"/>
      <c r="AE101" s="323"/>
      <c r="AF101" s="323"/>
      <c r="AG101" s="323"/>
      <c r="AH101" s="323"/>
      <c r="AI101" s="323"/>
      <c r="AJ101" s="324"/>
      <c r="AK101" s="323"/>
      <c r="AL101" s="323"/>
      <c r="AM101" s="323"/>
      <c r="AN101" s="323"/>
      <c r="AO101" s="323"/>
      <c r="AP101" s="323"/>
      <c r="AQ101" s="323"/>
      <c r="AR101" s="325"/>
      <c r="AS101" s="326"/>
      <c r="AT101" s="326"/>
      <c r="AU101" s="319"/>
      <c r="AV101" s="327"/>
      <c r="AW101" s="315"/>
      <c r="AX101" s="299" t="e">
        <f>VLOOKUP(D101,#REF!,5,FALSE)</f>
        <v>#REF!</v>
      </c>
      <c r="AY101" s="315"/>
      <c r="AZ101" s="316" t="s">
        <v>1224</v>
      </c>
      <c r="BB101" t="str">
        <f>IFERROR(VLOOKUP(Tabela1[[#This Row],[Denominação]],[10]Planilha1!$A:$B,2,FALSE),"")</f>
        <v/>
      </c>
    </row>
    <row r="102" spans="1:54" ht="15" hidden="1" customHeight="1" x14ac:dyDescent="0.3">
      <c r="A102" s="253">
        <v>101</v>
      </c>
      <c r="B102" s="300" t="s">
        <v>1816</v>
      </c>
      <c r="C102" s="318" t="s">
        <v>1685</v>
      </c>
      <c r="D102" s="315">
        <v>20004433</v>
      </c>
      <c r="E102" s="299" t="s">
        <v>1761</v>
      </c>
      <c r="F102" s="299">
        <v>4023</v>
      </c>
      <c r="G102" s="315">
        <v>59262</v>
      </c>
      <c r="H102" s="315">
        <v>2022</v>
      </c>
      <c r="I102" s="329">
        <v>177840.39</v>
      </c>
      <c r="J102" s="330">
        <v>173888</v>
      </c>
      <c r="K102" s="326"/>
      <c r="L102" s="319"/>
      <c r="M102" s="320">
        <v>4547</v>
      </c>
      <c r="N102" s="320"/>
      <c r="O102" s="321"/>
      <c r="P102" s="271" t="str">
        <f>IFERROR(VLOOKUP(Tabela1[[#This Row],[TAG]],#REF!,14,FALSE),"")</f>
        <v/>
      </c>
      <c r="Q102" s="323"/>
      <c r="R102" s="323"/>
      <c r="S102" s="323"/>
      <c r="T102" s="323"/>
      <c r="U102" s="323"/>
      <c r="V102" s="323"/>
      <c r="W102" s="304" t="s">
        <v>1666</v>
      </c>
      <c r="X102" s="304" t="s">
        <v>1666</v>
      </c>
      <c r="Y102" s="322"/>
      <c r="Z102" s="322">
        <f>IF(Tabela1[[#This Row],[Ano Aquisição]]=2023,0,IFERROR(VLOOKUP(H102,inflação!$F:$H,3,FALSE),""))</f>
        <v>5.79E-2</v>
      </c>
      <c r="AA102" s="322"/>
      <c r="AB102" s="310"/>
      <c r="AC102" s="323"/>
      <c r="AD102" s="323"/>
      <c r="AE102" s="323"/>
      <c r="AF102" s="323"/>
      <c r="AG102" s="323"/>
      <c r="AH102" s="323"/>
      <c r="AI102" s="323"/>
      <c r="AJ102" s="324"/>
      <c r="AK102" s="323"/>
      <c r="AL102" s="323"/>
      <c r="AM102" s="323"/>
      <c r="AN102" s="323"/>
      <c r="AO102" s="323"/>
      <c r="AP102" s="323"/>
      <c r="AQ102" s="323"/>
      <c r="AR102" s="325"/>
      <c r="AS102" s="326"/>
      <c r="AT102" s="326"/>
      <c r="AU102" s="319"/>
      <c r="AV102" s="327"/>
      <c r="AW102" s="315"/>
      <c r="AX102" s="299" t="e">
        <f>VLOOKUP(D102,#REF!,5,FALSE)</f>
        <v>#REF!</v>
      </c>
      <c r="AY102" s="315"/>
      <c r="AZ102" s="316" t="s">
        <v>1224</v>
      </c>
      <c r="BB102" t="str">
        <f>IFERROR(VLOOKUP(Tabela1[[#This Row],[Denominação]],[10]Planilha1!$A:$B,2,FALSE),"")</f>
        <v/>
      </c>
    </row>
    <row r="103" spans="1:54" ht="15" hidden="1" customHeight="1" x14ac:dyDescent="0.3">
      <c r="A103" s="268">
        <v>102</v>
      </c>
      <c r="B103" s="300" t="s">
        <v>1817</v>
      </c>
      <c r="C103" s="318" t="s">
        <v>1686</v>
      </c>
      <c r="D103" s="315">
        <v>20004434</v>
      </c>
      <c r="E103" s="299" t="s">
        <v>1761</v>
      </c>
      <c r="F103" s="299">
        <v>4023</v>
      </c>
      <c r="G103" s="315">
        <v>59259</v>
      </c>
      <c r="H103" s="315">
        <v>2022</v>
      </c>
      <c r="I103" s="329">
        <v>537652.19999999995</v>
      </c>
      <c r="J103" s="330">
        <v>524947.91</v>
      </c>
      <c r="K103" s="326"/>
      <c r="L103" s="319"/>
      <c r="M103" s="320">
        <v>4547</v>
      </c>
      <c r="N103" s="320"/>
      <c r="O103" s="321"/>
      <c r="P103" s="271" t="str">
        <f>IFERROR(VLOOKUP(Tabela1[[#This Row],[TAG]],#REF!,14,FALSE),"")</f>
        <v/>
      </c>
      <c r="Q103" s="323"/>
      <c r="R103" s="323"/>
      <c r="S103" s="323"/>
      <c r="T103" s="323"/>
      <c r="U103" s="323"/>
      <c r="V103" s="323"/>
      <c r="W103" s="304" t="s">
        <v>1666</v>
      </c>
      <c r="X103" s="304" t="s">
        <v>1666</v>
      </c>
      <c r="Y103" s="322"/>
      <c r="Z103" s="322">
        <f>IF(Tabela1[[#This Row],[Ano Aquisição]]=2023,0,IFERROR(VLOOKUP(H103,inflação!$F:$H,3,FALSE),""))</f>
        <v>5.79E-2</v>
      </c>
      <c r="AA103" s="322"/>
      <c r="AB103" s="310"/>
      <c r="AC103" s="323"/>
      <c r="AD103" s="323"/>
      <c r="AE103" s="323"/>
      <c r="AF103" s="323"/>
      <c r="AG103" s="323"/>
      <c r="AH103" s="323"/>
      <c r="AI103" s="323"/>
      <c r="AJ103" s="324"/>
      <c r="AK103" s="323"/>
      <c r="AL103" s="323"/>
      <c r="AM103" s="323"/>
      <c r="AN103" s="323"/>
      <c r="AO103" s="323"/>
      <c r="AP103" s="323"/>
      <c r="AQ103" s="323"/>
      <c r="AR103" s="325"/>
      <c r="AS103" s="326"/>
      <c r="AT103" s="326"/>
      <c r="AU103" s="319"/>
      <c r="AV103" s="327"/>
      <c r="AW103" s="315"/>
      <c r="AX103" s="299" t="e">
        <f>VLOOKUP(D103,#REF!,5,FALSE)</f>
        <v>#REF!</v>
      </c>
      <c r="AY103" s="315"/>
      <c r="AZ103" s="316" t="s">
        <v>1224</v>
      </c>
      <c r="BB103" t="str">
        <f>IFERROR(VLOOKUP(Tabela1[[#This Row],[Denominação]],[10]Planilha1!$A:$B,2,FALSE),"")</f>
        <v/>
      </c>
    </row>
    <row r="104" spans="1:54" ht="15" hidden="1" customHeight="1" x14ac:dyDescent="0.3">
      <c r="A104" s="253">
        <v>103</v>
      </c>
      <c r="B104" s="300" t="s">
        <v>1818</v>
      </c>
      <c r="C104" s="318" t="s">
        <v>1687</v>
      </c>
      <c r="D104" s="315">
        <v>20004435</v>
      </c>
      <c r="E104" s="299" t="s">
        <v>1761</v>
      </c>
      <c r="F104" s="299">
        <v>4023</v>
      </c>
      <c r="G104" s="315">
        <v>59263</v>
      </c>
      <c r="H104" s="315">
        <v>2022</v>
      </c>
      <c r="I104" s="329">
        <v>183312.46</v>
      </c>
      <c r="J104" s="330">
        <v>179238</v>
      </c>
      <c r="K104" s="326"/>
      <c r="L104" s="319"/>
      <c r="M104" s="320">
        <v>4547</v>
      </c>
      <c r="N104" s="320"/>
      <c r="O104" s="321"/>
      <c r="P104" s="271" t="str">
        <f>IFERROR(VLOOKUP(Tabela1[[#This Row],[TAG]],#REF!,14,FALSE),"")</f>
        <v/>
      </c>
      <c r="Q104" s="323"/>
      <c r="R104" s="323"/>
      <c r="S104" s="323"/>
      <c r="T104" s="323"/>
      <c r="U104" s="323"/>
      <c r="V104" s="323"/>
      <c r="W104" s="304" t="s">
        <v>1666</v>
      </c>
      <c r="X104" s="304" t="s">
        <v>1666</v>
      </c>
      <c r="Y104" s="322"/>
      <c r="Z104" s="322">
        <f>IF(Tabela1[[#This Row],[Ano Aquisição]]=2023,0,IFERROR(VLOOKUP(H104,inflação!$F:$H,3,FALSE),""))</f>
        <v>5.79E-2</v>
      </c>
      <c r="AA104" s="322"/>
      <c r="AB104" s="310"/>
      <c r="AC104" s="323"/>
      <c r="AD104" s="323"/>
      <c r="AE104" s="323"/>
      <c r="AF104" s="323"/>
      <c r="AG104" s="323"/>
      <c r="AH104" s="323"/>
      <c r="AI104" s="323"/>
      <c r="AJ104" s="324"/>
      <c r="AK104" s="323"/>
      <c r="AL104" s="323"/>
      <c r="AM104" s="323"/>
      <c r="AN104" s="323"/>
      <c r="AO104" s="323"/>
      <c r="AP104" s="323"/>
      <c r="AQ104" s="323"/>
      <c r="AR104" s="325"/>
      <c r="AS104" s="326"/>
      <c r="AT104" s="326"/>
      <c r="AU104" s="319"/>
      <c r="AV104" s="327"/>
      <c r="AW104" s="315"/>
      <c r="AX104" s="299" t="e">
        <f>VLOOKUP(D104,#REF!,5,FALSE)</f>
        <v>#REF!</v>
      </c>
      <c r="AY104" s="315"/>
      <c r="AZ104" s="316" t="s">
        <v>1224</v>
      </c>
      <c r="BB104" t="str">
        <f>IFERROR(VLOOKUP(Tabela1[[#This Row],[Denominação]],[10]Planilha1!$A:$B,2,FALSE),"")</f>
        <v/>
      </c>
    </row>
    <row r="105" spans="1:54" ht="15" hidden="1" customHeight="1" x14ac:dyDescent="0.3">
      <c r="A105" s="268">
        <v>104</v>
      </c>
      <c r="B105" s="201" t="s">
        <v>956</v>
      </c>
      <c r="C105" s="211" t="s">
        <v>957</v>
      </c>
      <c r="D105" s="201">
        <v>10006423</v>
      </c>
      <c r="E105" s="253" t="s">
        <v>1277</v>
      </c>
      <c r="F105" s="253">
        <v>3342</v>
      </c>
      <c r="G105" s="201">
        <v>46814</v>
      </c>
      <c r="H105" s="201">
        <v>2016</v>
      </c>
      <c r="I105" s="216">
        <v>254328.7</v>
      </c>
      <c r="J105" s="214">
        <v>95581</v>
      </c>
      <c r="K105" s="170">
        <v>116440.29000000004</v>
      </c>
      <c r="L105" s="215">
        <v>1.17</v>
      </c>
      <c r="M105" s="212">
        <v>4800</v>
      </c>
      <c r="N105" s="212">
        <v>60425</v>
      </c>
      <c r="O105" s="171">
        <v>158</v>
      </c>
      <c r="P105" s="271" t="str">
        <f>IFERROR(VLOOKUP(Tabela1[[#This Row],[TAG]],#REF!,14,FALSE),"")</f>
        <v/>
      </c>
      <c r="Q105" s="204" t="e">
        <f>P105+P105</f>
        <v>#VALUE!</v>
      </c>
      <c r="R105" s="204" t="e">
        <f>Q105+P105</f>
        <v>#VALUE!</v>
      </c>
      <c r="S105" s="204" t="e">
        <f>R105+P105</f>
        <v>#VALUE!</v>
      </c>
      <c r="T105" s="204" t="e">
        <f>S105+P105</f>
        <v>#VALUE!</v>
      </c>
      <c r="U105" s="204" t="e">
        <f>T105+P105</f>
        <v>#VALUE!</v>
      </c>
      <c r="V105" s="204" t="e">
        <f>U105+P105</f>
        <v>#VALUE!</v>
      </c>
      <c r="W105" s="218">
        <v>382</v>
      </c>
      <c r="X105" s="218">
        <v>762.76</v>
      </c>
      <c r="Y105" s="203">
        <v>0.1</v>
      </c>
      <c r="Z105" s="203">
        <f>IF(Tabela1[[#This Row],[Ano Aquisição]]=2023,0,IFERROR(VLOOKUP(H105,inflação!$F:$H,3,FALSE),""))</f>
        <v>0.37669999999999998</v>
      </c>
      <c r="AA105" s="203">
        <v>0.8</v>
      </c>
      <c r="AB105" s="202">
        <f t="shared" ref="AB105:AB136" si="212">I105*-1</f>
        <v>-254328.7</v>
      </c>
      <c r="AC105" s="204" t="e">
        <f>-(((P105*$W105)+($X105*12))*((1+$Y105)^AC$1))</f>
        <v>#VALUE!</v>
      </c>
      <c r="AD105" s="204" t="e">
        <f t="shared" ref="AD105:AI105" si="213">-((((Q105-P105)*$W105)+($X105*12))*((1+$Y105)^AD$1))</f>
        <v>#VALUE!</v>
      </c>
      <c r="AE105" s="204" t="e">
        <f t="shared" si="213"/>
        <v>#VALUE!</v>
      </c>
      <c r="AF105" s="204" t="e">
        <f t="shared" si="213"/>
        <v>#VALUE!</v>
      </c>
      <c r="AG105" s="204" t="e">
        <f t="shared" si="213"/>
        <v>#VALUE!</v>
      </c>
      <c r="AH105" s="204" t="e">
        <f t="shared" si="213"/>
        <v>#VALUE!</v>
      </c>
      <c r="AI105" s="204" t="e">
        <f t="shared" si="213"/>
        <v>#VALUE!</v>
      </c>
      <c r="AJ105" s="205">
        <f t="shared" ref="AJ105:AJ136" si="214">-(I105*(1+Z105))</f>
        <v>-350134.32129000005</v>
      </c>
      <c r="AK105" s="204" t="e">
        <f t="shared" ref="AK105:AQ105" si="215">AC105*(1-$AA105)</f>
        <v>#VALUE!</v>
      </c>
      <c r="AL105" s="204" t="e">
        <f t="shared" si="215"/>
        <v>#VALUE!</v>
      </c>
      <c r="AM105" s="204" t="e">
        <f t="shared" si="215"/>
        <v>#VALUE!</v>
      </c>
      <c r="AN105" s="204" t="e">
        <f t="shared" si="215"/>
        <v>#VALUE!</v>
      </c>
      <c r="AO105" s="204" t="e">
        <f t="shared" si="215"/>
        <v>#VALUE!</v>
      </c>
      <c r="AP105" s="204" t="e">
        <f t="shared" si="215"/>
        <v>#VALUE!</v>
      </c>
      <c r="AQ105" s="204" t="e">
        <f t="shared" si="215"/>
        <v>#VALUE!</v>
      </c>
      <c r="AR105" s="206" t="e">
        <f t="shared" ref="AR105:AR136" si="216">(NPV(Y105,AK105,AL105,AM105,AN105,AO105,AP105,AQ105)+(SUM(AJ105,(J105*-1))))-(NPV(Y105,AC105,AD105,AE105,AF105,AG105,AH105,AI105))</f>
        <v>#VALUE!</v>
      </c>
      <c r="AS105" s="170" t="e">
        <f>SUM(AC105:AI105)</f>
        <v>#VALUE!</v>
      </c>
      <c r="AT105" s="170" t="e">
        <f>SUM(AK105:AQ105)</f>
        <v>#VALUE!</v>
      </c>
      <c r="AU105" s="207" t="e">
        <f t="shared" ref="AU105:AU136" si="217">(((AVERAGE(AC105:AI105)/1000)-(AVERAGE(AK105:AQ105)/1000))+(((AJ105/1000)*-1)/7)+((J105/1000)/7))*-1</f>
        <v>#VALUE!</v>
      </c>
      <c r="AV105" s="208" t="e">
        <f t="shared" ref="AV105:AV136" si="218">AU105/(((J105/1000)+((AJ105*-1)/1000)))</f>
        <v>#VALUE!</v>
      </c>
      <c r="AW105" s="201" t="str">
        <f t="shared" ref="AW105:AW136" si="219">IF(L105&gt;1.1,"Fase de Degradação",IF(L105&lt;1,"Confiabilidade em Crescimento","Fase de Vida Útil"))</f>
        <v>Fase de Degradação</v>
      </c>
      <c r="AX105" s="253" t="e">
        <f>VLOOKUP(D105,#REF!,5,FALSE)</f>
        <v>#REF!</v>
      </c>
      <c r="AY105" s="201"/>
      <c r="AZ105" s="273" t="s">
        <v>1224</v>
      </c>
      <c r="BB105">
        <f>IFERROR(VLOOKUP(Tabela1[[#This Row],[Denominação]],[10]Planilha1!$A:$B,2,FALSE),"")</f>
        <v>116440.29000000004</v>
      </c>
    </row>
    <row r="106" spans="1:54" ht="15" hidden="1" customHeight="1" x14ac:dyDescent="0.3">
      <c r="A106" s="253">
        <v>105</v>
      </c>
      <c r="B106" s="255" t="s">
        <v>1819</v>
      </c>
      <c r="C106" s="211" t="s">
        <v>1688</v>
      </c>
      <c r="D106" s="201">
        <v>20004225</v>
      </c>
      <c r="E106" s="253" t="s">
        <v>1762</v>
      </c>
      <c r="F106" s="253">
        <v>3342</v>
      </c>
      <c r="G106" s="201">
        <v>59292</v>
      </c>
      <c r="H106" s="201">
        <v>2023</v>
      </c>
      <c r="I106" s="216">
        <v>77707.570000000007</v>
      </c>
      <c r="J106" s="214">
        <v>76268</v>
      </c>
      <c r="K106" s="170">
        <v>40165.06</v>
      </c>
      <c r="L106" s="215">
        <v>1.01</v>
      </c>
      <c r="M106" s="212">
        <v>4800</v>
      </c>
      <c r="N106" s="212">
        <v>6526</v>
      </c>
      <c r="O106" s="171">
        <v>22</v>
      </c>
      <c r="P106" s="271" t="str">
        <f>IFERROR(VLOOKUP(Tabela1[[#This Row],[TAG]],#REF!,14,FALSE),"")</f>
        <v/>
      </c>
      <c r="Q106" s="204" t="e">
        <f>P106+P106</f>
        <v>#VALUE!</v>
      </c>
      <c r="R106" s="204" t="e">
        <f>Q106+P106</f>
        <v>#VALUE!</v>
      </c>
      <c r="S106" s="204" t="e">
        <f>R106+P106</f>
        <v>#VALUE!</v>
      </c>
      <c r="T106" s="204" t="e">
        <f>S106+P106</f>
        <v>#VALUE!</v>
      </c>
      <c r="U106" s="204" t="e">
        <f>T106+P106</f>
        <v>#VALUE!</v>
      </c>
      <c r="V106" s="204" t="e">
        <f>U106+P106</f>
        <v>#VALUE!</v>
      </c>
      <c r="W106" s="218">
        <v>955.81</v>
      </c>
      <c r="X106" s="218">
        <v>3103.88</v>
      </c>
      <c r="Y106" s="203">
        <v>0.1</v>
      </c>
      <c r="Z106" s="203">
        <f>IF(Tabela1[[#This Row],[Ano Aquisição]]=2023,0,IFERROR(VLOOKUP(H106,inflação!$F:$H,3,FALSE),""))</f>
        <v>0</v>
      </c>
      <c r="AA106" s="203">
        <v>0.8</v>
      </c>
      <c r="AB106" s="202">
        <f t="shared" si="212"/>
        <v>-77707.570000000007</v>
      </c>
      <c r="AC106" s="204" t="e">
        <f>-(((P106*$W106)+($X106*12))*((1+$Y106)^AC$1))</f>
        <v>#VALUE!</v>
      </c>
      <c r="AD106" s="204" t="e">
        <f t="shared" ref="AD106:AD126" si="220">-((((Q106-P106)*$W106)+($X106*12))*((1+$Y106)^AD$1))</f>
        <v>#VALUE!</v>
      </c>
      <c r="AE106" s="204" t="e">
        <f t="shared" ref="AE106:AE126" si="221">-((((R106-Q106)*$W106)+($X106*12))*((1+$Y106)^AE$1))</f>
        <v>#VALUE!</v>
      </c>
      <c r="AF106" s="204" t="e">
        <f t="shared" ref="AF106:AF126" si="222">-((((S106-R106)*$W106)+($X106*12))*((1+$Y106)^AF$1))</f>
        <v>#VALUE!</v>
      </c>
      <c r="AG106" s="204" t="e">
        <f t="shared" ref="AG106:AG126" si="223">-((((T106-S106)*$W106)+($X106*12))*((1+$Y106)^AG$1))</f>
        <v>#VALUE!</v>
      </c>
      <c r="AH106" s="204" t="e">
        <f t="shared" ref="AH106:AH126" si="224">-((((U106-T106)*$W106)+($X106*12))*((1+$Y106)^AH$1))</f>
        <v>#VALUE!</v>
      </c>
      <c r="AI106" s="204" t="e">
        <f t="shared" ref="AI106:AI126" si="225">-((((V106-U106)*$W106)+($X106*12))*((1+$Y106)^AI$1))</f>
        <v>#VALUE!</v>
      </c>
      <c r="AJ106" s="205">
        <f t="shared" si="214"/>
        <v>-77707.570000000007</v>
      </c>
      <c r="AK106" s="204" t="e">
        <f t="shared" ref="AK106:AK126" si="226">AC106*(1-$AA106)</f>
        <v>#VALUE!</v>
      </c>
      <c r="AL106" s="204" t="e">
        <f t="shared" ref="AL106:AL126" si="227">AD106*(1-$AA106)</f>
        <v>#VALUE!</v>
      </c>
      <c r="AM106" s="204" t="e">
        <f t="shared" ref="AM106:AM126" si="228">AE106*(1-$AA106)</f>
        <v>#VALUE!</v>
      </c>
      <c r="AN106" s="204" t="e">
        <f t="shared" ref="AN106:AN126" si="229">AF106*(1-$AA106)</f>
        <v>#VALUE!</v>
      </c>
      <c r="AO106" s="204" t="e">
        <f t="shared" ref="AO106:AO126" si="230">AG106*(1-$AA106)</f>
        <v>#VALUE!</v>
      </c>
      <c r="AP106" s="204" t="e">
        <f t="shared" ref="AP106:AP126" si="231">AH106*(1-$AA106)</f>
        <v>#VALUE!</v>
      </c>
      <c r="AQ106" s="204" t="e">
        <f t="shared" ref="AQ106:AQ126" si="232">AI106*(1-$AA106)</f>
        <v>#VALUE!</v>
      </c>
      <c r="AR106" s="206" t="e">
        <f t="shared" si="216"/>
        <v>#VALUE!</v>
      </c>
      <c r="AS106" s="170" t="e">
        <f>SUM(AC106:AI106)</f>
        <v>#VALUE!</v>
      </c>
      <c r="AT106" s="170" t="e">
        <f>SUM(AK106:AQ106)</f>
        <v>#VALUE!</v>
      </c>
      <c r="AU106" s="207" t="e">
        <f t="shared" si="217"/>
        <v>#VALUE!</v>
      </c>
      <c r="AV106" s="208" t="e">
        <f t="shared" si="218"/>
        <v>#VALUE!</v>
      </c>
      <c r="AW106" s="201" t="str">
        <f t="shared" si="219"/>
        <v>Fase de Vida Útil</v>
      </c>
      <c r="AX106" s="253" t="e">
        <f>VLOOKUP(D106,#REF!,5,FALSE)</f>
        <v>#REF!</v>
      </c>
      <c r="AY106" s="201"/>
      <c r="AZ106" s="273" t="s">
        <v>1224</v>
      </c>
      <c r="BB106">
        <f>IFERROR(VLOOKUP(Tabela1[[#This Row],[Denominação]],[10]Planilha1!$A:$B,2,FALSE),"")</f>
        <v>40165.06</v>
      </c>
    </row>
    <row r="107" spans="1:54" ht="15" hidden="1" customHeight="1" x14ac:dyDescent="0.3">
      <c r="A107" s="268">
        <v>106</v>
      </c>
      <c r="B107" s="255" t="s">
        <v>2000</v>
      </c>
      <c r="C107" s="211" t="s">
        <v>1905</v>
      </c>
      <c r="D107" s="201">
        <v>10004431</v>
      </c>
      <c r="E107" s="253" t="s">
        <v>2035</v>
      </c>
      <c r="F107" s="253">
        <v>4552</v>
      </c>
      <c r="G107" s="201">
        <v>34162</v>
      </c>
      <c r="H107" s="201">
        <v>2006</v>
      </c>
      <c r="I107" s="216">
        <v>85299.82</v>
      </c>
      <c r="J107" s="214">
        <v>1018</v>
      </c>
      <c r="K107" s="170">
        <v>749393.37000000069</v>
      </c>
      <c r="L107" s="215">
        <v>1.65</v>
      </c>
      <c r="M107" s="212">
        <v>3896</v>
      </c>
      <c r="N107" s="212">
        <v>148643</v>
      </c>
      <c r="O107" s="171">
        <v>957</v>
      </c>
      <c r="P107" s="271" t="str">
        <f>IFERROR(VLOOKUP(Tabela1[[#This Row],[TAG]],#REF!,14,FALSE),"")</f>
        <v/>
      </c>
      <c r="Q107" s="204" t="e">
        <f t="shared" ref="Q107:Q136" si="233">P107+P107</f>
        <v>#VALUE!</v>
      </c>
      <c r="R107" s="204" t="e">
        <f t="shared" ref="R107:R138" si="234">Q107+P107</f>
        <v>#VALUE!</v>
      </c>
      <c r="S107" s="204" t="e">
        <f t="shared" ref="S107:S138" si="235">R107+P107</f>
        <v>#VALUE!</v>
      </c>
      <c r="T107" s="204" t="e">
        <f t="shared" ref="T107:T138" si="236">S107+P107</f>
        <v>#VALUE!</v>
      </c>
      <c r="U107" s="204" t="e">
        <f t="shared" ref="U107:U138" si="237">T107+P107</f>
        <v>#VALUE!</v>
      </c>
      <c r="V107" s="204" t="e">
        <f t="shared" ref="V107:V138" si="238">U107+P107</f>
        <v>#VALUE!</v>
      </c>
      <c r="W107" s="218">
        <v>469.66</v>
      </c>
      <c r="X107" s="218">
        <v>2078.1799999999998</v>
      </c>
      <c r="Y107" s="203">
        <v>0.1</v>
      </c>
      <c r="Z107" s="203">
        <f>IF(Tabela1[[#This Row],[Ano Aquisição]]=2023,0,IFERROR(VLOOKUP(H107,inflação!$F:$H,3,FALSE),""))</f>
        <v>0.96719999999999995</v>
      </c>
      <c r="AA107" s="203">
        <v>0.8</v>
      </c>
      <c r="AB107" s="202">
        <f t="shared" si="212"/>
        <v>-85299.82</v>
      </c>
      <c r="AC107" s="204" t="e">
        <f t="shared" ref="AC107:AC126" si="239">-(((P107*$W107)+($X107*12))*((1+$Y107)^AC$1))</f>
        <v>#VALUE!</v>
      </c>
      <c r="AD107" s="204" t="e">
        <f t="shared" si="220"/>
        <v>#VALUE!</v>
      </c>
      <c r="AE107" s="204" t="e">
        <f t="shared" si="221"/>
        <v>#VALUE!</v>
      </c>
      <c r="AF107" s="204" t="e">
        <f t="shared" si="222"/>
        <v>#VALUE!</v>
      </c>
      <c r="AG107" s="204" t="e">
        <f t="shared" si="223"/>
        <v>#VALUE!</v>
      </c>
      <c r="AH107" s="204" t="e">
        <f t="shared" si="224"/>
        <v>#VALUE!</v>
      </c>
      <c r="AI107" s="204" t="e">
        <f t="shared" si="225"/>
        <v>#VALUE!</v>
      </c>
      <c r="AJ107" s="205">
        <f t="shared" si="214"/>
        <v>-167801.80590400001</v>
      </c>
      <c r="AK107" s="204" t="e">
        <f t="shared" si="226"/>
        <v>#VALUE!</v>
      </c>
      <c r="AL107" s="204" t="e">
        <f t="shared" si="227"/>
        <v>#VALUE!</v>
      </c>
      <c r="AM107" s="204" t="e">
        <f t="shared" si="228"/>
        <v>#VALUE!</v>
      </c>
      <c r="AN107" s="204" t="e">
        <f t="shared" si="229"/>
        <v>#VALUE!</v>
      </c>
      <c r="AO107" s="204" t="e">
        <f t="shared" si="230"/>
        <v>#VALUE!</v>
      </c>
      <c r="AP107" s="204" t="e">
        <f t="shared" si="231"/>
        <v>#VALUE!</v>
      </c>
      <c r="AQ107" s="204" t="e">
        <f t="shared" si="232"/>
        <v>#VALUE!</v>
      </c>
      <c r="AR107" s="206" t="e">
        <f t="shared" si="216"/>
        <v>#VALUE!</v>
      </c>
      <c r="AS107" s="170" t="e">
        <f t="shared" ref="AS107:AS126" si="240">SUM(AC107:AI107)</f>
        <v>#VALUE!</v>
      </c>
      <c r="AT107" s="170" t="e">
        <f t="shared" ref="AT107:AT126" si="241">SUM(AK107:AQ107)</f>
        <v>#VALUE!</v>
      </c>
      <c r="AU107" s="207" t="e">
        <f t="shared" si="217"/>
        <v>#VALUE!</v>
      </c>
      <c r="AV107" s="208" t="e">
        <f t="shared" si="218"/>
        <v>#VALUE!</v>
      </c>
      <c r="AW107" s="201" t="str">
        <f t="shared" si="219"/>
        <v>Fase de Degradação</v>
      </c>
      <c r="AX107" s="253" t="e">
        <f>VLOOKUP(D107,#REF!,5,FALSE)</f>
        <v>#REF!</v>
      </c>
      <c r="AY107" s="201"/>
      <c r="AZ107" s="273" t="s">
        <v>1224</v>
      </c>
      <c r="BB107">
        <f>IFERROR(VLOOKUP(Tabela1[[#This Row],[Denominação]],[10]Planilha1!$A:$B,2,FALSE),"")</f>
        <v>749393.37000000069</v>
      </c>
    </row>
    <row r="108" spans="1:54" ht="15" hidden="1" customHeight="1" x14ac:dyDescent="0.3">
      <c r="A108" s="253">
        <v>107</v>
      </c>
      <c r="B108" s="255" t="s">
        <v>2001</v>
      </c>
      <c r="C108" s="211" t="s">
        <v>1906</v>
      </c>
      <c r="D108" s="201">
        <v>10004432</v>
      </c>
      <c r="E108" s="253" t="s">
        <v>2036</v>
      </c>
      <c r="F108" s="253">
        <v>4552</v>
      </c>
      <c r="G108" s="201">
        <v>34161</v>
      </c>
      <c r="H108" s="201">
        <v>2006</v>
      </c>
      <c r="I108" s="216">
        <v>85299.81</v>
      </c>
      <c r="J108" s="214">
        <v>1018</v>
      </c>
      <c r="K108" s="170">
        <v>476152.33000000007</v>
      </c>
      <c r="L108" s="215">
        <v>1.58</v>
      </c>
      <c r="M108" s="212">
        <v>3896</v>
      </c>
      <c r="N108" s="212">
        <v>147095</v>
      </c>
      <c r="O108" s="171">
        <v>514</v>
      </c>
      <c r="P108" s="271" t="str">
        <f>IFERROR(VLOOKUP(Tabela1[[#This Row],[TAG]],#REF!,14,FALSE),"")</f>
        <v/>
      </c>
      <c r="Q108" s="204" t="e">
        <f>P108+P108</f>
        <v>#VALUE!</v>
      </c>
      <c r="R108" s="204" t="e">
        <f t="shared" si="234"/>
        <v>#VALUE!</v>
      </c>
      <c r="S108" s="204" t="e">
        <f t="shared" si="235"/>
        <v>#VALUE!</v>
      </c>
      <c r="T108" s="204" t="e">
        <f t="shared" si="236"/>
        <v>#VALUE!</v>
      </c>
      <c r="U108" s="204" t="e">
        <f t="shared" si="237"/>
        <v>#VALUE!</v>
      </c>
      <c r="V108" s="204" t="e">
        <f t="shared" si="238"/>
        <v>#VALUE!</v>
      </c>
      <c r="W108" s="218">
        <v>434.45</v>
      </c>
      <c r="X108" s="218">
        <v>1339.47</v>
      </c>
      <c r="Y108" s="203">
        <v>0.1</v>
      </c>
      <c r="Z108" s="203">
        <f>IF(Tabela1[[#This Row],[Ano Aquisição]]=2023,0,IFERROR(VLOOKUP(H108,inflação!$F:$H,3,FALSE),""))</f>
        <v>0.96719999999999995</v>
      </c>
      <c r="AA108" s="203">
        <v>0.8</v>
      </c>
      <c r="AB108" s="202">
        <f t="shared" si="212"/>
        <v>-85299.81</v>
      </c>
      <c r="AC108" s="204" t="e">
        <f t="shared" si="239"/>
        <v>#VALUE!</v>
      </c>
      <c r="AD108" s="204" t="e">
        <f t="shared" si="220"/>
        <v>#VALUE!</v>
      </c>
      <c r="AE108" s="204" t="e">
        <f t="shared" si="221"/>
        <v>#VALUE!</v>
      </c>
      <c r="AF108" s="204" t="e">
        <f t="shared" si="222"/>
        <v>#VALUE!</v>
      </c>
      <c r="AG108" s="204" t="e">
        <f t="shared" si="223"/>
        <v>#VALUE!</v>
      </c>
      <c r="AH108" s="204" t="e">
        <f t="shared" si="224"/>
        <v>#VALUE!</v>
      </c>
      <c r="AI108" s="204" t="e">
        <f t="shared" si="225"/>
        <v>#VALUE!</v>
      </c>
      <c r="AJ108" s="205">
        <f t="shared" si="214"/>
        <v>-167801.78623200001</v>
      </c>
      <c r="AK108" s="204" t="e">
        <f t="shared" si="226"/>
        <v>#VALUE!</v>
      </c>
      <c r="AL108" s="204" t="e">
        <f t="shared" si="227"/>
        <v>#VALUE!</v>
      </c>
      <c r="AM108" s="204" t="e">
        <f t="shared" si="228"/>
        <v>#VALUE!</v>
      </c>
      <c r="AN108" s="204" t="e">
        <f t="shared" si="229"/>
        <v>#VALUE!</v>
      </c>
      <c r="AO108" s="204" t="e">
        <f t="shared" si="230"/>
        <v>#VALUE!</v>
      </c>
      <c r="AP108" s="204" t="e">
        <f t="shared" si="231"/>
        <v>#VALUE!</v>
      </c>
      <c r="AQ108" s="204" t="e">
        <f t="shared" si="232"/>
        <v>#VALUE!</v>
      </c>
      <c r="AR108" s="206" t="e">
        <f t="shared" si="216"/>
        <v>#VALUE!</v>
      </c>
      <c r="AS108" s="170" t="e">
        <f t="shared" si="240"/>
        <v>#VALUE!</v>
      </c>
      <c r="AT108" s="170" t="e">
        <f t="shared" si="241"/>
        <v>#VALUE!</v>
      </c>
      <c r="AU108" s="207" t="e">
        <f t="shared" si="217"/>
        <v>#VALUE!</v>
      </c>
      <c r="AV108" s="208" t="e">
        <f t="shared" si="218"/>
        <v>#VALUE!</v>
      </c>
      <c r="AW108" s="201" t="str">
        <f t="shared" si="219"/>
        <v>Fase de Degradação</v>
      </c>
      <c r="AX108" s="253" t="e">
        <f>VLOOKUP(D108,#REF!,5,FALSE)</f>
        <v>#REF!</v>
      </c>
      <c r="AY108" s="201"/>
      <c r="AZ108" s="273" t="s">
        <v>1224</v>
      </c>
      <c r="BB108">
        <f>IFERROR(VLOOKUP(Tabela1[[#This Row],[Denominação]],[10]Planilha1!$A:$B,2,FALSE),"")</f>
        <v>476152.33000000007</v>
      </c>
    </row>
    <row r="109" spans="1:54" ht="15" hidden="1" customHeight="1" x14ac:dyDescent="0.3">
      <c r="A109" s="268">
        <v>108</v>
      </c>
      <c r="B109" s="255" t="s">
        <v>2002</v>
      </c>
      <c r="C109" s="211" t="s">
        <v>1907</v>
      </c>
      <c r="D109" s="201">
        <v>10004433</v>
      </c>
      <c r="E109" s="253" t="s">
        <v>2037</v>
      </c>
      <c r="F109" s="253">
        <v>4552</v>
      </c>
      <c r="G109" s="201">
        <v>34159</v>
      </c>
      <c r="H109" s="201">
        <v>2006</v>
      </c>
      <c r="I109" s="216">
        <v>85299.81</v>
      </c>
      <c r="J109" s="214">
        <v>1018</v>
      </c>
      <c r="K109" s="170">
        <v>471635.50999999995</v>
      </c>
      <c r="L109" s="215">
        <v>1.45</v>
      </c>
      <c r="M109" s="212">
        <v>3896</v>
      </c>
      <c r="N109" s="212">
        <v>149365</v>
      </c>
      <c r="O109" s="171">
        <v>554</v>
      </c>
      <c r="P109" s="271" t="str">
        <f>IFERROR(VLOOKUP(Tabela1[[#This Row],[TAG]],#REF!,14,FALSE),"")</f>
        <v/>
      </c>
      <c r="Q109" s="204" t="e">
        <f t="shared" si="233"/>
        <v>#VALUE!</v>
      </c>
      <c r="R109" s="204" t="e">
        <f t="shared" si="234"/>
        <v>#VALUE!</v>
      </c>
      <c r="S109" s="204" t="e">
        <f t="shared" si="235"/>
        <v>#VALUE!</v>
      </c>
      <c r="T109" s="204" t="e">
        <f t="shared" si="236"/>
        <v>#VALUE!</v>
      </c>
      <c r="U109" s="204" t="e">
        <f t="shared" si="237"/>
        <v>#VALUE!</v>
      </c>
      <c r="V109" s="204" t="e">
        <f t="shared" si="238"/>
        <v>#VALUE!</v>
      </c>
      <c r="W109" s="218">
        <v>410.8</v>
      </c>
      <c r="X109" s="218">
        <v>716.95</v>
      </c>
      <c r="Y109" s="203">
        <v>0.1</v>
      </c>
      <c r="Z109" s="203">
        <f>IF(Tabela1[[#This Row],[Ano Aquisição]]=2023,0,IFERROR(VLOOKUP(H109,inflação!$F:$H,3,FALSE),""))</f>
        <v>0.96719999999999995</v>
      </c>
      <c r="AA109" s="203">
        <v>0.8</v>
      </c>
      <c r="AB109" s="202">
        <f t="shared" si="212"/>
        <v>-85299.81</v>
      </c>
      <c r="AC109" s="204" t="e">
        <f t="shared" si="239"/>
        <v>#VALUE!</v>
      </c>
      <c r="AD109" s="204" t="e">
        <f t="shared" si="220"/>
        <v>#VALUE!</v>
      </c>
      <c r="AE109" s="204" t="e">
        <f t="shared" si="221"/>
        <v>#VALUE!</v>
      </c>
      <c r="AF109" s="204" t="e">
        <f t="shared" si="222"/>
        <v>#VALUE!</v>
      </c>
      <c r="AG109" s="204" t="e">
        <f t="shared" si="223"/>
        <v>#VALUE!</v>
      </c>
      <c r="AH109" s="204" t="e">
        <f t="shared" si="224"/>
        <v>#VALUE!</v>
      </c>
      <c r="AI109" s="204" t="e">
        <f t="shared" si="225"/>
        <v>#VALUE!</v>
      </c>
      <c r="AJ109" s="205">
        <f t="shared" si="214"/>
        <v>-167801.78623200001</v>
      </c>
      <c r="AK109" s="204" t="e">
        <f t="shared" si="226"/>
        <v>#VALUE!</v>
      </c>
      <c r="AL109" s="204" t="e">
        <f t="shared" si="227"/>
        <v>#VALUE!</v>
      </c>
      <c r="AM109" s="204" t="e">
        <f t="shared" si="228"/>
        <v>#VALUE!</v>
      </c>
      <c r="AN109" s="204" t="e">
        <f t="shared" si="229"/>
        <v>#VALUE!</v>
      </c>
      <c r="AO109" s="204" t="e">
        <f t="shared" si="230"/>
        <v>#VALUE!</v>
      </c>
      <c r="AP109" s="204" t="e">
        <f t="shared" si="231"/>
        <v>#VALUE!</v>
      </c>
      <c r="AQ109" s="204" t="e">
        <f t="shared" si="232"/>
        <v>#VALUE!</v>
      </c>
      <c r="AR109" s="206" t="e">
        <f t="shared" si="216"/>
        <v>#VALUE!</v>
      </c>
      <c r="AS109" s="170" t="e">
        <f t="shared" si="240"/>
        <v>#VALUE!</v>
      </c>
      <c r="AT109" s="170" t="e">
        <f t="shared" si="241"/>
        <v>#VALUE!</v>
      </c>
      <c r="AU109" s="207" t="e">
        <f t="shared" si="217"/>
        <v>#VALUE!</v>
      </c>
      <c r="AV109" s="208" t="e">
        <f t="shared" si="218"/>
        <v>#VALUE!</v>
      </c>
      <c r="AW109" s="201" t="str">
        <f t="shared" si="219"/>
        <v>Fase de Degradação</v>
      </c>
      <c r="AX109" s="253" t="e">
        <f>VLOOKUP(D109,#REF!,5,FALSE)</f>
        <v>#REF!</v>
      </c>
      <c r="AY109" s="201"/>
      <c r="AZ109" s="273" t="s">
        <v>1224</v>
      </c>
      <c r="BB109">
        <f>IFERROR(VLOOKUP(Tabela1[[#This Row],[Denominação]],[10]Planilha1!$A:$B,2,FALSE),"")</f>
        <v>471635.50999999995</v>
      </c>
    </row>
    <row r="110" spans="1:54" ht="15" hidden="1" customHeight="1" x14ac:dyDescent="0.3">
      <c r="A110" s="253">
        <v>109</v>
      </c>
      <c r="B110" s="255" t="s">
        <v>2003</v>
      </c>
      <c r="C110" s="211" t="s">
        <v>1908</v>
      </c>
      <c r="D110" s="201">
        <v>10004434</v>
      </c>
      <c r="E110" s="253" t="s">
        <v>2038</v>
      </c>
      <c r="F110" s="253">
        <v>4552</v>
      </c>
      <c r="G110" s="201">
        <v>34163</v>
      </c>
      <c r="H110" s="201">
        <v>2006</v>
      </c>
      <c r="I110" s="216">
        <v>72737.7</v>
      </c>
      <c r="J110" s="214">
        <v>868</v>
      </c>
      <c r="K110" s="170">
        <v>422651.08999999985</v>
      </c>
      <c r="L110" s="215">
        <v>1.24</v>
      </c>
      <c r="M110" s="212">
        <v>3896</v>
      </c>
      <c r="N110" s="212">
        <v>147608</v>
      </c>
      <c r="O110" s="171">
        <v>409</v>
      </c>
      <c r="P110" s="271" t="str">
        <f>IFERROR(VLOOKUP(Tabela1[[#This Row],[TAG]],#REF!,14,FALSE),"")</f>
        <v/>
      </c>
      <c r="Q110" s="204" t="e">
        <f t="shared" si="233"/>
        <v>#VALUE!</v>
      </c>
      <c r="R110" s="204" t="e">
        <f t="shared" si="234"/>
        <v>#VALUE!</v>
      </c>
      <c r="S110" s="204" t="e">
        <f t="shared" si="235"/>
        <v>#VALUE!</v>
      </c>
      <c r="T110" s="204" t="e">
        <f t="shared" si="236"/>
        <v>#VALUE!</v>
      </c>
      <c r="U110" s="204" t="e">
        <f t="shared" si="237"/>
        <v>#VALUE!</v>
      </c>
      <c r="V110" s="204" t="e">
        <f t="shared" si="238"/>
        <v>#VALUE!</v>
      </c>
      <c r="W110" s="218">
        <v>383.56</v>
      </c>
      <c r="X110" s="218">
        <v>1070.5999999999999</v>
      </c>
      <c r="Y110" s="203">
        <v>0.1</v>
      </c>
      <c r="Z110" s="203">
        <f>IF(Tabela1[[#This Row],[Ano Aquisição]]=2023,0,IFERROR(VLOOKUP(H110,inflação!$F:$H,3,FALSE),""))</f>
        <v>0.96719999999999995</v>
      </c>
      <c r="AA110" s="203">
        <v>0.8</v>
      </c>
      <c r="AB110" s="202">
        <f t="shared" si="212"/>
        <v>-72737.7</v>
      </c>
      <c r="AC110" s="204" t="e">
        <f t="shared" si="239"/>
        <v>#VALUE!</v>
      </c>
      <c r="AD110" s="204" t="e">
        <f t="shared" si="220"/>
        <v>#VALUE!</v>
      </c>
      <c r="AE110" s="204" t="e">
        <f t="shared" si="221"/>
        <v>#VALUE!</v>
      </c>
      <c r="AF110" s="204" t="e">
        <f t="shared" si="222"/>
        <v>#VALUE!</v>
      </c>
      <c r="AG110" s="204" t="e">
        <f t="shared" si="223"/>
        <v>#VALUE!</v>
      </c>
      <c r="AH110" s="204" t="e">
        <f t="shared" si="224"/>
        <v>#VALUE!</v>
      </c>
      <c r="AI110" s="204" t="e">
        <f t="shared" si="225"/>
        <v>#VALUE!</v>
      </c>
      <c r="AJ110" s="205">
        <f t="shared" si="214"/>
        <v>-143089.60344000001</v>
      </c>
      <c r="AK110" s="204" t="e">
        <f t="shared" si="226"/>
        <v>#VALUE!</v>
      </c>
      <c r="AL110" s="204" t="e">
        <f t="shared" si="227"/>
        <v>#VALUE!</v>
      </c>
      <c r="AM110" s="204" t="e">
        <f t="shared" si="228"/>
        <v>#VALUE!</v>
      </c>
      <c r="AN110" s="204" t="e">
        <f t="shared" si="229"/>
        <v>#VALUE!</v>
      </c>
      <c r="AO110" s="204" t="e">
        <f t="shared" si="230"/>
        <v>#VALUE!</v>
      </c>
      <c r="AP110" s="204" t="e">
        <f t="shared" si="231"/>
        <v>#VALUE!</v>
      </c>
      <c r="AQ110" s="204" t="e">
        <f t="shared" si="232"/>
        <v>#VALUE!</v>
      </c>
      <c r="AR110" s="206" t="e">
        <f t="shared" si="216"/>
        <v>#VALUE!</v>
      </c>
      <c r="AS110" s="170" t="e">
        <f t="shared" si="240"/>
        <v>#VALUE!</v>
      </c>
      <c r="AT110" s="170" t="e">
        <f t="shared" si="241"/>
        <v>#VALUE!</v>
      </c>
      <c r="AU110" s="207" t="e">
        <f t="shared" si="217"/>
        <v>#VALUE!</v>
      </c>
      <c r="AV110" s="208" t="e">
        <f t="shared" si="218"/>
        <v>#VALUE!</v>
      </c>
      <c r="AW110" s="201" t="str">
        <f t="shared" si="219"/>
        <v>Fase de Degradação</v>
      </c>
      <c r="AX110" s="253" t="e">
        <f>VLOOKUP(D110,#REF!,5,FALSE)</f>
        <v>#REF!</v>
      </c>
      <c r="AY110" s="201"/>
      <c r="AZ110" s="273" t="s">
        <v>1224</v>
      </c>
      <c r="BB110">
        <f>IFERROR(VLOOKUP(Tabela1[[#This Row],[Denominação]],[10]Planilha1!$A:$B,2,FALSE),"")</f>
        <v>422651.08999999985</v>
      </c>
    </row>
    <row r="111" spans="1:54" ht="15" hidden="1" customHeight="1" x14ac:dyDescent="0.3">
      <c r="A111" s="268">
        <v>110</v>
      </c>
      <c r="B111" s="255" t="s">
        <v>2004</v>
      </c>
      <c r="C111" s="211" t="s">
        <v>1909</v>
      </c>
      <c r="D111" s="201">
        <v>10004435</v>
      </c>
      <c r="E111" s="253" t="s">
        <v>2039</v>
      </c>
      <c r="F111" s="253">
        <v>4552</v>
      </c>
      <c r="G111" s="201">
        <v>34164</v>
      </c>
      <c r="H111" s="201">
        <v>2006</v>
      </c>
      <c r="I111" s="216">
        <v>72737.7</v>
      </c>
      <c r="J111" s="214">
        <v>868</v>
      </c>
      <c r="K111" s="170">
        <v>423356.85</v>
      </c>
      <c r="L111" s="215">
        <v>1.27</v>
      </c>
      <c r="M111" s="212">
        <v>3896</v>
      </c>
      <c r="N111" s="212">
        <v>147191</v>
      </c>
      <c r="O111" s="171">
        <v>418</v>
      </c>
      <c r="P111" s="271" t="str">
        <f>IFERROR(VLOOKUP(Tabela1[[#This Row],[TAG]],#REF!,14,FALSE),"")</f>
        <v/>
      </c>
      <c r="Q111" s="204" t="e">
        <f t="shared" si="233"/>
        <v>#VALUE!</v>
      </c>
      <c r="R111" s="204" t="e">
        <f t="shared" si="234"/>
        <v>#VALUE!</v>
      </c>
      <c r="S111" s="204" t="e">
        <f t="shared" si="235"/>
        <v>#VALUE!</v>
      </c>
      <c r="T111" s="204" t="e">
        <f t="shared" si="236"/>
        <v>#VALUE!</v>
      </c>
      <c r="U111" s="204" t="e">
        <f t="shared" si="237"/>
        <v>#VALUE!</v>
      </c>
      <c r="V111" s="204" t="e">
        <f t="shared" si="238"/>
        <v>#VALUE!</v>
      </c>
      <c r="W111" s="218">
        <v>527.91</v>
      </c>
      <c r="X111" s="218">
        <v>1266.53</v>
      </c>
      <c r="Y111" s="203">
        <v>0.1</v>
      </c>
      <c r="Z111" s="203">
        <f>IF(Tabela1[[#This Row],[Ano Aquisição]]=2023,0,IFERROR(VLOOKUP(H111,inflação!$F:$H,3,FALSE),""))</f>
        <v>0.96719999999999995</v>
      </c>
      <c r="AA111" s="203">
        <v>0.8</v>
      </c>
      <c r="AB111" s="202">
        <f t="shared" si="212"/>
        <v>-72737.7</v>
      </c>
      <c r="AC111" s="204" t="e">
        <f t="shared" si="239"/>
        <v>#VALUE!</v>
      </c>
      <c r="AD111" s="204" t="e">
        <f t="shared" si="220"/>
        <v>#VALUE!</v>
      </c>
      <c r="AE111" s="204" t="e">
        <f t="shared" si="221"/>
        <v>#VALUE!</v>
      </c>
      <c r="AF111" s="204" t="e">
        <f t="shared" si="222"/>
        <v>#VALUE!</v>
      </c>
      <c r="AG111" s="204" t="e">
        <f t="shared" si="223"/>
        <v>#VALUE!</v>
      </c>
      <c r="AH111" s="204" t="e">
        <f t="shared" si="224"/>
        <v>#VALUE!</v>
      </c>
      <c r="AI111" s="204" t="e">
        <f t="shared" si="225"/>
        <v>#VALUE!</v>
      </c>
      <c r="AJ111" s="205">
        <f t="shared" si="214"/>
        <v>-143089.60344000001</v>
      </c>
      <c r="AK111" s="204" t="e">
        <f t="shared" si="226"/>
        <v>#VALUE!</v>
      </c>
      <c r="AL111" s="204" t="e">
        <f t="shared" si="227"/>
        <v>#VALUE!</v>
      </c>
      <c r="AM111" s="204" t="e">
        <f t="shared" si="228"/>
        <v>#VALUE!</v>
      </c>
      <c r="AN111" s="204" t="e">
        <f t="shared" si="229"/>
        <v>#VALUE!</v>
      </c>
      <c r="AO111" s="204" t="e">
        <f t="shared" si="230"/>
        <v>#VALUE!</v>
      </c>
      <c r="AP111" s="204" t="e">
        <f t="shared" si="231"/>
        <v>#VALUE!</v>
      </c>
      <c r="AQ111" s="204" t="e">
        <f t="shared" si="232"/>
        <v>#VALUE!</v>
      </c>
      <c r="AR111" s="206" t="e">
        <f t="shared" si="216"/>
        <v>#VALUE!</v>
      </c>
      <c r="AS111" s="170" t="e">
        <f t="shared" si="240"/>
        <v>#VALUE!</v>
      </c>
      <c r="AT111" s="170" t="e">
        <f t="shared" si="241"/>
        <v>#VALUE!</v>
      </c>
      <c r="AU111" s="207" t="e">
        <f t="shared" si="217"/>
        <v>#VALUE!</v>
      </c>
      <c r="AV111" s="208" t="e">
        <f t="shared" si="218"/>
        <v>#VALUE!</v>
      </c>
      <c r="AW111" s="201" t="str">
        <f t="shared" si="219"/>
        <v>Fase de Degradação</v>
      </c>
      <c r="AX111" s="253" t="e">
        <f>VLOOKUP(D111,#REF!,5,FALSE)</f>
        <v>#REF!</v>
      </c>
      <c r="AY111" s="201"/>
      <c r="AZ111" s="273" t="s">
        <v>1224</v>
      </c>
      <c r="BB111">
        <f>IFERROR(VLOOKUP(Tabela1[[#This Row],[Denominação]],[10]Planilha1!$A:$B,2,FALSE),"")</f>
        <v>423356.85</v>
      </c>
    </row>
    <row r="112" spans="1:54" ht="15" hidden="1" customHeight="1" x14ac:dyDescent="0.3">
      <c r="A112" s="253">
        <v>111</v>
      </c>
      <c r="B112" s="255" t="s">
        <v>2005</v>
      </c>
      <c r="C112" s="211" t="s">
        <v>1910</v>
      </c>
      <c r="D112" s="201">
        <v>10005996</v>
      </c>
      <c r="E112" s="253" t="s">
        <v>2040</v>
      </c>
      <c r="F112" s="253">
        <v>4552</v>
      </c>
      <c r="G112" s="201">
        <v>41313</v>
      </c>
      <c r="H112" s="201">
        <v>2012</v>
      </c>
      <c r="I112" s="216">
        <v>92289.61</v>
      </c>
      <c r="J112" s="214">
        <v>234</v>
      </c>
      <c r="K112" s="170">
        <v>239091.45000000004</v>
      </c>
      <c r="L112" s="215">
        <v>1.28</v>
      </c>
      <c r="M112" s="212">
        <v>3896</v>
      </c>
      <c r="N112" s="212">
        <v>93653</v>
      </c>
      <c r="O112" s="171">
        <v>323</v>
      </c>
      <c r="P112" s="271" t="str">
        <f>IFERROR(VLOOKUP(Tabela1[[#This Row],[TAG]],#REF!,14,FALSE),"")</f>
        <v/>
      </c>
      <c r="Q112" s="204" t="e">
        <f t="shared" si="233"/>
        <v>#VALUE!</v>
      </c>
      <c r="R112" s="204" t="e">
        <f t="shared" si="234"/>
        <v>#VALUE!</v>
      </c>
      <c r="S112" s="204" t="e">
        <f t="shared" si="235"/>
        <v>#VALUE!</v>
      </c>
      <c r="T112" s="204" t="e">
        <f t="shared" si="236"/>
        <v>#VALUE!</v>
      </c>
      <c r="U112" s="204" t="e">
        <f t="shared" si="237"/>
        <v>#VALUE!</v>
      </c>
      <c r="V112" s="204" t="e">
        <f t="shared" si="238"/>
        <v>#VALUE!</v>
      </c>
      <c r="W112" s="218">
        <v>398.2</v>
      </c>
      <c r="X112" s="218">
        <v>1271.3</v>
      </c>
      <c r="Y112" s="203">
        <v>0.1</v>
      </c>
      <c r="Z112" s="203">
        <f>IF(Tabela1[[#This Row],[Ano Aquisição]]=2023,0,IFERROR(VLOOKUP(H112,inflação!$F:$H,3,FALSE),""))</f>
        <v>0.66500000000000004</v>
      </c>
      <c r="AA112" s="203">
        <v>0.8</v>
      </c>
      <c r="AB112" s="202">
        <f t="shared" si="212"/>
        <v>-92289.61</v>
      </c>
      <c r="AC112" s="204" t="e">
        <f t="shared" si="239"/>
        <v>#VALUE!</v>
      </c>
      <c r="AD112" s="204" t="e">
        <f t="shared" si="220"/>
        <v>#VALUE!</v>
      </c>
      <c r="AE112" s="204" t="e">
        <f t="shared" si="221"/>
        <v>#VALUE!</v>
      </c>
      <c r="AF112" s="204" t="e">
        <f t="shared" si="222"/>
        <v>#VALUE!</v>
      </c>
      <c r="AG112" s="204" t="e">
        <f t="shared" si="223"/>
        <v>#VALUE!</v>
      </c>
      <c r="AH112" s="204" t="e">
        <f t="shared" si="224"/>
        <v>#VALUE!</v>
      </c>
      <c r="AI112" s="204" t="e">
        <f t="shared" si="225"/>
        <v>#VALUE!</v>
      </c>
      <c r="AJ112" s="205">
        <f t="shared" si="214"/>
        <v>-153662.20065000001</v>
      </c>
      <c r="AK112" s="204" t="e">
        <f t="shared" si="226"/>
        <v>#VALUE!</v>
      </c>
      <c r="AL112" s="204" t="e">
        <f t="shared" si="227"/>
        <v>#VALUE!</v>
      </c>
      <c r="AM112" s="204" t="e">
        <f t="shared" si="228"/>
        <v>#VALUE!</v>
      </c>
      <c r="AN112" s="204" t="e">
        <f t="shared" si="229"/>
        <v>#VALUE!</v>
      </c>
      <c r="AO112" s="204" t="e">
        <f t="shared" si="230"/>
        <v>#VALUE!</v>
      </c>
      <c r="AP112" s="204" t="e">
        <f t="shared" si="231"/>
        <v>#VALUE!</v>
      </c>
      <c r="AQ112" s="204" t="e">
        <f t="shared" si="232"/>
        <v>#VALUE!</v>
      </c>
      <c r="AR112" s="206" t="e">
        <f t="shared" si="216"/>
        <v>#VALUE!</v>
      </c>
      <c r="AS112" s="170" t="e">
        <f t="shared" si="240"/>
        <v>#VALUE!</v>
      </c>
      <c r="AT112" s="170" t="e">
        <f t="shared" si="241"/>
        <v>#VALUE!</v>
      </c>
      <c r="AU112" s="207" t="e">
        <f t="shared" si="217"/>
        <v>#VALUE!</v>
      </c>
      <c r="AV112" s="208" t="e">
        <f t="shared" si="218"/>
        <v>#VALUE!</v>
      </c>
      <c r="AW112" s="201" t="str">
        <f t="shared" si="219"/>
        <v>Fase de Degradação</v>
      </c>
      <c r="AX112" s="253" t="e">
        <f>VLOOKUP(D112,#REF!,5,FALSE)</f>
        <v>#REF!</v>
      </c>
      <c r="AY112" s="201"/>
      <c r="AZ112" s="273" t="s">
        <v>1224</v>
      </c>
      <c r="BB112">
        <f>IFERROR(VLOOKUP(Tabela1[[#This Row],[Denominação]],[10]Planilha1!$A:$B,2,FALSE),"")</f>
        <v>239091.45000000004</v>
      </c>
    </row>
    <row r="113" spans="1:54" ht="15" hidden="1" customHeight="1" x14ac:dyDescent="0.3">
      <c r="A113" s="268">
        <v>112</v>
      </c>
      <c r="B113" s="255" t="s">
        <v>2006</v>
      </c>
      <c r="C113" s="211" t="s">
        <v>1911</v>
      </c>
      <c r="D113" s="201">
        <v>10005997</v>
      </c>
      <c r="E113" s="253" t="s">
        <v>2041</v>
      </c>
      <c r="F113" s="253">
        <v>4552</v>
      </c>
      <c r="G113" s="201">
        <v>41318</v>
      </c>
      <c r="H113" s="201">
        <v>2012</v>
      </c>
      <c r="I113" s="216">
        <v>111816.5</v>
      </c>
      <c r="J113" s="214">
        <v>0</v>
      </c>
      <c r="K113" s="170">
        <v>187460.49000000005</v>
      </c>
      <c r="L113" s="215">
        <v>1.06</v>
      </c>
      <c r="M113" s="212">
        <v>3896</v>
      </c>
      <c r="N113" s="212">
        <v>93126</v>
      </c>
      <c r="O113" s="171">
        <v>215</v>
      </c>
      <c r="P113" s="271" t="str">
        <f>IFERROR(VLOOKUP(Tabela1[[#This Row],[TAG]],#REF!,14,FALSE),"")</f>
        <v/>
      </c>
      <c r="Q113" s="204" t="e">
        <f t="shared" si="233"/>
        <v>#VALUE!</v>
      </c>
      <c r="R113" s="204" t="e">
        <f t="shared" si="234"/>
        <v>#VALUE!</v>
      </c>
      <c r="S113" s="204" t="e">
        <f t="shared" si="235"/>
        <v>#VALUE!</v>
      </c>
      <c r="T113" s="204" t="e">
        <f t="shared" si="236"/>
        <v>#VALUE!</v>
      </c>
      <c r="U113" s="204" t="e">
        <f t="shared" si="237"/>
        <v>#VALUE!</v>
      </c>
      <c r="V113" s="204" t="e">
        <f t="shared" si="238"/>
        <v>#VALUE!</v>
      </c>
      <c r="W113" s="218">
        <v>524.29999999999995</v>
      </c>
      <c r="X113" s="218">
        <v>1282.3499999999999</v>
      </c>
      <c r="Y113" s="203">
        <v>0.1</v>
      </c>
      <c r="Z113" s="203">
        <f>IF(Tabela1[[#This Row],[Ano Aquisição]]=2023,0,IFERROR(VLOOKUP(H113,inflação!$F:$H,3,FALSE),""))</f>
        <v>0.66500000000000004</v>
      </c>
      <c r="AA113" s="203">
        <v>0.8</v>
      </c>
      <c r="AB113" s="202">
        <f t="shared" si="212"/>
        <v>-111816.5</v>
      </c>
      <c r="AC113" s="204" t="e">
        <f t="shared" si="239"/>
        <v>#VALUE!</v>
      </c>
      <c r="AD113" s="204" t="e">
        <f t="shared" si="220"/>
        <v>#VALUE!</v>
      </c>
      <c r="AE113" s="204" t="e">
        <f t="shared" si="221"/>
        <v>#VALUE!</v>
      </c>
      <c r="AF113" s="204" t="e">
        <f t="shared" si="222"/>
        <v>#VALUE!</v>
      </c>
      <c r="AG113" s="204" t="e">
        <f t="shared" si="223"/>
        <v>#VALUE!</v>
      </c>
      <c r="AH113" s="204" t="e">
        <f t="shared" si="224"/>
        <v>#VALUE!</v>
      </c>
      <c r="AI113" s="204" t="e">
        <f t="shared" si="225"/>
        <v>#VALUE!</v>
      </c>
      <c r="AJ113" s="205">
        <f t="shared" si="214"/>
        <v>-186174.4725</v>
      </c>
      <c r="AK113" s="204" t="e">
        <f t="shared" si="226"/>
        <v>#VALUE!</v>
      </c>
      <c r="AL113" s="204" t="e">
        <f t="shared" si="227"/>
        <v>#VALUE!</v>
      </c>
      <c r="AM113" s="204" t="e">
        <f t="shared" si="228"/>
        <v>#VALUE!</v>
      </c>
      <c r="AN113" s="204" t="e">
        <f t="shared" si="229"/>
        <v>#VALUE!</v>
      </c>
      <c r="AO113" s="204" t="e">
        <f t="shared" si="230"/>
        <v>#VALUE!</v>
      </c>
      <c r="AP113" s="204" t="e">
        <f t="shared" si="231"/>
        <v>#VALUE!</v>
      </c>
      <c r="AQ113" s="204" t="e">
        <f t="shared" si="232"/>
        <v>#VALUE!</v>
      </c>
      <c r="AR113" s="206" t="e">
        <f t="shared" si="216"/>
        <v>#VALUE!</v>
      </c>
      <c r="AS113" s="170" t="e">
        <f t="shared" si="240"/>
        <v>#VALUE!</v>
      </c>
      <c r="AT113" s="170" t="e">
        <f t="shared" si="241"/>
        <v>#VALUE!</v>
      </c>
      <c r="AU113" s="207" t="e">
        <f t="shared" si="217"/>
        <v>#VALUE!</v>
      </c>
      <c r="AV113" s="208" t="e">
        <f t="shared" si="218"/>
        <v>#VALUE!</v>
      </c>
      <c r="AW113" s="201" t="str">
        <f t="shared" si="219"/>
        <v>Fase de Vida Útil</v>
      </c>
      <c r="AX113" s="253" t="e">
        <f>VLOOKUP(D113,#REF!,5,FALSE)</f>
        <v>#REF!</v>
      </c>
      <c r="AY113" s="201"/>
      <c r="AZ113" s="273" t="s">
        <v>1224</v>
      </c>
      <c r="BB113">
        <f>IFERROR(VLOOKUP(Tabela1[[#This Row],[Denominação]],[10]Planilha1!$A:$B,2,FALSE),"")</f>
        <v>187460.49000000005</v>
      </c>
    </row>
    <row r="114" spans="1:54" ht="15" hidden="1" customHeight="1" x14ac:dyDescent="0.3">
      <c r="A114" s="253">
        <v>113</v>
      </c>
      <c r="B114" s="255" t="s">
        <v>2007</v>
      </c>
      <c r="C114" s="211" t="s">
        <v>1912</v>
      </c>
      <c r="D114" s="201">
        <v>10005998</v>
      </c>
      <c r="E114" s="253" t="s">
        <v>2042</v>
      </c>
      <c r="F114" s="253">
        <v>4552</v>
      </c>
      <c r="G114" s="201">
        <v>41319</v>
      </c>
      <c r="H114" s="201">
        <v>2012</v>
      </c>
      <c r="I114" s="216">
        <v>111816.5</v>
      </c>
      <c r="J114" s="214">
        <v>0</v>
      </c>
      <c r="K114" s="170">
        <v>192375.51999999993</v>
      </c>
      <c r="L114" s="215">
        <v>1.5</v>
      </c>
      <c r="M114" s="212">
        <v>3896</v>
      </c>
      <c r="N114" s="212">
        <v>92808</v>
      </c>
      <c r="O114" s="171">
        <v>225</v>
      </c>
      <c r="P114" s="271" t="str">
        <f>IFERROR(VLOOKUP(Tabela1[[#This Row],[TAG]],#REF!,14,FALSE),"")</f>
        <v/>
      </c>
      <c r="Q114" s="204" t="e">
        <f t="shared" si="233"/>
        <v>#VALUE!</v>
      </c>
      <c r="R114" s="204" t="e">
        <f t="shared" si="234"/>
        <v>#VALUE!</v>
      </c>
      <c r="S114" s="204" t="e">
        <f t="shared" si="235"/>
        <v>#VALUE!</v>
      </c>
      <c r="T114" s="204" t="e">
        <f t="shared" si="236"/>
        <v>#VALUE!</v>
      </c>
      <c r="U114" s="204" t="e">
        <f t="shared" si="237"/>
        <v>#VALUE!</v>
      </c>
      <c r="V114" s="204" t="e">
        <f t="shared" si="238"/>
        <v>#VALUE!</v>
      </c>
      <c r="W114" s="218">
        <v>604.13</v>
      </c>
      <c r="X114" s="218">
        <v>1930.18</v>
      </c>
      <c r="Y114" s="203">
        <v>0.1</v>
      </c>
      <c r="Z114" s="203">
        <f>IF(Tabela1[[#This Row],[Ano Aquisição]]=2023,0,IFERROR(VLOOKUP(H114,inflação!$F:$H,3,FALSE),""))</f>
        <v>0.66500000000000004</v>
      </c>
      <c r="AA114" s="203">
        <v>0.8</v>
      </c>
      <c r="AB114" s="202">
        <f t="shared" si="212"/>
        <v>-111816.5</v>
      </c>
      <c r="AC114" s="204" t="e">
        <f t="shared" si="239"/>
        <v>#VALUE!</v>
      </c>
      <c r="AD114" s="204" t="e">
        <f t="shared" si="220"/>
        <v>#VALUE!</v>
      </c>
      <c r="AE114" s="204" t="e">
        <f t="shared" si="221"/>
        <v>#VALUE!</v>
      </c>
      <c r="AF114" s="204" t="e">
        <f t="shared" si="222"/>
        <v>#VALUE!</v>
      </c>
      <c r="AG114" s="204" t="e">
        <f t="shared" si="223"/>
        <v>#VALUE!</v>
      </c>
      <c r="AH114" s="204" t="e">
        <f t="shared" si="224"/>
        <v>#VALUE!</v>
      </c>
      <c r="AI114" s="204" t="e">
        <f t="shared" si="225"/>
        <v>#VALUE!</v>
      </c>
      <c r="AJ114" s="205">
        <f t="shared" si="214"/>
        <v>-186174.4725</v>
      </c>
      <c r="AK114" s="204" t="e">
        <f t="shared" si="226"/>
        <v>#VALUE!</v>
      </c>
      <c r="AL114" s="204" t="e">
        <f t="shared" si="227"/>
        <v>#VALUE!</v>
      </c>
      <c r="AM114" s="204" t="e">
        <f t="shared" si="228"/>
        <v>#VALUE!</v>
      </c>
      <c r="AN114" s="204" t="e">
        <f t="shared" si="229"/>
        <v>#VALUE!</v>
      </c>
      <c r="AO114" s="204" t="e">
        <f t="shared" si="230"/>
        <v>#VALUE!</v>
      </c>
      <c r="AP114" s="204" t="e">
        <f t="shared" si="231"/>
        <v>#VALUE!</v>
      </c>
      <c r="AQ114" s="204" t="e">
        <f t="shared" si="232"/>
        <v>#VALUE!</v>
      </c>
      <c r="AR114" s="206" t="e">
        <f t="shared" si="216"/>
        <v>#VALUE!</v>
      </c>
      <c r="AS114" s="170" t="e">
        <f t="shared" si="240"/>
        <v>#VALUE!</v>
      </c>
      <c r="AT114" s="170" t="e">
        <f t="shared" si="241"/>
        <v>#VALUE!</v>
      </c>
      <c r="AU114" s="207" t="e">
        <f t="shared" si="217"/>
        <v>#VALUE!</v>
      </c>
      <c r="AV114" s="208" t="e">
        <f t="shared" si="218"/>
        <v>#VALUE!</v>
      </c>
      <c r="AW114" s="201" t="str">
        <f t="shared" si="219"/>
        <v>Fase de Degradação</v>
      </c>
      <c r="AX114" s="253" t="e">
        <f>VLOOKUP(D114,#REF!,5,FALSE)</f>
        <v>#REF!</v>
      </c>
      <c r="AY114" s="201"/>
      <c r="AZ114" s="273" t="s">
        <v>1224</v>
      </c>
      <c r="BB114">
        <f>IFERROR(VLOOKUP(Tabela1[[#This Row],[Denominação]],[10]Planilha1!$A:$B,2,FALSE),"")</f>
        <v>192375.51999999993</v>
      </c>
    </row>
    <row r="115" spans="1:54" ht="15" hidden="1" customHeight="1" x14ac:dyDescent="0.3">
      <c r="A115" s="268">
        <v>114</v>
      </c>
      <c r="B115" s="255" t="s">
        <v>2008</v>
      </c>
      <c r="C115" s="211" t="s">
        <v>1913</v>
      </c>
      <c r="D115" s="201">
        <v>10005999</v>
      </c>
      <c r="E115" s="253" t="s">
        <v>2043</v>
      </c>
      <c r="F115" s="253">
        <v>4552</v>
      </c>
      <c r="G115" s="201">
        <v>41367</v>
      </c>
      <c r="H115" s="201">
        <v>2012</v>
      </c>
      <c r="I115" s="216">
        <v>133839.82</v>
      </c>
      <c r="J115" s="214">
        <v>0</v>
      </c>
      <c r="K115" s="170">
        <v>86052.340000000026</v>
      </c>
      <c r="L115" s="215">
        <v>1.74</v>
      </c>
      <c r="M115" s="212">
        <v>3896</v>
      </c>
      <c r="N115" s="212">
        <v>84392</v>
      </c>
      <c r="O115" s="171">
        <v>75</v>
      </c>
      <c r="P115" s="271" t="str">
        <f>IFERROR(VLOOKUP(Tabela1[[#This Row],[TAG]],#REF!,14,FALSE),"")</f>
        <v/>
      </c>
      <c r="Q115" s="204" t="e">
        <f>P115+P115</f>
        <v>#VALUE!</v>
      </c>
      <c r="R115" s="204" t="e">
        <f t="shared" si="234"/>
        <v>#VALUE!</v>
      </c>
      <c r="S115" s="204" t="e">
        <f t="shared" si="235"/>
        <v>#VALUE!</v>
      </c>
      <c r="T115" s="204" t="e">
        <f t="shared" si="236"/>
        <v>#VALUE!</v>
      </c>
      <c r="U115" s="204" t="e">
        <f t="shared" si="237"/>
        <v>#VALUE!</v>
      </c>
      <c r="V115" s="204" t="e">
        <f t="shared" si="238"/>
        <v>#VALUE!</v>
      </c>
      <c r="W115" s="218">
        <v>607.30999999999995</v>
      </c>
      <c r="X115" s="218">
        <v>1044.54</v>
      </c>
      <c r="Y115" s="203">
        <v>0.1</v>
      </c>
      <c r="Z115" s="203">
        <f>IF(Tabela1[[#This Row],[Ano Aquisição]]=2023,0,IFERROR(VLOOKUP(H115,inflação!$F:$H,3,FALSE),""))</f>
        <v>0.66500000000000004</v>
      </c>
      <c r="AA115" s="203">
        <v>0.8</v>
      </c>
      <c r="AB115" s="202">
        <f t="shared" si="212"/>
        <v>-133839.82</v>
      </c>
      <c r="AC115" s="204" t="e">
        <f t="shared" si="239"/>
        <v>#VALUE!</v>
      </c>
      <c r="AD115" s="204" t="e">
        <f t="shared" si="220"/>
        <v>#VALUE!</v>
      </c>
      <c r="AE115" s="204" t="e">
        <f t="shared" si="221"/>
        <v>#VALUE!</v>
      </c>
      <c r="AF115" s="204" t="e">
        <f t="shared" si="222"/>
        <v>#VALUE!</v>
      </c>
      <c r="AG115" s="204" t="e">
        <f t="shared" si="223"/>
        <v>#VALUE!</v>
      </c>
      <c r="AH115" s="204" t="e">
        <f t="shared" si="224"/>
        <v>#VALUE!</v>
      </c>
      <c r="AI115" s="204" t="e">
        <f t="shared" si="225"/>
        <v>#VALUE!</v>
      </c>
      <c r="AJ115" s="205">
        <f t="shared" si="214"/>
        <v>-222843.3003</v>
      </c>
      <c r="AK115" s="204" t="e">
        <f t="shared" si="226"/>
        <v>#VALUE!</v>
      </c>
      <c r="AL115" s="204" t="e">
        <f t="shared" si="227"/>
        <v>#VALUE!</v>
      </c>
      <c r="AM115" s="204" t="e">
        <f t="shared" si="228"/>
        <v>#VALUE!</v>
      </c>
      <c r="AN115" s="204" t="e">
        <f t="shared" si="229"/>
        <v>#VALUE!</v>
      </c>
      <c r="AO115" s="204" t="e">
        <f t="shared" si="230"/>
        <v>#VALUE!</v>
      </c>
      <c r="AP115" s="204" t="e">
        <f t="shared" si="231"/>
        <v>#VALUE!</v>
      </c>
      <c r="AQ115" s="204" t="e">
        <f t="shared" si="232"/>
        <v>#VALUE!</v>
      </c>
      <c r="AR115" s="206" t="e">
        <f t="shared" si="216"/>
        <v>#VALUE!</v>
      </c>
      <c r="AS115" s="170" t="e">
        <f t="shared" si="240"/>
        <v>#VALUE!</v>
      </c>
      <c r="AT115" s="170" t="e">
        <f t="shared" si="241"/>
        <v>#VALUE!</v>
      </c>
      <c r="AU115" s="207" t="e">
        <f t="shared" si="217"/>
        <v>#VALUE!</v>
      </c>
      <c r="AV115" s="208" t="e">
        <f t="shared" si="218"/>
        <v>#VALUE!</v>
      </c>
      <c r="AW115" s="201" t="str">
        <f t="shared" si="219"/>
        <v>Fase de Degradação</v>
      </c>
      <c r="AX115" s="253" t="e">
        <f>VLOOKUP(D115,#REF!,5,FALSE)</f>
        <v>#REF!</v>
      </c>
      <c r="AY115" s="201"/>
      <c r="AZ115" s="273" t="s">
        <v>1224</v>
      </c>
      <c r="BB115">
        <f>IFERROR(VLOOKUP(Tabela1[[#This Row],[Denominação]],[10]Planilha1!$A:$B,2,FALSE),"")</f>
        <v>86052.340000000026</v>
      </c>
    </row>
    <row r="116" spans="1:54" ht="15" hidden="1" customHeight="1" x14ac:dyDescent="0.3">
      <c r="A116" s="253">
        <v>115</v>
      </c>
      <c r="B116" s="255" t="s">
        <v>2009</v>
      </c>
      <c r="C116" s="211" t="s">
        <v>1914</v>
      </c>
      <c r="D116" s="201">
        <v>10006000</v>
      </c>
      <c r="E116" s="253" t="s">
        <v>2044</v>
      </c>
      <c r="F116" s="253">
        <v>4552</v>
      </c>
      <c r="G116" s="201">
        <v>41368</v>
      </c>
      <c r="H116" s="201">
        <v>2012</v>
      </c>
      <c r="I116" s="216">
        <v>133839.82999999999</v>
      </c>
      <c r="J116" s="214">
        <v>0</v>
      </c>
      <c r="K116" s="170">
        <v>138981.05999999997</v>
      </c>
      <c r="L116" s="215">
        <v>1.37</v>
      </c>
      <c r="M116" s="212">
        <v>3896</v>
      </c>
      <c r="N116" s="212">
        <v>90671</v>
      </c>
      <c r="O116" s="171">
        <v>210</v>
      </c>
      <c r="P116" s="271" t="str">
        <f>IFERROR(VLOOKUP(Tabela1[[#This Row],[TAG]],#REF!,14,FALSE),"")</f>
        <v/>
      </c>
      <c r="Q116" s="204" t="e">
        <f t="shared" si="233"/>
        <v>#VALUE!</v>
      </c>
      <c r="R116" s="204" t="e">
        <f t="shared" si="234"/>
        <v>#VALUE!</v>
      </c>
      <c r="S116" s="204" t="e">
        <f t="shared" si="235"/>
        <v>#VALUE!</v>
      </c>
      <c r="T116" s="204" t="e">
        <f t="shared" si="236"/>
        <v>#VALUE!</v>
      </c>
      <c r="U116" s="204" t="e">
        <f t="shared" si="237"/>
        <v>#VALUE!</v>
      </c>
      <c r="V116" s="204" t="e">
        <f t="shared" si="238"/>
        <v>#VALUE!</v>
      </c>
      <c r="W116" s="218">
        <v>500.57</v>
      </c>
      <c r="X116" s="218">
        <v>1494.92</v>
      </c>
      <c r="Y116" s="203">
        <v>0.1</v>
      </c>
      <c r="Z116" s="203">
        <f>IF(Tabela1[[#This Row],[Ano Aquisição]]=2023,0,IFERROR(VLOOKUP(H116,inflação!$F:$H,3,FALSE),""))</f>
        <v>0.66500000000000004</v>
      </c>
      <c r="AA116" s="203">
        <v>0.8</v>
      </c>
      <c r="AB116" s="202">
        <f t="shared" si="212"/>
        <v>-133839.82999999999</v>
      </c>
      <c r="AC116" s="204" t="e">
        <f t="shared" si="239"/>
        <v>#VALUE!</v>
      </c>
      <c r="AD116" s="204" t="e">
        <f t="shared" si="220"/>
        <v>#VALUE!</v>
      </c>
      <c r="AE116" s="204" t="e">
        <f t="shared" si="221"/>
        <v>#VALUE!</v>
      </c>
      <c r="AF116" s="204" t="e">
        <f t="shared" si="222"/>
        <v>#VALUE!</v>
      </c>
      <c r="AG116" s="204" t="e">
        <f t="shared" si="223"/>
        <v>#VALUE!</v>
      </c>
      <c r="AH116" s="204" t="e">
        <f t="shared" si="224"/>
        <v>#VALUE!</v>
      </c>
      <c r="AI116" s="204" t="e">
        <f t="shared" si="225"/>
        <v>#VALUE!</v>
      </c>
      <c r="AJ116" s="205">
        <f t="shared" si="214"/>
        <v>-222843.31694999998</v>
      </c>
      <c r="AK116" s="204" t="e">
        <f t="shared" si="226"/>
        <v>#VALUE!</v>
      </c>
      <c r="AL116" s="204" t="e">
        <f t="shared" si="227"/>
        <v>#VALUE!</v>
      </c>
      <c r="AM116" s="204" t="e">
        <f t="shared" si="228"/>
        <v>#VALUE!</v>
      </c>
      <c r="AN116" s="204" t="e">
        <f t="shared" si="229"/>
        <v>#VALUE!</v>
      </c>
      <c r="AO116" s="204" t="e">
        <f t="shared" si="230"/>
        <v>#VALUE!</v>
      </c>
      <c r="AP116" s="204" t="e">
        <f t="shared" si="231"/>
        <v>#VALUE!</v>
      </c>
      <c r="AQ116" s="204" t="e">
        <f t="shared" si="232"/>
        <v>#VALUE!</v>
      </c>
      <c r="AR116" s="206" t="e">
        <f t="shared" si="216"/>
        <v>#VALUE!</v>
      </c>
      <c r="AS116" s="170" t="e">
        <f t="shared" si="240"/>
        <v>#VALUE!</v>
      </c>
      <c r="AT116" s="170" t="e">
        <f t="shared" si="241"/>
        <v>#VALUE!</v>
      </c>
      <c r="AU116" s="207" t="e">
        <f t="shared" si="217"/>
        <v>#VALUE!</v>
      </c>
      <c r="AV116" s="208" t="e">
        <f t="shared" si="218"/>
        <v>#VALUE!</v>
      </c>
      <c r="AW116" s="201" t="str">
        <f t="shared" si="219"/>
        <v>Fase de Degradação</v>
      </c>
      <c r="AX116" s="253" t="e">
        <f>VLOOKUP(D116,#REF!,5,FALSE)</f>
        <v>#REF!</v>
      </c>
      <c r="AY116" s="201"/>
      <c r="AZ116" s="273" t="s">
        <v>1224</v>
      </c>
      <c r="BB116">
        <f>IFERROR(VLOOKUP(Tabela1[[#This Row],[Denominação]],[10]Planilha1!$A:$B,2,FALSE),"")</f>
        <v>138981.05999999997</v>
      </c>
    </row>
    <row r="117" spans="1:54" ht="15" hidden="1" customHeight="1" x14ac:dyDescent="0.3">
      <c r="A117" s="268">
        <v>116</v>
      </c>
      <c r="B117" s="255" t="s">
        <v>2010</v>
      </c>
      <c r="C117" s="211" t="s">
        <v>1915</v>
      </c>
      <c r="D117" s="201">
        <v>10006001</v>
      </c>
      <c r="E117" s="253" t="s">
        <v>2045</v>
      </c>
      <c r="F117" s="253">
        <v>4552</v>
      </c>
      <c r="G117" s="201">
        <v>41369</v>
      </c>
      <c r="H117" s="201">
        <v>2012</v>
      </c>
      <c r="I117" s="216">
        <v>133839.82999999999</v>
      </c>
      <c r="J117" s="214">
        <v>0</v>
      </c>
      <c r="K117" s="170">
        <v>421590.30999999971</v>
      </c>
      <c r="L117" s="215">
        <v>0.98</v>
      </c>
      <c r="M117" s="212">
        <v>3896</v>
      </c>
      <c r="N117" s="212">
        <v>93168</v>
      </c>
      <c r="O117" s="171">
        <v>341</v>
      </c>
      <c r="P117" s="271" t="str">
        <f>IFERROR(VLOOKUP(Tabela1[[#This Row],[TAG]],#REF!,14,FALSE),"")</f>
        <v/>
      </c>
      <c r="Q117" s="204" t="e">
        <f t="shared" si="233"/>
        <v>#VALUE!</v>
      </c>
      <c r="R117" s="204" t="e">
        <f t="shared" si="234"/>
        <v>#VALUE!</v>
      </c>
      <c r="S117" s="204" t="e">
        <f t="shared" si="235"/>
        <v>#VALUE!</v>
      </c>
      <c r="T117" s="204" t="e">
        <f t="shared" si="236"/>
        <v>#VALUE!</v>
      </c>
      <c r="U117" s="204" t="e">
        <f t="shared" si="237"/>
        <v>#VALUE!</v>
      </c>
      <c r="V117" s="204" t="e">
        <f t="shared" si="238"/>
        <v>#VALUE!</v>
      </c>
      <c r="W117" s="218">
        <v>700.65</v>
      </c>
      <c r="X117" s="218">
        <v>1819.78</v>
      </c>
      <c r="Y117" s="203">
        <v>0.1</v>
      </c>
      <c r="Z117" s="203">
        <f>IF(Tabela1[[#This Row],[Ano Aquisição]]=2023,0,IFERROR(VLOOKUP(H117,inflação!$F:$H,3,FALSE),""))</f>
        <v>0.66500000000000004</v>
      </c>
      <c r="AA117" s="203">
        <v>0.8</v>
      </c>
      <c r="AB117" s="202">
        <f t="shared" si="212"/>
        <v>-133839.82999999999</v>
      </c>
      <c r="AC117" s="204" t="e">
        <f t="shared" si="239"/>
        <v>#VALUE!</v>
      </c>
      <c r="AD117" s="204" t="e">
        <f t="shared" si="220"/>
        <v>#VALUE!</v>
      </c>
      <c r="AE117" s="204" t="e">
        <f t="shared" si="221"/>
        <v>#VALUE!</v>
      </c>
      <c r="AF117" s="204" t="e">
        <f t="shared" si="222"/>
        <v>#VALUE!</v>
      </c>
      <c r="AG117" s="204" t="e">
        <f t="shared" si="223"/>
        <v>#VALUE!</v>
      </c>
      <c r="AH117" s="204" t="e">
        <f t="shared" si="224"/>
        <v>#VALUE!</v>
      </c>
      <c r="AI117" s="204" t="e">
        <f t="shared" si="225"/>
        <v>#VALUE!</v>
      </c>
      <c r="AJ117" s="205">
        <f t="shared" si="214"/>
        <v>-222843.31694999998</v>
      </c>
      <c r="AK117" s="204" t="e">
        <f t="shared" si="226"/>
        <v>#VALUE!</v>
      </c>
      <c r="AL117" s="204" t="e">
        <f t="shared" si="227"/>
        <v>#VALUE!</v>
      </c>
      <c r="AM117" s="204" t="e">
        <f t="shared" si="228"/>
        <v>#VALUE!</v>
      </c>
      <c r="AN117" s="204" t="e">
        <f t="shared" si="229"/>
        <v>#VALUE!</v>
      </c>
      <c r="AO117" s="204" t="e">
        <f t="shared" si="230"/>
        <v>#VALUE!</v>
      </c>
      <c r="AP117" s="204" t="e">
        <f t="shared" si="231"/>
        <v>#VALUE!</v>
      </c>
      <c r="AQ117" s="204" t="e">
        <f t="shared" si="232"/>
        <v>#VALUE!</v>
      </c>
      <c r="AR117" s="206" t="e">
        <f t="shared" si="216"/>
        <v>#VALUE!</v>
      </c>
      <c r="AS117" s="170" t="e">
        <f t="shared" si="240"/>
        <v>#VALUE!</v>
      </c>
      <c r="AT117" s="170" t="e">
        <f t="shared" si="241"/>
        <v>#VALUE!</v>
      </c>
      <c r="AU117" s="207" t="e">
        <f t="shared" si="217"/>
        <v>#VALUE!</v>
      </c>
      <c r="AV117" s="208" t="e">
        <f t="shared" si="218"/>
        <v>#VALUE!</v>
      </c>
      <c r="AW117" s="201" t="str">
        <f t="shared" si="219"/>
        <v>Confiabilidade em Crescimento</v>
      </c>
      <c r="AX117" s="253" t="e">
        <f>VLOOKUP(D117,#REF!,5,FALSE)</f>
        <v>#REF!</v>
      </c>
      <c r="AY117" s="201"/>
      <c r="AZ117" s="273" t="s">
        <v>1224</v>
      </c>
      <c r="BB117">
        <f>IFERROR(VLOOKUP(Tabela1[[#This Row],[Denominação]],[10]Planilha1!$A:$B,2,FALSE),"")</f>
        <v>421590.30999999971</v>
      </c>
    </row>
    <row r="118" spans="1:54" ht="15" hidden="1" customHeight="1" x14ac:dyDescent="0.3">
      <c r="A118" s="253">
        <v>117</v>
      </c>
      <c r="B118" s="255" t="s">
        <v>2011</v>
      </c>
      <c r="C118" s="211" t="s">
        <v>1916</v>
      </c>
      <c r="D118" s="201">
        <v>10006002</v>
      </c>
      <c r="E118" s="253" t="s">
        <v>2046</v>
      </c>
      <c r="F118" s="253">
        <v>4552</v>
      </c>
      <c r="G118" s="201">
        <v>41370</v>
      </c>
      <c r="H118" s="201">
        <v>2012</v>
      </c>
      <c r="I118" s="216">
        <v>133839.82</v>
      </c>
      <c r="J118" s="214">
        <v>0</v>
      </c>
      <c r="K118" s="170">
        <v>371978.02999999956</v>
      </c>
      <c r="L118" s="215">
        <v>0.82</v>
      </c>
      <c r="M118" s="212">
        <v>3896</v>
      </c>
      <c r="N118" s="212">
        <v>93249</v>
      </c>
      <c r="O118" s="171">
        <v>371</v>
      </c>
      <c r="P118" s="271" t="str">
        <f>IFERROR(VLOOKUP(Tabela1[[#This Row],[TAG]],#REF!,14,FALSE),"")</f>
        <v/>
      </c>
      <c r="Q118" s="204" t="e">
        <f t="shared" si="233"/>
        <v>#VALUE!</v>
      </c>
      <c r="R118" s="204" t="e">
        <f t="shared" si="234"/>
        <v>#VALUE!</v>
      </c>
      <c r="S118" s="204" t="e">
        <f t="shared" si="235"/>
        <v>#VALUE!</v>
      </c>
      <c r="T118" s="204" t="e">
        <f t="shared" si="236"/>
        <v>#VALUE!</v>
      </c>
      <c r="U118" s="204" t="e">
        <f t="shared" si="237"/>
        <v>#VALUE!</v>
      </c>
      <c r="V118" s="204" t="e">
        <f t="shared" si="238"/>
        <v>#VALUE!</v>
      </c>
      <c r="W118" s="218">
        <v>428.22</v>
      </c>
      <c r="X118" s="218">
        <v>882.71</v>
      </c>
      <c r="Y118" s="203">
        <v>0.1</v>
      </c>
      <c r="Z118" s="203">
        <f>IF(Tabela1[[#This Row],[Ano Aquisição]]=2023,0,IFERROR(VLOOKUP(H118,inflação!$F:$H,3,FALSE),""))</f>
        <v>0.66500000000000004</v>
      </c>
      <c r="AA118" s="203">
        <v>0.8</v>
      </c>
      <c r="AB118" s="202">
        <f t="shared" si="212"/>
        <v>-133839.82</v>
      </c>
      <c r="AC118" s="204" t="e">
        <f t="shared" si="239"/>
        <v>#VALUE!</v>
      </c>
      <c r="AD118" s="204" t="e">
        <f t="shared" si="220"/>
        <v>#VALUE!</v>
      </c>
      <c r="AE118" s="204" t="e">
        <f t="shared" si="221"/>
        <v>#VALUE!</v>
      </c>
      <c r="AF118" s="204" t="e">
        <f t="shared" si="222"/>
        <v>#VALUE!</v>
      </c>
      <c r="AG118" s="204" t="e">
        <f t="shared" si="223"/>
        <v>#VALUE!</v>
      </c>
      <c r="AH118" s="204" t="e">
        <f t="shared" si="224"/>
        <v>#VALUE!</v>
      </c>
      <c r="AI118" s="204" t="e">
        <f t="shared" si="225"/>
        <v>#VALUE!</v>
      </c>
      <c r="AJ118" s="205">
        <f t="shared" si="214"/>
        <v>-222843.3003</v>
      </c>
      <c r="AK118" s="204" t="e">
        <f t="shared" si="226"/>
        <v>#VALUE!</v>
      </c>
      <c r="AL118" s="204" t="e">
        <f t="shared" si="227"/>
        <v>#VALUE!</v>
      </c>
      <c r="AM118" s="204" t="e">
        <f t="shared" si="228"/>
        <v>#VALUE!</v>
      </c>
      <c r="AN118" s="204" t="e">
        <f t="shared" si="229"/>
        <v>#VALUE!</v>
      </c>
      <c r="AO118" s="204" t="e">
        <f t="shared" si="230"/>
        <v>#VALUE!</v>
      </c>
      <c r="AP118" s="204" t="e">
        <f t="shared" si="231"/>
        <v>#VALUE!</v>
      </c>
      <c r="AQ118" s="204" t="e">
        <f t="shared" si="232"/>
        <v>#VALUE!</v>
      </c>
      <c r="AR118" s="206" t="e">
        <f t="shared" si="216"/>
        <v>#VALUE!</v>
      </c>
      <c r="AS118" s="170" t="e">
        <f t="shared" si="240"/>
        <v>#VALUE!</v>
      </c>
      <c r="AT118" s="170" t="e">
        <f t="shared" si="241"/>
        <v>#VALUE!</v>
      </c>
      <c r="AU118" s="207" t="e">
        <f t="shared" si="217"/>
        <v>#VALUE!</v>
      </c>
      <c r="AV118" s="208" t="e">
        <f t="shared" si="218"/>
        <v>#VALUE!</v>
      </c>
      <c r="AW118" s="201" t="str">
        <f t="shared" si="219"/>
        <v>Confiabilidade em Crescimento</v>
      </c>
      <c r="AX118" s="253" t="e">
        <f>VLOOKUP(D118,#REF!,5,FALSE)</f>
        <v>#REF!</v>
      </c>
      <c r="AY118" s="201"/>
      <c r="AZ118" s="273" t="s">
        <v>1224</v>
      </c>
      <c r="BB118">
        <f>IFERROR(VLOOKUP(Tabela1[[#This Row],[Denominação]],[10]Planilha1!$A:$B,2,FALSE),"")</f>
        <v>371978.02999999956</v>
      </c>
    </row>
    <row r="119" spans="1:54" ht="15" hidden="1" customHeight="1" x14ac:dyDescent="0.3">
      <c r="A119" s="268">
        <v>118</v>
      </c>
      <c r="B119" s="255" t="s">
        <v>2012</v>
      </c>
      <c r="C119" s="211" t="s">
        <v>1917</v>
      </c>
      <c r="D119" s="201">
        <v>10006003</v>
      </c>
      <c r="E119" s="253" t="s">
        <v>2047</v>
      </c>
      <c r="F119" s="253">
        <v>4552</v>
      </c>
      <c r="G119" s="201">
        <v>41371</v>
      </c>
      <c r="H119" s="201">
        <v>2012</v>
      </c>
      <c r="I119" s="216">
        <v>133839.82</v>
      </c>
      <c r="J119" s="214">
        <v>0</v>
      </c>
      <c r="K119" s="170">
        <v>209265.18999999992</v>
      </c>
      <c r="L119" s="215">
        <v>1.27</v>
      </c>
      <c r="M119" s="212">
        <v>3896</v>
      </c>
      <c r="N119" s="212">
        <v>91738</v>
      </c>
      <c r="O119" s="171">
        <v>408</v>
      </c>
      <c r="P119" s="271" t="str">
        <f>IFERROR(VLOOKUP(Tabela1[[#This Row],[TAG]],#REF!,14,FALSE),"")</f>
        <v/>
      </c>
      <c r="Q119" s="204" t="e">
        <f t="shared" si="233"/>
        <v>#VALUE!</v>
      </c>
      <c r="R119" s="204" t="e">
        <f t="shared" si="234"/>
        <v>#VALUE!</v>
      </c>
      <c r="S119" s="204" t="e">
        <f t="shared" si="235"/>
        <v>#VALUE!</v>
      </c>
      <c r="T119" s="204" t="e">
        <f t="shared" si="236"/>
        <v>#VALUE!</v>
      </c>
      <c r="U119" s="204" t="e">
        <f t="shared" si="237"/>
        <v>#VALUE!</v>
      </c>
      <c r="V119" s="204" t="e">
        <f t="shared" si="238"/>
        <v>#VALUE!</v>
      </c>
      <c r="W119" s="218">
        <v>547.82000000000005</v>
      </c>
      <c r="X119" s="218">
        <v>2746.02</v>
      </c>
      <c r="Y119" s="203">
        <v>0.1</v>
      </c>
      <c r="Z119" s="203">
        <f>IF(Tabela1[[#This Row],[Ano Aquisição]]=2023,0,IFERROR(VLOOKUP(H119,inflação!$F:$H,3,FALSE),""))</f>
        <v>0.66500000000000004</v>
      </c>
      <c r="AA119" s="203">
        <v>0.8</v>
      </c>
      <c r="AB119" s="202">
        <f t="shared" si="212"/>
        <v>-133839.82</v>
      </c>
      <c r="AC119" s="204" t="e">
        <f t="shared" si="239"/>
        <v>#VALUE!</v>
      </c>
      <c r="AD119" s="204" t="e">
        <f t="shared" si="220"/>
        <v>#VALUE!</v>
      </c>
      <c r="AE119" s="204" t="e">
        <f t="shared" si="221"/>
        <v>#VALUE!</v>
      </c>
      <c r="AF119" s="204" t="e">
        <f t="shared" si="222"/>
        <v>#VALUE!</v>
      </c>
      <c r="AG119" s="204" t="e">
        <f t="shared" si="223"/>
        <v>#VALUE!</v>
      </c>
      <c r="AH119" s="204" t="e">
        <f t="shared" si="224"/>
        <v>#VALUE!</v>
      </c>
      <c r="AI119" s="204" t="e">
        <f t="shared" si="225"/>
        <v>#VALUE!</v>
      </c>
      <c r="AJ119" s="205">
        <f t="shared" si="214"/>
        <v>-222843.3003</v>
      </c>
      <c r="AK119" s="204" t="e">
        <f t="shared" si="226"/>
        <v>#VALUE!</v>
      </c>
      <c r="AL119" s="204" t="e">
        <f t="shared" si="227"/>
        <v>#VALUE!</v>
      </c>
      <c r="AM119" s="204" t="e">
        <f t="shared" si="228"/>
        <v>#VALUE!</v>
      </c>
      <c r="AN119" s="204" t="e">
        <f t="shared" si="229"/>
        <v>#VALUE!</v>
      </c>
      <c r="AO119" s="204" t="e">
        <f t="shared" si="230"/>
        <v>#VALUE!</v>
      </c>
      <c r="AP119" s="204" t="e">
        <f t="shared" si="231"/>
        <v>#VALUE!</v>
      </c>
      <c r="AQ119" s="204" t="e">
        <f t="shared" si="232"/>
        <v>#VALUE!</v>
      </c>
      <c r="AR119" s="206" t="e">
        <f t="shared" si="216"/>
        <v>#VALUE!</v>
      </c>
      <c r="AS119" s="170" t="e">
        <f t="shared" si="240"/>
        <v>#VALUE!</v>
      </c>
      <c r="AT119" s="170" t="e">
        <f t="shared" si="241"/>
        <v>#VALUE!</v>
      </c>
      <c r="AU119" s="207" t="e">
        <f t="shared" si="217"/>
        <v>#VALUE!</v>
      </c>
      <c r="AV119" s="208" t="e">
        <f t="shared" si="218"/>
        <v>#VALUE!</v>
      </c>
      <c r="AW119" s="201" t="str">
        <f t="shared" si="219"/>
        <v>Fase de Degradação</v>
      </c>
      <c r="AX119" s="253" t="e">
        <f>VLOOKUP(D119,#REF!,5,FALSE)</f>
        <v>#REF!</v>
      </c>
      <c r="AY119" s="201"/>
      <c r="AZ119" s="273" t="s">
        <v>1224</v>
      </c>
      <c r="BB119">
        <f>IFERROR(VLOOKUP(Tabela1[[#This Row],[Denominação]],[10]Planilha1!$A:$B,2,FALSE),"")</f>
        <v>209265.18999999992</v>
      </c>
    </row>
    <row r="120" spans="1:54" ht="15" hidden="1" customHeight="1" x14ac:dyDescent="0.3">
      <c r="A120" s="253">
        <v>119</v>
      </c>
      <c r="B120" s="255" t="s">
        <v>2013</v>
      </c>
      <c r="C120" s="211" t="s">
        <v>1918</v>
      </c>
      <c r="D120" s="201">
        <v>10006493</v>
      </c>
      <c r="E120" s="253" t="s">
        <v>2048</v>
      </c>
      <c r="F120" s="253">
        <v>4552</v>
      </c>
      <c r="G120" s="201">
        <v>49004</v>
      </c>
      <c r="H120" s="201">
        <v>2017</v>
      </c>
      <c r="I120" s="216">
        <v>312988.94</v>
      </c>
      <c r="J120" s="214">
        <v>175679</v>
      </c>
      <c r="K120" s="170">
        <v>229569.63000000003</v>
      </c>
      <c r="L120" s="215">
        <v>1.08</v>
      </c>
      <c r="M120" s="212">
        <v>3896</v>
      </c>
      <c r="N120" s="212">
        <v>44248</v>
      </c>
      <c r="O120" s="171">
        <v>213</v>
      </c>
      <c r="P120" s="271" t="str">
        <f>IFERROR(VLOOKUP(Tabela1[[#This Row],[TAG]],#REF!,14,FALSE),"")</f>
        <v/>
      </c>
      <c r="Q120" s="204" t="e">
        <f>P120+P120</f>
        <v>#VALUE!</v>
      </c>
      <c r="R120" s="204" t="e">
        <f t="shared" si="234"/>
        <v>#VALUE!</v>
      </c>
      <c r="S120" s="204" t="e">
        <f t="shared" si="235"/>
        <v>#VALUE!</v>
      </c>
      <c r="T120" s="204" t="e">
        <f t="shared" si="236"/>
        <v>#VALUE!</v>
      </c>
      <c r="U120" s="204" t="e">
        <f t="shared" si="237"/>
        <v>#VALUE!</v>
      </c>
      <c r="V120" s="204" t="e">
        <f t="shared" si="238"/>
        <v>#VALUE!</v>
      </c>
      <c r="W120" s="218">
        <v>422.52</v>
      </c>
      <c r="X120" s="218">
        <v>1336.13</v>
      </c>
      <c r="Y120" s="203">
        <v>0.1</v>
      </c>
      <c r="Z120" s="203">
        <f>IF(Tabela1[[#This Row],[Ano Aquisição]]=2023,0,IFERROR(VLOOKUP(H120,inflação!$F:$H,3,FALSE),""))</f>
        <v>0.31379999999999997</v>
      </c>
      <c r="AA120" s="203">
        <v>0.8</v>
      </c>
      <c r="AB120" s="202">
        <f t="shared" si="212"/>
        <v>-312988.94</v>
      </c>
      <c r="AC120" s="204" t="e">
        <f t="shared" si="239"/>
        <v>#VALUE!</v>
      </c>
      <c r="AD120" s="204" t="e">
        <f t="shared" si="220"/>
        <v>#VALUE!</v>
      </c>
      <c r="AE120" s="204" t="e">
        <f t="shared" si="221"/>
        <v>#VALUE!</v>
      </c>
      <c r="AF120" s="204" t="e">
        <f t="shared" si="222"/>
        <v>#VALUE!</v>
      </c>
      <c r="AG120" s="204" t="e">
        <f t="shared" si="223"/>
        <v>#VALUE!</v>
      </c>
      <c r="AH120" s="204" t="e">
        <f t="shared" si="224"/>
        <v>#VALUE!</v>
      </c>
      <c r="AI120" s="204" t="e">
        <f t="shared" si="225"/>
        <v>#VALUE!</v>
      </c>
      <c r="AJ120" s="205">
        <f t="shared" si="214"/>
        <v>-411204.86937200004</v>
      </c>
      <c r="AK120" s="204" t="e">
        <f t="shared" si="226"/>
        <v>#VALUE!</v>
      </c>
      <c r="AL120" s="204" t="e">
        <f t="shared" si="227"/>
        <v>#VALUE!</v>
      </c>
      <c r="AM120" s="204" t="e">
        <f t="shared" si="228"/>
        <v>#VALUE!</v>
      </c>
      <c r="AN120" s="204" t="e">
        <f t="shared" si="229"/>
        <v>#VALUE!</v>
      </c>
      <c r="AO120" s="204" t="e">
        <f t="shared" si="230"/>
        <v>#VALUE!</v>
      </c>
      <c r="AP120" s="204" t="e">
        <f t="shared" si="231"/>
        <v>#VALUE!</v>
      </c>
      <c r="AQ120" s="204" t="e">
        <f t="shared" si="232"/>
        <v>#VALUE!</v>
      </c>
      <c r="AR120" s="206" t="e">
        <f t="shared" si="216"/>
        <v>#VALUE!</v>
      </c>
      <c r="AS120" s="170" t="e">
        <f t="shared" si="240"/>
        <v>#VALUE!</v>
      </c>
      <c r="AT120" s="170" t="e">
        <f t="shared" si="241"/>
        <v>#VALUE!</v>
      </c>
      <c r="AU120" s="207" t="e">
        <f t="shared" si="217"/>
        <v>#VALUE!</v>
      </c>
      <c r="AV120" s="208" t="e">
        <f t="shared" si="218"/>
        <v>#VALUE!</v>
      </c>
      <c r="AW120" s="201" t="str">
        <f t="shared" si="219"/>
        <v>Fase de Vida Útil</v>
      </c>
      <c r="AX120" s="253" t="e">
        <f>VLOOKUP(D120,#REF!,5,FALSE)</f>
        <v>#REF!</v>
      </c>
      <c r="AY120" s="201"/>
      <c r="AZ120" s="273" t="s">
        <v>1224</v>
      </c>
      <c r="BB120">
        <f>IFERROR(VLOOKUP(Tabela1[[#This Row],[Denominação]],[10]Planilha1!$A:$B,2,FALSE),"")</f>
        <v>229569.63000000003</v>
      </c>
    </row>
    <row r="121" spans="1:54" ht="15" hidden="1" customHeight="1" x14ac:dyDescent="0.3">
      <c r="A121" s="268">
        <v>120</v>
      </c>
      <c r="B121" s="255" t="s">
        <v>2014</v>
      </c>
      <c r="C121" s="211" t="s">
        <v>1919</v>
      </c>
      <c r="D121" s="201">
        <v>10006494</v>
      </c>
      <c r="E121" s="253" t="s">
        <v>2049</v>
      </c>
      <c r="F121" s="253">
        <v>4552</v>
      </c>
      <c r="G121" s="201">
        <v>49005</v>
      </c>
      <c r="H121" s="201">
        <v>2017</v>
      </c>
      <c r="I121" s="216">
        <v>312988.94</v>
      </c>
      <c r="J121" s="214">
        <v>175679</v>
      </c>
      <c r="K121" s="170">
        <v>284489.5</v>
      </c>
      <c r="L121" s="215">
        <v>1.51</v>
      </c>
      <c r="M121" s="212">
        <v>3896</v>
      </c>
      <c r="N121" s="212">
        <v>44992</v>
      </c>
      <c r="O121" s="171">
        <v>248</v>
      </c>
      <c r="P121" s="271" t="str">
        <f>IFERROR(VLOOKUP(Tabela1[[#This Row],[TAG]],#REF!,14,FALSE),"")</f>
        <v/>
      </c>
      <c r="Q121" s="204" t="e">
        <f t="shared" si="233"/>
        <v>#VALUE!</v>
      </c>
      <c r="R121" s="204" t="e">
        <f t="shared" si="234"/>
        <v>#VALUE!</v>
      </c>
      <c r="S121" s="204" t="e">
        <f t="shared" si="235"/>
        <v>#VALUE!</v>
      </c>
      <c r="T121" s="204" t="e">
        <f t="shared" si="236"/>
        <v>#VALUE!</v>
      </c>
      <c r="U121" s="204" t="e">
        <f t="shared" si="237"/>
        <v>#VALUE!</v>
      </c>
      <c r="V121" s="204" t="e">
        <f t="shared" si="238"/>
        <v>#VALUE!</v>
      </c>
      <c r="W121" s="218">
        <v>596.48</v>
      </c>
      <c r="X121" s="218">
        <v>2236.54</v>
      </c>
      <c r="Y121" s="203">
        <v>0.1</v>
      </c>
      <c r="Z121" s="203">
        <f>IF(Tabela1[[#This Row],[Ano Aquisição]]=2023,0,IFERROR(VLOOKUP(H121,inflação!$F:$H,3,FALSE),""))</f>
        <v>0.31379999999999997</v>
      </c>
      <c r="AA121" s="203">
        <v>0.8</v>
      </c>
      <c r="AB121" s="202">
        <f t="shared" si="212"/>
        <v>-312988.94</v>
      </c>
      <c r="AC121" s="204" t="e">
        <f t="shared" si="239"/>
        <v>#VALUE!</v>
      </c>
      <c r="AD121" s="204" t="e">
        <f t="shared" si="220"/>
        <v>#VALUE!</v>
      </c>
      <c r="AE121" s="204" t="e">
        <f t="shared" si="221"/>
        <v>#VALUE!</v>
      </c>
      <c r="AF121" s="204" t="e">
        <f t="shared" si="222"/>
        <v>#VALUE!</v>
      </c>
      <c r="AG121" s="204" t="e">
        <f t="shared" si="223"/>
        <v>#VALUE!</v>
      </c>
      <c r="AH121" s="204" t="e">
        <f t="shared" si="224"/>
        <v>#VALUE!</v>
      </c>
      <c r="AI121" s="204" t="e">
        <f t="shared" si="225"/>
        <v>#VALUE!</v>
      </c>
      <c r="AJ121" s="205">
        <f t="shared" si="214"/>
        <v>-411204.86937200004</v>
      </c>
      <c r="AK121" s="204" t="e">
        <f t="shared" si="226"/>
        <v>#VALUE!</v>
      </c>
      <c r="AL121" s="204" t="e">
        <f t="shared" si="227"/>
        <v>#VALUE!</v>
      </c>
      <c r="AM121" s="204" t="e">
        <f t="shared" si="228"/>
        <v>#VALUE!</v>
      </c>
      <c r="AN121" s="204" t="e">
        <f t="shared" si="229"/>
        <v>#VALUE!</v>
      </c>
      <c r="AO121" s="204" t="e">
        <f t="shared" si="230"/>
        <v>#VALUE!</v>
      </c>
      <c r="AP121" s="204" t="e">
        <f t="shared" si="231"/>
        <v>#VALUE!</v>
      </c>
      <c r="AQ121" s="204" t="e">
        <f t="shared" si="232"/>
        <v>#VALUE!</v>
      </c>
      <c r="AR121" s="206" t="e">
        <f t="shared" si="216"/>
        <v>#VALUE!</v>
      </c>
      <c r="AS121" s="170" t="e">
        <f t="shared" si="240"/>
        <v>#VALUE!</v>
      </c>
      <c r="AT121" s="170" t="e">
        <f t="shared" si="241"/>
        <v>#VALUE!</v>
      </c>
      <c r="AU121" s="207" t="e">
        <f t="shared" si="217"/>
        <v>#VALUE!</v>
      </c>
      <c r="AV121" s="208" t="e">
        <f t="shared" si="218"/>
        <v>#VALUE!</v>
      </c>
      <c r="AW121" s="201" t="str">
        <f t="shared" si="219"/>
        <v>Fase de Degradação</v>
      </c>
      <c r="AX121" s="253" t="e">
        <f>VLOOKUP(D121,#REF!,5,FALSE)</f>
        <v>#REF!</v>
      </c>
      <c r="AY121" s="201"/>
      <c r="AZ121" s="273" t="s">
        <v>1224</v>
      </c>
      <c r="BB121">
        <f>IFERROR(VLOOKUP(Tabela1[[#This Row],[Denominação]],[10]Planilha1!$A:$B,2,FALSE),"")</f>
        <v>284489.5</v>
      </c>
    </row>
    <row r="122" spans="1:54" ht="15" hidden="1" customHeight="1" x14ac:dyDescent="0.3">
      <c r="A122" s="253">
        <v>121</v>
      </c>
      <c r="B122" s="255" t="s">
        <v>2015</v>
      </c>
      <c r="C122" s="211" t="s">
        <v>1920</v>
      </c>
      <c r="D122" s="201">
        <v>10006004</v>
      </c>
      <c r="E122" s="253" t="s">
        <v>2050</v>
      </c>
      <c r="F122" s="253">
        <v>4552</v>
      </c>
      <c r="G122" s="201">
        <v>41359</v>
      </c>
      <c r="H122" s="201">
        <v>2012</v>
      </c>
      <c r="I122" s="216">
        <v>62084.79</v>
      </c>
      <c r="J122" s="214">
        <v>26951</v>
      </c>
      <c r="K122" s="170">
        <v>22436.62</v>
      </c>
      <c r="L122" s="215">
        <v>1.82</v>
      </c>
      <c r="M122" s="212">
        <v>3896</v>
      </c>
      <c r="N122" s="212">
        <v>93072</v>
      </c>
      <c r="O122" s="171">
        <v>40</v>
      </c>
      <c r="P122" s="271" t="str">
        <f>IFERROR(VLOOKUP(Tabela1[[#This Row],[TAG]],#REF!,14,FALSE),"")</f>
        <v/>
      </c>
      <c r="Q122" s="204" t="e">
        <f t="shared" si="233"/>
        <v>#VALUE!</v>
      </c>
      <c r="R122" s="204" t="e">
        <f t="shared" si="234"/>
        <v>#VALUE!</v>
      </c>
      <c r="S122" s="204" t="e">
        <f t="shared" si="235"/>
        <v>#VALUE!</v>
      </c>
      <c r="T122" s="204" t="e">
        <f t="shared" si="236"/>
        <v>#VALUE!</v>
      </c>
      <c r="U122" s="204" t="e">
        <f t="shared" si="237"/>
        <v>#VALUE!</v>
      </c>
      <c r="V122" s="204" t="e">
        <f t="shared" si="238"/>
        <v>#VALUE!</v>
      </c>
      <c r="W122" s="218">
        <v>326.56</v>
      </c>
      <c r="X122" s="218">
        <v>472.98</v>
      </c>
      <c r="Y122" s="203">
        <v>0.1</v>
      </c>
      <c r="Z122" s="203">
        <f>IF(Tabela1[[#This Row],[Ano Aquisição]]=2023,0,IFERROR(VLOOKUP(H122,inflação!$F:$H,3,FALSE),""))</f>
        <v>0.66500000000000004</v>
      </c>
      <c r="AA122" s="203">
        <v>0.8</v>
      </c>
      <c r="AB122" s="202">
        <f t="shared" si="212"/>
        <v>-62084.79</v>
      </c>
      <c r="AC122" s="204" t="e">
        <f t="shared" si="239"/>
        <v>#VALUE!</v>
      </c>
      <c r="AD122" s="204" t="e">
        <f t="shared" si="220"/>
        <v>#VALUE!</v>
      </c>
      <c r="AE122" s="204" t="e">
        <f t="shared" si="221"/>
        <v>#VALUE!</v>
      </c>
      <c r="AF122" s="204" t="e">
        <f t="shared" si="222"/>
        <v>#VALUE!</v>
      </c>
      <c r="AG122" s="204" t="e">
        <f t="shared" si="223"/>
        <v>#VALUE!</v>
      </c>
      <c r="AH122" s="204" t="e">
        <f t="shared" si="224"/>
        <v>#VALUE!</v>
      </c>
      <c r="AI122" s="204" t="e">
        <f t="shared" si="225"/>
        <v>#VALUE!</v>
      </c>
      <c r="AJ122" s="205">
        <f t="shared" si="214"/>
        <v>-103371.17535</v>
      </c>
      <c r="AK122" s="204" t="e">
        <f t="shared" si="226"/>
        <v>#VALUE!</v>
      </c>
      <c r="AL122" s="204" t="e">
        <f t="shared" si="227"/>
        <v>#VALUE!</v>
      </c>
      <c r="AM122" s="204" t="e">
        <f t="shared" si="228"/>
        <v>#VALUE!</v>
      </c>
      <c r="AN122" s="204" t="e">
        <f t="shared" si="229"/>
        <v>#VALUE!</v>
      </c>
      <c r="AO122" s="204" t="e">
        <f t="shared" si="230"/>
        <v>#VALUE!</v>
      </c>
      <c r="AP122" s="204" t="e">
        <f t="shared" si="231"/>
        <v>#VALUE!</v>
      </c>
      <c r="AQ122" s="204" t="e">
        <f t="shared" si="232"/>
        <v>#VALUE!</v>
      </c>
      <c r="AR122" s="206" t="e">
        <f t="shared" si="216"/>
        <v>#VALUE!</v>
      </c>
      <c r="AS122" s="170" t="e">
        <f t="shared" si="240"/>
        <v>#VALUE!</v>
      </c>
      <c r="AT122" s="170" t="e">
        <f t="shared" si="241"/>
        <v>#VALUE!</v>
      </c>
      <c r="AU122" s="207" t="e">
        <f t="shared" si="217"/>
        <v>#VALUE!</v>
      </c>
      <c r="AV122" s="208" t="e">
        <f t="shared" si="218"/>
        <v>#VALUE!</v>
      </c>
      <c r="AW122" s="201" t="str">
        <f t="shared" si="219"/>
        <v>Fase de Degradação</v>
      </c>
      <c r="AX122" s="253" t="e">
        <f>VLOOKUP(D122,#REF!,5,FALSE)</f>
        <v>#REF!</v>
      </c>
      <c r="AY122" s="201"/>
      <c r="AZ122" s="273" t="s">
        <v>1224</v>
      </c>
      <c r="BB122">
        <f>IFERROR(VLOOKUP(Tabela1[[#This Row],[Denominação]],[10]Planilha1!$A:$B,2,FALSE),"")</f>
        <v>22436.62</v>
      </c>
    </row>
    <row r="123" spans="1:54" ht="15" hidden="1" customHeight="1" x14ac:dyDescent="0.3">
      <c r="A123" s="268">
        <v>122</v>
      </c>
      <c r="B123" s="255" t="s">
        <v>2016</v>
      </c>
      <c r="C123" s="211" t="s">
        <v>1921</v>
      </c>
      <c r="D123" s="201">
        <v>10006005</v>
      </c>
      <c r="E123" s="253" t="s">
        <v>2051</v>
      </c>
      <c r="F123" s="253">
        <v>4552</v>
      </c>
      <c r="G123" s="201">
        <v>41360</v>
      </c>
      <c r="H123" s="201">
        <v>2012</v>
      </c>
      <c r="I123" s="216">
        <v>62084.79</v>
      </c>
      <c r="J123" s="214">
        <v>26951</v>
      </c>
      <c r="K123" s="170">
        <v>19421.010000000002</v>
      </c>
      <c r="L123" s="215">
        <v>1.43</v>
      </c>
      <c r="M123" s="212">
        <v>3896</v>
      </c>
      <c r="N123" s="212">
        <v>92189</v>
      </c>
      <c r="O123" s="171">
        <v>46</v>
      </c>
      <c r="P123" s="271" t="str">
        <f>IFERROR(VLOOKUP(Tabela1[[#This Row],[TAG]],#REF!,14,FALSE),"")</f>
        <v/>
      </c>
      <c r="Q123" s="204" t="e">
        <f>P123+P123</f>
        <v>#VALUE!</v>
      </c>
      <c r="R123" s="204" t="e">
        <f t="shared" si="234"/>
        <v>#VALUE!</v>
      </c>
      <c r="S123" s="204" t="e">
        <f t="shared" si="235"/>
        <v>#VALUE!</v>
      </c>
      <c r="T123" s="204" t="e">
        <f t="shared" si="236"/>
        <v>#VALUE!</v>
      </c>
      <c r="U123" s="204" t="e">
        <f t="shared" si="237"/>
        <v>#VALUE!</v>
      </c>
      <c r="V123" s="204" t="e">
        <f t="shared" si="238"/>
        <v>#VALUE!</v>
      </c>
      <c r="W123" s="218">
        <v>232.38</v>
      </c>
      <c r="X123" s="218">
        <v>242.42</v>
      </c>
      <c r="Y123" s="203">
        <v>0.1</v>
      </c>
      <c r="Z123" s="203">
        <f>IF(Tabela1[[#This Row],[Ano Aquisição]]=2023,0,IFERROR(VLOOKUP(H123,inflação!$F:$H,3,FALSE),""))</f>
        <v>0.66500000000000004</v>
      </c>
      <c r="AA123" s="203">
        <v>0.8</v>
      </c>
      <c r="AB123" s="202">
        <f t="shared" si="212"/>
        <v>-62084.79</v>
      </c>
      <c r="AC123" s="204" t="e">
        <f t="shared" si="239"/>
        <v>#VALUE!</v>
      </c>
      <c r="AD123" s="204" t="e">
        <f t="shared" si="220"/>
        <v>#VALUE!</v>
      </c>
      <c r="AE123" s="204" t="e">
        <f t="shared" si="221"/>
        <v>#VALUE!</v>
      </c>
      <c r="AF123" s="204" t="e">
        <f t="shared" si="222"/>
        <v>#VALUE!</v>
      </c>
      <c r="AG123" s="204" t="e">
        <f t="shared" si="223"/>
        <v>#VALUE!</v>
      </c>
      <c r="AH123" s="204" t="e">
        <f t="shared" si="224"/>
        <v>#VALUE!</v>
      </c>
      <c r="AI123" s="204" t="e">
        <f t="shared" si="225"/>
        <v>#VALUE!</v>
      </c>
      <c r="AJ123" s="205">
        <f t="shared" si="214"/>
        <v>-103371.17535</v>
      </c>
      <c r="AK123" s="204" t="e">
        <f t="shared" si="226"/>
        <v>#VALUE!</v>
      </c>
      <c r="AL123" s="204" t="e">
        <f t="shared" si="227"/>
        <v>#VALUE!</v>
      </c>
      <c r="AM123" s="204" t="e">
        <f t="shared" si="228"/>
        <v>#VALUE!</v>
      </c>
      <c r="AN123" s="204" t="e">
        <f t="shared" si="229"/>
        <v>#VALUE!</v>
      </c>
      <c r="AO123" s="204" t="e">
        <f t="shared" si="230"/>
        <v>#VALUE!</v>
      </c>
      <c r="AP123" s="204" t="e">
        <f t="shared" si="231"/>
        <v>#VALUE!</v>
      </c>
      <c r="AQ123" s="204" t="e">
        <f t="shared" si="232"/>
        <v>#VALUE!</v>
      </c>
      <c r="AR123" s="206" t="e">
        <f t="shared" si="216"/>
        <v>#VALUE!</v>
      </c>
      <c r="AS123" s="170" t="e">
        <f t="shared" si="240"/>
        <v>#VALUE!</v>
      </c>
      <c r="AT123" s="170" t="e">
        <f t="shared" si="241"/>
        <v>#VALUE!</v>
      </c>
      <c r="AU123" s="207" t="e">
        <f t="shared" si="217"/>
        <v>#VALUE!</v>
      </c>
      <c r="AV123" s="208" t="e">
        <f t="shared" si="218"/>
        <v>#VALUE!</v>
      </c>
      <c r="AW123" s="201" t="str">
        <f t="shared" si="219"/>
        <v>Fase de Degradação</v>
      </c>
      <c r="AX123" s="253" t="e">
        <f>VLOOKUP(D123,#REF!,5,FALSE)</f>
        <v>#REF!</v>
      </c>
      <c r="AY123" s="201"/>
      <c r="AZ123" s="273" t="s">
        <v>1224</v>
      </c>
      <c r="BB123">
        <f>IFERROR(VLOOKUP(Tabela1[[#This Row],[Denominação]],[10]Planilha1!$A:$B,2,FALSE),"")</f>
        <v>19421.010000000002</v>
      </c>
    </row>
    <row r="124" spans="1:54" ht="15" hidden="1" customHeight="1" x14ac:dyDescent="0.3">
      <c r="A124" s="253">
        <v>123</v>
      </c>
      <c r="B124" s="255" t="s">
        <v>2017</v>
      </c>
      <c r="C124" s="211" t="s">
        <v>1922</v>
      </c>
      <c r="D124" s="201">
        <v>10006006</v>
      </c>
      <c r="E124" s="253" t="s">
        <v>2052</v>
      </c>
      <c r="F124" s="253">
        <v>4552</v>
      </c>
      <c r="G124" s="201">
        <v>41361</v>
      </c>
      <c r="H124" s="201">
        <v>2012</v>
      </c>
      <c r="I124" s="216">
        <v>62084.79</v>
      </c>
      <c r="J124" s="214">
        <v>26951</v>
      </c>
      <c r="K124" s="170">
        <v>12048.7</v>
      </c>
      <c r="L124" s="215">
        <v>3.58</v>
      </c>
      <c r="M124" s="212">
        <v>3896</v>
      </c>
      <c r="N124" s="212">
        <v>87257</v>
      </c>
      <c r="O124" s="171">
        <v>27</v>
      </c>
      <c r="P124" s="271" t="str">
        <f>IFERROR(VLOOKUP(Tabela1[[#This Row],[TAG]],#REF!,14,FALSE),"")</f>
        <v/>
      </c>
      <c r="Q124" s="204" t="e">
        <f t="shared" si="233"/>
        <v>#VALUE!</v>
      </c>
      <c r="R124" s="204" t="e">
        <f t="shared" si="234"/>
        <v>#VALUE!</v>
      </c>
      <c r="S124" s="204" t="e">
        <f t="shared" si="235"/>
        <v>#VALUE!</v>
      </c>
      <c r="T124" s="204" t="e">
        <f t="shared" si="236"/>
        <v>#VALUE!</v>
      </c>
      <c r="U124" s="204" t="e">
        <f t="shared" si="237"/>
        <v>#VALUE!</v>
      </c>
      <c r="V124" s="204" t="e">
        <f t="shared" si="238"/>
        <v>#VALUE!</v>
      </c>
      <c r="W124" s="218">
        <v>263.55</v>
      </c>
      <c r="X124" s="218">
        <v>409.77</v>
      </c>
      <c r="Y124" s="203">
        <v>0.1</v>
      </c>
      <c r="Z124" s="203">
        <f>IF(Tabela1[[#This Row],[Ano Aquisição]]=2023,0,IFERROR(VLOOKUP(H124,inflação!$F:$H,3,FALSE),""))</f>
        <v>0.66500000000000004</v>
      </c>
      <c r="AA124" s="203">
        <v>0.8</v>
      </c>
      <c r="AB124" s="202">
        <f t="shared" si="212"/>
        <v>-62084.79</v>
      </c>
      <c r="AC124" s="204" t="e">
        <f t="shared" si="239"/>
        <v>#VALUE!</v>
      </c>
      <c r="AD124" s="204" t="e">
        <f t="shared" si="220"/>
        <v>#VALUE!</v>
      </c>
      <c r="AE124" s="204" t="e">
        <f t="shared" si="221"/>
        <v>#VALUE!</v>
      </c>
      <c r="AF124" s="204" t="e">
        <f t="shared" si="222"/>
        <v>#VALUE!</v>
      </c>
      <c r="AG124" s="204" t="e">
        <f t="shared" si="223"/>
        <v>#VALUE!</v>
      </c>
      <c r="AH124" s="204" t="e">
        <f t="shared" si="224"/>
        <v>#VALUE!</v>
      </c>
      <c r="AI124" s="204" t="e">
        <f t="shared" si="225"/>
        <v>#VALUE!</v>
      </c>
      <c r="AJ124" s="205">
        <f t="shared" si="214"/>
        <v>-103371.17535</v>
      </c>
      <c r="AK124" s="204" t="e">
        <f t="shared" si="226"/>
        <v>#VALUE!</v>
      </c>
      <c r="AL124" s="204" t="e">
        <f t="shared" si="227"/>
        <v>#VALUE!</v>
      </c>
      <c r="AM124" s="204" t="e">
        <f t="shared" si="228"/>
        <v>#VALUE!</v>
      </c>
      <c r="AN124" s="204" t="e">
        <f t="shared" si="229"/>
        <v>#VALUE!</v>
      </c>
      <c r="AO124" s="204" t="e">
        <f t="shared" si="230"/>
        <v>#VALUE!</v>
      </c>
      <c r="AP124" s="204" t="e">
        <f t="shared" si="231"/>
        <v>#VALUE!</v>
      </c>
      <c r="AQ124" s="204" t="e">
        <f t="shared" si="232"/>
        <v>#VALUE!</v>
      </c>
      <c r="AR124" s="206" t="e">
        <f t="shared" si="216"/>
        <v>#VALUE!</v>
      </c>
      <c r="AS124" s="170" t="e">
        <f t="shared" si="240"/>
        <v>#VALUE!</v>
      </c>
      <c r="AT124" s="170" t="e">
        <f t="shared" si="241"/>
        <v>#VALUE!</v>
      </c>
      <c r="AU124" s="207" t="e">
        <f t="shared" si="217"/>
        <v>#VALUE!</v>
      </c>
      <c r="AV124" s="208" t="e">
        <f t="shared" si="218"/>
        <v>#VALUE!</v>
      </c>
      <c r="AW124" s="201" t="str">
        <f t="shared" si="219"/>
        <v>Fase de Degradação</v>
      </c>
      <c r="AX124" s="253" t="e">
        <f>VLOOKUP(D124,#REF!,5,FALSE)</f>
        <v>#REF!</v>
      </c>
      <c r="AY124" s="201"/>
      <c r="AZ124" s="273" t="s">
        <v>1224</v>
      </c>
      <c r="BB124">
        <f>IFERROR(VLOOKUP(Tabela1[[#This Row],[Denominação]],[10]Planilha1!$A:$B,2,FALSE),"")</f>
        <v>12048.7</v>
      </c>
    </row>
    <row r="125" spans="1:54" ht="15" hidden="1" customHeight="1" x14ac:dyDescent="0.3">
      <c r="A125" s="268">
        <v>124</v>
      </c>
      <c r="B125" s="255" t="s">
        <v>2018</v>
      </c>
      <c r="C125" s="211" t="s">
        <v>1923</v>
      </c>
      <c r="D125" s="201">
        <v>10006849</v>
      </c>
      <c r="E125" s="253" t="s">
        <v>2053</v>
      </c>
      <c r="F125" s="253">
        <v>4552</v>
      </c>
      <c r="G125" s="201">
        <v>59233</v>
      </c>
      <c r="H125" s="201">
        <v>2022</v>
      </c>
      <c r="I125" s="216">
        <v>933346.58</v>
      </c>
      <c r="J125" s="214">
        <v>916062</v>
      </c>
      <c r="K125" s="170">
        <v>2745.51</v>
      </c>
      <c r="L125" s="215">
        <v>1.25</v>
      </c>
      <c r="M125" s="212">
        <v>3896</v>
      </c>
      <c r="N125" s="212">
        <v>1405</v>
      </c>
      <c r="O125" s="171">
        <v>5</v>
      </c>
      <c r="P125" s="271" t="str">
        <f>IFERROR(VLOOKUP(Tabela1[[#This Row],[TAG]],#REF!,14,FALSE),"")</f>
        <v/>
      </c>
      <c r="Q125" s="204" t="e">
        <f>P125+P125</f>
        <v>#VALUE!</v>
      </c>
      <c r="R125" s="204" t="e">
        <f t="shared" si="234"/>
        <v>#VALUE!</v>
      </c>
      <c r="S125" s="204" t="e">
        <f t="shared" si="235"/>
        <v>#VALUE!</v>
      </c>
      <c r="T125" s="204" t="e">
        <f t="shared" si="236"/>
        <v>#VALUE!</v>
      </c>
      <c r="U125" s="204" t="e">
        <f t="shared" si="237"/>
        <v>#VALUE!</v>
      </c>
      <c r="V125" s="204" t="e">
        <f t="shared" si="238"/>
        <v>#VALUE!</v>
      </c>
      <c r="W125" s="218">
        <v>660.05</v>
      </c>
      <c r="X125" s="218">
        <v>901.88</v>
      </c>
      <c r="Y125" s="203">
        <v>0.1</v>
      </c>
      <c r="Z125" s="203">
        <f>IF(Tabela1[[#This Row],[Ano Aquisição]]=2023,0,IFERROR(VLOOKUP(H125,inflação!$F:$H,3,FALSE),""))</f>
        <v>5.79E-2</v>
      </c>
      <c r="AA125" s="203">
        <v>0.8</v>
      </c>
      <c r="AB125" s="202">
        <f t="shared" si="212"/>
        <v>-933346.58</v>
      </c>
      <c r="AC125" s="204" t="e">
        <f t="shared" si="239"/>
        <v>#VALUE!</v>
      </c>
      <c r="AD125" s="204" t="e">
        <f t="shared" si="220"/>
        <v>#VALUE!</v>
      </c>
      <c r="AE125" s="204" t="e">
        <f t="shared" si="221"/>
        <v>#VALUE!</v>
      </c>
      <c r="AF125" s="204" t="e">
        <f t="shared" si="222"/>
        <v>#VALUE!</v>
      </c>
      <c r="AG125" s="204" t="e">
        <f t="shared" si="223"/>
        <v>#VALUE!</v>
      </c>
      <c r="AH125" s="204" t="e">
        <f t="shared" si="224"/>
        <v>#VALUE!</v>
      </c>
      <c r="AI125" s="204" t="e">
        <f t="shared" si="225"/>
        <v>#VALUE!</v>
      </c>
      <c r="AJ125" s="205">
        <f t="shared" si="214"/>
        <v>-987387.34698200005</v>
      </c>
      <c r="AK125" s="204" t="e">
        <f t="shared" si="226"/>
        <v>#VALUE!</v>
      </c>
      <c r="AL125" s="204" t="e">
        <f t="shared" si="227"/>
        <v>#VALUE!</v>
      </c>
      <c r="AM125" s="204" t="e">
        <f t="shared" si="228"/>
        <v>#VALUE!</v>
      </c>
      <c r="AN125" s="204" t="e">
        <f t="shared" si="229"/>
        <v>#VALUE!</v>
      </c>
      <c r="AO125" s="204" t="e">
        <f t="shared" si="230"/>
        <v>#VALUE!</v>
      </c>
      <c r="AP125" s="204" t="e">
        <f t="shared" si="231"/>
        <v>#VALUE!</v>
      </c>
      <c r="AQ125" s="204" t="e">
        <f t="shared" si="232"/>
        <v>#VALUE!</v>
      </c>
      <c r="AR125" s="206" t="e">
        <f t="shared" si="216"/>
        <v>#VALUE!</v>
      </c>
      <c r="AS125" s="170" t="e">
        <f t="shared" si="240"/>
        <v>#VALUE!</v>
      </c>
      <c r="AT125" s="170" t="e">
        <f t="shared" si="241"/>
        <v>#VALUE!</v>
      </c>
      <c r="AU125" s="207" t="e">
        <f t="shared" si="217"/>
        <v>#VALUE!</v>
      </c>
      <c r="AV125" s="208" t="e">
        <f t="shared" si="218"/>
        <v>#VALUE!</v>
      </c>
      <c r="AW125" s="201" t="str">
        <f t="shared" si="219"/>
        <v>Fase de Degradação</v>
      </c>
      <c r="AX125" s="253" t="e">
        <f>VLOOKUP(D125,#REF!,5,FALSE)</f>
        <v>#REF!</v>
      </c>
      <c r="AY125" s="201"/>
      <c r="AZ125" s="273" t="s">
        <v>1224</v>
      </c>
      <c r="BB125">
        <f>IFERROR(VLOOKUP(Tabela1[[#This Row],[Denominação]],[10]Planilha1!$A:$B,2,FALSE),"")</f>
        <v>2745.51</v>
      </c>
    </row>
    <row r="126" spans="1:54" ht="15" hidden="1" customHeight="1" x14ac:dyDescent="0.3">
      <c r="A126" s="253">
        <v>125</v>
      </c>
      <c r="B126" s="255" t="s">
        <v>2019</v>
      </c>
      <c r="C126" s="211" t="s">
        <v>1924</v>
      </c>
      <c r="D126" s="201">
        <v>10006850</v>
      </c>
      <c r="E126" s="253" t="s">
        <v>2054</v>
      </c>
      <c r="F126" s="253">
        <v>4552</v>
      </c>
      <c r="G126" s="201">
        <v>59234</v>
      </c>
      <c r="H126" s="201">
        <v>2022</v>
      </c>
      <c r="I126" s="216">
        <v>933346.58</v>
      </c>
      <c r="J126" s="214">
        <v>916062</v>
      </c>
      <c r="K126" s="170">
        <v>12907.000000000002</v>
      </c>
      <c r="L126" s="215">
        <v>1.1200000000000001</v>
      </c>
      <c r="M126" s="212">
        <v>3896</v>
      </c>
      <c r="N126" s="212">
        <v>3017</v>
      </c>
      <c r="O126" s="171">
        <v>17</v>
      </c>
      <c r="P126" s="271" t="str">
        <f>IFERROR(VLOOKUP(Tabela1[[#This Row],[TAG]],#REF!,14,FALSE),"")</f>
        <v/>
      </c>
      <c r="Q126" s="204" t="e">
        <f>P126+P126</f>
        <v>#VALUE!</v>
      </c>
      <c r="R126" s="204" t="e">
        <f t="shared" si="234"/>
        <v>#VALUE!</v>
      </c>
      <c r="S126" s="204" t="e">
        <f t="shared" si="235"/>
        <v>#VALUE!</v>
      </c>
      <c r="T126" s="204" t="e">
        <f t="shared" si="236"/>
        <v>#VALUE!</v>
      </c>
      <c r="U126" s="204" t="e">
        <f t="shared" si="237"/>
        <v>#VALUE!</v>
      </c>
      <c r="V126" s="204" t="e">
        <f t="shared" si="238"/>
        <v>#VALUE!</v>
      </c>
      <c r="W126" s="218">
        <v>302.60000000000002</v>
      </c>
      <c r="X126" s="218">
        <v>1985.35</v>
      </c>
      <c r="Y126" s="203">
        <v>0.1</v>
      </c>
      <c r="Z126" s="203">
        <f>IF(Tabela1[[#This Row],[Ano Aquisição]]=2023,0,IFERROR(VLOOKUP(H126,inflação!$F:$H,3,FALSE),""))</f>
        <v>5.79E-2</v>
      </c>
      <c r="AA126" s="203">
        <v>0.8</v>
      </c>
      <c r="AB126" s="202">
        <f t="shared" si="212"/>
        <v>-933346.58</v>
      </c>
      <c r="AC126" s="204" t="e">
        <f t="shared" si="239"/>
        <v>#VALUE!</v>
      </c>
      <c r="AD126" s="204" t="e">
        <f t="shared" si="220"/>
        <v>#VALUE!</v>
      </c>
      <c r="AE126" s="204" t="e">
        <f t="shared" si="221"/>
        <v>#VALUE!</v>
      </c>
      <c r="AF126" s="204" t="e">
        <f t="shared" si="222"/>
        <v>#VALUE!</v>
      </c>
      <c r="AG126" s="204" t="e">
        <f t="shared" si="223"/>
        <v>#VALUE!</v>
      </c>
      <c r="AH126" s="204" t="e">
        <f t="shared" si="224"/>
        <v>#VALUE!</v>
      </c>
      <c r="AI126" s="204" t="e">
        <f t="shared" si="225"/>
        <v>#VALUE!</v>
      </c>
      <c r="AJ126" s="205">
        <f t="shared" si="214"/>
        <v>-987387.34698200005</v>
      </c>
      <c r="AK126" s="204" t="e">
        <f t="shared" si="226"/>
        <v>#VALUE!</v>
      </c>
      <c r="AL126" s="204" t="e">
        <f t="shared" si="227"/>
        <v>#VALUE!</v>
      </c>
      <c r="AM126" s="204" t="e">
        <f t="shared" si="228"/>
        <v>#VALUE!</v>
      </c>
      <c r="AN126" s="204" t="e">
        <f t="shared" si="229"/>
        <v>#VALUE!</v>
      </c>
      <c r="AO126" s="204" t="e">
        <f t="shared" si="230"/>
        <v>#VALUE!</v>
      </c>
      <c r="AP126" s="204" t="e">
        <f t="shared" si="231"/>
        <v>#VALUE!</v>
      </c>
      <c r="AQ126" s="204" t="e">
        <f t="shared" si="232"/>
        <v>#VALUE!</v>
      </c>
      <c r="AR126" s="206" t="e">
        <f t="shared" si="216"/>
        <v>#VALUE!</v>
      </c>
      <c r="AS126" s="170" t="e">
        <f t="shared" si="240"/>
        <v>#VALUE!</v>
      </c>
      <c r="AT126" s="170" t="e">
        <f t="shared" si="241"/>
        <v>#VALUE!</v>
      </c>
      <c r="AU126" s="207" t="e">
        <f t="shared" si="217"/>
        <v>#VALUE!</v>
      </c>
      <c r="AV126" s="208" t="e">
        <f t="shared" si="218"/>
        <v>#VALUE!</v>
      </c>
      <c r="AW126" s="201" t="str">
        <f t="shared" si="219"/>
        <v>Fase de Degradação</v>
      </c>
      <c r="AX126" s="253" t="e">
        <f>VLOOKUP(D126,#REF!,5,FALSE)</f>
        <v>#REF!</v>
      </c>
      <c r="AY126" s="201"/>
      <c r="AZ126" s="273" t="s">
        <v>1224</v>
      </c>
      <c r="BB126">
        <f>IFERROR(VLOOKUP(Tabela1[[#This Row],[Denominação]],[10]Planilha1!$A:$B,2,FALSE),"")</f>
        <v>12907.000000000002</v>
      </c>
    </row>
    <row r="127" spans="1:54" ht="15" hidden="1" customHeight="1" x14ac:dyDescent="0.3">
      <c r="A127" s="268">
        <v>126</v>
      </c>
      <c r="B127" s="321" t="s">
        <v>414</v>
      </c>
      <c r="C127" s="328" t="s">
        <v>235</v>
      </c>
      <c r="D127" s="321">
        <v>10004103</v>
      </c>
      <c r="E127" s="299" t="s">
        <v>1278</v>
      </c>
      <c r="F127" s="332">
        <v>1075</v>
      </c>
      <c r="G127" s="308">
        <v>33792</v>
      </c>
      <c r="H127" s="321">
        <v>2004</v>
      </c>
      <c r="I127" s="333">
        <v>350000</v>
      </c>
      <c r="J127" s="333">
        <v>0</v>
      </c>
      <c r="K127" s="326">
        <v>551432.01999999932</v>
      </c>
      <c r="L127" s="346">
        <v>1.45</v>
      </c>
      <c r="M127" s="320">
        <v>3668</v>
      </c>
      <c r="N127" s="320">
        <v>137538</v>
      </c>
      <c r="O127" s="321">
        <v>286</v>
      </c>
      <c r="P127" s="271" t="str">
        <f>IFERROR(VLOOKUP(Tabela1[[#This Row],[TAG]],#REF!,14,FALSE),"")</f>
        <v/>
      </c>
      <c r="Q127" s="323" t="e">
        <f t="shared" si="233"/>
        <v>#VALUE!</v>
      </c>
      <c r="R127" s="323" t="e">
        <f t="shared" si="234"/>
        <v>#VALUE!</v>
      </c>
      <c r="S127" s="323" t="e">
        <f t="shared" si="235"/>
        <v>#VALUE!</v>
      </c>
      <c r="T127" s="323" t="e">
        <f t="shared" si="236"/>
        <v>#VALUE!</v>
      </c>
      <c r="U127" s="323" t="e">
        <f t="shared" si="237"/>
        <v>#VALUE!</v>
      </c>
      <c r="V127" s="323" t="e">
        <f t="shared" si="238"/>
        <v>#VALUE!</v>
      </c>
      <c r="W127" s="304">
        <v>807.65617717511952</v>
      </c>
      <c r="X127" s="326">
        <v>261.33</v>
      </c>
      <c r="Y127" s="322">
        <v>0.1</v>
      </c>
      <c r="Z127" s="322">
        <f>IF(Tabela1[[#This Row],[Ano Aquisição]]=2023,0,IFERROR(VLOOKUP(H127,inflação!$F:$H,3,FALSE),""))</f>
        <v>1.1001000000000001</v>
      </c>
      <c r="AA127" s="322">
        <v>0.8</v>
      </c>
      <c r="AB127" s="310">
        <f t="shared" si="212"/>
        <v>-350000</v>
      </c>
      <c r="AC127" s="323" t="e">
        <f t="shared" ref="AC127:AC138" si="242">-(((P127*$W127)+($X127*12))*((1+$Y127)^AC$1))</f>
        <v>#VALUE!</v>
      </c>
      <c r="AD127" s="323" t="e">
        <f t="shared" ref="AD127:AD138" si="243">-((((Q127-P127)*$W127)+($X127*12))*((1+$Y127)^AD$1))</f>
        <v>#VALUE!</v>
      </c>
      <c r="AE127" s="323" t="e">
        <f t="shared" ref="AE127:AE138" si="244">-((((R127-Q127)*$W127)+($X127*12))*((1+$Y127)^AE$1))</f>
        <v>#VALUE!</v>
      </c>
      <c r="AF127" s="323" t="e">
        <f t="shared" ref="AF127:AF138" si="245">-((((S127-R127)*$W127)+($X127*12))*((1+$Y127)^AF$1))</f>
        <v>#VALUE!</v>
      </c>
      <c r="AG127" s="323" t="e">
        <f t="shared" ref="AG127:AG138" si="246">-((((T127-S127)*$W127)+($X127*12))*((1+$Y127)^AG$1))</f>
        <v>#VALUE!</v>
      </c>
      <c r="AH127" s="323" t="e">
        <f t="shared" ref="AH127:AH138" si="247">-((((U127-T127)*$W127)+($X127*12))*((1+$Y127)^AH$1))</f>
        <v>#VALUE!</v>
      </c>
      <c r="AI127" s="323" t="e">
        <f t="shared" ref="AI127:AI138" si="248">-((((V127-U127)*$W127)+($X127*12))*((1+$Y127)^AI$1))</f>
        <v>#VALUE!</v>
      </c>
      <c r="AJ127" s="324">
        <f t="shared" si="214"/>
        <v>-735035.00000000012</v>
      </c>
      <c r="AK127" s="323" t="e">
        <f t="shared" ref="AK127:AK138" si="249">AC127*(1-$AA127)</f>
        <v>#VALUE!</v>
      </c>
      <c r="AL127" s="323" t="e">
        <f t="shared" ref="AL127:AL138" si="250">AD127*(1-$AA127)</f>
        <v>#VALUE!</v>
      </c>
      <c r="AM127" s="323" t="e">
        <f t="shared" ref="AM127:AM138" si="251">AE127*(1-$AA127)</f>
        <v>#VALUE!</v>
      </c>
      <c r="AN127" s="323" t="e">
        <f t="shared" ref="AN127:AN138" si="252">AF127*(1-$AA127)</f>
        <v>#VALUE!</v>
      </c>
      <c r="AO127" s="323" t="e">
        <f t="shared" ref="AO127:AO138" si="253">AG127*(1-$AA127)</f>
        <v>#VALUE!</v>
      </c>
      <c r="AP127" s="323" t="e">
        <f t="shared" ref="AP127:AP138" si="254">AH127*(1-$AA127)</f>
        <v>#VALUE!</v>
      </c>
      <c r="AQ127" s="323" t="e">
        <f t="shared" ref="AQ127:AQ138" si="255">AI127*(1-$AA127)</f>
        <v>#VALUE!</v>
      </c>
      <c r="AR127" s="325" t="e">
        <f t="shared" si="216"/>
        <v>#VALUE!</v>
      </c>
      <c r="AS127" s="326" t="e">
        <f t="shared" ref="AS127:AS138" si="256">SUM(AC127:AI127)</f>
        <v>#VALUE!</v>
      </c>
      <c r="AT127" s="326" t="e">
        <f t="shared" ref="AT127:AT138" si="257">SUM(AK127:AQ127)</f>
        <v>#VALUE!</v>
      </c>
      <c r="AU127" s="319" t="e">
        <f t="shared" si="217"/>
        <v>#VALUE!</v>
      </c>
      <c r="AV127" s="327" t="e">
        <f t="shared" si="218"/>
        <v>#VALUE!</v>
      </c>
      <c r="AW127" s="315" t="str">
        <f t="shared" si="219"/>
        <v>Fase de Degradação</v>
      </c>
      <c r="AX127" s="299" t="e">
        <f>VLOOKUP(D127,#REF!,5,FALSE)</f>
        <v>#REF!</v>
      </c>
      <c r="AY127" s="315"/>
      <c r="AZ127" s="316" t="s">
        <v>1224</v>
      </c>
      <c r="BB127" t="str">
        <f>IFERROR(VLOOKUP(Tabela1[[#This Row],[Denominação]],[10]Planilha1!$A:$B,2,FALSE),"")</f>
        <v/>
      </c>
    </row>
    <row r="128" spans="1:54" ht="15" hidden="1" customHeight="1" x14ac:dyDescent="0.3">
      <c r="A128" s="253">
        <v>127</v>
      </c>
      <c r="B128" s="171" t="s">
        <v>590</v>
      </c>
      <c r="C128" s="209" t="s">
        <v>591</v>
      </c>
      <c r="D128" s="171">
        <v>10001255</v>
      </c>
      <c r="E128" s="253" t="s">
        <v>1279</v>
      </c>
      <c r="F128" s="210">
        <v>2366</v>
      </c>
      <c r="G128" s="171">
        <v>20168</v>
      </c>
      <c r="H128" s="171">
        <v>1998</v>
      </c>
      <c r="I128" s="213">
        <v>196768.33</v>
      </c>
      <c r="J128" s="213">
        <v>0</v>
      </c>
      <c r="K128" s="170">
        <v>497128.1</v>
      </c>
      <c r="L128" s="207">
        <v>1.73</v>
      </c>
      <c r="M128" s="212">
        <v>3854</v>
      </c>
      <c r="N128" s="212">
        <v>196557</v>
      </c>
      <c r="O128" s="171">
        <v>284</v>
      </c>
      <c r="P128" s="271" t="str">
        <f>IFERROR(VLOOKUP(Tabela1[[#This Row],[TAG]],#REF!,14,FALSE),"")</f>
        <v/>
      </c>
      <c r="Q128" s="204" t="e">
        <f t="shared" si="233"/>
        <v>#VALUE!</v>
      </c>
      <c r="R128" s="204" t="e">
        <f t="shared" si="234"/>
        <v>#VALUE!</v>
      </c>
      <c r="S128" s="204" t="e">
        <f t="shared" si="235"/>
        <v>#VALUE!</v>
      </c>
      <c r="T128" s="204" t="e">
        <f t="shared" si="236"/>
        <v>#VALUE!</v>
      </c>
      <c r="U128" s="204" t="e">
        <f t="shared" si="237"/>
        <v>#VALUE!</v>
      </c>
      <c r="V128" s="204" t="e">
        <f t="shared" si="238"/>
        <v>#VALUE!</v>
      </c>
      <c r="W128" s="218">
        <v>728.32</v>
      </c>
      <c r="X128" s="218">
        <v>2105.38</v>
      </c>
      <c r="Y128" s="203">
        <v>0.1</v>
      </c>
      <c r="Z128" s="203">
        <f>IF(Tabela1[[#This Row],[Ano Aquisição]]=2023,0,IFERROR(VLOOKUP(H128,inflação!$F:$H,3,FALSE),""))</f>
        <v>1.5607</v>
      </c>
      <c r="AA128" s="203">
        <v>0.8</v>
      </c>
      <c r="AB128" s="202">
        <f t="shared" si="212"/>
        <v>-196768.33</v>
      </c>
      <c r="AC128" s="204" t="e">
        <f t="shared" si="242"/>
        <v>#VALUE!</v>
      </c>
      <c r="AD128" s="204" t="e">
        <f t="shared" si="243"/>
        <v>#VALUE!</v>
      </c>
      <c r="AE128" s="204" t="e">
        <f t="shared" si="244"/>
        <v>#VALUE!</v>
      </c>
      <c r="AF128" s="204" t="e">
        <f t="shared" si="245"/>
        <v>#VALUE!</v>
      </c>
      <c r="AG128" s="204" t="e">
        <f t="shared" si="246"/>
        <v>#VALUE!</v>
      </c>
      <c r="AH128" s="204" t="e">
        <f t="shared" si="247"/>
        <v>#VALUE!</v>
      </c>
      <c r="AI128" s="204" t="e">
        <f t="shared" si="248"/>
        <v>#VALUE!</v>
      </c>
      <c r="AJ128" s="205">
        <f t="shared" si="214"/>
        <v>-503864.66263099993</v>
      </c>
      <c r="AK128" s="204" t="e">
        <f t="shared" si="249"/>
        <v>#VALUE!</v>
      </c>
      <c r="AL128" s="204" t="e">
        <f t="shared" si="250"/>
        <v>#VALUE!</v>
      </c>
      <c r="AM128" s="204" t="e">
        <f t="shared" si="251"/>
        <v>#VALUE!</v>
      </c>
      <c r="AN128" s="204" t="e">
        <f t="shared" si="252"/>
        <v>#VALUE!</v>
      </c>
      <c r="AO128" s="204" t="e">
        <f t="shared" si="253"/>
        <v>#VALUE!</v>
      </c>
      <c r="AP128" s="204" t="e">
        <f t="shared" si="254"/>
        <v>#VALUE!</v>
      </c>
      <c r="AQ128" s="204" t="e">
        <f t="shared" si="255"/>
        <v>#VALUE!</v>
      </c>
      <c r="AR128" s="206" t="e">
        <f t="shared" si="216"/>
        <v>#VALUE!</v>
      </c>
      <c r="AS128" s="170" t="e">
        <f t="shared" si="256"/>
        <v>#VALUE!</v>
      </c>
      <c r="AT128" s="170" t="e">
        <f t="shared" si="257"/>
        <v>#VALUE!</v>
      </c>
      <c r="AU128" s="207" t="e">
        <f t="shared" si="217"/>
        <v>#VALUE!</v>
      </c>
      <c r="AV128" s="208" t="e">
        <f t="shared" si="218"/>
        <v>#VALUE!</v>
      </c>
      <c r="AW128" s="201" t="str">
        <f t="shared" si="219"/>
        <v>Fase de Degradação</v>
      </c>
      <c r="AX128" s="253" t="e">
        <f>VLOOKUP(D128,#REF!,5,FALSE)</f>
        <v>#REF!</v>
      </c>
      <c r="AY128" s="201"/>
      <c r="AZ128" s="273" t="s">
        <v>1224</v>
      </c>
      <c r="BB128">
        <f>IFERROR(VLOOKUP(Tabela1[[#This Row],[Denominação]],[10]Planilha1!$A:$B,2,FALSE),"")</f>
        <v>497128.1</v>
      </c>
    </row>
    <row r="129" spans="1:54" ht="15" hidden="1" customHeight="1" x14ac:dyDescent="0.3">
      <c r="A129" s="268">
        <v>128</v>
      </c>
      <c r="B129" s="171" t="s">
        <v>29</v>
      </c>
      <c r="C129" s="209" t="s">
        <v>8</v>
      </c>
      <c r="D129" s="171">
        <v>10001692</v>
      </c>
      <c r="E129" s="253" t="s">
        <v>1280</v>
      </c>
      <c r="F129" s="210">
        <v>4531</v>
      </c>
      <c r="G129" s="171">
        <v>20559</v>
      </c>
      <c r="H129" s="171">
        <v>2003</v>
      </c>
      <c r="I129" s="213">
        <v>1412521.22</v>
      </c>
      <c r="J129" s="213">
        <v>0</v>
      </c>
      <c r="K129" s="170">
        <v>2457667.320000011</v>
      </c>
      <c r="L129" s="215">
        <v>1.42</v>
      </c>
      <c r="M129" s="212">
        <v>5828</v>
      </c>
      <c r="N129" s="212">
        <v>173567</v>
      </c>
      <c r="O129" s="171">
        <v>2719</v>
      </c>
      <c r="P129" s="271" t="str">
        <f>IFERROR(VLOOKUP(Tabela1[[#This Row],[TAG]],#REF!,14,FALSE),"")</f>
        <v/>
      </c>
      <c r="Q129" s="271" t="e">
        <f t="shared" si="233"/>
        <v>#VALUE!</v>
      </c>
      <c r="R129" s="271" t="e">
        <f t="shared" si="234"/>
        <v>#VALUE!</v>
      </c>
      <c r="S129" s="271" t="e">
        <f t="shared" si="235"/>
        <v>#VALUE!</v>
      </c>
      <c r="T129" s="271" t="e">
        <f t="shared" si="236"/>
        <v>#VALUE!</v>
      </c>
      <c r="U129" s="271" t="e">
        <f t="shared" si="237"/>
        <v>#VALUE!</v>
      </c>
      <c r="V129" s="271" t="e">
        <f t="shared" si="238"/>
        <v>#VALUE!</v>
      </c>
      <c r="W129" s="218">
        <v>505.46</v>
      </c>
      <c r="X129" s="218">
        <v>7611.64</v>
      </c>
      <c r="Y129" s="203">
        <v>0.1</v>
      </c>
      <c r="Z129" s="203">
        <f>IF(Tabela1[[#This Row],[Ano Aquisição]]=2023,0,IFERROR(VLOOKUP(H129,inflação!$F:$H,3,FALSE),""))</f>
        <v>1.1931</v>
      </c>
      <c r="AA129" s="203">
        <v>0.8</v>
      </c>
      <c r="AB129" s="202">
        <f t="shared" si="212"/>
        <v>-1412521.22</v>
      </c>
      <c r="AC129" s="204" t="e">
        <f t="shared" si="242"/>
        <v>#VALUE!</v>
      </c>
      <c r="AD129" s="204" t="e">
        <f t="shared" si="243"/>
        <v>#VALUE!</v>
      </c>
      <c r="AE129" s="204" t="e">
        <f t="shared" si="244"/>
        <v>#VALUE!</v>
      </c>
      <c r="AF129" s="204" t="e">
        <f t="shared" si="245"/>
        <v>#VALUE!</v>
      </c>
      <c r="AG129" s="204" t="e">
        <f t="shared" si="246"/>
        <v>#VALUE!</v>
      </c>
      <c r="AH129" s="204" t="e">
        <f t="shared" si="247"/>
        <v>#VALUE!</v>
      </c>
      <c r="AI129" s="204" t="e">
        <f t="shared" si="248"/>
        <v>#VALUE!</v>
      </c>
      <c r="AJ129" s="205">
        <f t="shared" si="214"/>
        <v>-3097800.2875820003</v>
      </c>
      <c r="AK129" s="204" t="e">
        <f t="shared" si="249"/>
        <v>#VALUE!</v>
      </c>
      <c r="AL129" s="204" t="e">
        <f t="shared" si="250"/>
        <v>#VALUE!</v>
      </c>
      <c r="AM129" s="204" t="e">
        <f t="shared" si="251"/>
        <v>#VALUE!</v>
      </c>
      <c r="AN129" s="204" t="e">
        <f t="shared" si="252"/>
        <v>#VALUE!</v>
      </c>
      <c r="AO129" s="204" t="e">
        <f t="shared" si="253"/>
        <v>#VALUE!</v>
      </c>
      <c r="AP129" s="204" t="e">
        <f t="shared" si="254"/>
        <v>#VALUE!</v>
      </c>
      <c r="AQ129" s="204" t="e">
        <f t="shared" si="255"/>
        <v>#VALUE!</v>
      </c>
      <c r="AR129" s="206" t="e">
        <f t="shared" si="216"/>
        <v>#VALUE!</v>
      </c>
      <c r="AS129" s="170" t="e">
        <f t="shared" si="256"/>
        <v>#VALUE!</v>
      </c>
      <c r="AT129" s="170" t="e">
        <f t="shared" si="257"/>
        <v>#VALUE!</v>
      </c>
      <c r="AU129" s="207" t="e">
        <f t="shared" si="217"/>
        <v>#VALUE!</v>
      </c>
      <c r="AV129" s="208" t="e">
        <f t="shared" si="218"/>
        <v>#VALUE!</v>
      </c>
      <c r="AW129" s="201" t="str">
        <f t="shared" si="219"/>
        <v>Fase de Degradação</v>
      </c>
      <c r="AX129" s="253" t="e">
        <f>VLOOKUP(D129,#REF!,5,FALSE)</f>
        <v>#REF!</v>
      </c>
      <c r="AY129" s="201"/>
      <c r="AZ129" s="273" t="s">
        <v>1224</v>
      </c>
      <c r="BB129">
        <f>IFERROR(VLOOKUP(Tabela1[[#This Row],[Denominação]],[10]Planilha1!$A:$B,2,FALSE),"")</f>
        <v>2457667.320000011</v>
      </c>
    </row>
    <row r="130" spans="1:54" ht="15" hidden="1" customHeight="1" x14ac:dyDescent="0.3">
      <c r="A130" s="253">
        <v>129</v>
      </c>
      <c r="B130" s="171" t="s">
        <v>30</v>
      </c>
      <c r="C130" s="209" t="s">
        <v>4</v>
      </c>
      <c r="D130" s="171">
        <v>10002662</v>
      </c>
      <c r="E130" s="253" t="s">
        <v>1281</v>
      </c>
      <c r="F130" s="210">
        <v>4531</v>
      </c>
      <c r="G130" s="171">
        <v>33663</v>
      </c>
      <c r="H130" s="171">
        <v>2004</v>
      </c>
      <c r="I130" s="213">
        <v>1514831.66</v>
      </c>
      <c r="J130" s="213">
        <v>0</v>
      </c>
      <c r="K130" s="170">
        <v>2469972.8100000122</v>
      </c>
      <c r="L130" s="215">
        <v>1.45</v>
      </c>
      <c r="M130" s="212">
        <v>6051</v>
      </c>
      <c r="N130" s="212">
        <v>168984</v>
      </c>
      <c r="O130" s="171">
        <v>2541</v>
      </c>
      <c r="P130" s="271" t="str">
        <f>IFERROR(VLOOKUP(Tabela1[[#This Row],[TAG]],#REF!,14,FALSE),"")</f>
        <v/>
      </c>
      <c r="Q130" s="271" t="e">
        <f t="shared" si="233"/>
        <v>#VALUE!</v>
      </c>
      <c r="R130" s="271" t="e">
        <f t="shared" si="234"/>
        <v>#VALUE!</v>
      </c>
      <c r="S130" s="271" t="e">
        <f t="shared" si="235"/>
        <v>#VALUE!</v>
      </c>
      <c r="T130" s="271" t="e">
        <f t="shared" si="236"/>
        <v>#VALUE!</v>
      </c>
      <c r="U130" s="271" t="e">
        <f t="shared" si="237"/>
        <v>#VALUE!</v>
      </c>
      <c r="V130" s="271" t="e">
        <f t="shared" si="238"/>
        <v>#VALUE!</v>
      </c>
      <c r="W130" s="218">
        <v>475.06</v>
      </c>
      <c r="X130" s="218">
        <v>6113.89</v>
      </c>
      <c r="Y130" s="203">
        <v>0.1</v>
      </c>
      <c r="Z130" s="203">
        <f>IF(Tabela1[[#This Row],[Ano Aquisição]]=2023,0,IFERROR(VLOOKUP(H130,inflação!$F:$H,3,FALSE),""))</f>
        <v>1.1001000000000001</v>
      </c>
      <c r="AA130" s="203">
        <v>0.8</v>
      </c>
      <c r="AB130" s="202">
        <f t="shared" si="212"/>
        <v>-1514831.66</v>
      </c>
      <c r="AC130" s="204" t="e">
        <f t="shared" si="242"/>
        <v>#VALUE!</v>
      </c>
      <c r="AD130" s="204" t="e">
        <f t="shared" si="243"/>
        <v>#VALUE!</v>
      </c>
      <c r="AE130" s="204" t="e">
        <f t="shared" si="244"/>
        <v>#VALUE!</v>
      </c>
      <c r="AF130" s="204" t="e">
        <f t="shared" si="245"/>
        <v>#VALUE!</v>
      </c>
      <c r="AG130" s="204" t="e">
        <f t="shared" si="246"/>
        <v>#VALUE!</v>
      </c>
      <c r="AH130" s="204" t="e">
        <f t="shared" si="247"/>
        <v>#VALUE!</v>
      </c>
      <c r="AI130" s="204" t="e">
        <f t="shared" si="248"/>
        <v>#VALUE!</v>
      </c>
      <c r="AJ130" s="205">
        <f t="shared" si="214"/>
        <v>-3181297.9691660004</v>
      </c>
      <c r="AK130" s="204" t="e">
        <f t="shared" si="249"/>
        <v>#VALUE!</v>
      </c>
      <c r="AL130" s="204" t="e">
        <f t="shared" si="250"/>
        <v>#VALUE!</v>
      </c>
      <c r="AM130" s="204" t="e">
        <f t="shared" si="251"/>
        <v>#VALUE!</v>
      </c>
      <c r="AN130" s="204" t="e">
        <f t="shared" si="252"/>
        <v>#VALUE!</v>
      </c>
      <c r="AO130" s="204" t="e">
        <f t="shared" si="253"/>
        <v>#VALUE!</v>
      </c>
      <c r="AP130" s="204" t="e">
        <f t="shared" si="254"/>
        <v>#VALUE!</v>
      </c>
      <c r="AQ130" s="204" t="e">
        <f t="shared" si="255"/>
        <v>#VALUE!</v>
      </c>
      <c r="AR130" s="206" t="e">
        <f t="shared" si="216"/>
        <v>#VALUE!</v>
      </c>
      <c r="AS130" s="170" t="e">
        <f t="shared" si="256"/>
        <v>#VALUE!</v>
      </c>
      <c r="AT130" s="170" t="e">
        <f t="shared" si="257"/>
        <v>#VALUE!</v>
      </c>
      <c r="AU130" s="207" t="e">
        <f t="shared" si="217"/>
        <v>#VALUE!</v>
      </c>
      <c r="AV130" s="208" t="e">
        <f t="shared" si="218"/>
        <v>#VALUE!</v>
      </c>
      <c r="AW130" s="201" t="str">
        <f t="shared" si="219"/>
        <v>Fase de Degradação</v>
      </c>
      <c r="AX130" s="253" t="e">
        <f>VLOOKUP(D130,#REF!,5,FALSE)</f>
        <v>#REF!</v>
      </c>
      <c r="AY130" s="201"/>
      <c r="AZ130" s="273" t="s">
        <v>1224</v>
      </c>
      <c r="BB130">
        <f>IFERROR(VLOOKUP(Tabela1[[#This Row],[Denominação]],[10]Planilha1!$A:$B,2,FALSE),"")</f>
        <v>2469972.8100000122</v>
      </c>
    </row>
    <row r="131" spans="1:54" ht="15" hidden="1" customHeight="1" x14ac:dyDescent="0.3">
      <c r="A131" s="268">
        <v>130</v>
      </c>
      <c r="B131" s="171" t="s">
        <v>365</v>
      </c>
      <c r="C131" s="209" t="s">
        <v>186</v>
      </c>
      <c r="D131" s="171">
        <v>10002663</v>
      </c>
      <c r="E131" s="253" t="s">
        <v>1282</v>
      </c>
      <c r="F131" s="210">
        <v>4531</v>
      </c>
      <c r="G131" s="171">
        <v>33664</v>
      </c>
      <c r="H131" s="171">
        <v>2004</v>
      </c>
      <c r="I131" s="213">
        <v>1447686.85</v>
      </c>
      <c r="J131" s="213">
        <v>0</v>
      </c>
      <c r="K131" s="170">
        <v>2170090.7500000158</v>
      </c>
      <c r="L131" s="215">
        <v>1.93</v>
      </c>
      <c r="M131" s="212">
        <v>5390</v>
      </c>
      <c r="N131" s="212">
        <v>182957</v>
      </c>
      <c r="O131" s="171">
        <v>2522</v>
      </c>
      <c r="P131" s="271" t="str">
        <f>IFERROR(VLOOKUP(Tabela1[[#This Row],[TAG]],#REF!,14,FALSE),"")</f>
        <v/>
      </c>
      <c r="Q131" s="271" t="e">
        <f>P131+P131</f>
        <v>#VALUE!</v>
      </c>
      <c r="R131" s="271" t="e">
        <f t="shared" si="234"/>
        <v>#VALUE!</v>
      </c>
      <c r="S131" s="271" t="e">
        <f t="shared" si="235"/>
        <v>#VALUE!</v>
      </c>
      <c r="T131" s="271" t="e">
        <f t="shared" si="236"/>
        <v>#VALUE!</v>
      </c>
      <c r="U131" s="271" t="e">
        <f t="shared" si="237"/>
        <v>#VALUE!</v>
      </c>
      <c r="V131" s="271" t="e">
        <f t="shared" si="238"/>
        <v>#VALUE!</v>
      </c>
      <c r="W131" s="218">
        <v>475.38</v>
      </c>
      <c r="X131" s="218">
        <v>5978.25</v>
      </c>
      <c r="Y131" s="203">
        <v>0.1</v>
      </c>
      <c r="Z131" s="203">
        <f>IF(Tabela1[[#This Row],[Ano Aquisição]]=2023,0,IFERROR(VLOOKUP(H131,inflação!$F:$H,3,FALSE),""))</f>
        <v>1.1001000000000001</v>
      </c>
      <c r="AA131" s="203">
        <v>0.8</v>
      </c>
      <c r="AB131" s="202">
        <f t="shared" si="212"/>
        <v>-1447686.85</v>
      </c>
      <c r="AC131" s="204" t="e">
        <f t="shared" si="242"/>
        <v>#VALUE!</v>
      </c>
      <c r="AD131" s="204" t="e">
        <f t="shared" si="243"/>
        <v>#VALUE!</v>
      </c>
      <c r="AE131" s="204" t="e">
        <f t="shared" si="244"/>
        <v>#VALUE!</v>
      </c>
      <c r="AF131" s="204" t="e">
        <f t="shared" si="245"/>
        <v>#VALUE!</v>
      </c>
      <c r="AG131" s="204" t="e">
        <f t="shared" si="246"/>
        <v>#VALUE!</v>
      </c>
      <c r="AH131" s="204" t="e">
        <f t="shared" si="247"/>
        <v>#VALUE!</v>
      </c>
      <c r="AI131" s="204" t="e">
        <f t="shared" si="248"/>
        <v>#VALUE!</v>
      </c>
      <c r="AJ131" s="205">
        <f t="shared" si="214"/>
        <v>-3040287.1536850007</v>
      </c>
      <c r="AK131" s="204" t="e">
        <f t="shared" si="249"/>
        <v>#VALUE!</v>
      </c>
      <c r="AL131" s="204" t="e">
        <f t="shared" si="250"/>
        <v>#VALUE!</v>
      </c>
      <c r="AM131" s="204" t="e">
        <f t="shared" si="251"/>
        <v>#VALUE!</v>
      </c>
      <c r="AN131" s="204" t="e">
        <f t="shared" si="252"/>
        <v>#VALUE!</v>
      </c>
      <c r="AO131" s="204" t="e">
        <f t="shared" si="253"/>
        <v>#VALUE!</v>
      </c>
      <c r="AP131" s="204" t="e">
        <f t="shared" si="254"/>
        <v>#VALUE!</v>
      </c>
      <c r="AQ131" s="204" t="e">
        <f t="shared" si="255"/>
        <v>#VALUE!</v>
      </c>
      <c r="AR131" s="206" t="e">
        <f t="shared" si="216"/>
        <v>#VALUE!</v>
      </c>
      <c r="AS131" s="170" t="e">
        <f t="shared" si="256"/>
        <v>#VALUE!</v>
      </c>
      <c r="AT131" s="170" t="e">
        <f t="shared" si="257"/>
        <v>#VALUE!</v>
      </c>
      <c r="AU131" s="207" t="e">
        <f t="shared" si="217"/>
        <v>#VALUE!</v>
      </c>
      <c r="AV131" s="208" t="e">
        <f t="shared" si="218"/>
        <v>#VALUE!</v>
      </c>
      <c r="AW131" s="201" t="str">
        <f t="shared" si="219"/>
        <v>Fase de Degradação</v>
      </c>
      <c r="AX131" s="253" t="e">
        <f>VLOOKUP(D131,#REF!,5,FALSE)</f>
        <v>#REF!</v>
      </c>
      <c r="AY131" s="201"/>
      <c r="AZ131" s="273" t="s">
        <v>1224</v>
      </c>
      <c r="BB131">
        <f>IFERROR(VLOOKUP(Tabela1[[#This Row],[Denominação]],[10]Planilha1!$A:$B,2,FALSE),"")</f>
        <v>2170090.7500000158</v>
      </c>
    </row>
    <row r="132" spans="1:54" ht="15" hidden="1" customHeight="1" x14ac:dyDescent="0.3">
      <c r="A132" s="253">
        <v>131</v>
      </c>
      <c r="B132" s="171" t="s">
        <v>409</v>
      </c>
      <c r="C132" s="209" t="s">
        <v>230</v>
      </c>
      <c r="D132" s="171">
        <v>10001783</v>
      </c>
      <c r="E132" s="253" t="s">
        <v>1283</v>
      </c>
      <c r="F132" s="210">
        <v>2368</v>
      </c>
      <c r="G132" s="171">
        <v>20354</v>
      </c>
      <c r="H132" s="171">
        <v>2001</v>
      </c>
      <c r="I132" s="213">
        <v>257233.01</v>
      </c>
      <c r="J132" s="213">
        <v>0</v>
      </c>
      <c r="K132" s="170">
        <v>1345274.280000001</v>
      </c>
      <c r="L132" s="215">
        <v>1.05</v>
      </c>
      <c r="M132" s="212">
        <v>3854</v>
      </c>
      <c r="N132" s="212">
        <v>193294</v>
      </c>
      <c r="O132" s="171">
        <v>685</v>
      </c>
      <c r="P132" s="271" t="str">
        <f>IFERROR(VLOOKUP(Tabela1[[#This Row],[TAG]],#REF!,14,FALSE),"")</f>
        <v/>
      </c>
      <c r="Q132" s="204" t="e">
        <f t="shared" si="233"/>
        <v>#VALUE!</v>
      </c>
      <c r="R132" s="204" t="e">
        <f t="shared" si="234"/>
        <v>#VALUE!</v>
      </c>
      <c r="S132" s="204" t="e">
        <f t="shared" si="235"/>
        <v>#VALUE!</v>
      </c>
      <c r="T132" s="204" t="e">
        <f t="shared" si="236"/>
        <v>#VALUE!</v>
      </c>
      <c r="U132" s="204" t="e">
        <f t="shared" si="237"/>
        <v>#VALUE!</v>
      </c>
      <c r="V132" s="204" t="e">
        <f t="shared" si="238"/>
        <v>#VALUE!</v>
      </c>
      <c r="W132" s="218">
        <v>1129.0899999999999</v>
      </c>
      <c r="X132" s="218">
        <v>6070.38</v>
      </c>
      <c r="Y132" s="203">
        <v>0.1</v>
      </c>
      <c r="Z132" s="203">
        <f>IF(Tabela1[[#This Row],[Ano Aquisição]]=2023,0,IFERROR(VLOOKUP(H132,inflação!$F:$H,3,FALSE),""))</f>
        <v>1.3951</v>
      </c>
      <c r="AA132" s="203">
        <v>0.8</v>
      </c>
      <c r="AB132" s="202">
        <f t="shared" si="212"/>
        <v>-257233.01</v>
      </c>
      <c r="AC132" s="204" t="e">
        <f t="shared" si="242"/>
        <v>#VALUE!</v>
      </c>
      <c r="AD132" s="204" t="e">
        <f t="shared" si="243"/>
        <v>#VALUE!</v>
      </c>
      <c r="AE132" s="204" t="e">
        <f t="shared" si="244"/>
        <v>#VALUE!</v>
      </c>
      <c r="AF132" s="204" t="e">
        <f t="shared" si="245"/>
        <v>#VALUE!</v>
      </c>
      <c r="AG132" s="204" t="e">
        <f t="shared" si="246"/>
        <v>#VALUE!</v>
      </c>
      <c r="AH132" s="204" t="e">
        <f t="shared" si="247"/>
        <v>#VALUE!</v>
      </c>
      <c r="AI132" s="204" t="e">
        <f t="shared" si="248"/>
        <v>#VALUE!</v>
      </c>
      <c r="AJ132" s="205">
        <f t="shared" si="214"/>
        <v>-616098.78225100006</v>
      </c>
      <c r="AK132" s="204" t="e">
        <f t="shared" si="249"/>
        <v>#VALUE!</v>
      </c>
      <c r="AL132" s="204" t="e">
        <f t="shared" si="250"/>
        <v>#VALUE!</v>
      </c>
      <c r="AM132" s="204" t="e">
        <f t="shared" si="251"/>
        <v>#VALUE!</v>
      </c>
      <c r="AN132" s="204" t="e">
        <f t="shared" si="252"/>
        <v>#VALUE!</v>
      </c>
      <c r="AO132" s="204" t="e">
        <f t="shared" si="253"/>
        <v>#VALUE!</v>
      </c>
      <c r="AP132" s="204" t="e">
        <f t="shared" si="254"/>
        <v>#VALUE!</v>
      </c>
      <c r="AQ132" s="204" t="e">
        <f t="shared" si="255"/>
        <v>#VALUE!</v>
      </c>
      <c r="AR132" s="206" t="e">
        <f t="shared" si="216"/>
        <v>#VALUE!</v>
      </c>
      <c r="AS132" s="170" t="e">
        <f t="shared" si="256"/>
        <v>#VALUE!</v>
      </c>
      <c r="AT132" s="170" t="e">
        <f t="shared" si="257"/>
        <v>#VALUE!</v>
      </c>
      <c r="AU132" s="207" t="e">
        <f t="shared" si="217"/>
        <v>#VALUE!</v>
      </c>
      <c r="AV132" s="208" t="e">
        <f t="shared" si="218"/>
        <v>#VALUE!</v>
      </c>
      <c r="AW132" s="201" t="str">
        <f t="shared" si="219"/>
        <v>Fase de Vida Útil</v>
      </c>
      <c r="AX132" s="253" t="e">
        <f>VLOOKUP(D132,#REF!,5,FALSE)</f>
        <v>#REF!</v>
      </c>
      <c r="AY132" s="201"/>
      <c r="AZ132" s="273" t="s">
        <v>1224</v>
      </c>
      <c r="BB132">
        <f>IFERROR(VLOOKUP(Tabela1[[#This Row],[Denominação]],[10]Planilha1!$A:$B,2,FALSE),"")</f>
        <v>1345274.280000001</v>
      </c>
    </row>
    <row r="133" spans="1:54" ht="15" hidden="1" customHeight="1" x14ac:dyDescent="0.3">
      <c r="A133" s="268">
        <v>132</v>
      </c>
      <c r="B133" s="171" t="s">
        <v>383</v>
      </c>
      <c r="C133" s="209" t="s">
        <v>204</v>
      </c>
      <c r="D133" s="171">
        <v>10004025</v>
      </c>
      <c r="E133" s="253" t="s">
        <v>1284</v>
      </c>
      <c r="F133" s="210">
        <v>4531</v>
      </c>
      <c r="G133" s="171">
        <v>33912</v>
      </c>
      <c r="H133" s="171">
        <v>2004</v>
      </c>
      <c r="I133" s="213">
        <v>1681971.6</v>
      </c>
      <c r="J133" s="213">
        <v>0</v>
      </c>
      <c r="K133" s="170">
        <v>1910536.0500000038</v>
      </c>
      <c r="L133" s="215">
        <v>1.23</v>
      </c>
      <c r="M133" s="212">
        <v>4693</v>
      </c>
      <c r="N133" s="212">
        <v>163917</v>
      </c>
      <c r="O133" s="171">
        <v>1900</v>
      </c>
      <c r="P133" s="271" t="str">
        <f>IFERROR(VLOOKUP(Tabela1[[#This Row],[TAG]],#REF!,14,FALSE),"")</f>
        <v/>
      </c>
      <c r="Q133" s="271" t="e">
        <f t="shared" si="233"/>
        <v>#VALUE!</v>
      </c>
      <c r="R133" s="271" t="e">
        <f t="shared" si="234"/>
        <v>#VALUE!</v>
      </c>
      <c r="S133" s="271" t="e">
        <f t="shared" si="235"/>
        <v>#VALUE!</v>
      </c>
      <c r="T133" s="271" t="e">
        <f t="shared" si="236"/>
        <v>#VALUE!</v>
      </c>
      <c r="U133" s="271" t="e">
        <f t="shared" si="237"/>
        <v>#VALUE!</v>
      </c>
      <c r="V133" s="271" t="e">
        <f t="shared" si="238"/>
        <v>#VALUE!</v>
      </c>
      <c r="W133" s="218">
        <v>473.21</v>
      </c>
      <c r="X133" s="218">
        <v>4975.3500000000004</v>
      </c>
      <c r="Y133" s="203">
        <v>0.1</v>
      </c>
      <c r="Z133" s="203">
        <f>IF(Tabela1[[#This Row],[Ano Aquisição]]=2023,0,IFERROR(VLOOKUP(H133,inflação!$F:$H,3,FALSE),""))</f>
        <v>1.1001000000000001</v>
      </c>
      <c r="AA133" s="203">
        <v>0.8</v>
      </c>
      <c r="AB133" s="202">
        <f t="shared" si="212"/>
        <v>-1681971.6</v>
      </c>
      <c r="AC133" s="204" t="e">
        <f t="shared" si="242"/>
        <v>#VALUE!</v>
      </c>
      <c r="AD133" s="204" t="e">
        <f t="shared" si="243"/>
        <v>#VALUE!</v>
      </c>
      <c r="AE133" s="204" t="e">
        <f t="shared" si="244"/>
        <v>#VALUE!</v>
      </c>
      <c r="AF133" s="204" t="e">
        <f t="shared" si="245"/>
        <v>#VALUE!</v>
      </c>
      <c r="AG133" s="204" t="e">
        <f t="shared" si="246"/>
        <v>#VALUE!</v>
      </c>
      <c r="AH133" s="204" t="e">
        <f t="shared" si="247"/>
        <v>#VALUE!</v>
      </c>
      <c r="AI133" s="204" t="e">
        <f t="shared" si="248"/>
        <v>#VALUE!</v>
      </c>
      <c r="AJ133" s="205">
        <f t="shared" si="214"/>
        <v>-3532308.5571600008</v>
      </c>
      <c r="AK133" s="204" t="e">
        <f t="shared" si="249"/>
        <v>#VALUE!</v>
      </c>
      <c r="AL133" s="204" t="e">
        <f t="shared" si="250"/>
        <v>#VALUE!</v>
      </c>
      <c r="AM133" s="204" t="e">
        <f t="shared" si="251"/>
        <v>#VALUE!</v>
      </c>
      <c r="AN133" s="204" t="e">
        <f t="shared" si="252"/>
        <v>#VALUE!</v>
      </c>
      <c r="AO133" s="204" t="e">
        <f t="shared" si="253"/>
        <v>#VALUE!</v>
      </c>
      <c r="AP133" s="204" t="e">
        <f t="shared" si="254"/>
        <v>#VALUE!</v>
      </c>
      <c r="AQ133" s="204" t="e">
        <f t="shared" si="255"/>
        <v>#VALUE!</v>
      </c>
      <c r="AR133" s="206" t="e">
        <f t="shared" si="216"/>
        <v>#VALUE!</v>
      </c>
      <c r="AS133" s="170" t="e">
        <f t="shared" si="256"/>
        <v>#VALUE!</v>
      </c>
      <c r="AT133" s="170" t="e">
        <f t="shared" si="257"/>
        <v>#VALUE!</v>
      </c>
      <c r="AU133" s="207" t="e">
        <f t="shared" si="217"/>
        <v>#VALUE!</v>
      </c>
      <c r="AV133" s="208" t="e">
        <f t="shared" si="218"/>
        <v>#VALUE!</v>
      </c>
      <c r="AW133" s="201" t="str">
        <f t="shared" si="219"/>
        <v>Fase de Degradação</v>
      </c>
      <c r="AX133" s="253" t="e">
        <f>VLOOKUP(D133,#REF!,5,FALSE)</f>
        <v>#REF!</v>
      </c>
      <c r="AY133" s="201"/>
      <c r="AZ133" s="273" t="s">
        <v>1224</v>
      </c>
      <c r="BB133">
        <f>IFERROR(VLOOKUP(Tabela1[[#This Row],[Denominação]],[10]Planilha1!$A:$B,2,FALSE),"")</f>
        <v>1910536.0500000038</v>
      </c>
    </row>
    <row r="134" spans="1:54" ht="15" hidden="1" customHeight="1" x14ac:dyDescent="0.3">
      <c r="A134" s="253">
        <v>133</v>
      </c>
      <c r="B134" s="171" t="s">
        <v>31</v>
      </c>
      <c r="C134" s="209" t="s">
        <v>6</v>
      </c>
      <c r="D134" s="171">
        <v>10004163</v>
      </c>
      <c r="E134" s="253" t="s">
        <v>1285</v>
      </c>
      <c r="F134" s="210">
        <v>4531</v>
      </c>
      <c r="G134" s="171">
        <v>34061</v>
      </c>
      <c r="H134" s="171">
        <v>2005</v>
      </c>
      <c r="I134" s="213">
        <v>1437083.56</v>
      </c>
      <c r="J134" s="213">
        <v>0</v>
      </c>
      <c r="K134" s="170">
        <v>1818989.0900000036</v>
      </c>
      <c r="L134" s="215">
        <v>1.41</v>
      </c>
      <c r="M134" s="212">
        <v>6118</v>
      </c>
      <c r="N134" s="212">
        <v>154538</v>
      </c>
      <c r="O134" s="171">
        <v>1731</v>
      </c>
      <c r="P134" s="271" t="str">
        <f>IFERROR(VLOOKUP(Tabela1[[#This Row],[TAG]],#REF!,14,FALSE),"")</f>
        <v/>
      </c>
      <c r="Q134" s="271" t="e">
        <f t="shared" si="233"/>
        <v>#VALUE!</v>
      </c>
      <c r="R134" s="271" t="e">
        <f t="shared" si="234"/>
        <v>#VALUE!</v>
      </c>
      <c r="S134" s="271" t="e">
        <f t="shared" si="235"/>
        <v>#VALUE!</v>
      </c>
      <c r="T134" s="271" t="e">
        <f t="shared" si="236"/>
        <v>#VALUE!</v>
      </c>
      <c r="U134" s="271" t="e">
        <f t="shared" si="237"/>
        <v>#VALUE!</v>
      </c>
      <c r="V134" s="271" t="e">
        <f t="shared" si="238"/>
        <v>#VALUE!</v>
      </c>
      <c r="W134" s="218">
        <v>380.31</v>
      </c>
      <c r="X134" s="218">
        <v>6083.8319629999996</v>
      </c>
      <c r="Y134" s="203">
        <v>0.1</v>
      </c>
      <c r="Z134" s="203">
        <f>IF(Tabela1[[#This Row],[Ano Aquisição]]=2023,0,IFERROR(VLOOKUP(H134,inflação!$F:$H,3,FALSE),""))</f>
        <v>1.0241</v>
      </c>
      <c r="AA134" s="203">
        <v>0.8</v>
      </c>
      <c r="AB134" s="202">
        <f t="shared" si="212"/>
        <v>-1437083.56</v>
      </c>
      <c r="AC134" s="204" t="e">
        <f t="shared" si="242"/>
        <v>#VALUE!</v>
      </c>
      <c r="AD134" s="204" t="e">
        <f t="shared" si="243"/>
        <v>#VALUE!</v>
      </c>
      <c r="AE134" s="204" t="e">
        <f t="shared" si="244"/>
        <v>#VALUE!</v>
      </c>
      <c r="AF134" s="204" t="e">
        <f t="shared" si="245"/>
        <v>#VALUE!</v>
      </c>
      <c r="AG134" s="204" t="e">
        <f t="shared" si="246"/>
        <v>#VALUE!</v>
      </c>
      <c r="AH134" s="204" t="e">
        <f t="shared" si="247"/>
        <v>#VALUE!</v>
      </c>
      <c r="AI134" s="204" t="e">
        <f t="shared" si="248"/>
        <v>#VALUE!</v>
      </c>
      <c r="AJ134" s="205">
        <f t="shared" si="214"/>
        <v>-2908800.8337959996</v>
      </c>
      <c r="AK134" s="204" t="e">
        <f t="shared" si="249"/>
        <v>#VALUE!</v>
      </c>
      <c r="AL134" s="204" t="e">
        <f t="shared" si="250"/>
        <v>#VALUE!</v>
      </c>
      <c r="AM134" s="204" t="e">
        <f t="shared" si="251"/>
        <v>#VALUE!</v>
      </c>
      <c r="AN134" s="204" t="e">
        <f t="shared" si="252"/>
        <v>#VALUE!</v>
      </c>
      <c r="AO134" s="204" t="e">
        <f t="shared" si="253"/>
        <v>#VALUE!</v>
      </c>
      <c r="AP134" s="204" t="e">
        <f t="shared" si="254"/>
        <v>#VALUE!</v>
      </c>
      <c r="AQ134" s="204" t="e">
        <f t="shared" si="255"/>
        <v>#VALUE!</v>
      </c>
      <c r="AR134" s="206" t="e">
        <f t="shared" si="216"/>
        <v>#VALUE!</v>
      </c>
      <c r="AS134" s="170" t="e">
        <f t="shared" si="256"/>
        <v>#VALUE!</v>
      </c>
      <c r="AT134" s="170" t="e">
        <f t="shared" si="257"/>
        <v>#VALUE!</v>
      </c>
      <c r="AU134" s="207" t="e">
        <f t="shared" si="217"/>
        <v>#VALUE!</v>
      </c>
      <c r="AV134" s="208" t="e">
        <f t="shared" si="218"/>
        <v>#VALUE!</v>
      </c>
      <c r="AW134" s="201" t="str">
        <f t="shared" si="219"/>
        <v>Fase de Degradação</v>
      </c>
      <c r="AX134" s="253" t="e">
        <f>VLOOKUP(D134,#REF!,5,FALSE)</f>
        <v>#REF!</v>
      </c>
      <c r="AY134" s="201"/>
      <c r="AZ134" s="273" t="s">
        <v>1224</v>
      </c>
      <c r="BB134">
        <f>IFERROR(VLOOKUP(Tabela1[[#This Row],[Denominação]],[10]Planilha1!$A:$B,2,FALSE),"")</f>
        <v>1818989.0900000036</v>
      </c>
    </row>
    <row r="135" spans="1:54" ht="15" hidden="1" customHeight="1" x14ac:dyDescent="0.3">
      <c r="A135" s="268">
        <v>134</v>
      </c>
      <c r="B135" s="171" t="s">
        <v>362</v>
      </c>
      <c r="C135" s="209" t="s">
        <v>183</v>
      </c>
      <c r="D135" s="171">
        <v>10004164</v>
      </c>
      <c r="E135" s="253" t="s">
        <v>1286</v>
      </c>
      <c r="F135" s="210">
        <v>4531</v>
      </c>
      <c r="G135" s="171">
        <v>34062</v>
      </c>
      <c r="H135" s="171">
        <v>2005</v>
      </c>
      <c r="I135" s="213">
        <v>1437083.55</v>
      </c>
      <c r="J135" s="213">
        <v>0</v>
      </c>
      <c r="K135" s="170">
        <v>1879770.1399999976</v>
      </c>
      <c r="L135" s="215">
        <v>1.4</v>
      </c>
      <c r="M135" s="212">
        <v>4902</v>
      </c>
      <c r="N135" s="212">
        <v>154485</v>
      </c>
      <c r="O135" s="171">
        <v>1676</v>
      </c>
      <c r="P135" s="271" t="str">
        <f>IFERROR(VLOOKUP(Tabela1[[#This Row],[TAG]],#REF!,14,FALSE),"")</f>
        <v/>
      </c>
      <c r="Q135" s="271" t="e">
        <f t="shared" si="233"/>
        <v>#VALUE!</v>
      </c>
      <c r="R135" s="271" t="e">
        <f t="shared" si="234"/>
        <v>#VALUE!</v>
      </c>
      <c r="S135" s="271" t="e">
        <f t="shared" si="235"/>
        <v>#VALUE!</v>
      </c>
      <c r="T135" s="271" t="e">
        <f t="shared" si="236"/>
        <v>#VALUE!</v>
      </c>
      <c r="U135" s="271" t="e">
        <f t="shared" si="237"/>
        <v>#VALUE!</v>
      </c>
      <c r="V135" s="271" t="e">
        <f t="shared" si="238"/>
        <v>#VALUE!</v>
      </c>
      <c r="W135" s="218">
        <v>611.12</v>
      </c>
      <c r="X135" s="218">
        <v>5597.78</v>
      </c>
      <c r="Y135" s="203">
        <v>0.1</v>
      </c>
      <c r="Z135" s="203">
        <f>IF(Tabela1[[#This Row],[Ano Aquisição]]=2023,0,IFERROR(VLOOKUP(H135,inflação!$F:$H,3,FALSE),""))</f>
        <v>1.0241</v>
      </c>
      <c r="AA135" s="203">
        <v>0.8</v>
      </c>
      <c r="AB135" s="202">
        <f t="shared" si="212"/>
        <v>-1437083.55</v>
      </c>
      <c r="AC135" s="204" t="e">
        <f t="shared" si="242"/>
        <v>#VALUE!</v>
      </c>
      <c r="AD135" s="204" t="e">
        <f t="shared" si="243"/>
        <v>#VALUE!</v>
      </c>
      <c r="AE135" s="204" t="e">
        <f t="shared" si="244"/>
        <v>#VALUE!</v>
      </c>
      <c r="AF135" s="204" t="e">
        <f t="shared" si="245"/>
        <v>#VALUE!</v>
      </c>
      <c r="AG135" s="204" t="e">
        <f t="shared" si="246"/>
        <v>#VALUE!</v>
      </c>
      <c r="AH135" s="204" t="e">
        <f t="shared" si="247"/>
        <v>#VALUE!</v>
      </c>
      <c r="AI135" s="204" t="e">
        <f t="shared" si="248"/>
        <v>#VALUE!</v>
      </c>
      <c r="AJ135" s="205">
        <f t="shared" si="214"/>
        <v>-2908800.8135549999</v>
      </c>
      <c r="AK135" s="204" t="e">
        <f t="shared" si="249"/>
        <v>#VALUE!</v>
      </c>
      <c r="AL135" s="204" t="e">
        <f t="shared" si="250"/>
        <v>#VALUE!</v>
      </c>
      <c r="AM135" s="204" t="e">
        <f t="shared" si="251"/>
        <v>#VALUE!</v>
      </c>
      <c r="AN135" s="204" t="e">
        <f t="shared" si="252"/>
        <v>#VALUE!</v>
      </c>
      <c r="AO135" s="204" t="e">
        <f t="shared" si="253"/>
        <v>#VALUE!</v>
      </c>
      <c r="AP135" s="204" t="e">
        <f t="shared" si="254"/>
        <v>#VALUE!</v>
      </c>
      <c r="AQ135" s="204" t="e">
        <f t="shared" si="255"/>
        <v>#VALUE!</v>
      </c>
      <c r="AR135" s="206" t="e">
        <f t="shared" si="216"/>
        <v>#VALUE!</v>
      </c>
      <c r="AS135" s="170" t="e">
        <f t="shared" si="256"/>
        <v>#VALUE!</v>
      </c>
      <c r="AT135" s="170" t="e">
        <f t="shared" si="257"/>
        <v>#VALUE!</v>
      </c>
      <c r="AU135" s="207" t="e">
        <f t="shared" si="217"/>
        <v>#VALUE!</v>
      </c>
      <c r="AV135" s="208" t="e">
        <f t="shared" si="218"/>
        <v>#VALUE!</v>
      </c>
      <c r="AW135" s="201" t="str">
        <f t="shared" si="219"/>
        <v>Fase de Degradação</v>
      </c>
      <c r="AX135" s="253" t="e">
        <f>VLOOKUP(D135,#REF!,5,FALSE)</f>
        <v>#REF!</v>
      </c>
      <c r="AY135" s="201"/>
      <c r="AZ135" s="273" t="s">
        <v>1224</v>
      </c>
      <c r="BB135">
        <f>IFERROR(VLOOKUP(Tabela1[[#This Row],[Denominação]],[10]Planilha1!$A:$B,2,FALSE),"")</f>
        <v>1879770.1399999976</v>
      </c>
    </row>
    <row r="136" spans="1:54" ht="15" hidden="1" customHeight="1" x14ac:dyDescent="0.3">
      <c r="A136" s="253">
        <v>135</v>
      </c>
      <c r="B136" s="171" t="s">
        <v>337</v>
      </c>
      <c r="C136" s="209" t="s">
        <v>158</v>
      </c>
      <c r="D136" s="171">
        <v>10004165</v>
      </c>
      <c r="E136" s="253" t="s">
        <v>1287</v>
      </c>
      <c r="F136" s="210">
        <v>4531</v>
      </c>
      <c r="G136" s="171">
        <v>34459</v>
      </c>
      <c r="H136" s="171">
        <v>2006</v>
      </c>
      <c r="I136" s="213">
        <v>1249557.31</v>
      </c>
      <c r="J136" s="213">
        <v>22037</v>
      </c>
      <c r="K136" s="170">
        <v>2099308.7900000028</v>
      </c>
      <c r="L136" s="215">
        <v>1.52</v>
      </c>
      <c r="M136" s="212">
        <v>6107</v>
      </c>
      <c r="N136" s="212">
        <v>145458</v>
      </c>
      <c r="O136" s="171">
        <v>1819</v>
      </c>
      <c r="P136" s="271" t="str">
        <f>IFERROR(VLOOKUP(Tabela1[[#This Row],[TAG]],#REF!,14,FALSE),"")</f>
        <v/>
      </c>
      <c r="Q136" s="271" t="e">
        <f t="shared" si="233"/>
        <v>#VALUE!</v>
      </c>
      <c r="R136" s="271" t="e">
        <f t="shared" si="234"/>
        <v>#VALUE!</v>
      </c>
      <c r="S136" s="271" t="e">
        <f t="shared" si="235"/>
        <v>#VALUE!</v>
      </c>
      <c r="T136" s="271" t="e">
        <f t="shared" si="236"/>
        <v>#VALUE!</v>
      </c>
      <c r="U136" s="271" t="e">
        <f t="shared" si="237"/>
        <v>#VALUE!</v>
      </c>
      <c r="V136" s="271" t="e">
        <f t="shared" si="238"/>
        <v>#VALUE!</v>
      </c>
      <c r="W136" s="218">
        <v>649.16999999999996</v>
      </c>
      <c r="X136" s="218">
        <v>7445.48</v>
      </c>
      <c r="Y136" s="203">
        <v>0.1</v>
      </c>
      <c r="Z136" s="203">
        <f>IF(Tabela1[[#This Row],[Ano Aquisição]]=2023,0,IFERROR(VLOOKUP(H136,inflação!$F:$H,3,FALSE),""))</f>
        <v>0.96719999999999995</v>
      </c>
      <c r="AA136" s="203">
        <v>0.8</v>
      </c>
      <c r="AB136" s="202">
        <f t="shared" si="212"/>
        <v>-1249557.31</v>
      </c>
      <c r="AC136" s="204" t="e">
        <f t="shared" si="242"/>
        <v>#VALUE!</v>
      </c>
      <c r="AD136" s="204" t="e">
        <f t="shared" si="243"/>
        <v>#VALUE!</v>
      </c>
      <c r="AE136" s="204" t="e">
        <f t="shared" si="244"/>
        <v>#VALUE!</v>
      </c>
      <c r="AF136" s="204" t="e">
        <f t="shared" si="245"/>
        <v>#VALUE!</v>
      </c>
      <c r="AG136" s="204" t="e">
        <f t="shared" si="246"/>
        <v>#VALUE!</v>
      </c>
      <c r="AH136" s="204" t="e">
        <f t="shared" si="247"/>
        <v>#VALUE!</v>
      </c>
      <c r="AI136" s="204" t="e">
        <f t="shared" si="248"/>
        <v>#VALUE!</v>
      </c>
      <c r="AJ136" s="205">
        <f t="shared" si="214"/>
        <v>-2458129.140232</v>
      </c>
      <c r="AK136" s="204" t="e">
        <f t="shared" si="249"/>
        <v>#VALUE!</v>
      </c>
      <c r="AL136" s="204" t="e">
        <f t="shared" si="250"/>
        <v>#VALUE!</v>
      </c>
      <c r="AM136" s="204" t="e">
        <f t="shared" si="251"/>
        <v>#VALUE!</v>
      </c>
      <c r="AN136" s="204" t="e">
        <f t="shared" si="252"/>
        <v>#VALUE!</v>
      </c>
      <c r="AO136" s="204" t="e">
        <f t="shared" si="253"/>
        <v>#VALUE!</v>
      </c>
      <c r="AP136" s="204" t="e">
        <f t="shared" si="254"/>
        <v>#VALUE!</v>
      </c>
      <c r="AQ136" s="204" t="e">
        <f t="shared" si="255"/>
        <v>#VALUE!</v>
      </c>
      <c r="AR136" s="206" t="e">
        <f t="shared" si="216"/>
        <v>#VALUE!</v>
      </c>
      <c r="AS136" s="170" t="e">
        <f t="shared" si="256"/>
        <v>#VALUE!</v>
      </c>
      <c r="AT136" s="170" t="e">
        <f t="shared" si="257"/>
        <v>#VALUE!</v>
      </c>
      <c r="AU136" s="207" t="e">
        <f t="shared" si="217"/>
        <v>#VALUE!</v>
      </c>
      <c r="AV136" s="208" t="e">
        <f t="shared" si="218"/>
        <v>#VALUE!</v>
      </c>
      <c r="AW136" s="201" t="str">
        <f t="shared" si="219"/>
        <v>Fase de Degradação</v>
      </c>
      <c r="AX136" s="253" t="e">
        <f>VLOOKUP(D136,#REF!,5,FALSE)</f>
        <v>#REF!</v>
      </c>
      <c r="AY136" s="201"/>
      <c r="AZ136" s="273" t="s">
        <v>1224</v>
      </c>
      <c r="BB136">
        <f>IFERROR(VLOOKUP(Tabela1[[#This Row],[Denominação]],[10]Planilha1!$A:$B,2,FALSE),"")</f>
        <v>2099308.7900000028</v>
      </c>
    </row>
    <row r="137" spans="1:54" ht="15" hidden="1" customHeight="1" x14ac:dyDescent="0.3">
      <c r="A137" s="268">
        <v>136</v>
      </c>
      <c r="B137" s="171" t="s">
        <v>356</v>
      </c>
      <c r="C137" s="209" t="s">
        <v>177</v>
      </c>
      <c r="D137" s="171">
        <v>10004166</v>
      </c>
      <c r="E137" s="253" t="s">
        <v>1288</v>
      </c>
      <c r="F137" s="210">
        <v>4531</v>
      </c>
      <c r="G137" s="171">
        <v>34600</v>
      </c>
      <c r="H137" s="171">
        <v>2006</v>
      </c>
      <c r="I137" s="213">
        <v>1209932.6299999999</v>
      </c>
      <c r="J137" s="213">
        <v>21980</v>
      </c>
      <c r="K137" s="170">
        <v>2315501.7700000023</v>
      </c>
      <c r="L137" s="215">
        <v>1.53</v>
      </c>
      <c r="M137" s="212">
        <v>6064</v>
      </c>
      <c r="N137" s="212">
        <v>149956</v>
      </c>
      <c r="O137" s="171">
        <v>1719</v>
      </c>
      <c r="P137" s="271" t="str">
        <f>IFERROR(VLOOKUP(Tabela1[[#This Row],[TAG]],#REF!,14,FALSE),"")</f>
        <v/>
      </c>
      <c r="Q137" s="271" t="e">
        <f>P137+P137</f>
        <v>#VALUE!</v>
      </c>
      <c r="R137" s="271" t="e">
        <f t="shared" si="234"/>
        <v>#VALUE!</v>
      </c>
      <c r="S137" s="271" t="e">
        <f t="shared" si="235"/>
        <v>#VALUE!</v>
      </c>
      <c r="T137" s="271" t="e">
        <f t="shared" si="236"/>
        <v>#VALUE!</v>
      </c>
      <c r="U137" s="271" t="e">
        <f t="shared" si="237"/>
        <v>#VALUE!</v>
      </c>
      <c r="V137" s="271" t="e">
        <f t="shared" si="238"/>
        <v>#VALUE!</v>
      </c>
      <c r="W137" s="218">
        <v>618.26</v>
      </c>
      <c r="X137" s="218">
        <v>7107.74</v>
      </c>
      <c r="Y137" s="203">
        <v>0.1</v>
      </c>
      <c r="Z137" s="203">
        <f>IF(Tabela1[[#This Row],[Ano Aquisição]]=2023,0,IFERROR(VLOOKUP(H137,inflação!$F:$H,3,FALSE),""))</f>
        <v>0.96719999999999995</v>
      </c>
      <c r="AA137" s="203">
        <v>0.8</v>
      </c>
      <c r="AB137" s="202">
        <f t="shared" ref="AB137:AB168" si="258">I137*-1</f>
        <v>-1209932.6299999999</v>
      </c>
      <c r="AC137" s="204" t="e">
        <f t="shared" si="242"/>
        <v>#VALUE!</v>
      </c>
      <c r="AD137" s="204" t="e">
        <f t="shared" si="243"/>
        <v>#VALUE!</v>
      </c>
      <c r="AE137" s="204" t="e">
        <f t="shared" si="244"/>
        <v>#VALUE!</v>
      </c>
      <c r="AF137" s="204" t="e">
        <f t="shared" si="245"/>
        <v>#VALUE!</v>
      </c>
      <c r="AG137" s="204" t="e">
        <f t="shared" si="246"/>
        <v>#VALUE!</v>
      </c>
      <c r="AH137" s="204" t="e">
        <f t="shared" si="247"/>
        <v>#VALUE!</v>
      </c>
      <c r="AI137" s="204" t="e">
        <f t="shared" si="248"/>
        <v>#VALUE!</v>
      </c>
      <c r="AJ137" s="205">
        <f t="shared" ref="AJ137:AJ168" si="259">-(I137*(1+Z137))</f>
        <v>-2380179.4697360001</v>
      </c>
      <c r="AK137" s="204" t="e">
        <f t="shared" si="249"/>
        <v>#VALUE!</v>
      </c>
      <c r="AL137" s="204" t="e">
        <f t="shared" si="250"/>
        <v>#VALUE!</v>
      </c>
      <c r="AM137" s="204" t="e">
        <f t="shared" si="251"/>
        <v>#VALUE!</v>
      </c>
      <c r="AN137" s="204" t="e">
        <f t="shared" si="252"/>
        <v>#VALUE!</v>
      </c>
      <c r="AO137" s="204" t="e">
        <f t="shared" si="253"/>
        <v>#VALUE!</v>
      </c>
      <c r="AP137" s="204" t="e">
        <f t="shared" si="254"/>
        <v>#VALUE!</v>
      </c>
      <c r="AQ137" s="204" t="e">
        <f t="shared" si="255"/>
        <v>#VALUE!</v>
      </c>
      <c r="AR137" s="206" t="e">
        <f t="shared" ref="AR137:AR168" si="260">(NPV(Y137,AK137,AL137,AM137,AN137,AO137,AP137,AQ137)+(SUM(AJ137,(J137*-1))))-(NPV(Y137,AC137,AD137,AE137,AF137,AG137,AH137,AI137))</f>
        <v>#VALUE!</v>
      </c>
      <c r="AS137" s="170" t="e">
        <f t="shared" si="256"/>
        <v>#VALUE!</v>
      </c>
      <c r="AT137" s="170" t="e">
        <f t="shared" si="257"/>
        <v>#VALUE!</v>
      </c>
      <c r="AU137" s="207" t="e">
        <f t="shared" ref="AU137:AU168" si="261">(((AVERAGE(AC137:AI137)/1000)-(AVERAGE(AK137:AQ137)/1000))+(((AJ137/1000)*-1)/7)+((J137/1000)/7))*-1</f>
        <v>#VALUE!</v>
      </c>
      <c r="AV137" s="208" t="e">
        <f t="shared" ref="AV137:AV168" si="262">AU137/(((J137/1000)+((AJ137*-1)/1000)))</f>
        <v>#VALUE!</v>
      </c>
      <c r="AW137" s="201" t="str">
        <f t="shared" ref="AW137:AW168" si="263">IF(L137&gt;1.1,"Fase de Degradação",IF(L137&lt;1,"Confiabilidade em Crescimento","Fase de Vida Útil"))</f>
        <v>Fase de Degradação</v>
      </c>
      <c r="AX137" s="253" t="e">
        <f>VLOOKUP(D137,#REF!,5,FALSE)</f>
        <v>#REF!</v>
      </c>
      <c r="AY137" s="201"/>
      <c r="AZ137" s="273" t="s">
        <v>1224</v>
      </c>
      <c r="BB137">
        <f>IFERROR(VLOOKUP(Tabela1[[#This Row],[Denominação]],[10]Planilha1!$A:$B,2,FALSE),"")</f>
        <v>2315501.7700000023</v>
      </c>
    </row>
    <row r="138" spans="1:54" ht="15" hidden="1" customHeight="1" x14ac:dyDescent="0.3">
      <c r="A138" s="253">
        <v>137</v>
      </c>
      <c r="B138" s="171" t="s">
        <v>330</v>
      </c>
      <c r="C138" s="209" t="s">
        <v>151</v>
      </c>
      <c r="D138" s="171">
        <v>10004167</v>
      </c>
      <c r="E138" s="253" t="s">
        <v>1289</v>
      </c>
      <c r="F138" s="210">
        <v>4531</v>
      </c>
      <c r="G138" s="171">
        <v>34460</v>
      </c>
      <c r="H138" s="171">
        <v>2006</v>
      </c>
      <c r="I138" s="213">
        <v>1159882.19</v>
      </c>
      <c r="J138" s="213">
        <v>0</v>
      </c>
      <c r="K138" s="170">
        <v>1825612.85</v>
      </c>
      <c r="L138" s="215">
        <v>1.56</v>
      </c>
      <c r="M138" s="212">
        <v>3477</v>
      </c>
      <c r="N138" s="212">
        <v>148433</v>
      </c>
      <c r="O138" s="171">
        <v>1585</v>
      </c>
      <c r="P138" s="271" t="str">
        <f>IFERROR(VLOOKUP(Tabela1[[#This Row],[TAG]],#REF!,14,FALSE),"")</f>
        <v/>
      </c>
      <c r="Q138" s="271" t="e">
        <f>P138+P138</f>
        <v>#VALUE!</v>
      </c>
      <c r="R138" s="271" t="e">
        <f t="shared" si="234"/>
        <v>#VALUE!</v>
      </c>
      <c r="S138" s="271" t="e">
        <f t="shared" si="235"/>
        <v>#VALUE!</v>
      </c>
      <c r="T138" s="271" t="e">
        <f t="shared" si="236"/>
        <v>#VALUE!</v>
      </c>
      <c r="U138" s="271" t="e">
        <f t="shared" si="237"/>
        <v>#VALUE!</v>
      </c>
      <c r="V138" s="271" t="e">
        <f t="shared" si="238"/>
        <v>#VALUE!</v>
      </c>
      <c r="W138" s="218">
        <v>536.16999999999996</v>
      </c>
      <c r="X138" s="218">
        <v>6960.88</v>
      </c>
      <c r="Y138" s="203">
        <v>0.1</v>
      </c>
      <c r="Z138" s="203">
        <f>IF(Tabela1[[#This Row],[Ano Aquisição]]=2023,0,IFERROR(VLOOKUP(H138,inflação!$F:$H,3,FALSE),""))</f>
        <v>0.96719999999999995</v>
      </c>
      <c r="AA138" s="203">
        <v>0.8</v>
      </c>
      <c r="AB138" s="202">
        <f t="shared" si="258"/>
        <v>-1159882.19</v>
      </c>
      <c r="AC138" s="204" t="e">
        <f t="shared" si="242"/>
        <v>#VALUE!</v>
      </c>
      <c r="AD138" s="204" t="e">
        <f t="shared" si="243"/>
        <v>#VALUE!</v>
      </c>
      <c r="AE138" s="204" t="e">
        <f t="shared" si="244"/>
        <v>#VALUE!</v>
      </c>
      <c r="AF138" s="204" t="e">
        <f t="shared" si="245"/>
        <v>#VALUE!</v>
      </c>
      <c r="AG138" s="204" t="e">
        <f t="shared" si="246"/>
        <v>#VALUE!</v>
      </c>
      <c r="AH138" s="204" t="e">
        <f t="shared" si="247"/>
        <v>#VALUE!</v>
      </c>
      <c r="AI138" s="204" t="e">
        <f t="shared" si="248"/>
        <v>#VALUE!</v>
      </c>
      <c r="AJ138" s="205">
        <f t="shared" si="259"/>
        <v>-2281720.2441679998</v>
      </c>
      <c r="AK138" s="204" t="e">
        <f t="shared" si="249"/>
        <v>#VALUE!</v>
      </c>
      <c r="AL138" s="204" t="e">
        <f t="shared" si="250"/>
        <v>#VALUE!</v>
      </c>
      <c r="AM138" s="204" t="e">
        <f t="shared" si="251"/>
        <v>#VALUE!</v>
      </c>
      <c r="AN138" s="204" t="e">
        <f t="shared" si="252"/>
        <v>#VALUE!</v>
      </c>
      <c r="AO138" s="204" t="e">
        <f t="shared" si="253"/>
        <v>#VALUE!</v>
      </c>
      <c r="AP138" s="204" t="e">
        <f t="shared" si="254"/>
        <v>#VALUE!</v>
      </c>
      <c r="AQ138" s="204" t="e">
        <f t="shared" si="255"/>
        <v>#VALUE!</v>
      </c>
      <c r="AR138" s="206" t="e">
        <f t="shared" si="260"/>
        <v>#VALUE!</v>
      </c>
      <c r="AS138" s="170" t="e">
        <f t="shared" si="256"/>
        <v>#VALUE!</v>
      </c>
      <c r="AT138" s="170" t="e">
        <f t="shared" si="257"/>
        <v>#VALUE!</v>
      </c>
      <c r="AU138" s="207" t="e">
        <f t="shared" si="261"/>
        <v>#VALUE!</v>
      </c>
      <c r="AV138" s="208" t="e">
        <f t="shared" si="262"/>
        <v>#VALUE!</v>
      </c>
      <c r="AW138" s="201" t="str">
        <f t="shared" si="263"/>
        <v>Fase de Degradação</v>
      </c>
      <c r="AX138" s="253" t="e">
        <f>VLOOKUP(D138,#REF!,5,FALSE)</f>
        <v>#REF!</v>
      </c>
      <c r="AY138" s="201"/>
      <c r="AZ138" s="273" t="s">
        <v>1224</v>
      </c>
      <c r="BB138">
        <f>IFERROR(VLOOKUP(Tabela1[[#This Row],[Denominação]],[10]Planilha1!$A:$B,2,FALSE),"")</f>
        <v>1825612.85</v>
      </c>
    </row>
    <row r="139" spans="1:54" ht="15" hidden="1" customHeight="1" x14ac:dyDescent="0.3">
      <c r="A139" s="268">
        <v>138</v>
      </c>
      <c r="B139" s="171" t="s">
        <v>368</v>
      </c>
      <c r="C139" s="209" t="s">
        <v>189</v>
      </c>
      <c r="D139" s="171">
        <v>10004168</v>
      </c>
      <c r="E139" s="253" t="s">
        <v>1290</v>
      </c>
      <c r="F139" s="210">
        <v>4531</v>
      </c>
      <c r="G139" s="171">
        <v>34084</v>
      </c>
      <c r="H139" s="171">
        <v>2006</v>
      </c>
      <c r="I139" s="213">
        <v>1062148.02</v>
      </c>
      <c r="J139" s="213">
        <v>0</v>
      </c>
      <c r="K139" s="170">
        <v>1955630.9499999983</v>
      </c>
      <c r="L139" s="215">
        <v>1.64</v>
      </c>
      <c r="M139" s="212">
        <v>5695</v>
      </c>
      <c r="N139" s="212">
        <v>149865</v>
      </c>
      <c r="O139" s="171">
        <v>1868</v>
      </c>
      <c r="P139" s="271" t="str">
        <f>IFERROR(VLOOKUP(Tabela1[[#This Row],[TAG]],#REF!,14,FALSE),"")</f>
        <v/>
      </c>
      <c r="Q139" s="271" t="e">
        <f t="shared" ref="Q139:Q170" si="264">P139+P139</f>
        <v>#VALUE!</v>
      </c>
      <c r="R139" s="271" t="e">
        <f t="shared" ref="R139:R170" si="265">Q139+P139</f>
        <v>#VALUE!</v>
      </c>
      <c r="S139" s="271" t="e">
        <f t="shared" ref="S139:S170" si="266">R139+P139</f>
        <v>#VALUE!</v>
      </c>
      <c r="T139" s="271" t="e">
        <f t="shared" ref="T139:T170" si="267">S139+P139</f>
        <v>#VALUE!</v>
      </c>
      <c r="U139" s="271" t="e">
        <f t="shared" ref="U139:U170" si="268">T139+P139</f>
        <v>#VALUE!</v>
      </c>
      <c r="V139" s="271" t="e">
        <f t="shared" ref="V139:V170" si="269">U139+P139</f>
        <v>#VALUE!</v>
      </c>
      <c r="W139" s="218">
        <v>505.73</v>
      </c>
      <c r="X139" s="218">
        <v>6317.8</v>
      </c>
      <c r="Y139" s="203">
        <v>0.1</v>
      </c>
      <c r="Z139" s="203">
        <f>IF(Tabela1[[#This Row],[Ano Aquisição]]=2023,0,IFERROR(VLOOKUP(H139,inflação!$F:$H,3,FALSE),""))</f>
        <v>0.96719999999999995</v>
      </c>
      <c r="AA139" s="203">
        <v>0.8</v>
      </c>
      <c r="AB139" s="202">
        <f t="shared" si="258"/>
        <v>-1062148.02</v>
      </c>
      <c r="AC139" s="204" t="e">
        <f t="shared" ref="AC139:AC170" si="270">-(((P139*$W139)+($X139*12))*((1+$Y139)^AC$1))</f>
        <v>#VALUE!</v>
      </c>
      <c r="AD139" s="204" t="e">
        <f t="shared" ref="AD139:AD170" si="271">-((((Q139-P139)*$W139)+($X139*12))*((1+$Y139)^AD$1))</f>
        <v>#VALUE!</v>
      </c>
      <c r="AE139" s="204" t="e">
        <f t="shared" ref="AE139:AE170" si="272">-((((R139-Q139)*$W139)+($X139*12))*((1+$Y139)^AE$1))</f>
        <v>#VALUE!</v>
      </c>
      <c r="AF139" s="204" t="e">
        <f t="shared" ref="AF139:AF170" si="273">-((((S139-R139)*$W139)+($X139*12))*((1+$Y139)^AF$1))</f>
        <v>#VALUE!</v>
      </c>
      <c r="AG139" s="204" t="e">
        <f t="shared" ref="AG139:AG170" si="274">-((((T139-S139)*$W139)+($X139*12))*((1+$Y139)^AG$1))</f>
        <v>#VALUE!</v>
      </c>
      <c r="AH139" s="204" t="e">
        <f t="shared" ref="AH139:AH170" si="275">-((((U139-T139)*$W139)+($X139*12))*((1+$Y139)^AH$1))</f>
        <v>#VALUE!</v>
      </c>
      <c r="AI139" s="204" t="e">
        <f t="shared" ref="AI139:AI170" si="276">-((((V139-U139)*$W139)+($X139*12))*((1+$Y139)^AI$1))</f>
        <v>#VALUE!</v>
      </c>
      <c r="AJ139" s="205">
        <f t="shared" si="259"/>
        <v>-2089457.584944</v>
      </c>
      <c r="AK139" s="204" t="e">
        <f t="shared" ref="AK139:AK170" si="277">AC139*(1-$AA139)</f>
        <v>#VALUE!</v>
      </c>
      <c r="AL139" s="204" t="e">
        <f t="shared" ref="AL139:AL170" si="278">AD139*(1-$AA139)</f>
        <v>#VALUE!</v>
      </c>
      <c r="AM139" s="204" t="e">
        <f t="shared" ref="AM139:AM170" si="279">AE139*(1-$AA139)</f>
        <v>#VALUE!</v>
      </c>
      <c r="AN139" s="204" t="e">
        <f t="shared" ref="AN139:AN170" si="280">AF139*(1-$AA139)</f>
        <v>#VALUE!</v>
      </c>
      <c r="AO139" s="204" t="e">
        <f t="shared" ref="AO139:AO170" si="281">AG139*(1-$AA139)</f>
        <v>#VALUE!</v>
      </c>
      <c r="AP139" s="204" t="e">
        <f t="shared" ref="AP139:AP170" si="282">AH139*(1-$AA139)</f>
        <v>#VALUE!</v>
      </c>
      <c r="AQ139" s="204" t="e">
        <f t="shared" ref="AQ139:AQ170" si="283">AI139*(1-$AA139)</f>
        <v>#VALUE!</v>
      </c>
      <c r="AR139" s="206" t="e">
        <f t="shared" si="260"/>
        <v>#VALUE!</v>
      </c>
      <c r="AS139" s="170" t="e">
        <f t="shared" ref="AS139:AS170" si="284">SUM(AC139:AI139)</f>
        <v>#VALUE!</v>
      </c>
      <c r="AT139" s="170" t="e">
        <f t="shared" ref="AT139:AT170" si="285">SUM(AK139:AQ139)</f>
        <v>#VALUE!</v>
      </c>
      <c r="AU139" s="207" t="e">
        <f t="shared" si="261"/>
        <v>#VALUE!</v>
      </c>
      <c r="AV139" s="208" t="e">
        <f t="shared" si="262"/>
        <v>#VALUE!</v>
      </c>
      <c r="AW139" s="201" t="str">
        <f t="shared" si="263"/>
        <v>Fase de Degradação</v>
      </c>
      <c r="AX139" s="253" t="e">
        <f>VLOOKUP(D139,#REF!,5,FALSE)</f>
        <v>#REF!</v>
      </c>
      <c r="AY139" s="201"/>
      <c r="AZ139" s="273" t="s">
        <v>1224</v>
      </c>
      <c r="BB139">
        <f>IFERROR(VLOOKUP(Tabela1[[#This Row],[Denominação]],[10]Planilha1!$A:$B,2,FALSE),"")</f>
        <v>1955630.9499999983</v>
      </c>
    </row>
    <row r="140" spans="1:54" ht="15" hidden="1" customHeight="1" x14ac:dyDescent="0.3">
      <c r="A140" s="253">
        <v>139</v>
      </c>
      <c r="B140" s="171" t="s">
        <v>369</v>
      </c>
      <c r="C140" s="209" t="s">
        <v>190</v>
      </c>
      <c r="D140" s="171">
        <v>10004169</v>
      </c>
      <c r="E140" s="253" t="s">
        <v>1291</v>
      </c>
      <c r="F140" s="210">
        <v>4531</v>
      </c>
      <c r="G140" s="171">
        <v>34082</v>
      </c>
      <c r="H140" s="171">
        <v>2006</v>
      </c>
      <c r="I140" s="213">
        <v>1062148.01</v>
      </c>
      <c r="J140" s="213">
        <v>0</v>
      </c>
      <c r="K140" s="170">
        <v>1761772.3799999985</v>
      </c>
      <c r="L140" s="215">
        <v>1.66</v>
      </c>
      <c r="M140" s="212">
        <v>6089</v>
      </c>
      <c r="N140" s="212">
        <v>150077</v>
      </c>
      <c r="O140" s="171">
        <v>1419</v>
      </c>
      <c r="P140" s="271" t="str">
        <f>IFERROR(VLOOKUP(Tabela1[[#This Row],[TAG]],#REF!,14,FALSE),"")</f>
        <v/>
      </c>
      <c r="Q140" s="271" t="e">
        <f t="shared" si="264"/>
        <v>#VALUE!</v>
      </c>
      <c r="R140" s="271" t="e">
        <f t="shared" si="265"/>
        <v>#VALUE!</v>
      </c>
      <c r="S140" s="271" t="e">
        <f t="shared" si="266"/>
        <v>#VALUE!</v>
      </c>
      <c r="T140" s="271" t="e">
        <f t="shared" si="267"/>
        <v>#VALUE!</v>
      </c>
      <c r="U140" s="271" t="e">
        <f t="shared" si="268"/>
        <v>#VALUE!</v>
      </c>
      <c r="V140" s="271" t="e">
        <f t="shared" si="269"/>
        <v>#VALUE!</v>
      </c>
      <c r="W140" s="218">
        <v>479.73</v>
      </c>
      <c r="X140" s="218">
        <v>4926.04</v>
      </c>
      <c r="Y140" s="203">
        <v>0.1</v>
      </c>
      <c r="Z140" s="203">
        <f>IF(Tabela1[[#This Row],[Ano Aquisição]]=2023,0,IFERROR(VLOOKUP(H140,inflação!$F:$H,3,FALSE),""))</f>
        <v>0.96719999999999995</v>
      </c>
      <c r="AA140" s="203">
        <v>0.8</v>
      </c>
      <c r="AB140" s="202">
        <f t="shared" si="258"/>
        <v>-1062148.01</v>
      </c>
      <c r="AC140" s="204" t="e">
        <f t="shared" si="270"/>
        <v>#VALUE!</v>
      </c>
      <c r="AD140" s="204" t="e">
        <f t="shared" si="271"/>
        <v>#VALUE!</v>
      </c>
      <c r="AE140" s="204" t="e">
        <f t="shared" si="272"/>
        <v>#VALUE!</v>
      </c>
      <c r="AF140" s="204" t="e">
        <f t="shared" si="273"/>
        <v>#VALUE!</v>
      </c>
      <c r="AG140" s="204" t="e">
        <f t="shared" si="274"/>
        <v>#VALUE!</v>
      </c>
      <c r="AH140" s="204" t="e">
        <f t="shared" si="275"/>
        <v>#VALUE!</v>
      </c>
      <c r="AI140" s="204" t="e">
        <f t="shared" si="276"/>
        <v>#VALUE!</v>
      </c>
      <c r="AJ140" s="205">
        <f t="shared" si="259"/>
        <v>-2089457.5652720002</v>
      </c>
      <c r="AK140" s="204" t="e">
        <f t="shared" si="277"/>
        <v>#VALUE!</v>
      </c>
      <c r="AL140" s="204" t="e">
        <f t="shared" si="278"/>
        <v>#VALUE!</v>
      </c>
      <c r="AM140" s="204" t="e">
        <f t="shared" si="279"/>
        <v>#VALUE!</v>
      </c>
      <c r="AN140" s="204" t="e">
        <f t="shared" si="280"/>
        <v>#VALUE!</v>
      </c>
      <c r="AO140" s="204" t="e">
        <f t="shared" si="281"/>
        <v>#VALUE!</v>
      </c>
      <c r="AP140" s="204" t="e">
        <f t="shared" si="282"/>
        <v>#VALUE!</v>
      </c>
      <c r="AQ140" s="204" t="e">
        <f t="shared" si="283"/>
        <v>#VALUE!</v>
      </c>
      <c r="AR140" s="206" t="e">
        <f t="shared" si="260"/>
        <v>#VALUE!</v>
      </c>
      <c r="AS140" s="170" t="e">
        <f t="shared" si="284"/>
        <v>#VALUE!</v>
      </c>
      <c r="AT140" s="170" t="e">
        <f t="shared" si="285"/>
        <v>#VALUE!</v>
      </c>
      <c r="AU140" s="207" t="e">
        <f t="shared" si="261"/>
        <v>#VALUE!</v>
      </c>
      <c r="AV140" s="208" t="e">
        <f t="shared" si="262"/>
        <v>#VALUE!</v>
      </c>
      <c r="AW140" s="201" t="str">
        <f t="shared" si="263"/>
        <v>Fase de Degradação</v>
      </c>
      <c r="AX140" s="253" t="e">
        <f>VLOOKUP(D140,#REF!,5,FALSE)</f>
        <v>#REF!</v>
      </c>
      <c r="AY140" s="201"/>
      <c r="AZ140" s="273" t="s">
        <v>1224</v>
      </c>
      <c r="BB140">
        <f>IFERROR(VLOOKUP(Tabela1[[#This Row],[Denominação]],[10]Planilha1!$A:$B,2,FALSE),"")</f>
        <v>1761772.3799999985</v>
      </c>
    </row>
    <row r="141" spans="1:54" ht="15" hidden="1" customHeight="1" x14ac:dyDescent="0.3">
      <c r="A141" s="268">
        <v>140</v>
      </c>
      <c r="B141" s="171" t="s">
        <v>371</v>
      </c>
      <c r="C141" s="209" t="s">
        <v>192</v>
      </c>
      <c r="D141" s="171">
        <v>10004170</v>
      </c>
      <c r="E141" s="253" t="s">
        <v>1292</v>
      </c>
      <c r="F141" s="210">
        <v>4531</v>
      </c>
      <c r="G141" s="171">
        <v>34083</v>
      </c>
      <c r="H141" s="171">
        <v>2006</v>
      </c>
      <c r="I141" s="213">
        <v>1062148.02</v>
      </c>
      <c r="J141" s="213">
        <v>0</v>
      </c>
      <c r="K141" s="170">
        <v>2007905.3599999959</v>
      </c>
      <c r="L141" s="215">
        <v>1.71</v>
      </c>
      <c r="M141" s="212">
        <v>5832</v>
      </c>
      <c r="N141" s="212">
        <v>150588</v>
      </c>
      <c r="O141" s="171">
        <v>1404</v>
      </c>
      <c r="P141" s="271" t="str">
        <f>IFERROR(VLOOKUP(Tabela1[[#This Row],[TAG]],#REF!,14,FALSE),"")</f>
        <v/>
      </c>
      <c r="Q141" s="271" t="e">
        <f t="shared" si="264"/>
        <v>#VALUE!</v>
      </c>
      <c r="R141" s="271" t="e">
        <f t="shared" si="265"/>
        <v>#VALUE!</v>
      </c>
      <c r="S141" s="271" t="e">
        <f t="shared" si="266"/>
        <v>#VALUE!</v>
      </c>
      <c r="T141" s="271" t="e">
        <f t="shared" si="267"/>
        <v>#VALUE!</v>
      </c>
      <c r="U141" s="271" t="e">
        <f t="shared" si="268"/>
        <v>#VALUE!</v>
      </c>
      <c r="V141" s="271" t="e">
        <f t="shared" si="269"/>
        <v>#VALUE!</v>
      </c>
      <c r="W141" s="218">
        <v>620.16</v>
      </c>
      <c r="X141" s="218">
        <v>7864.85</v>
      </c>
      <c r="Y141" s="203">
        <v>0.1</v>
      </c>
      <c r="Z141" s="203">
        <f>IF(Tabela1[[#This Row],[Ano Aquisição]]=2023,0,IFERROR(VLOOKUP(H141,inflação!$F:$H,3,FALSE),""))</f>
        <v>0.96719999999999995</v>
      </c>
      <c r="AA141" s="203">
        <v>0.8</v>
      </c>
      <c r="AB141" s="202">
        <f t="shared" si="258"/>
        <v>-1062148.02</v>
      </c>
      <c r="AC141" s="204" t="e">
        <f t="shared" si="270"/>
        <v>#VALUE!</v>
      </c>
      <c r="AD141" s="204" t="e">
        <f t="shared" si="271"/>
        <v>#VALUE!</v>
      </c>
      <c r="AE141" s="204" t="e">
        <f t="shared" si="272"/>
        <v>#VALUE!</v>
      </c>
      <c r="AF141" s="204" t="e">
        <f t="shared" si="273"/>
        <v>#VALUE!</v>
      </c>
      <c r="AG141" s="204" t="e">
        <f t="shared" si="274"/>
        <v>#VALUE!</v>
      </c>
      <c r="AH141" s="204" t="e">
        <f t="shared" si="275"/>
        <v>#VALUE!</v>
      </c>
      <c r="AI141" s="204" t="e">
        <f t="shared" si="276"/>
        <v>#VALUE!</v>
      </c>
      <c r="AJ141" s="205">
        <f t="shared" si="259"/>
        <v>-2089457.584944</v>
      </c>
      <c r="AK141" s="204" t="e">
        <f t="shared" si="277"/>
        <v>#VALUE!</v>
      </c>
      <c r="AL141" s="204" t="e">
        <f t="shared" si="278"/>
        <v>#VALUE!</v>
      </c>
      <c r="AM141" s="204" t="e">
        <f t="shared" si="279"/>
        <v>#VALUE!</v>
      </c>
      <c r="AN141" s="204" t="e">
        <f t="shared" si="280"/>
        <v>#VALUE!</v>
      </c>
      <c r="AO141" s="204" t="e">
        <f t="shared" si="281"/>
        <v>#VALUE!</v>
      </c>
      <c r="AP141" s="204" t="e">
        <f t="shared" si="282"/>
        <v>#VALUE!</v>
      </c>
      <c r="AQ141" s="204" t="e">
        <f t="shared" si="283"/>
        <v>#VALUE!</v>
      </c>
      <c r="AR141" s="206" t="e">
        <f t="shared" si="260"/>
        <v>#VALUE!</v>
      </c>
      <c r="AS141" s="170" t="e">
        <f t="shared" si="284"/>
        <v>#VALUE!</v>
      </c>
      <c r="AT141" s="170" t="e">
        <f t="shared" si="285"/>
        <v>#VALUE!</v>
      </c>
      <c r="AU141" s="207" t="e">
        <f t="shared" si="261"/>
        <v>#VALUE!</v>
      </c>
      <c r="AV141" s="208" t="e">
        <f t="shared" si="262"/>
        <v>#VALUE!</v>
      </c>
      <c r="AW141" s="201" t="str">
        <f t="shared" si="263"/>
        <v>Fase de Degradação</v>
      </c>
      <c r="AX141" s="253" t="e">
        <f>VLOOKUP(D141,#REF!,5,FALSE)</f>
        <v>#REF!</v>
      </c>
      <c r="AY141" s="201"/>
      <c r="AZ141" s="273" t="s">
        <v>1224</v>
      </c>
      <c r="BB141">
        <f>IFERROR(VLOOKUP(Tabela1[[#This Row],[Denominação]],[10]Planilha1!$A:$B,2,FALSE),"")</f>
        <v>2007905.3599999959</v>
      </c>
    </row>
    <row r="142" spans="1:54" ht="15" hidden="1" customHeight="1" x14ac:dyDescent="0.3">
      <c r="A142" s="253">
        <v>141</v>
      </c>
      <c r="B142" s="171" t="s">
        <v>348</v>
      </c>
      <c r="C142" s="209" t="s">
        <v>169</v>
      </c>
      <c r="D142" s="171">
        <v>10004171</v>
      </c>
      <c r="E142" s="253" t="s">
        <v>1293</v>
      </c>
      <c r="F142" s="210">
        <v>4531</v>
      </c>
      <c r="G142" s="171">
        <v>34370</v>
      </c>
      <c r="H142" s="171">
        <v>2006</v>
      </c>
      <c r="I142" s="213">
        <v>1124613.27</v>
      </c>
      <c r="J142" s="213">
        <v>0</v>
      </c>
      <c r="K142" s="170">
        <v>2237052.7299999981</v>
      </c>
      <c r="L142" s="215">
        <v>1.57</v>
      </c>
      <c r="M142" s="212">
        <v>5927</v>
      </c>
      <c r="N142" s="212">
        <v>148451</v>
      </c>
      <c r="O142" s="171">
        <v>1952</v>
      </c>
      <c r="P142" s="271" t="str">
        <f>IFERROR(VLOOKUP(Tabela1[[#This Row],[TAG]],#REF!,14,FALSE),"")</f>
        <v/>
      </c>
      <c r="Q142" s="271" t="e">
        <f t="shared" si="264"/>
        <v>#VALUE!</v>
      </c>
      <c r="R142" s="271" t="e">
        <f t="shared" si="265"/>
        <v>#VALUE!</v>
      </c>
      <c r="S142" s="271" t="e">
        <f t="shared" si="266"/>
        <v>#VALUE!</v>
      </c>
      <c r="T142" s="271" t="e">
        <f t="shared" si="267"/>
        <v>#VALUE!</v>
      </c>
      <c r="U142" s="271" t="e">
        <f t="shared" si="268"/>
        <v>#VALUE!</v>
      </c>
      <c r="V142" s="271" t="e">
        <f t="shared" si="269"/>
        <v>#VALUE!</v>
      </c>
      <c r="W142" s="218">
        <v>533.72</v>
      </c>
      <c r="X142" s="218">
        <v>6975.62</v>
      </c>
      <c r="Y142" s="203">
        <v>0.1</v>
      </c>
      <c r="Z142" s="203">
        <f>IF(Tabela1[[#This Row],[Ano Aquisição]]=2023,0,IFERROR(VLOOKUP(H142,inflação!$F:$H,3,FALSE),""))</f>
        <v>0.96719999999999995</v>
      </c>
      <c r="AA142" s="203">
        <v>0.8</v>
      </c>
      <c r="AB142" s="202">
        <f t="shared" si="258"/>
        <v>-1124613.27</v>
      </c>
      <c r="AC142" s="204" t="e">
        <f t="shared" si="270"/>
        <v>#VALUE!</v>
      </c>
      <c r="AD142" s="204" t="e">
        <f t="shared" si="271"/>
        <v>#VALUE!</v>
      </c>
      <c r="AE142" s="204" t="e">
        <f t="shared" si="272"/>
        <v>#VALUE!</v>
      </c>
      <c r="AF142" s="204" t="e">
        <f t="shared" si="273"/>
        <v>#VALUE!</v>
      </c>
      <c r="AG142" s="204" t="e">
        <f t="shared" si="274"/>
        <v>#VALUE!</v>
      </c>
      <c r="AH142" s="204" t="e">
        <f t="shared" si="275"/>
        <v>#VALUE!</v>
      </c>
      <c r="AI142" s="204" t="e">
        <f t="shared" si="276"/>
        <v>#VALUE!</v>
      </c>
      <c r="AJ142" s="205">
        <f t="shared" si="259"/>
        <v>-2212339.224744</v>
      </c>
      <c r="AK142" s="204" t="e">
        <f t="shared" si="277"/>
        <v>#VALUE!</v>
      </c>
      <c r="AL142" s="204" t="e">
        <f t="shared" si="278"/>
        <v>#VALUE!</v>
      </c>
      <c r="AM142" s="204" t="e">
        <f t="shared" si="279"/>
        <v>#VALUE!</v>
      </c>
      <c r="AN142" s="204" t="e">
        <f t="shared" si="280"/>
        <v>#VALUE!</v>
      </c>
      <c r="AO142" s="204" t="e">
        <f t="shared" si="281"/>
        <v>#VALUE!</v>
      </c>
      <c r="AP142" s="204" t="e">
        <f t="shared" si="282"/>
        <v>#VALUE!</v>
      </c>
      <c r="AQ142" s="204" t="e">
        <f t="shared" si="283"/>
        <v>#VALUE!</v>
      </c>
      <c r="AR142" s="206" t="e">
        <f t="shared" si="260"/>
        <v>#VALUE!</v>
      </c>
      <c r="AS142" s="170" t="e">
        <f t="shared" si="284"/>
        <v>#VALUE!</v>
      </c>
      <c r="AT142" s="170" t="e">
        <f t="shared" si="285"/>
        <v>#VALUE!</v>
      </c>
      <c r="AU142" s="207" t="e">
        <f t="shared" si="261"/>
        <v>#VALUE!</v>
      </c>
      <c r="AV142" s="208" t="e">
        <f t="shared" si="262"/>
        <v>#VALUE!</v>
      </c>
      <c r="AW142" s="201" t="str">
        <f t="shared" si="263"/>
        <v>Fase de Degradação</v>
      </c>
      <c r="AX142" s="253" t="e">
        <f>VLOOKUP(D142,#REF!,5,FALSE)</f>
        <v>#REF!</v>
      </c>
      <c r="AY142" s="201"/>
      <c r="AZ142" s="273" t="s">
        <v>1224</v>
      </c>
      <c r="BB142">
        <f>IFERROR(VLOOKUP(Tabela1[[#This Row],[Denominação]],[10]Planilha1!$A:$B,2,FALSE),"")</f>
        <v>2237052.7299999981</v>
      </c>
    </row>
    <row r="143" spans="1:54" ht="15" hidden="1" customHeight="1" x14ac:dyDescent="0.3">
      <c r="A143" s="268">
        <v>142</v>
      </c>
      <c r="B143" s="171" t="s">
        <v>376</v>
      </c>
      <c r="C143" s="209" t="s">
        <v>197</v>
      </c>
      <c r="D143" s="171">
        <v>10004172</v>
      </c>
      <c r="E143" s="253" t="s">
        <v>1294</v>
      </c>
      <c r="F143" s="210">
        <v>4531</v>
      </c>
      <c r="G143" s="171">
        <v>34487</v>
      </c>
      <c r="H143" s="171">
        <v>2006</v>
      </c>
      <c r="I143" s="213">
        <v>1159882.23</v>
      </c>
      <c r="J143" s="213">
        <v>0</v>
      </c>
      <c r="K143" s="170">
        <v>1765004.5300000026</v>
      </c>
      <c r="L143" s="215">
        <v>1.6</v>
      </c>
      <c r="M143" s="212">
        <v>5721</v>
      </c>
      <c r="N143" s="212">
        <v>135889</v>
      </c>
      <c r="O143" s="171">
        <v>1624</v>
      </c>
      <c r="P143" s="271" t="str">
        <f>IFERROR(VLOOKUP(Tabela1[[#This Row],[TAG]],#REF!,14,FALSE),"")</f>
        <v/>
      </c>
      <c r="Q143" s="271" t="e">
        <f t="shared" si="264"/>
        <v>#VALUE!</v>
      </c>
      <c r="R143" s="271" t="e">
        <f t="shared" si="265"/>
        <v>#VALUE!</v>
      </c>
      <c r="S143" s="271" t="e">
        <f t="shared" si="266"/>
        <v>#VALUE!</v>
      </c>
      <c r="T143" s="271" t="e">
        <f t="shared" si="267"/>
        <v>#VALUE!</v>
      </c>
      <c r="U143" s="271" t="e">
        <f t="shared" si="268"/>
        <v>#VALUE!</v>
      </c>
      <c r="V143" s="271" t="e">
        <f t="shared" si="269"/>
        <v>#VALUE!</v>
      </c>
      <c r="W143" s="218">
        <v>511.96</v>
      </c>
      <c r="X143" s="218">
        <v>8643.77</v>
      </c>
      <c r="Y143" s="203">
        <v>0.1</v>
      </c>
      <c r="Z143" s="203">
        <f>IF(Tabela1[[#This Row],[Ano Aquisição]]=2023,0,IFERROR(VLOOKUP(H143,inflação!$F:$H,3,FALSE),""))</f>
        <v>0.96719999999999995</v>
      </c>
      <c r="AA143" s="203">
        <v>0.8</v>
      </c>
      <c r="AB143" s="202">
        <f t="shared" si="258"/>
        <v>-1159882.23</v>
      </c>
      <c r="AC143" s="204" t="e">
        <f t="shared" si="270"/>
        <v>#VALUE!</v>
      </c>
      <c r="AD143" s="204" t="e">
        <f t="shared" si="271"/>
        <v>#VALUE!</v>
      </c>
      <c r="AE143" s="204" t="e">
        <f t="shared" si="272"/>
        <v>#VALUE!</v>
      </c>
      <c r="AF143" s="204" t="e">
        <f t="shared" si="273"/>
        <v>#VALUE!</v>
      </c>
      <c r="AG143" s="204" t="e">
        <f t="shared" si="274"/>
        <v>#VALUE!</v>
      </c>
      <c r="AH143" s="204" t="e">
        <f t="shared" si="275"/>
        <v>#VALUE!</v>
      </c>
      <c r="AI143" s="204" t="e">
        <f t="shared" si="276"/>
        <v>#VALUE!</v>
      </c>
      <c r="AJ143" s="205">
        <f t="shared" si="259"/>
        <v>-2281720.3228560002</v>
      </c>
      <c r="AK143" s="204" t="e">
        <f t="shared" si="277"/>
        <v>#VALUE!</v>
      </c>
      <c r="AL143" s="204" t="e">
        <f t="shared" si="278"/>
        <v>#VALUE!</v>
      </c>
      <c r="AM143" s="204" t="e">
        <f t="shared" si="279"/>
        <v>#VALUE!</v>
      </c>
      <c r="AN143" s="204" t="e">
        <f t="shared" si="280"/>
        <v>#VALUE!</v>
      </c>
      <c r="AO143" s="204" t="e">
        <f t="shared" si="281"/>
        <v>#VALUE!</v>
      </c>
      <c r="AP143" s="204" t="e">
        <f t="shared" si="282"/>
        <v>#VALUE!</v>
      </c>
      <c r="AQ143" s="204" t="e">
        <f t="shared" si="283"/>
        <v>#VALUE!</v>
      </c>
      <c r="AR143" s="206" t="e">
        <f t="shared" si="260"/>
        <v>#VALUE!</v>
      </c>
      <c r="AS143" s="170" t="e">
        <f t="shared" si="284"/>
        <v>#VALUE!</v>
      </c>
      <c r="AT143" s="170" t="e">
        <f t="shared" si="285"/>
        <v>#VALUE!</v>
      </c>
      <c r="AU143" s="207" t="e">
        <f t="shared" si="261"/>
        <v>#VALUE!</v>
      </c>
      <c r="AV143" s="208" t="e">
        <f t="shared" si="262"/>
        <v>#VALUE!</v>
      </c>
      <c r="AW143" s="201" t="str">
        <f t="shared" si="263"/>
        <v>Fase de Degradação</v>
      </c>
      <c r="AX143" s="253" t="e">
        <f>VLOOKUP(D143,#REF!,5,FALSE)</f>
        <v>#REF!</v>
      </c>
      <c r="AY143" s="201"/>
      <c r="AZ143" s="273" t="s">
        <v>1224</v>
      </c>
      <c r="BB143">
        <f>IFERROR(VLOOKUP(Tabela1[[#This Row],[Denominação]],[10]Planilha1!$A:$B,2,FALSE),"")</f>
        <v>1765004.5300000026</v>
      </c>
    </row>
    <row r="144" spans="1:54" ht="15" hidden="1" customHeight="1" x14ac:dyDescent="0.3">
      <c r="A144" s="253">
        <v>143</v>
      </c>
      <c r="B144" s="171" t="s">
        <v>355</v>
      </c>
      <c r="C144" s="209" t="s">
        <v>176</v>
      </c>
      <c r="D144" s="171">
        <v>10004173</v>
      </c>
      <c r="E144" s="253" t="s">
        <v>1295</v>
      </c>
      <c r="F144" s="210">
        <v>4531</v>
      </c>
      <c r="G144" s="171">
        <v>34596</v>
      </c>
      <c r="H144" s="171">
        <v>2007</v>
      </c>
      <c r="I144" s="213">
        <v>1120523.54</v>
      </c>
      <c r="J144" s="213">
        <v>0</v>
      </c>
      <c r="K144" s="170">
        <v>1526171.36</v>
      </c>
      <c r="L144" s="215">
        <v>1.32</v>
      </c>
      <c r="M144" s="212">
        <v>6084</v>
      </c>
      <c r="N144" s="212">
        <v>144014</v>
      </c>
      <c r="O144" s="171">
        <v>1456</v>
      </c>
      <c r="P144" s="271" t="str">
        <f>IFERROR(VLOOKUP(Tabela1[[#This Row],[TAG]],#REF!,14,FALSE),"")</f>
        <v/>
      </c>
      <c r="Q144" s="271" t="e">
        <f>P144+P144</f>
        <v>#VALUE!</v>
      </c>
      <c r="R144" s="271" t="e">
        <f t="shared" si="265"/>
        <v>#VALUE!</v>
      </c>
      <c r="S144" s="271" t="e">
        <f t="shared" si="266"/>
        <v>#VALUE!</v>
      </c>
      <c r="T144" s="271" t="e">
        <f t="shared" si="267"/>
        <v>#VALUE!</v>
      </c>
      <c r="U144" s="271" t="e">
        <f t="shared" si="268"/>
        <v>#VALUE!</v>
      </c>
      <c r="V144" s="271" t="e">
        <f t="shared" si="269"/>
        <v>#VALUE!</v>
      </c>
      <c r="W144" s="218">
        <v>546.12</v>
      </c>
      <c r="X144" s="218">
        <v>5656</v>
      </c>
      <c r="Y144" s="203">
        <v>0.1</v>
      </c>
      <c r="Z144" s="203">
        <f>IF(Tabela1[[#This Row],[Ano Aquisição]]=2023,0,IFERROR(VLOOKUP(H144,inflação!$F:$H,3,FALSE),""))</f>
        <v>0.93579999999999997</v>
      </c>
      <c r="AA144" s="203">
        <v>0.8</v>
      </c>
      <c r="AB144" s="202">
        <f t="shared" si="258"/>
        <v>-1120523.54</v>
      </c>
      <c r="AC144" s="204" t="e">
        <f t="shared" si="270"/>
        <v>#VALUE!</v>
      </c>
      <c r="AD144" s="204" t="e">
        <f t="shared" si="271"/>
        <v>#VALUE!</v>
      </c>
      <c r="AE144" s="204" t="e">
        <f t="shared" si="272"/>
        <v>#VALUE!</v>
      </c>
      <c r="AF144" s="204" t="e">
        <f t="shared" si="273"/>
        <v>#VALUE!</v>
      </c>
      <c r="AG144" s="204" t="e">
        <f t="shared" si="274"/>
        <v>#VALUE!</v>
      </c>
      <c r="AH144" s="204" t="e">
        <f t="shared" si="275"/>
        <v>#VALUE!</v>
      </c>
      <c r="AI144" s="204" t="e">
        <f t="shared" si="276"/>
        <v>#VALUE!</v>
      </c>
      <c r="AJ144" s="205">
        <f t="shared" si="259"/>
        <v>-2169109.4687319999</v>
      </c>
      <c r="AK144" s="204" t="e">
        <f t="shared" si="277"/>
        <v>#VALUE!</v>
      </c>
      <c r="AL144" s="204" t="e">
        <f t="shared" si="278"/>
        <v>#VALUE!</v>
      </c>
      <c r="AM144" s="204" t="e">
        <f t="shared" si="279"/>
        <v>#VALUE!</v>
      </c>
      <c r="AN144" s="204" t="e">
        <f t="shared" si="280"/>
        <v>#VALUE!</v>
      </c>
      <c r="AO144" s="204" t="e">
        <f t="shared" si="281"/>
        <v>#VALUE!</v>
      </c>
      <c r="AP144" s="204" t="e">
        <f t="shared" si="282"/>
        <v>#VALUE!</v>
      </c>
      <c r="AQ144" s="204" t="e">
        <f t="shared" si="283"/>
        <v>#VALUE!</v>
      </c>
      <c r="AR144" s="206" t="e">
        <f t="shared" si="260"/>
        <v>#VALUE!</v>
      </c>
      <c r="AS144" s="170" t="e">
        <f t="shared" si="284"/>
        <v>#VALUE!</v>
      </c>
      <c r="AT144" s="170" t="e">
        <f t="shared" si="285"/>
        <v>#VALUE!</v>
      </c>
      <c r="AU144" s="207" t="e">
        <f t="shared" si="261"/>
        <v>#VALUE!</v>
      </c>
      <c r="AV144" s="208" t="e">
        <f t="shared" si="262"/>
        <v>#VALUE!</v>
      </c>
      <c r="AW144" s="201" t="str">
        <f t="shared" si="263"/>
        <v>Fase de Degradação</v>
      </c>
      <c r="AX144" s="253" t="e">
        <f>VLOOKUP(D144,#REF!,5,FALSE)</f>
        <v>#REF!</v>
      </c>
      <c r="AY144" s="201"/>
      <c r="AZ144" s="273" t="s">
        <v>1224</v>
      </c>
      <c r="BB144">
        <f>IFERROR(VLOOKUP(Tabela1[[#This Row],[Denominação]],[10]Planilha1!$A:$B,2,FALSE),"")</f>
        <v>1526171.36</v>
      </c>
    </row>
    <row r="145" spans="1:54" ht="15" hidden="1" customHeight="1" x14ac:dyDescent="0.3">
      <c r="A145" s="268">
        <v>144</v>
      </c>
      <c r="B145" s="171" t="s">
        <v>364</v>
      </c>
      <c r="C145" s="209" t="s">
        <v>185</v>
      </c>
      <c r="D145" s="171">
        <v>10004174</v>
      </c>
      <c r="E145" s="253" t="s">
        <v>1296</v>
      </c>
      <c r="F145" s="210">
        <v>4531</v>
      </c>
      <c r="G145" s="171">
        <v>34597</v>
      </c>
      <c r="H145" s="171">
        <v>2007</v>
      </c>
      <c r="I145" s="213">
        <v>1570038.08</v>
      </c>
      <c r="J145" s="213">
        <v>365815</v>
      </c>
      <c r="K145" s="170">
        <v>2148000.6199999982</v>
      </c>
      <c r="L145" s="215">
        <v>1.43</v>
      </c>
      <c r="M145" s="212">
        <v>5754</v>
      </c>
      <c r="N145" s="212">
        <v>143894</v>
      </c>
      <c r="O145" s="171">
        <v>1816</v>
      </c>
      <c r="P145" s="271" t="str">
        <f>IFERROR(VLOOKUP(Tabela1[[#This Row],[TAG]],#REF!,14,FALSE),"")</f>
        <v/>
      </c>
      <c r="Q145" s="271" t="e">
        <f t="shared" si="264"/>
        <v>#VALUE!</v>
      </c>
      <c r="R145" s="271" t="e">
        <f t="shared" si="265"/>
        <v>#VALUE!</v>
      </c>
      <c r="S145" s="271" t="e">
        <f t="shared" si="266"/>
        <v>#VALUE!</v>
      </c>
      <c r="T145" s="271" t="e">
        <f t="shared" si="267"/>
        <v>#VALUE!</v>
      </c>
      <c r="U145" s="271" t="e">
        <f t="shared" si="268"/>
        <v>#VALUE!</v>
      </c>
      <c r="V145" s="271" t="e">
        <f t="shared" si="269"/>
        <v>#VALUE!</v>
      </c>
      <c r="W145" s="218">
        <v>533.77</v>
      </c>
      <c r="X145" s="218">
        <v>7355.74</v>
      </c>
      <c r="Y145" s="203">
        <v>0.1</v>
      </c>
      <c r="Z145" s="203">
        <f>IF(Tabela1[[#This Row],[Ano Aquisição]]=2023,0,IFERROR(VLOOKUP(H145,inflação!$F:$H,3,FALSE),""))</f>
        <v>0.93579999999999997</v>
      </c>
      <c r="AA145" s="203">
        <v>0.8</v>
      </c>
      <c r="AB145" s="202">
        <f t="shared" si="258"/>
        <v>-1570038.08</v>
      </c>
      <c r="AC145" s="204" t="e">
        <f t="shared" si="270"/>
        <v>#VALUE!</v>
      </c>
      <c r="AD145" s="204" t="e">
        <f t="shared" si="271"/>
        <v>#VALUE!</v>
      </c>
      <c r="AE145" s="204" t="e">
        <f t="shared" si="272"/>
        <v>#VALUE!</v>
      </c>
      <c r="AF145" s="204" t="e">
        <f t="shared" si="273"/>
        <v>#VALUE!</v>
      </c>
      <c r="AG145" s="204" t="e">
        <f t="shared" si="274"/>
        <v>#VALUE!</v>
      </c>
      <c r="AH145" s="204" t="e">
        <f t="shared" si="275"/>
        <v>#VALUE!</v>
      </c>
      <c r="AI145" s="204" t="e">
        <f t="shared" si="276"/>
        <v>#VALUE!</v>
      </c>
      <c r="AJ145" s="205">
        <f t="shared" si="259"/>
        <v>-3039279.715264</v>
      </c>
      <c r="AK145" s="204" t="e">
        <f t="shared" si="277"/>
        <v>#VALUE!</v>
      </c>
      <c r="AL145" s="204" t="e">
        <f t="shared" si="278"/>
        <v>#VALUE!</v>
      </c>
      <c r="AM145" s="204" t="e">
        <f t="shared" si="279"/>
        <v>#VALUE!</v>
      </c>
      <c r="AN145" s="204" t="e">
        <f t="shared" si="280"/>
        <v>#VALUE!</v>
      </c>
      <c r="AO145" s="204" t="e">
        <f t="shared" si="281"/>
        <v>#VALUE!</v>
      </c>
      <c r="AP145" s="204" t="e">
        <f t="shared" si="282"/>
        <v>#VALUE!</v>
      </c>
      <c r="AQ145" s="204" t="e">
        <f t="shared" si="283"/>
        <v>#VALUE!</v>
      </c>
      <c r="AR145" s="206" t="e">
        <f t="shared" si="260"/>
        <v>#VALUE!</v>
      </c>
      <c r="AS145" s="170" t="e">
        <f t="shared" si="284"/>
        <v>#VALUE!</v>
      </c>
      <c r="AT145" s="170" t="e">
        <f t="shared" si="285"/>
        <v>#VALUE!</v>
      </c>
      <c r="AU145" s="207" t="e">
        <f t="shared" si="261"/>
        <v>#VALUE!</v>
      </c>
      <c r="AV145" s="208" t="e">
        <f t="shared" si="262"/>
        <v>#VALUE!</v>
      </c>
      <c r="AW145" s="201" t="str">
        <f t="shared" si="263"/>
        <v>Fase de Degradação</v>
      </c>
      <c r="AX145" s="253" t="e">
        <f>VLOOKUP(D145,#REF!,5,FALSE)</f>
        <v>#REF!</v>
      </c>
      <c r="AY145" s="201"/>
      <c r="AZ145" s="273" t="s">
        <v>1224</v>
      </c>
      <c r="BB145">
        <f>IFERROR(VLOOKUP(Tabela1[[#This Row],[Denominação]],[10]Planilha1!$A:$B,2,FALSE),"")</f>
        <v>2148000.6199999982</v>
      </c>
    </row>
    <row r="146" spans="1:54" ht="15" hidden="1" customHeight="1" x14ac:dyDescent="0.3">
      <c r="A146" s="253">
        <v>145</v>
      </c>
      <c r="B146" s="171" t="s">
        <v>375</v>
      </c>
      <c r="C146" s="209" t="s">
        <v>196</v>
      </c>
      <c r="D146" s="171">
        <v>10004175</v>
      </c>
      <c r="E146" s="253" t="s">
        <v>1297</v>
      </c>
      <c r="F146" s="210">
        <v>4531</v>
      </c>
      <c r="G146" s="171">
        <v>34369</v>
      </c>
      <c r="H146" s="171">
        <v>2006</v>
      </c>
      <c r="I146" s="213">
        <v>1248101.46</v>
      </c>
      <c r="J146" s="213">
        <v>31392</v>
      </c>
      <c r="K146" s="170">
        <v>2017860.7900000024</v>
      </c>
      <c r="L146" s="215">
        <v>1.27</v>
      </c>
      <c r="M146" s="212">
        <v>6337</v>
      </c>
      <c r="N146" s="212">
        <v>142992</v>
      </c>
      <c r="O146" s="171">
        <v>1658</v>
      </c>
      <c r="P146" s="271" t="str">
        <f>IFERROR(VLOOKUP(Tabela1[[#This Row],[TAG]],#REF!,14,FALSE),"")</f>
        <v/>
      </c>
      <c r="Q146" s="271" t="e">
        <f>P146+P146</f>
        <v>#VALUE!</v>
      </c>
      <c r="R146" s="271" t="e">
        <f t="shared" si="265"/>
        <v>#VALUE!</v>
      </c>
      <c r="S146" s="271" t="e">
        <f t="shared" si="266"/>
        <v>#VALUE!</v>
      </c>
      <c r="T146" s="271" t="e">
        <f t="shared" si="267"/>
        <v>#VALUE!</v>
      </c>
      <c r="U146" s="271" t="e">
        <f t="shared" si="268"/>
        <v>#VALUE!</v>
      </c>
      <c r="V146" s="271" t="e">
        <f t="shared" si="269"/>
        <v>#VALUE!</v>
      </c>
      <c r="W146" s="218">
        <v>636.79</v>
      </c>
      <c r="X146" s="218">
        <v>6316.43</v>
      </c>
      <c r="Y146" s="203">
        <v>0.1</v>
      </c>
      <c r="Z146" s="203">
        <f>IF(Tabela1[[#This Row],[Ano Aquisição]]=2023,0,IFERROR(VLOOKUP(H146,inflação!$F:$H,3,FALSE),""))</f>
        <v>0.96719999999999995</v>
      </c>
      <c r="AA146" s="203">
        <v>0.8</v>
      </c>
      <c r="AB146" s="202">
        <f t="shared" si="258"/>
        <v>-1248101.46</v>
      </c>
      <c r="AC146" s="204" t="e">
        <f t="shared" si="270"/>
        <v>#VALUE!</v>
      </c>
      <c r="AD146" s="204" t="e">
        <f t="shared" si="271"/>
        <v>#VALUE!</v>
      </c>
      <c r="AE146" s="204" t="e">
        <f t="shared" si="272"/>
        <v>#VALUE!</v>
      </c>
      <c r="AF146" s="204" t="e">
        <f t="shared" si="273"/>
        <v>#VALUE!</v>
      </c>
      <c r="AG146" s="204" t="e">
        <f t="shared" si="274"/>
        <v>#VALUE!</v>
      </c>
      <c r="AH146" s="204" t="e">
        <f t="shared" si="275"/>
        <v>#VALUE!</v>
      </c>
      <c r="AI146" s="204" t="e">
        <f t="shared" si="276"/>
        <v>#VALUE!</v>
      </c>
      <c r="AJ146" s="205">
        <f t="shared" si="259"/>
        <v>-2455265.1921120002</v>
      </c>
      <c r="AK146" s="204" t="e">
        <f t="shared" si="277"/>
        <v>#VALUE!</v>
      </c>
      <c r="AL146" s="204" t="e">
        <f t="shared" si="278"/>
        <v>#VALUE!</v>
      </c>
      <c r="AM146" s="204" t="e">
        <f t="shared" si="279"/>
        <v>#VALUE!</v>
      </c>
      <c r="AN146" s="204" t="e">
        <f t="shared" si="280"/>
        <v>#VALUE!</v>
      </c>
      <c r="AO146" s="204" t="e">
        <f t="shared" si="281"/>
        <v>#VALUE!</v>
      </c>
      <c r="AP146" s="204" t="e">
        <f t="shared" si="282"/>
        <v>#VALUE!</v>
      </c>
      <c r="AQ146" s="204" t="e">
        <f t="shared" si="283"/>
        <v>#VALUE!</v>
      </c>
      <c r="AR146" s="206" t="e">
        <f t="shared" si="260"/>
        <v>#VALUE!</v>
      </c>
      <c r="AS146" s="170" t="e">
        <f t="shared" si="284"/>
        <v>#VALUE!</v>
      </c>
      <c r="AT146" s="170" t="e">
        <f t="shared" si="285"/>
        <v>#VALUE!</v>
      </c>
      <c r="AU146" s="207" t="e">
        <f t="shared" si="261"/>
        <v>#VALUE!</v>
      </c>
      <c r="AV146" s="208" t="e">
        <f t="shared" si="262"/>
        <v>#VALUE!</v>
      </c>
      <c r="AW146" s="201" t="str">
        <f t="shared" si="263"/>
        <v>Fase de Degradação</v>
      </c>
      <c r="AX146" s="253" t="e">
        <f>VLOOKUP(D146,#REF!,5,FALSE)</f>
        <v>#REF!</v>
      </c>
      <c r="AY146" s="201"/>
      <c r="AZ146" s="273" t="s">
        <v>1224</v>
      </c>
      <c r="BB146">
        <f>IFERROR(VLOOKUP(Tabela1[[#This Row],[Denominação]],[10]Planilha1!$A:$B,2,FALSE),"")</f>
        <v>2017860.7900000024</v>
      </c>
    </row>
    <row r="147" spans="1:54" ht="15" hidden="1" customHeight="1" x14ac:dyDescent="0.3">
      <c r="A147" s="268">
        <v>146</v>
      </c>
      <c r="B147" s="171" t="s">
        <v>360</v>
      </c>
      <c r="C147" s="209" t="s">
        <v>181</v>
      </c>
      <c r="D147" s="171">
        <v>10004176</v>
      </c>
      <c r="E147" s="253" t="s">
        <v>1298</v>
      </c>
      <c r="F147" s="210">
        <v>4531</v>
      </c>
      <c r="G147" s="171">
        <v>34675</v>
      </c>
      <c r="H147" s="171">
        <v>2007</v>
      </c>
      <c r="I147" s="213">
        <v>1078959.78</v>
      </c>
      <c r="J147" s="213">
        <v>0</v>
      </c>
      <c r="K147" s="170">
        <v>1408269.6500000013</v>
      </c>
      <c r="L147" s="215">
        <v>1.4</v>
      </c>
      <c r="M147" s="212">
        <v>5491</v>
      </c>
      <c r="N147" s="212">
        <v>142760</v>
      </c>
      <c r="O147" s="171">
        <v>1566</v>
      </c>
      <c r="P147" s="271" t="str">
        <f>IFERROR(VLOOKUP(Tabela1[[#This Row],[TAG]],#REF!,14,FALSE),"")</f>
        <v/>
      </c>
      <c r="Q147" s="271" t="e">
        <f>P147+P147</f>
        <v>#VALUE!</v>
      </c>
      <c r="R147" s="271" t="e">
        <f t="shared" si="265"/>
        <v>#VALUE!</v>
      </c>
      <c r="S147" s="271" t="e">
        <f t="shared" si="266"/>
        <v>#VALUE!</v>
      </c>
      <c r="T147" s="271" t="e">
        <f t="shared" si="267"/>
        <v>#VALUE!</v>
      </c>
      <c r="U147" s="271" t="e">
        <f t="shared" si="268"/>
        <v>#VALUE!</v>
      </c>
      <c r="V147" s="271" t="e">
        <f t="shared" si="269"/>
        <v>#VALUE!</v>
      </c>
      <c r="W147" s="218">
        <v>523.39</v>
      </c>
      <c r="X147" s="218">
        <v>5371.11</v>
      </c>
      <c r="Y147" s="203">
        <v>0.1</v>
      </c>
      <c r="Z147" s="203">
        <f>IF(Tabela1[[#This Row],[Ano Aquisição]]=2023,0,IFERROR(VLOOKUP(H147,inflação!$F:$H,3,FALSE),""))</f>
        <v>0.93579999999999997</v>
      </c>
      <c r="AA147" s="203">
        <v>0.8</v>
      </c>
      <c r="AB147" s="202">
        <f t="shared" si="258"/>
        <v>-1078959.78</v>
      </c>
      <c r="AC147" s="204" t="e">
        <f t="shared" si="270"/>
        <v>#VALUE!</v>
      </c>
      <c r="AD147" s="204" t="e">
        <f t="shared" si="271"/>
        <v>#VALUE!</v>
      </c>
      <c r="AE147" s="204" t="e">
        <f t="shared" si="272"/>
        <v>#VALUE!</v>
      </c>
      <c r="AF147" s="204" t="e">
        <f t="shared" si="273"/>
        <v>#VALUE!</v>
      </c>
      <c r="AG147" s="204" t="e">
        <f t="shared" si="274"/>
        <v>#VALUE!</v>
      </c>
      <c r="AH147" s="204" t="e">
        <f t="shared" si="275"/>
        <v>#VALUE!</v>
      </c>
      <c r="AI147" s="204" t="e">
        <f t="shared" si="276"/>
        <v>#VALUE!</v>
      </c>
      <c r="AJ147" s="205">
        <f t="shared" si="259"/>
        <v>-2088650.342124</v>
      </c>
      <c r="AK147" s="204" t="e">
        <f t="shared" si="277"/>
        <v>#VALUE!</v>
      </c>
      <c r="AL147" s="204" t="e">
        <f t="shared" si="278"/>
        <v>#VALUE!</v>
      </c>
      <c r="AM147" s="204" t="e">
        <f t="shared" si="279"/>
        <v>#VALUE!</v>
      </c>
      <c r="AN147" s="204" t="e">
        <f t="shared" si="280"/>
        <v>#VALUE!</v>
      </c>
      <c r="AO147" s="204" t="e">
        <f t="shared" si="281"/>
        <v>#VALUE!</v>
      </c>
      <c r="AP147" s="204" t="e">
        <f t="shared" si="282"/>
        <v>#VALUE!</v>
      </c>
      <c r="AQ147" s="204" t="e">
        <f t="shared" si="283"/>
        <v>#VALUE!</v>
      </c>
      <c r="AR147" s="206" t="e">
        <f t="shared" si="260"/>
        <v>#VALUE!</v>
      </c>
      <c r="AS147" s="170" t="e">
        <f t="shared" si="284"/>
        <v>#VALUE!</v>
      </c>
      <c r="AT147" s="170" t="e">
        <f t="shared" si="285"/>
        <v>#VALUE!</v>
      </c>
      <c r="AU147" s="207" t="e">
        <f t="shared" si="261"/>
        <v>#VALUE!</v>
      </c>
      <c r="AV147" s="208" t="e">
        <f t="shared" si="262"/>
        <v>#VALUE!</v>
      </c>
      <c r="AW147" s="201" t="str">
        <f t="shared" si="263"/>
        <v>Fase de Degradação</v>
      </c>
      <c r="AX147" s="253" t="e">
        <f>VLOOKUP(D147,#REF!,5,FALSE)</f>
        <v>#REF!</v>
      </c>
      <c r="AY147" s="201"/>
      <c r="AZ147" s="273" t="s">
        <v>1224</v>
      </c>
      <c r="BB147">
        <f>IFERROR(VLOOKUP(Tabela1[[#This Row],[Denominação]],[10]Planilha1!$A:$B,2,FALSE),"")</f>
        <v>1408269.6500000013</v>
      </c>
    </row>
    <row r="148" spans="1:54" ht="15" hidden="1" customHeight="1" x14ac:dyDescent="0.3">
      <c r="A148" s="253">
        <v>147</v>
      </c>
      <c r="B148" s="171" t="s">
        <v>385</v>
      </c>
      <c r="C148" s="209" t="s">
        <v>206</v>
      </c>
      <c r="D148" s="171">
        <v>10004177</v>
      </c>
      <c r="E148" s="253" t="s">
        <v>1299</v>
      </c>
      <c r="F148" s="210">
        <v>4531</v>
      </c>
      <c r="G148" s="171">
        <v>34676</v>
      </c>
      <c r="H148" s="171">
        <v>2007</v>
      </c>
      <c r="I148" s="213">
        <v>1089892.99</v>
      </c>
      <c r="J148" s="213">
        <v>0</v>
      </c>
      <c r="K148" s="170">
        <v>1667086.5099999993</v>
      </c>
      <c r="L148" s="215">
        <v>1.1399999999999999</v>
      </c>
      <c r="M148" s="212">
        <v>5557</v>
      </c>
      <c r="N148" s="212">
        <v>142393</v>
      </c>
      <c r="O148" s="171">
        <v>1492</v>
      </c>
      <c r="P148" s="271" t="str">
        <f>IFERROR(VLOOKUP(Tabela1[[#This Row],[TAG]],#REF!,14,FALSE),"")</f>
        <v/>
      </c>
      <c r="Q148" s="271" t="e">
        <f t="shared" si="264"/>
        <v>#VALUE!</v>
      </c>
      <c r="R148" s="271" t="e">
        <f t="shared" si="265"/>
        <v>#VALUE!</v>
      </c>
      <c r="S148" s="271" t="e">
        <f t="shared" si="266"/>
        <v>#VALUE!</v>
      </c>
      <c r="T148" s="271" t="e">
        <f t="shared" si="267"/>
        <v>#VALUE!</v>
      </c>
      <c r="U148" s="271" t="e">
        <f t="shared" si="268"/>
        <v>#VALUE!</v>
      </c>
      <c r="V148" s="271" t="e">
        <f t="shared" si="269"/>
        <v>#VALUE!</v>
      </c>
      <c r="W148" s="218">
        <v>618.51</v>
      </c>
      <c r="X148" s="218">
        <v>6884.96</v>
      </c>
      <c r="Y148" s="203">
        <v>0.1</v>
      </c>
      <c r="Z148" s="203">
        <f>IF(Tabela1[[#This Row],[Ano Aquisição]]=2023,0,IFERROR(VLOOKUP(H148,inflação!$F:$H,3,FALSE),""))</f>
        <v>0.93579999999999997</v>
      </c>
      <c r="AA148" s="203">
        <v>0.8</v>
      </c>
      <c r="AB148" s="202">
        <f t="shared" si="258"/>
        <v>-1089892.99</v>
      </c>
      <c r="AC148" s="204" t="e">
        <f t="shared" si="270"/>
        <v>#VALUE!</v>
      </c>
      <c r="AD148" s="204" t="e">
        <f t="shared" si="271"/>
        <v>#VALUE!</v>
      </c>
      <c r="AE148" s="204" t="e">
        <f t="shared" si="272"/>
        <v>#VALUE!</v>
      </c>
      <c r="AF148" s="204" t="e">
        <f t="shared" si="273"/>
        <v>#VALUE!</v>
      </c>
      <c r="AG148" s="204" t="e">
        <f t="shared" si="274"/>
        <v>#VALUE!</v>
      </c>
      <c r="AH148" s="204" t="e">
        <f t="shared" si="275"/>
        <v>#VALUE!</v>
      </c>
      <c r="AI148" s="204" t="e">
        <f t="shared" si="276"/>
        <v>#VALUE!</v>
      </c>
      <c r="AJ148" s="205">
        <f t="shared" si="259"/>
        <v>-2109814.8500419999</v>
      </c>
      <c r="AK148" s="204" t="e">
        <f t="shared" si="277"/>
        <v>#VALUE!</v>
      </c>
      <c r="AL148" s="204" t="e">
        <f t="shared" si="278"/>
        <v>#VALUE!</v>
      </c>
      <c r="AM148" s="204" t="e">
        <f t="shared" si="279"/>
        <v>#VALUE!</v>
      </c>
      <c r="AN148" s="204" t="e">
        <f t="shared" si="280"/>
        <v>#VALUE!</v>
      </c>
      <c r="AO148" s="204" t="e">
        <f t="shared" si="281"/>
        <v>#VALUE!</v>
      </c>
      <c r="AP148" s="204" t="e">
        <f t="shared" si="282"/>
        <v>#VALUE!</v>
      </c>
      <c r="AQ148" s="204" t="e">
        <f t="shared" si="283"/>
        <v>#VALUE!</v>
      </c>
      <c r="AR148" s="206" t="e">
        <f t="shared" si="260"/>
        <v>#VALUE!</v>
      </c>
      <c r="AS148" s="170" t="e">
        <f t="shared" si="284"/>
        <v>#VALUE!</v>
      </c>
      <c r="AT148" s="170" t="e">
        <f t="shared" si="285"/>
        <v>#VALUE!</v>
      </c>
      <c r="AU148" s="207" t="e">
        <f t="shared" si="261"/>
        <v>#VALUE!</v>
      </c>
      <c r="AV148" s="208" t="e">
        <f t="shared" si="262"/>
        <v>#VALUE!</v>
      </c>
      <c r="AW148" s="201" t="str">
        <f t="shared" si="263"/>
        <v>Fase de Degradação</v>
      </c>
      <c r="AX148" s="253" t="e">
        <f>VLOOKUP(D148,#REF!,5,FALSE)</f>
        <v>#REF!</v>
      </c>
      <c r="AY148" s="201"/>
      <c r="AZ148" s="273" t="s">
        <v>1224</v>
      </c>
      <c r="BB148">
        <f>IFERROR(VLOOKUP(Tabela1[[#This Row],[Denominação]],[10]Planilha1!$A:$B,2,FALSE),"")</f>
        <v>1667086.5099999993</v>
      </c>
    </row>
    <row r="149" spans="1:54" ht="15" hidden="1" customHeight="1" x14ac:dyDescent="0.3">
      <c r="A149" s="268">
        <v>148</v>
      </c>
      <c r="B149" s="171" t="s">
        <v>358</v>
      </c>
      <c r="C149" s="209" t="s">
        <v>179</v>
      </c>
      <c r="D149" s="171">
        <v>10004178</v>
      </c>
      <c r="E149" s="253" t="s">
        <v>1300</v>
      </c>
      <c r="F149" s="210">
        <v>4531</v>
      </c>
      <c r="G149" s="171">
        <v>34677</v>
      </c>
      <c r="H149" s="171">
        <v>2007</v>
      </c>
      <c r="I149" s="213">
        <v>1078959.79</v>
      </c>
      <c r="J149" s="213">
        <v>0</v>
      </c>
      <c r="K149" s="170">
        <v>2012994.9999999974</v>
      </c>
      <c r="L149" s="215">
        <v>1.36</v>
      </c>
      <c r="M149" s="212">
        <v>5739</v>
      </c>
      <c r="N149" s="212">
        <v>142020</v>
      </c>
      <c r="O149" s="171">
        <v>1575</v>
      </c>
      <c r="P149" s="271" t="str">
        <f>IFERROR(VLOOKUP(Tabela1[[#This Row],[TAG]],#REF!,14,FALSE),"")</f>
        <v/>
      </c>
      <c r="Q149" s="271" t="e">
        <f t="shared" si="264"/>
        <v>#VALUE!</v>
      </c>
      <c r="R149" s="271" t="e">
        <f t="shared" si="265"/>
        <v>#VALUE!</v>
      </c>
      <c r="S149" s="271" t="e">
        <f t="shared" si="266"/>
        <v>#VALUE!</v>
      </c>
      <c r="T149" s="271" t="e">
        <f t="shared" si="267"/>
        <v>#VALUE!</v>
      </c>
      <c r="U149" s="271" t="e">
        <f t="shared" si="268"/>
        <v>#VALUE!</v>
      </c>
      <c r="V149" s="271" t="e">
        <f t="shared" si="269"/>
        <v>#VALUE!</v>
      </c>
      <c r="W149" s="218">
        <v>606.22</v>
      </c>
      <c r="X149" s="218">
        <v>5887.81</v>
      </c>
      <c r="Y149" s="203">
        <v>0.1</v>
      </c>
      <c r="Z149" s="203">
        <f>IF(Tabela1[[#This Row],[Ano Aquisição]]=2023,0,IFERROR(VLOOKUP(H149,inflação!$F:$H,3,FALSE),""))</f>
        <v>0.93579999999999997</v>
      </c>
      <c r="AA149" s="203">
        <v>0.8</v>
      </c>
      <c r="AB149" s="202">
        <f t="shared" si="258"/>
        <v>-1078959.79</v>
      </c>
      <c r="AC149" s="204" t="e">
        <f t="shared" si="270"/>
        <v>#VALUE!</v>
      </c>
      <c r="AD149" s="204" t="e">
        <f t="shared" si="271"/>
        <v>#VALUE!</v>
      </c>
      <c r="AE149" s="204" t="e">
        <f t="shared" si="272"/>
        <v>#VALUE!</v>
      </c>
      <c r="AF149" s="204" t="e">
        <f t="shared" si="273"/>
        <v>#VALUE!</v>
      </c>
      <c r="AG149" s="204" t="e">
        <f t="shared" si="274"/>
        <v>#VALUE!</v>
      </c>
      <c r="AH149" s="204" t="e">
        <f t="shared" si="275"/>
        <v>#VALUE!</v>
      </c>
      <c r="AI149" s="204" t="e">
        <f t="shared" si="276"/>
        <v>#VALUE!</v>
      </c>
      <c r="AJ149" s="205">
        <f t="shared" si="259"/>
        <v>-2088650.361482</v>
      </c>
      <c r="AK149" s="204" t="e">
        <f t="shared" si="277"/>
        <v>#VALUE!</v>
      </c>
      <c r="AL149" s="204" t="e">
        <f t="shared" si="278"/>
        <v>#VALUE!</v>
      </c>
      <c r="AM149" s="204" t="e">
        <f t="shared" si="279"/>
        <v>#VALUE!</v>
      </c>
      <c r="AN149" s="204" t="e">
        <f t="shared" si="280"/>
        <v>#VALUE!</v>
      </c>
      <c r="AO149" s="204" t="e">
        <f t="shared" si="281"/>
        <v>#VALUE!</v>
      </c>
      <c r="AP149" s="204" t="e">
        <f t="shared" si="282"/>
        <v>#VALUE!</v>
      </c>
      <c r="AQ149" s="204" t="e">
        <f t="shared" si="283"/>
        <v>#VALUE!</v>
      </c>
      <c r="AR149" s="206" t="e">
        <f t="shared" si="260"/>
        <v>#VALUE!</v>
      </c>
      <c r="AS149" s="170" t="e">
        <f t="shared" si="284"/>
        <v>#VALUE!</v>
      </c>
      <c r="AT149" s="170" t="e">
        <f t="shared" si="285"/>
        <v>#VALUE!</v>
      </c>
      <c r="AU149" s="207" t="e">
        <f t="shared" si="261"/>
        <v>#VALUE!</v>
      </c>
      <c r="AV149" s="208" t="e">
        <f t="shared" si="262"/>
        <v>#VALUE!</v>
      </c>
      <c r="AW149" s="201" t="str">
        <f t="shared" si="263"/>
        <v>Fase de Degradação</v>
      </c>
      <c r="AX149" s="253" t="e">
        <f>VLOOKUP(D149,#REF!,5,FALSE)</f>
        <v>#REF!</v>
      </c>
      <c r="AY149" s="201"/>
      <c r="AZ149" s="273" t="s">
        <v>1224</v>
      </c>
      <c r="BB149">
        <f>IFERROR(VLOOKUP(Tabela1[[#This Row],[Denominação]],[10]Planilha1!$A:$B,2,FALSE),"")</f>
        <v>2012994.9999999974</v>
      </c>
    </row>
    <row r="150" spans="1:54" ht="15" hidden="1" customHeight="1" x14ac:dyDescent="0.3">
      <c r="A150" s="253">
        <v>149</v>
      </c>
      <c r="B150" s="171" t="s">
        <v>326</v>
      </c>
      <c r="C150" s="209" t="s">
        <v>147</v>
      </c>
      <c r="D150" s="171">
        <v>10004179</v>
      </c>
      <c r="E150" s="253" t="s">
        <v>1301</v>
      </c>
      <c r="F150" s="210">
        <v>4531</v>
      </c>
      <c r="G150" s="171">
        <v>34678</v>
      </c>
      <c r="H150" s="171">
        <v>2007</v>
      </c>
      <c r="I150" s="213">
        <v>1078959.79</v>
      </c>
      <c r="J150" s="213">
        <v>0</v>
      </c>
      <c r="K150" s="170">
        <v>2142149.7799999993</v>
      </c>
      <c r="L150" s="215">
        <v>1.76</v>
      </c>
      <c r="M150" s="212">
        <v>5924</v>
      </c>
      <c r="N150" s="212">
        <v>142192</v>
      </c>
      <c r="O150" s="171">
        <v>1819</v>
      </c>
      <c r="P150" s="271" t="str">
        <f>IFERROR(VLOOKUP(Tabela1[[#This Row],[TAG]],#REF!,14,FALSE),"")</f>
        <v/>
      </c>
      <c r="Q150" s="271" t="e">
        <f t="shared" si="264"/>
        <v>#VALUE!</v>
      </c>
      <c r="R150" s="271" t="e">
        <f t="shared" si="265"/>
        <v>#VALUE!</v>
      </c>
      <c r="S150" s="271" t="e">
        <f t="shared" si="266"/>
        <v>#VALUE!</v>
      </c>
      <c r="T150" s="271" t="e">
        <f t="shared" si="267"/>
        <v>#VALUE!</v>
      </c>
      <c r="U150" s="271" t="e">
        <f t="shared" si="268"/>
        <v>#VALUE!</v>
      </c>
      <c r="V150" s="271" t="e">
        <f t="shared" si="269"/>
        <v>#VALUE!</v>
      </c>
      <c r="W150" s="218">
        <v>532.45000000000005</v>
      </c>
      <c r="X150" s="218">
        <v>7616.62</v>
      </c>
      <c r="Y150" s="203">
        <v>0.1</v>
      </c>
      <c r="Z150" s="203">
        <f>IF(Tabela1[[#This Row],[Ano Aquisição]]=2023,0,IFERROR(VLOOKUP(H150,inflação!$F:$H,3,FALSE),""))</f>
        <v>0.93579999999999997</v>
      </c>
      <c r="AA150" s="203">
        <v>0.8</v>
      </c>
      <c r="AB150" s="202">
        <f t="shared" si="258"/>
        <v>-1078959.79</v>
      </c>
      <c r="AC150" s="204" t="e">
        <f t="shared" si="270"/>
        <v>#VALUE!</v>
      </c>
      <c r="AD150" s="204" t="e">
        <f t="shared" si="271"/>
        <v>#VALUE!</v>
      </c>
      <c r="AE150" s="204" t="e">
        <f t="shared" si="272"/>
        <v>#VALUE!</v>
      </c>
      <c r="AF150" s="204" t="e">
        <f t="shared" si="273"/>
        <v>#VALUE!</v>
      </c>
      <c r="AG150" s="204" t="e">
        <f t="shared" si="274"/>
        <v>#VALUE!</v>
      </c>
      <c r="AH150" s="204" t="e">
        <f t="shared" si="275"/>
        <v>#VALUE!</v>
      </c>
      <c r="AI150" s="204" t="e">
        <f t="shared" si="276"/>
        <v>#VALUE!</v>
      </c>
      <c r="AJ150" s="205">
        <f t="shared" si="259"/>
        <v>-2088650.361482</v>
      </c>
      <c r="AK150" s="204" t="e">
        <f t="shared" si="277"/>
        <v>#VALUE!</v>
      </c>
      <c r="AL150" s="204" t="e">
        <f t="shared" si="278"/>
        <v>#VALUE!</v>
      </c>
      <c r="AM150" s="204" t="e">
        <f t="shared" si="279"/>
        <v>#VALUE!</v>
      </c>
      <c r="AN150" s="204" t="e">
        <f t="shared" si="280"/>
        <v>#VALUE!</v>
      </c>
      <c r="AO150" s="204" t="e">
        <f t="shared" si="281"/>
        <v>#VALUE!</v>
      </c>
      <c r="AP150" s="204" t="e">
        <f t="shared" si="282"/>
        <v>#VALUE!</v>
      </c>
      <c r="AQ150" s="204" t="e">
        <f t="shared" si="283"/>
        <v>#VALUE!</v>
      </c>
      <c r="AR150" s="206" t="e">
        <f t="shared" si="260"/>
        <v>#VALUE!</v>
      </c>
      <c r="AS150" s="170" t="e">
        <f t="shared" si="284"/>
        <v>#VALUE!</v>
      </c>
      <c r="AT150" s="170" t="e">
        <f t="shared" si="285"/>
        <v>#VALUE!</v>
      </c>
      <c r="AU150" s="207" t="e">
        <f t="shared" si="261"/>
        <v>#VALUE!</v>
      </c>
      <c r="AV150" s="208" t="e">
        <f t="shared" si="262"/>
        <v>#VALUE!</v>
      </c>
      <c r="AW150" s="201" t="str">
        <f t="shared" si="263"/>
        <v>Fase de Degradação</v>
      </c>
      <c r="AX150" s="253" t="e">
        <f>VLOOKUP(D150,#REF!,5,FALSE)</f>
        <v>#REF!</v>
      </c>
      <c r="AY150" s="201"/>
      <c r="AZ150" s="273" t="s">
        <v>1224</v>
      </c>
      <c r="BB150">
        <f>IFERROR(VLOOKUP(Tabela1[[#This Row],[Denominação]],[10]Planilha1!$A:$B,2,FALSE),"")</f>
        <v>2142149.7799999993</v>
      </c>
    </row>
    <row r="151" spans="1:54" ht="15" hidden="1" customHeight="1" x14ac:dyDescent="0.3">
      <c r="A151" s="268">
        <v>150</v>
      </c>
      <c r="B151" s="171" t="s">
        <v>381</v>
      </c>
      <c r="C151" s="209" t="s">
        <v>202</v>
      </c>
      <c r="D151" s="171">
        <v>10004180</v>
      </c>
      <c r="E151" s="253" t="s">
        <v>1302</v>
      </c>
      <c r="F151" s="210">
        <v>4531</v>
      </c>
      <c r="G151" s="171">
        <v>34679</v>
      </c>
      <c r="H151" s="171">
        <v>2007</v>
      </c>
      <c r="I151" s="213">
        <v>1078959.75</v>
      </c>
      <c r="J151" s="213">
        <v>0</v>
      </c>
      <c r="K151" s="170">
        <v>1524263.9900000046</v>
      </c>
      <c r="L151" s="215">
        <v>1.44</v>
      </c>
      <c r="M151" s="212">
        <v>5372</v>
      </c>
      <c r="N151" s="212">
        <v>142725</v>
      </c>
      <c r="O151" s="171">
        <v>1914</v>
      </c>
      <c r="P151" s="271" t="str">
        <f>IFERROR(VLOOKUP(Tabela1[[#This Row],[TAG]],#REF!,14,FALSE),"")</f>
        <v/>
      </c>
      <c r="Q151" s="271" t="e">
        <f t="shared" si="264"/>
        <v>#VALUE!</v>
      </c>
      <c r="R151" s="271" t="e">
        <f t="shared" si="265"/>
        <v>#VALUE!</v>
      </c>
      <c r="S151" s="271" t="e">
        <f t="shared" si="266"/>
        <v>#VALUE!</v>
      </c>
      <c r="T151" s="271" t="e">
        <f t="shared" si="267"/>
        <v>#VALUE!</v>
      </c>
      <c r="U151" s="271" t="e">
        <f t="shared" si="268"/>
        <v>#VALUE!</v>
      </c>
      <c r="V151" s="271" t="e">
        <f t="shared" si="269"/>
        <v>#VALUE!</v>
      </c>
      <c r="W151" s="218">
        <v>506.2</v>
      </c>
      <c r="X151" s="218">
        <v>7600.93</v>
      </c>
      <c r="Y151" s="203">
        <v>0.1</v>
      </c>
      <c r="Z151" s="203">
        <f>IF(Tabela1[[#This Row],[Ano Aquisição]]=2023,0,IFERROR(VLOOKUP(H151,inflação!$F:$H,3,FALSE),""))</f>
        <v>0.93579999999999997</v>
      </c>
      <c r="AA151" s="203">
        <v>0.8</v>
      </c>
      <c r="AB151" s="202">
        <f t="shared" si="258"/>
        <v>-1078959.75</v>
      </c>
      <c r="AC151" s="204" t="e">
        <f t="shared" si="270"/>
        <v>#VALUE!</v>
      </c>
      <c r="AD151" s="204" t="e">
        <f t="shared" si="271"/>
        <v>#VALUE!</v>
      </c>
      <c r="AE151" s="204" t="e">
        <f t="shared" si="272"/>
        <v>#VALUE!</v>
      </c>
      <c r="AF151" s="204" t="e">
        <f t="shared" si="273"/>
        <v>#VALUE!</v>
      </c>
      <c r="AG151" s="204" t="e">
        <f t="shared" si="274"/>
        <v>#VALUE!</v>
      </c>
      <c r="AH151" s="204" t="e">
        <f t="shared" si="275"/>
        <v>#VALUE!</v>
      </c>
      <c r="AI151" s="204" t="e">
        <f t="shared" si="276"/>
        <v>#VALUE!</v>
      </c>
      <c r="AJ151" s="205">
        <f t="shared" si="259"/>
        <v>-2088650.2840499999</v>
      </c>
      <c r="AK151" s="204" t="e">
        <f t="shared" si="277"/>
        <v>#VALUE!</v>
      </c>
      <c r="AL151" s="204" t="e">
        <f t="shared" si="278"/>
        <v>#VALUE!</v>
      </c>
      <c r="AM151" s="204" t="e">
        <f t="shared" si="279"/>
        <v>#VALUE!</v>
      </c>
      <c r="AN151" s="204" t="e">
        <f t="shared" si="280"/>
        <v>#VALUE!</v>
      </c>
      <c r="AO151" s="204" t="e">
        <f t="shared" si="281"/>
        <v>#VALUE!</v>
      </c>
      <c r="AP151" s="204" t="e">
        <f t="shared" si="282"/>
        <v>#VALUE!</v>
      </c>
      <c r="AQ151" s="204" t="e">
        <f t="shared" si="283"/>
        <v>#VALUE!</v>
      </c>
      <c r="AR151" s="206" t="e">
        <f t="shared" si="260"/>
        <v>#VALUE!</v>
      </c>
      <c r="AS151" s="170" t="e">
        <f t="shared" si="284"/>
        <v>#VALUE!</v>
      </c>
      <c r="AT151" s="170" t="e">
        <f t="shared" si="285"/>
        <v>#VALUE!</v>
      </c>
      <c r="AU151" s="207" t="e">
        <f t="shared" si="261"/>
        <v>#VALUE!</v>
      </c>
      <c r="AV151" s="208" t="e">
        <f t="shared" si="262"/>
        <v>#VALUE!</v>
      </c>
      <c r="AW151" s="201" t="str">
        <f t="shared" si="263"/>
        <v>Fase de Degradação</v>
      </c>
      <c r="AX151" s="253" t="e">
        <f>VLOOKUP(D151,#REF!,5,FALSE)</f>
        <v>#REF!</v>
      </c>
      <c r="AY151" s="201"/>
      <c r="AZ151" s="273" t="s">
        <v>1224</v>
      </c>
      <c r="BB151">
        <f>IFERROR(VLOOKUP(Tabela1[[#This Row],[Denominação]],[10]Planilha1!$A:$B,2,FALSE),"")</f>
        <v>1524263.9900000046</v>
      </c>
    </row>
    <row r="152" spans="1:54" ht="15" hidden="1" customHeight="1" x14ac:dyDescent="0.3">
      <c r="A152" s="253">
        <v>151</v>
      </c>
      <c r="B152" s="171" t="s">
        <v>377</v>
      </c>
      <c r="C152" s="209" t="s">
        <v>198</v>
      </c>
      <c r="D152" s="171">
        <v>10004181</v>
      </c>
      <c r="E152" s="253" t="s">
        <v>1303</v>
      </c>
      <c r="F152" s="210">
        <v>4531</v>
      </c>
      <c r="G152" s="171">
        <v>34917</v>
      </c>
      <c r="H152" s="171">
        <v>2007</v>
      </c>
      <c r="I152" s="213">
        <v>1002246.01</v>
      </c>
      <c r="J152" s="213">
        <v>0</v>
      </c>
      <c r="K152" s="170">
        <v>1847379.6100000003</v>
      </c>
      <c r="L152" s="215">
        <v>1.68</v>
      </c>
      <c r="M152" s="212">
        <v>6064</v>
      </c>
      <c r="N152" s="212">
        <v>150142</v>
      </c>
      <c r="O152" s="171">
        <v>1540</v>
      </c>
      <c r="P152" s="271" t="str">
        <f>IFERROR(VLOOKUP(Tabela1[[#This Row],[TAG]],#REF!,14,FALSE),"")</f>
        <v/>
      </c>
      <c r="Q152" s="271" t="e">
        <f t="shared" si="264"/>
        <v>#VALUE!</v>
      </c>
      <c r="R152" s="271" t="e">
        <f t="shared" si="265"/>
        <v>#VALUE!</v>
      </c>
      <c r="S152" s="271" t="e">
        <f t="shared" si="266"/>
        <v>#VALUE!</v>
      </c>
      <c r="T152" s="271" t="e">
        <f t="shared" si="267"/>
        <v>#VALUE!</v>
      </c>
      <c r="U152" s="271" t="e">
        <f t="shared" si="268"/>
        <v>#VALUE!</v>
      </c>
      <c r="V152" s="271" t="e">
        <f t="shared" si="269"/>
        <v>#VALUE!</v>
      </c>
      <c r="W152" s="218">
        <v>601.20000000000005</v>
      </c>
      <c r="X152" s="218">
        <v>8056.34</v>
      </c>
      <c r="Y152" s="203">
        <v>0.1</v>
      </c>
      <c r="Z152" s="203">
        <f>IF(Tabela1[[#This Row],[Ano Aquisição]]=2023,0,IFERROR(VLOOKUP(H152,inflação!$F:$H,3,FALSE),""))</f>
        <v>0.93579999999999997</v>
      </c>
      <c r="AA152" s="203">
        <v>0.8</v>
      </c>
      <c r="AB152" s="202">
        <f t="shared" si="258"/>
        <v>-1002246.01</v>
      </c>
      <c r="AC152" s="204" t="e">
        <f t="shared" si="270"/>
        <v>#VALUE!</v>
      </c>
      <c r="AD152" s="204" t="e">
        <f t="shared" si="271"/>
        <v>#VALUE!</v>
      </c>
      <c r="AE152" s="204" t="e">
        <f t="shared" si="272"/>
        <v>#VALUE!</v>
      </c>
      <c r="AF152" s="204" t="e">
        <f t="shared" si="273"/>
        <v>#VALUE!</v>
      </c>
      <c r="AG152" s="204" t="e">
        <f t="shared" si="274"/>
        <v>#VALUE!</v>
      </c>
      <c r="AH152" s="204" t="e">
        <f t="shared" si="275"/>
        <v>#VALUE!</v>
      </c>
      <c r="AI152" s="204" t="e">
        <f t="shared" si="276"/>
        <v>#VALUE!</v>
      </c>
      <c r="AJ152" s="205">
        <f t="shared" si="259"/>
        <v>-1940147.8261579999</v>
      </c>
      <c r="AK152" s="204" t="e">
        <f t="shared" si="277"/>
        <v>#VALUE!</v>
      </c>
      <c r="AL152" s="204" t="e">
        <f t="shared" si="278"/>
        <v>#VALUE!</v>
      </c>
      <c r="AM152" s="204" t="e">
        <f t="shared" si="279"/>
        <v>#VALUE!</v>
      </c>
      <c r="AN152" s="204" t="e">
        <f t="shared" si="280"/>
        <v>#VALUE!</v>
      </c>
      <c r="AO152" s="204" t="e">
        <f t="shared" si="281"/>
        <v>#VALUE!</v>
      </c>
      <c r="AP152" s="204" t="e">
        <f t="shared" si="282"/>
        <v>#VALUE!</v>
      </c>
      <c r="AQ152" s="204" t="e">
        <f t="shared" si="283"/>
        <v>#VALUE!</v>
      </c>
      <c r="AR152" s="206" t="e">
        <f t="shared" si="260"/>
        <v>#VALUE!</v>
      </c>
      <c r="AS152" s="170" t="e">
        <f t="shared" si="284"/>
        <v>#VALUE!</v>
      </c>
      <c r="AT152" s="170" t="e">
        <f t="shared" si="285"/>
        <v>#VALUE!</v>
      </c>
      <c r="AU152" s="207" t="e">
        <f t="shared" si="261"/>
        <v>#VALUE!</v>
      </c>
      <c r="AV152" s="208" t="e">
        <f t="shared" si="262"/>
        <v>#VALUE!</v>
      </c>
      <c r="AW152" s="201" t="str">
        <f t="shared" si="263"/>
        <v>Fase de Degradação</v>
      </c>
      <c r="AX152" s="253" t="e">
        <f>VLOOKUP(D152,#REF!,5,FALSE)</f>
        <v>#REF!</v>
      </c>
      <c r="AY152" s="201"/>
      <c r="AZ152" s="273" t="s">
        <v>1224</v>
      </c>
      <c r="BB152">
        <f>IFERROR(VLOOKUP(Tabela1[[#This Row],[Denominação]],[10]Planilha1!$A:$B,2,FALSE),"")</f>
        <v>1847379.6100000003</v>
      </c>
    </row>
    <row r="153" spans="1:54" ht="15" hidden="1" customHeight="1" x14ac:dyDescent="0.3">
      <c r="A153" s="268">
        <v>152</v>
      </c>
      <c r="B153" s="171" t="s">
        <v>391</v>
      </c>
      <c r="C153" s="209" t="s">
        <v>212</v>
      </c>
      <c r="D153" s="171">
        <v>10004477</v>
      </c>
      <c r="E153" s="253" t="s">
        <v>1304</v>
      </c>
      <c r="F153" s="210">
        <v>4531</v>
      </c>
      <c r="G153" s="171">
        <v>34918</v>
      </c>
      <c r="H153" s="171">
        <v>2007</v>
      </c>
      <c r="I153" s="213">
        <v>1002246.03</v>
      </c>
      <c r="J153" s="213">
        <v>0</v>
      </c>
      <c r="K153" s="170">
        <v>1470998.8500000013</v>
      </c>
      <c r="L153" s="215">
        <v>1.66</v>
      </c>
      <c r="M153" s="212">
        <v>5901</v>
      </c>
      <c r="N153" s="212">
        <v>141527</v>
      </c>
      <c r="O153" s="171">
        <v>1561</v>
      </c>
      <c r="P153" s="271" t="str">
        <f>IFERROR(VLOOKUP(Tabela1[[#This Row],[TAG]],#REF!,14,FALSE),"")</f>
        <v/>
      </c>
      <c r="Q153" s="271" t="e">
        <f t="shared" si="264"/>
        <v>#VALUE!</v>
      </c>
      <c r="R153" s="271" t="e">
        <f t="shared" si="265"/>
        <v>#VALUE!</v>
      </c>
      <c r="S153" s="271" t="e">
        <f t="shared" si="266"/>
        <v>#VALUE!</v>
      </c>
      <c r="T153" s="271" t="e">
        <f t="shared" si="267"/>
        <v>#VALUE!</v>
      </c>
      <c r="U153" s="271" t="e">
        <f t="shared" si="268"/>
        <v>#VALUE!</v>
      </c>
      <c r="V153" s="271" t="e">
        <f t="shared" si="269"/>
        <v>#VALUE!</v>
      </c>
      <c r="W153" s="218">
        <v>429.28</v>
      </c>
      <c r="X153" s="218">
        <v>6431.4</v>
      </c>
      <c r="Y153" s="203">
        <v>0.1</v>
      </c>
      <c r="Z153" s="203">
        <f>IF(Tabela1[[#This Row],[Ano Aquisição]]=2023,0,IFERROR(VLOOKUP(H153,inflação!$F:$H,3,FALSE),""))</f>
        <v>0.93579999999999997</v>
      </c>
      <c r="AA153" s="203">
        <v>0.8</v>
      </c>
      <c r="AB153" s="202">
        <f t="shared" si="258"/>
        <v>-1002246.03</v>
      </c>
      <c r="AC153" s="204" t="e">
        <f t="shared" si="270"/>
        <v>#VALUE!</v>
      </c>
      <c r="AD153" s="204" t="e">
        <f t="shared" si="271"/>
        <v>#VALUE!</v>
      </c>
      <c r="AE153" s="204" t="e">
        <f t="shared" si="272"/>
        <v>#VALUE!</v>
      </c>
      <c r="AF153" s="204" t="e">
        <f t="shared" si="273"/>
        <v>#VALUE!</v>
      </c>
      <c r="AG153" s="204" t="e">
        <f t="shared" si="274"/>
        <v>#VALUE!</v>
      </c>
      <c r="AH153" s="204" t="e">
        <f t="shared" si="275"/>
        <v>#VALUE!</v>
      </c>
      <c r="AI153" s="204" t="e">
        <f t="shared" si="276"/>
        <v>#VALUE!</v>
      </c>
      <c r="AJ153" s="205">
        <f t="shared" si="259"/>
        <v>-1940147.864874</v>
      </c>
      <c r="AK153" s="204" t="e">
        <f t="shared" si="277"/>
        <v>#VALUE!</v>
      </c>
      <c r="AL153" s="204" t="e">
        <f t="shared" si="278"/>
        <v>#VALUE!</v>
      </c>
      <c r="AM153" s="204" t="e">
        <f t="shared" si="279"/>
        <v>#VALUE!</v>
      </c>
      <c r="AN153" s="204" t="e">
        <f t="shared" si="280"/>
        <v>#VALUE!</v>
      </c>
      <c r="AO153" s="204" t="e">
        <f t="shared" si="281"/>
        <v>#VALUE!</v>
      </c>
      <c r="AP153" s="204" t="e">
        <f t="shared" si="282"/>
        <v>#VALUE!</v>
      </c>
      <c r="AQ153" s="204" t="e">
        <f t="shared" si="283"/>
        <v>#VALUE!</v>
      </c>
      <c r="AR153" s="206" t="e">
        <f t="shared" si="260"/>
        <v>#VALUE!</v>
      </c>
      <c r="AS153" s="170" t="e">
        <f t="shared" si="284"/>
        <v>#VALUE!</v>
      </c>
      <c r="AT153" s="170" t="e">
        <f t="shared" si="285"/>
        <v>#VALUE!</v>
      </c>
      <c r="AU153" s="207" t="e">
        <f t="shared" si="261"/>
        <v>#VALUE!</v>
      </c>
      <c r="AV153" s="208" t="e">
        <f t="shared" si="262"/>
        <v>#VALUE!</v>
      </c>
      <c r="AW153" s="201" t="str">
        <f t="shared" si="263"/>
        <v>Fase de Degradação</v>
      </c>
      <c r="AX153" s="253" t="e">
        <f>VLOOKUP(D153,#REF!,5,FALSE)</f>
        <v>#REF!</v>
      </c>
      <c r="AY153" s="201"/>
      <c r="AZ153" s="273" t="s">
        <v>1224</v>
      </c>
      <c r="BB153">
        <f>IFERROR(VLOOKUP(Tabela1[[#This Row],[Denominação]],[10]Planilha1!$A:$B,2,FALSE),"")</f>
        <v>1470998.8500000013</v>
      </c>
    </row>
    <row r="154" spans="1:54" ht="15" hidden="1" customHeight="1" x14ac:dyDescent="0.3">
      <c r="A154" s="253">
        <v>153</v>
      </c>
      <c r="B154" s="171" t="s">
        <v>398</v>
      </c>
      <c r="C154" s="209" t="s">
        <v>219</v>
      </c>
      <c r="D154" s="171">
        <v>10004772</v>
      </c>
      <c r="E154" s="253" t="s">
        <v>1305</v>
      </c>
      <c r="F154" s="210">
        <v>4531</v>
      </c>
      <c r="G154" s="171">
        <v>40206</v>
      </c>
      <c r="H154" s="171">
        <v>2011</v>
      </c>
      <c r="I154" s="213">
        <v>1204729.6200000001</v>
      </c>
      <c r="J154" s="213">
        <v>19234</v>
      </c>
      <c r="K154" s="170">
        <v>780071.1099999994</v>
      </c>
      <c r="L154" s="215">
        <v>2.39</v>
      </c>
      <c r="M154" s="212">
        <v>4591</v>
      </c>
      <c r="N154" s="212">
        <v>140757</v>
      </c>
      <c r="O154" s="171">
        <v>705</v>
      </c>
      <c r="P154" s="271" t="str">
        <f>IFERROR(VLOOKUP(Tabela1[[#This Row],[TAG]],#REF!,14,FALSE),"")</f>
        <v/>
      </c>
      <c r="Q154" s="271" t="e">
        <f t="shared" si="264"/>
        <v>#VALUE!</v>
      </c>
      <c r="R154" s="271" t="e">
        <f t="shared" si="265"/>
        <v>#VALUE!</v>
      </c>
      <c r="S154" s="271" t="e">
        <f t="shared" si="266"/>
        <v>#VALUE!</v>
      </c>
      <c r="T154" s="271" t="e">
        <f t="shared" si="267"/>
        <v>#VALUE!</v>
      </c>
      <c r="U154" s="271" t="e">
        <f t="shared" si="268"/>
        <v>#VALUE!</v>
      </c>
      <c r="V154" s="271" t="e">
        <f t="shared" si="269"/>
        <v>#VALUE!</v>
      </c>
      <c r="W154" s="218">
        <v>584.71</v>
      </c>
      <c r="X154" s="218">
        <v>3843.92</v>
      </c>
      <c r="Y154" s="203">
        <v>0.1</v>
      </c>
      <c r="Z154" s="203">
        <f>IF(Tabela1[[#This Row],[Ano Aquisição]]=2023,0,IFERROR(VLOOKUP(H154,inflação!$F:$H,3,FALSE),""))</f>
        <v>0.73</v>
      </c>
      <c r="AA154" s="203">
        <v>0.8</v>
      </c>
      <c r="AB154" s="202">
        <f t="shared" si="258"/>
        <v>-1204729.6200000001</v>
      </c>
      <c r="AC154" s="204" t="e">
        <f t="shared" si="270"/>
        <v>#VALUE!</v>
      </c>
      <c r="AD154" s="204" t="e">
        <f t="shared" si="271"/>
        <v>#VALUE!</v>
      </c>
      <c r="AE154" s="204" t="e">
        <f t="shared" si="272"/>
        <v>#VALUE!</v>
      </c>
      <c r="AF154" s="204" t="e">
        <f t="shared" si="273"/>
        <v>#VALUE!</v>
      </c>
      <c r="AG154" s="204" t="e">
        <f t="shared" si="274"/>
        <v>#VALUE!</v>
      </c>
      <c r="AH154" s="204" t="e">
        <f t="shared" si="275"/>
        <v>#VALUE!</v>
      </c>
      <c r="AI154" s="204" t="e">
        <f t="shared" si="276"/>
        <v>#VALUE!</v>
      </c>
      <c r="AJ154" s="205">
        <f t="shared" si="259"/>
        <v>-2084182.2426000002</v>
      </c>
      <c r="AK154" s="204" t="e">
        <f t="shared" si="277"/>
        <v>#VALUE!</v>
      </c>
      <c r="AL154" s="204" t="e">
        <f t="shared" si="278"/>
        <v>#VALUE!</v>
      </c>
      <c r="AM154" s="204" t="e">
        <f t="shared" si="279"/>
        <v>#VALUE!</v>
      </c>
      <c r="AN154" s="204" t="e">
        <f t="shared" si="280"/>
        <v>#VALUE!</v>
      </c>
      <c r="AO154" s="204" t="e">
        <f t="shared" si="281"/>
        <v>#VALUE!</v>
      </c>
      <c r="AP154" s="204" t="e">
        <f t="shared" si="282"/>
        <v>#VALUE!</v>
      </c>
      <c r="AQ154" s="204" t="e">
        <f t="shared" si="283"/>
        <v>#VALUE!</v>
      </c>
      <c r="AR154" s="206" t="e">
        <f t="shared" si="260"/>
        <v>#VALUE!</v>
      </c>
      <c r="AS154" s="170" t="e">
        <f t="shared" si="284"/>
        <v>#VALUE!</v>
      </c>
      <c r="AT154" s="170" t="e">
        <f t="shared" si="285"/>
        <v>#VALUE!</v>
      </c>
      <c r="AU154" s="207" t="e">
        <f t="shared" si="261"/>
        <v>#VALUE!</v>
      </c>
      <c r="AV154" s="208" t="e">
        <f t="shared" si="262"/>
        <v>#VALUE!</v>
      </c>
      <c r="AW154" s="201" t="str">
        <f t="shared" si="263"/>
        <v>Fase de Degradação</v>
      </c>
      <c r="AX154" s="253" t="e">
        <f>VLOOKUP(D154,#REF!,5,FALSE)</f>
        <v>#REF!</v>
      </c>
      <c r="AY154" s="201"/>
      <c r="AZ154" s="273" t="s">
        <v>1224</v>
      </c>
      <c r="BB154">
        <f>IFERROR(VLOOKUP(Tabela1[[#This Row],[Denominação]],[10]Planilha1!$A:$B,2,FALSE),"")</f>
        <v>780071.1099999994</v>
      </c>
    </row>
    <row r="155" spans="1:54" ht="15" hidden="1" customHeight="1" x14ac:dyDescent="0.3">
      <c r="A155" s="268">
        <v>154</v>
      </c>
      <c r="B155" s="171" t="s">
        <v>389</v>
      </c>
      <c r="C155" s="209" t="s">
        <v>210</v>
      </c>
      <c r="D155" s="171">
        <v>10004773</v>
      </c>
      <c r="E155" s="253" t="s">
        <v>1306</v>
      </c>
      <c r="F155" s="210">
        <v>4531</v>
      </c>
      <c r="G155" s="171">
        <v>40207</v>
      </c>
      <c r="H155" s="171">
        <v>2011</v>
      </c>
      <c r="I155" s="213">
        <v>1183807.4099999999</v>
      </c>
      <c r="J155" s="213">
        <v>11016</v>
      </c>
      <c r="K155" s="170">
        <v>607632.25000000012</v>
      </c>
      <c r="L155" s="215">
        <v>1.3</v>
      </c>
      <c r="M155" s="212">
        <v>5592</v>
      </c>
      <c r="N155" s="212">
        <v>105295</v>
      </c>
      <c r="O155" s="171">
        <v>668</v>
      </c>
      <c r="P155" s="271" t="str">
        <f>IFERROR(VLOOKUP(Tabela1[[#This Row],[TAG]],#REF!,14,FALSE),"")</f>
        <v/>
      </c>
      <c r="Q155" s="271" t="e">
        <f t="shared" si="264"/>
        <v>#VALUE!</v>
      </c>
      <c r="R155" s="271" t="e">
        <f t="shared" si="265"/>
        <v>#VALUE!</v>
      </c>
      <c r="S155" s="271" t="e">
        <f t="shared" si="266"/>
        <v>#VALUE!</v>
      </c>
      <c r="T155" s="271" t="e">
        <f t="shared" si="267"/>
        <v>#VALUE!</v>
      </c>
      <c r="U155" s="271" t="e">
        <f t="shared" si="268"/>
        <v>#VALUE!</v>
      </c>
      <c r="V155" s="271" t="e">
        <f t="shared" si="269"/>
        <v>#VALUE!</v>
      </c>
      <c r="W155" s="218">
        <v>467.55</v>
      </c>
      <c r="X155" s="218">
        <v>2895.28</v>
      </c>
      <c r="Y155" s="203">
        <v>0.1</v>
      </c>
      <c r="Z155" s="203">
        <f>IF(Tabela1[[#This Row],[Ano Aquisição]]=2023,0,IFERROR(VLOOKUP(H155,inflação!$F:$H,3,FALSE),""))</f>
        <v>0.73</v>
      </c>
      <c r="AA155" s="203">
        <v>0.8</v>
      </c>
      <c r="AB155" s="202">
        <f t="shared" si="258"/>
        <v>-1183807.4099999999</v>
      </c>
      <c r="AC155" s="204" t="e">
        <f t="shared" si="270"/>
        <v>#VALUE!</v>
      </c>
      <c r="AD155" s="204" t="e">
        <f t="shared" si="271"/>
        <v>#VALUE!</v>
      </c>
      <c r="AE155" s="204" t="e">
        <f t="shared" si="272"/>
        <v>#VALUE!</v>
      </c>
      <c r="AF155" s="204" t="e">
        <f t="shared" si="273"/>
        <v>#VALUE!</v>
      </c>
      <c r="AG155" s="204" t="e">
        <f t="shared" si="274"/>
        <v>#VALUE!</v>
      </c>
      <c r="AH155" s="204" t="e">
        <f t="shared" si="275"/>
        <v>#VALUE!</v>
      </c>
      <c r="AI155" s="204" t="e">
        <f t="shared" si="276"/>
        <v>#VALUE!</v>
      </c>
      <c r="AJ155" s="205">
        <f t="shared" si="259"/>
        <v>-2047986.8192999999</v>
      </c>
      <c r="AK155" s="204" t="e">
        <f t="shared" si="277"/>
        <v>#VALUE!</v>
      </c>
      <c r="AL155" s="204" t="e">
        <f t="shared" si="278"/>
        <v>#VALUE!</v>
      </c>
      <c r="AM155" s="204" t="e">
        <f t="shared" si="279"/>
        <v>#VALUE!</v>
      </c>
      <c r="AN155" s="204" t="e">
        <f t="shared" si="280"/>
        <v>#VALUE!</v>
      </c>
      <c r="AO155" s="204" t="e">
        <f t="shared" si="281"/>
        <v>#VALUE!</v>
      </c>
      <c r="AP155" s="204" t="e">
        <f t="shared" si="282"/>
        <v>#VALUE!</v>
      </c>
      <c r="AQ155" s="204" t="e">
        <f t="shared" si="283"/>
        <v>#VALUE!</v>
      </c>
      <c r="AR155" s="206" t="e">
        <f t="shared" si="260"/>
        <v>#VALUE!</v>
      </c>
      <c r="AS155" s="170" t="e">
        <f t="shared" si="284"/>
        <v>#VALUE!</v>
      </c>
      <c r="AT155" s="170" t="e">
        <f t="shared" si="285"/>
        <v>#VALUE!</v>
      </c>
      <c r="AU155" s="207" t="e">
        <f t="shared" si="261"/>
        <v>#VALUE!</v>
      </c>
      <c r="AV155" s="208" t="e">
        <f t="shared" si="262"/>
        <v>#VALUE!</v>
      </c>
      <c r="AW155" s="201" t="str">
        <f t="shared" si="263"/>
        <v>Fase de Degradação</v>
      </c>
      <c r="AX155" s="253" t="e">
        <f>VLOOKUP(D155,#REF!,5,FALSE)</f>
        <v>#REF!</v>
      </c>
      <c r="AY155" s="201"/>
      <c r="AZ155" s="273" t="s">
        <v>1224</v>
      </c>
      <c r="BB155">
        <f>IFERROR(VLOOKUP(Tabela1[[#This Row],[Denominação]],[10]Planilha1!$A:$B,2,FALSE),"")</f>
        <v>607632.25000000012</v>
      </c>
    </row>
    <row r="156" spans="1:54" ht="15" hidden="1" customHeight="1" x14ac:dyDescent="0.3">
      <c r="A156" s="253">
        <v>155</v>
      </c>
      <c r="B156" s="171" t="s">
        <v>372</v>
      </c>
      <c r="C156" s="209" t="s">
        <v>193</v>
      </c>
      <c r="D156" s="171">
        <v>10004774</v>
      </c>
      <c r="E156" s="253" t="s">
        <v>1307</v>
      </c>
      <c r="F156" s="210">
        <v>4531</v>
      </c>
      <c r="G156" s="171">
        <v>40332</v>
      </c>
      <c r="H156" s="171">
        <v>2011</v>
      </c>
      <c r="I156" s="213">
        <v>962550.99</v>
      </c>
      <c r="J156" s="213">
        <v>8678</v>
      </c>
      <c r="K156" s="170">
        <v>706637.04000000085</v>
      </c>
      <c r="L156" s="215">
        <v>1.57</v>
      </c>
      <c r="M156" s="212">
        <v>4704</v>
      </c>
      <c r="N156" s="212">
        <v>102674</v>
      </c>
      <c r="O156" s="171">
        <v>936</v>
      </c>
      <c r="P156" s="271" t="str">
        <f>IFERROR(VLOOKUP(Tabela1[[#This Row],[TAG]],#REF!,14,FALSE),"")</f>
        <v/>
      </c>
      <c r="Q156" s="271" t="e">
        <f t="shared" si="264"/>
        <v>#VALUE!</v>
      </c>
      <c r="R156" s="271" t="e">
        <f t="shared" si="265"/>
        <v>#VALUE!</v>
      </c>
      <c r="S156" s="271" t="e">
        <f t="shared" si="266"/>
        <v>#VALUE!</v>
      </c>
      <c r="T156" s="271" t="e">
        <f t="shared" si="267"/>
        <v>#VALUE!</v>
      </c>
      <c r="U156" s="271" t="e">
        <f t="shared" si="268"/>
        <v>#VALUE!</v>
      </c>
      <c r="V156" s="271" t="e">
        <f t="shared" si="269"/>
        <v>#VALUE!</v>
      </c>
      <c r="W156" s="218">
        <v>461.07</v>
      </c>
      <c r="X156" s="218">
        <v>3890.87</v>
      </c>
      <c r="Y156" s="203">
        <v>0.1</v>
      </c>
      <c r="Z156" s="203">
        <f>IF(Tabela1[[#This Row],[Ano Aquisição]]=2023,0,IFERROR(VLOOKUP(H156,inflação!$F:$H,3,FALSE),""))</f>
        <v>0.73</v>
      </c>
      <c r="AA156" s="203">
        <v>0.8</v>
      </c>
      <c r="AB156" s="202">
        <f t="shared" si="258"/>
        <v>-962550.99</v>
      </c>
      <c r="AC156" s="204" t="e">
        <f t="shared" si="270"/>
        <v>#VALUE!</v>
      </c>
      <c r="AD156" s="204" t="e">
        <f t="shared" si="271"/>
        <v>#VALUE!</v>
      </c>
      <c r="AE156" s="204" t="e">
        <f t="shared" si="272"/>
        <v>#VALUE!</v>
      </c>
      <c r="AF156" s="204" t="e">
        <f t="shared" si="273"/>
        <v>#VALUE!</v>
      </c>
      <c r="AG156" s="204" t="e">
        <f t="shared" si="274"/>
        <v>#VALUE!</v>
      </c>
      <c r="AH156" s="204" t="e">
        <f t="shared" si="275"/>
        <v>#VALUE!</v>
      </c>
      <c r="AI156" s="204" t="e">
        <f t="shared" si="276"/>
        <v>#VALUE!</v>
      </c>
      <c r="AJ156" s="205">
        <f t="shared" si="259"/>
        <v>-1665213.2127</v>
      </c>
      <c r="AK156" s="204" t="e">
        <f t="shared" si="277"/>
        <v>#VALUE!</v>
      </c>
      <c r="AL156" s="204" t="e">
        <f t="shared" si="278"/>
        <v>#VALUE!</v>
      </c>
      <c r="AM156" s="204" t="e">
        <f t="shared" si="279"/>
        <v>#VALUE!</v>
      </c>
      <c r="AN156" s="204" t="e">
        <f t="shared" si="280"/>
        <v>#VALUE!</v>
      </c>
      <c r="AO156" s="204" t="e">
        <f t="shared" si="281"/>
        <v>#VALUE!</v>
      </c>
      <c r="AP156" s="204" t="e">
        <f t="shared" si="282"/>
        <v>#VALUE!</v>
      </c>
      <c r="AQ156" s="204" t="e">
        <f t="shared" si="283"/>
        <v>#VALUE!</v>
      </c>
      <c r="AR156" s="206" t="e">
        <f t="shared" si="260"/>
        <v>#VALUE!</v>
      </c>
      <c r="AS156" s="170" t="e">
        <f t="shared" si="284"/>
        <v>#VALUE!</v>
      </c>
      <c r="AT156" s="170" t="e">
        <f t="shared" si="285"/>
        <v>#VALUE!</v>
      </c>
      <c r="AU156" s="207" t="e">
        <f t="shared" si="261"/>
        <v>#VALUE!</v>
      </c>
      <c r="AV156" s="208" t="e">
        <f t="shared" si="262"/>
        <v>#VALUE!</v>
      </c>
      <c r="AW156" s="201" t="str">
        <f t="shared" si="263"/>
        <v>Fase de Degradação</v>
      </c>
      <c r="AX156" s="253" t="e">
        <f>VLOOKUP(D156,#REF!,5,FALSE)</f>
        <v>#REF!</v>
      </c>
      <c r="AY156" s="201"/>
      <c r="AZ156" s="273" t="s">
        <v>1224</v>
      </c>
      <c r="BB156">
        <f>IFERROR(VLOOKUP(Tabela1[[#This Row],[Denominação]],[10]Planilha1!$A:$B,2,FALSE),"")</f>
        <v>706637.04000000085</v>
      </c>
    </row>
    <row r="157" spans="1:54" ht="15" hidden="1" customHeight="1" x14ac:dyDescent="0.3">
      <c r="A157" s="268">
        <v>156</v>
      </c>
      <c r="B157" s="171" t="s">
        <v>400</v>
      </c>
      <c r="C157" s="209" t="s">
        <v>221</v>
      </c>
      <c r="D157" s="171">
        <v>10004775</v>
      </c>
      <c r="E157" s="253" t="s">
        <v>1308</v>
      </c>
      <c r="F157" s="210">
        <v>4531</v>
      </c>
      <c r="G157" s="171">
        <v>40333</v>
      </c>
      <c r="H157" s="171">
        <v>2011</v>
      </c>
      <c r="I157" s="213">
        <v>962720.57</v>
      </c>
      <c r="J157" s="213">
        <v>8728</v>
      </c>
      <c r="K157" s="170">
        <v>920557.4599999995</v>
      </c>
      <c r="L157" s="215">
        <v>1.8</v>
      </c>
      <c r="M157" s="212">
        <v>3328</v>
      </c>
      <c r="N157" s="212">
        <v>104671</v>
      </c>
      <c r="O157" s="171">
        <v>909</v>
      </c>
      <c r="P157" s="271" t="str">
        <f>IFERROR(VLOOKUP(Tabela1[[#This Row],[TAG]],#REF!,14,FALSE),"")</f>
        <v/>
      </c>
      <c r="Q157" s="271" t="e">
        <f t="shared" si="264"/>
        <v>#VALUE!</v>
      </c>
      <c r="R157" s="271" t="e">
        <f t="shared" si="265"/>
        <v>#VALUE!</v>
      </c>
      <c r="S157" s="271" t="e">
        <f t="shared" si="266"/>
        <v>#VALUE!</v>
      </c>
      <c r="T157" s="271" t="e">
        <f t="shared" si="267"/>
        <v>#VALUE!</v>
      </c>
      <c r="U157" s="271" t="e">
        <f t="shared" si="268"/>
        <v>#VALUE!</v>
      </c>
      <c r="V157" s="271" t="e">
        <f t="shared" si="269"/>
        <v>#VALUE!</v>
      </c>
      <c r="W157" s="218">
        <v>455.65</v>
      </c>
      <c r="X157" s="218">
        <v>4118.88</v>
      </c>
      <c r="Y157" s="203">
        <v>0.1</v>
      </c>
      <c r="Z157" s="203">
        <f>IF(Tabela1[[#This Row],[Ano Aquisição]]=2023,0,IFERROR(VLOOKUP(H157,inflação!$F:$H,3,FALSE),""))</f>
        <v>0.73</v>
      </c>
      <c r="AA157" s="203">
        <v>0.8</v>
      </c>
      <c r="AB157" s="202">
        <f t="shared" si="258"/>
        <v>-962720.57</v>
      </c>
      <c r="AC157" s="204" t="e">
        <f t="shared" si="270"/>
        <v>#VALUE!</v>
      </c>
      <c r="AD157" s="204" t="e">
        <f t="shared" si="271"/>
        <v>#VALUE!</v>
      </c>
      <c r="AE157" s="204" t="e">
        <f t="shared" si="272"/>
        <v>#VALUE!</v>
      </c>
      <c r="AF157" s="204" t="e">
        <f t="shared" si="273"/>
        <v>#VALUE!</v>
      </c>
      <c r="AG157" s="204" t="e">
        <f t="shared" si="274"/>
        <v>#VALUE!</v>
      </c>
      <c r="AH157" s="204" t="e">
        <f t="shared" si="275"/>
        <v>#VALUE!</v>
      </c>
      <c r="AI157" s="204" t="e">
        <f t="shared" si="276"/>
        <v>#VALUE!</v>
      </c>
      <c r="AJ157" s="205">
        <f t="shared" si="259"/>
        <v>-1665506.5861</v>
      </c>
      <c r="AK157" s="204" t="e">
        <f t="shared" si="277"/>
        <v>#VALUE!</v>
      </c>
      <c r="AL157" s="204" t="e">
        <f t="shared" si="278"/>
        <v>#VALUE!</v>
      </c>
      <c r="AM157" s="204" t="e">
        <f t="shared" si="279"/>
        <v>#VALUE!</v>
      </c>
      <c r="AN157" s="204" t="e">
        <f t="shared" si="280"/>
        <v>#VALUE!</v>
      </c>
      <c r="AO157" s="204" t="e">
        <f t="shared" si="281"/>
        <v>#VALUE!</v>
      </c>
      <c r="AP157" s="204" t="e">
        <f t="shared" si="282"/>
        <v>#VALUE!</v>
      </c>
      <c r="AQ157" s="204" t="e">
        <f t="shared" si="283"/>
        <v>#VALUE!</v>
      </c>
      <c r="AR157" s="206" t="e">
        <f t="shared" si="260"/>
        <v>#VALUE!</v>
      </c>
      <c r="AS157" s="170" t="e">
        <f t="shared" si="284"/>
        <v>#VALUE!</v>
      </c>
      <c r="AT157" s="170" t="e">
        <f t="shared" si="285"/>
        <v>#VALUE!</v>
      </c>
      <c r="AU157" s="207" t="e">
        <f t="shared" si="261"/>
        <v>#VALUE!</v>
      </c>
      <c r="AV157" s="208" t="e">
        <f t="shared" si="262"/>
        <v>#VALUE!</v>
      </c>
      <c r="AW157" s="201" t="str">
        <f t="shared" si="263"/>
        <v>Fase de Degradação</v>
      </c>
      <c r="AX157" s="253" t="e">
        <f>VLOOKUP(D157,#REF!,5,FALSE)</f>
        <v>#REF!</v>
      </c>
      <c r="AY157" s="201"/>
      <c r="AZ157" s="273" t="s">
        <v>1224</v>
      </c>
      <c r="BB157">
        <f>IFERROR(VLOOKUP(Tabela1[[#This Row],[Denominação]],[10]Planilha1!$A:$B,2,FALSE),"")</f>
        <v>920557.4599999995</v>
      </c>
    </row>
    <row r="158" spans="1:54" ht="15" hidden="1" customHeight="1" x14ac:dyDescent="0.3">
      <c r="A158" s="253">
        <v>157</v>
      </c>
      <c r="B158" s="171" t="s">
        <v>397</v>
      </c>
      <c r="C158" s="209" t="s">
        <v>218</v>
      </c>
      <c r="D158" s="171">
        <v>10004776</v>
      </c>
      <c r="E158" s="253" t="s">
        <v>1309</v>
      </c>
      <c r="F158" s="210">
        <v>4531</v>
      </c>
      <c r="G158" s="171">
        <v>40334</v>
      </c>
      <c r="H158" s="171">
        <v>2011</v>
      </c>
      <c r="I158" s="213">
        <v>963979.99</v>
      </c>
      <c r="J158" s="213">
        <v>8769</v>
      </c>
      <c r="K158" s="170">
        <v>721288.87</v>
      </c>
      <c r="L158" s="215">
        <v>1.44</v>
      </c>
      <c r="M158" s="212">
        <v>5844</v>
      </c>
      <c r="N158" s="212">
        <v>102368</v>
      </c>
      <c r="O158" s="171">
        <v>1007</v>
      </c>
      <c r="P158" s="271" t="str">
        <f>IFERROR(VLOOKUP(Tabela1[[#This Row],[TAG]],#REF!,14,FALSE),"")</f>
        <v/>
      </c>
      <c r="Q158" s="271" t="e">
        <f t="shared" si="264"/>
        <v>#VALUE!</v>
      </c>
      <c r="R158" s="271" t="e">
        <f t="shared" si="265"/>
        <v>#VALUE!</v>
      </c>
      <c r="S158" s="271" t="e">
        <f t="shared" si="266"/>
        <v>#VALUE!</v>
      </c>
      <c r="T158" s="271" t="e">
        <f t="shared" si="267"/>
        <v>#VALUE!</v>
      </c>
      <c r="U158" s="271" t="e">
        <f t="shared" si="268"/>
        <v>#VALUE!</v>
      </c>
      <c r="V158" s="271" t="e">
        <f t="shared" si="269"/>
        <v>#VALUE!</v>
      </c>
      <c r="W158" s="218">
        <v>395.11</v>
      </c>
      <c r="X158" s="218">
        <v>3852.24</v>
      </c>
      <c r="Y158" s="203">
        <v>0.1</v>
      </c>
      <c r="Z158" s="203">
        <f>IF(Tabela1[[#This Row],[Ano Aquisição]]=2023,0,IFERROR(VLOOKUP(H158,inflação!$F:$H,3,FALSE),""))</f>
        <v>0.73</v>
      </c>
      <c r="AA158" s="203">
        <v>0.8</v>
      </c>
      <c r="AB158" s="202">
        <f t="shared" si="258"/>
        <v>-963979.99</v>
      </c>
      <c r="AC158" s="204" t="e">
        <f t="shared" si="270"/>
        <v>#VALUE!</v>
      </c>
      <c r="AD158" s="204" t="e">
        <f t="shared" si="271"/>
        <v>#VALUE!</v>
      </c>
      <c r="AE158" s="204" t="e">
        <f t="shared" si="272"/>
        <v>#VALUE!</v>
      </c>
      <c r="AF158" s="204" t="e">
        <f t="shared" si="273"/>
        <v>#VALUE!</v>
      </c>
      <c r="AG158" s="204" t="e">
        <f t="shared" si="274"/>
        <v>#VALUE!</v>
      </c>
      <c r="AH158" s="204" t="e">
        <f t="shared" si="275"/>
        <v>#VALUE!</v>
      </c>
      <c r="AI158" s="204" t="e">
        <f t="shared" si="276"/>
        <v>#VALUE!</v>
      </c>
      <c r="AJ158" s="205">
        <f t="shared" si="259"/>
        <v>-1667685.3827</v>
      </c>
      <c r="AK158" s="204" t="e">
        <f t="shared" si="277"/>
        <v>#VALUE!</v>
      </c>
      <c r="AL158" s="204" t="e">
        <f t="shared" si="278"/>
        <v>#VALUE!</v>
      </c>
      <c r="AM158" s="204" t="e">
        <f t="shared" si="279"/>
        <v>#VALUE!</v>
      </c>
      <c r="AN158" s="204" t="e">
        <f t="shared" si="280"/>
        <v>#VALUE!</v>
      </c>
      <c r="AO158" s="204" t="e">
        <f t="shared" si="281"/>
        <v>#VALUE!</v>
      </c>
      <c r="AP158" s="204" t="e">
        <f t="shared" si="282"/>
        <v>#VALUE!</v>
      </c>
      <c r="AQ158" s="204" t="e">
        <f t="shared" si="283"/>
        <v>#VALUE!</v>
      </c>
      <c r="AR158" s="206" t="e">
        <f t="shared" si="260"/>
        <v>#VALUE!</v>
      </c>
      <c r="AS158" s="170" t="e">
        <f t="shared" si="284"/>
        <v>#VALUE!</v>
      </c>
      <c r="AT158" s="170" t="e">
        <f t="shared" si="285"/>
        <v>#VALUE!</v>
      </c>
      <c r="AU158" s="207" t="e">
        <f t="shared" si="261"/>
        <v>#VALUE!</v>
      </c>
      <c r="AV158" s="208" t="e">
        <f t="shared" si="262"/>
        <v>#VALUE!</v>
      </c>
      <c r="AW158" s="201" t="str">
        <f t="shared" si="263"/>
        <v>Fase de Degradação</v>
      </c>
      <c r="AX158" s="253" t="e">
        <f>VLOOKUP(D158,#REF!,5,FALSE)</f>
        <v>#REF!</v>
      </c>
      <c r="AY158" s="201"/>
      <c r="AZ158" s="273" t="s">
        <v>1224</v>
      </c>
      <c r="BB158">
        <f>IFERROR(VLOOKUP(Tabela1[[#This Row],[Denominação]],[10]Planilha1!$A:$B,2,FALSE),"")</f>
        <v>721288.87</v>
      </c>
    </row>
    <row r="159" spans="1:54" ht="15" hidden="1" customHeight="1" x14ac:dyDescent="0.3">
      <c r="A159" s="268">
        <v>158</v>
      </c>
      <c r="B159" s="171" t="s">
        <v>392</v>
      </c>
      <c r="C159" s="209" t="s">
        <v>213</v>
      </c>
      <c r="D159" s="171">
        <v>10004777</v>
      </c>
      <c r="E159" s="253" t="s">
        <v>1310</v>
      </c>
      <c r="F159" s="210">
        <v>4531</v>
      </c>
      <c r="G159" s="171">
        <v>41564</v>
      </c>
      <c r="H159" s="171">
        <v>2012</v>
      </c>
      <c r="I159" s="213">
        <v>1081357.25</v>
      </c>
      <c r="J159" s="213">
        <v>13073</v>
      </c>
      <c r="K159" s="170">
        <v>748247.16999999993</v>
      </c>
      <c r="L159" s="215">
        <v>1.43</v>
      </c>
      <c r="M159" s="212">
        <v>5717</v>
      </c>
      <c r="N159" s="212">
        <v>96151</v>
      </c>
      <c r="O159" s="171">
        <v>853</v>
      </c>
      <c r="P159" s="271" t="str">
        <f>IFERROR(VLOOKUP(Tabela1[[#This Row],[TAG]],#REF!,14,FALSE),"")</f>
        <v/>
      </c>
      <c r="Q159" s="271" t="e">
        <f t="shared" si="264"/>
        <v>#VALUE!</v>
      </c>
      <c r="R159" s="271" t="e">
        <f t="shared" si="265"/>
        <v>#VALUE!</v>
      </c>
      <c r="S159" s="271" t="e">
        <f t="shared" si="266"/>
        <v>#VALUE!</v>
      </c>
      <c r="T159" s="271" t="e">
        <f t="shared" si="267"/>
        <v>#VALUE!</v>
      </c>
      <c r="U159" s="271" t="e">
        <f t="shared" si="268"/>
        <v>#VALUE!</v>
      </c>
      <c r="V159" s="271" t="e">
        <f t="shared" si="269"/>
        <v>#VALUE!</v>
      </c>
      <c r="W159" s="218">
        <v>431.06</v>
      </c>
      <c r="X159" s="218">
        <v>4600.1000000000004</v>
      </c>
      <c r="Y159" s="203">
        <v>0.1</v>
      </c>
      <c r="Z159" s="203">
        <f>IF(Tabela1[[#This Row],[Ano Aquisição]]=2023,0,IFERROR(VLOOKUP(H159,inflação!$F:$H,3,FALSE),""))</f>
        <v>0.66500000000000004</v>
      </c>
      <c r="AA159" s="203">
        <v>0.8</v>
      </c>
      <c r="AB159" s="202">
        <f t="shared" si="258"/>
        <v>-1081357.25</v>
      </c>
      <c r="AC159" s="204" t="e">
        <f t="shared" si="270"/>
        <v>#VALUE!</v>
      </c>
      <c r="AD159" s="204" t="e">
        <f t="shared" si="271"/>
        <v>#VALUE!</v>
      </c>
      <c r="AE159" s="204" t="e">
        <f t="shared" si="272"/>
        <v>#VALUE!</v>
      </c>
      <c r="AF159" s="204" t="e">
        <f t="shared" si="273"/>
        <v>#VALUE!</v>
      </c>
      <c r="AG159" s="204" t="e">
        <f t="shared" si="274"/>
        <v>#VALUE!</v>
      </c>
      <c r="AH159" s="204" t="e">
        <f t="shared" si="275"/>
        <v>#VALUE!</v>
      </c>
      <c r="AI159" s="204" t="e">
        <f t="shared" si="276"/>
        <v>#VALUE!</v>
      </c>
      <c r="AJ159" s="205">
        <f t="shared" si="259"/>
        <v>-1800459.82125</v>
      </c>
      <c r="AK159" s="204" t="e">
        <f t="shared" si="277"/>
        <v>#VALUE!</v>
      </c>
      <c r="AL159" s="204" t="e">
        <f t="shared" si="278"/>
        <v>#VALUE!</v>
      </c>
      <c r="AM159" s="204" t="e">
        <f t="shared" si="279"/>
        <v>#VALUE!</v>
      </c>
      <c r="AN159" s="204" t="e">
        <f t="shared" si="280"/>
        <v>#VALUE!</v>
      </c>
      <c r="AO159" s="204" t="e">
        <f t="shared" si="281"/>
        <v>#VALUE!</v>
      </c>
      <c r="AP159" s="204" t="e">
        <f t="shared" si="282"/>
        <v>#VALUE!</v>
      </c>
      <c r="AQ159" s="204" t="e">
        <f t="shared" si="283"/>
        <v>#VALUE!</v>
      </c>
      <c r="AR159" s="206" t="e">
        <f t="shared" si="260"/>
        <v>#VALUE!</v>
      </c>
      <c r="AS159" s="170" t="e">
        <f t="shared" si="284"/>
        <v>#VALUE!</v>
      </c>
      <c r="AT159" s="170" t="e">
        <f t="shared" si="285"/>
        <v>#VALUE!</v>
      </c>
      <c r="AU159" s="207" t="e">
        <f t="shared" si="261"/>
        <v>#VALUE!</v>
      </c>
      <c r="AV159" s="208" t="e">
        <f t="shared" si="262"/>
        <v>#VALUE!</v>
      </c>
      <c r="AW159" s="201" t="str">
        <f t="shared" si="263"/>
        <v>Fase de Degradação</v>
      </c>
      <c r="AX159" s="253" t="e">
        <f>VLOOKUP(D159,#REF!,5,FALSE)</f>
        <v>#REF!</v>
      </c>
      <c r="AY159" s="201"/>
      <c r="AZ159" s="273" t="s">
        <v>1224</v>
      </c>
      <c r="BB159">
        <f>IFERROR(VLOOKUP(Tabela1[[#This Row],[Denominação]],[10]Planilha1!$A:$B,2,FALSE),"")</f>
        <v>748247.16999999993</v>
      </c>
    </row>
    <row r="160" spans="1:54" ht="15" hidden="1" customHeight="1" x14ac:dyDescent="0.3">
      <c r="A160" s="253">
        <v>159</v>
      </c>
      <c r="B160" s="171" t="s">
        <v>410</v>
      </c>
      <c r="C160" s="209" t="s">
        <v>231</v>
      </c>
      <c r="D160" s="171">
        <v>10004778</v>
      </c>
      <c r="E160" s="253" t="s">
        <v>1311</v>
      </c>
      <c r="F160" s="210">
        <v>4531</v>
      </c>
      <c r="G160" s="171">
        <v>41561</v>
      </c>
      <c r="H160" s="171">
        <v>2012</v>
      </c>
      <c r="I160" s="213">
        <v>1111731.55</v>
      </c>
      <c r="J160" s="213">
        <v>17569</v>
      </c>
      <c r="K160" s="170">
        <v>650735.12000000011</v>
      </c>
      <c r="L160" s="215">
        <v>1.32</v>
      </c>
      <c r="M160" s="212">
        <v>5850</v>
      </c>
      <c r="N160" s="212">
        <v>96280</v>
      </c>
      <c r="O160" s="171">
        <v>814</v>
      </c>
      <c r="P160" s="271" t="str">
        <f>IFERROR(VLOOKUP(Tabela1[[#This Row],[TAG]],#REF!,14,FALSE),"")</f>
        <v/>
      </c>
      <c r="Q160" s="271" t="e">
        <f t="shared" si="264"/>
        <v>#VALUE!</v>
      </c>
      <c r="R160" s="271" t="e">
        <f t="shared" si="265"/>
        <v>#VALUE!</v>
      </c>
      <c r="S160" s="271" t="e">
        <f t="shared" si="266"/>
        <v>#VALUE!</v>
      </c>
      <c r="T160" s="271" t="e">
        <f t="shared" si="267"/>
        <v>#VALUE!</v>
      </c>
      <c r="U160" s="271" t="e">
        <f t="shared" si="268"/>
        <v>#VALUE!</v>
      </c>
      <c r="V160" s="271" t="e">
        <f t="shared" si="269"/>
        <v>#VALUE!</v>
      </c>
      <c r="W160" s="218">
        <v>444.35</v>
      </c>
      <c r="X160" s="218">
        <v>3630.74</v>
      </c>
      <c r="Y160" s="203">
        <v>0.1</v>
      </c>
      <c r="Z160" s="203">
        <f>IF(Tabela1[[#This Row],[Ano Aquisição]]=2023,0,IFERROR(VLOOKUP(H160,inflação!$F:$H,3,FALSE),""))</f>
        <v>0.66500000000000004</v>
      </c>
      <c r="AA160" s="203">
        <v>0.8</v>
      </c>
      <c r="AB160" s="202">
        <f t="shared" si="258"/>
        <v>-1111731.55</v>
      </c>
      <c r="AC160" s="204" t="e">
        <f t="shared" si="270"/>
        <v>#VALUE!</v>
      </c>
      <c r="AD160" s="204" t="e">
        <f t="shared" si="271"/>
        <v>#VALUE!</v>
      </c>
      <c r="AE160" s="204" t="e">
        <f t="shared" si="272"/>
        <v>#VALUE!</v>
      </c>
      <c r="AF160" s="204" t="e">
        <f t="shared" si="273"/>
        <v>#VALUE!</v>
      </c>
      <c r="AG160" s="204" t="e">
        <f t="shared" si="274"/>
        <v>#VALUE!</v>
      </c>
      <c r="AH160" s="204" t="e">
        <f t="shared" si="275"/>
        <v>#VALUE!</v>
      </c>
      <c r="AI160" s="204" t="e">
        <f t="shared" si="276"/>
        <v>#VALUE!</v>
      </c>
      <c r="AJ160" s="205">
        <f t="shared" si="259"/>
        <v>-1851033.0307500002</v>
      </c>
      <c r="AK160" s="204" t="e">
        <f t="shared" si="277"/>
        <v>#VALUE!</v>
      </c>
      <c r="AL160" s="204" t="e">
        <f t="shared" si="278"/>
        <v>#VALUE!</v>
      </c>
      <c r="AM160" s="204" t="e">
        <f t="shared" si="279"/>
        <v>#VALUE!</v>
      </c>
      <c r="AN160" s="204" t="e">
        <f t="shared" si="280"/>
        <v>#VALUE!</v>
      </c>
      <c r="AO160" s="204" t="e">
        <f t="shared" si="281"/>
        <v>#VALUE!</v>
      </c>
      <c r="AP160" s="204" t="e">
        <f t="shared" si="282"/>
        <v>#VALUE!</v>
      </c>
      <c r="AQ160" s="204" t="e">
        <f t="shared" si="283"/>
        <v>#VALUE!</v>
      </c>
      <c r="AR160" s="206" t="e">
        <f t="shared" si="260"/>
        <v>#VALUE!</v>
      </c>
      <c r="AS160" s="170" t="e">
        <f t="shared" si="284"/>
        <v>#VALUE!</v>
      </c>
      <c r="AT160" s="170" t="e">
        <f t="shared" si="285"/>
        <v>#VALUE!</v>
      </c>
      <c r="AU160" s="207" t="e">
        <f t="shared" si="261"/>
        <v>#VALUE!</v>
      </c>
      <c r="AV160" s="208" t="e">
        <f t="shared" si="262"/>
        <v>#VALUE!</v>
      </c>
      <c r="AW160" s="201" t="str">
        <f t="shared" si="263"/>
        <v>Fase de Degradação</v>
      </c>
      <c r="AX160" s="253" t="e">
        <f>VLOOKUP(D160,#REF!,5,FALSE)</f>
        <v>#REF!</v>
      </c>
      <c r="AY160" s="201"/>
      <c r="AZ160" s="273" t="s">
        <v>1224</v>
      </c>
      <c r="BB160">
        <f>IFERROR(VLOOKUP(Tabela1[[#This Row],[Denominação]],[10]Planilha1!$A:$B,2,FALSE),"")</f>
        <v>650735.12000000011</v>
      </c>
    </row>
    <row r="161" spans="1:54" ht="15" hidden="1" customHeight="1" x14ac:dyDescent="0.3">
      <c r="A161" s="268">
        <v>160</v>
      </c>
      <c r="B161" s="171" t="s">
        <v>382</v>
      </c>
      <c r="C161" s="209" t="s">
        <v>203</v>
      </c>
      <c r="D161" s="171">
        <v>10004229</v>
      </c>
      <c r="E161" s="253" t="s">
        <v>1312</v>
      </c>
      <c r="F161" s="210">
        <v>2370</v>
      </c>
      <c r="G161" s="204">
        <v>900000002474</v>
      </c>
      <c r="H161" s="171">
        <v>2005</v>
      </c>
      <c r="I161" s="213">
        <v>257233.01</v>
      </c>
      <c r="J161" s="213">
        <v>0</v>
      </c>
      <c r="K161" s="170">
        <v>1075929.1700000004</v>
      </c>
      <c r="L161" s="215">
        <v>0.78</v>
      </c>
      <c r="M161" s="212">
        <v>2506.1579999999999</v>
      </c>
      <c r="N161" s="212">
        <v>150019</v>
      </c>
      <c r="O161" s="171">
        <v>575</v>
      </c>
      <c r="P161" s="271" t="str">
        <f>IFERROR(VLOOKUP(Tabela1[[#This Row],[TAG]],#REF!,14,FALSE),"")</f>
        <v/>
      </c>
      <c r="Q161" s="204" t="e">
        <f t="shared" si="264"/>
        <v>#VALUE!</v>
      </c>
      <c r="R161" s="204" t="e">
        <f t="shared" si="265"/>
        <v>#VALUE!</v>
      </c>
      <c r="S161" s="204" t="e">
        <f t="shared" si="266"/>
        <v>#VALUE!</v>
      </c>
      <c r="T161" s="204" t="e">
        <f t="shared" si="267"/>
        <v>#VALUE!</v>
      </c>
      <c r="U161" s="204" t="e">
        <f t="shared" si="268"/>
        <v>#VALUE!</v>
      </c>
      <c r="V161" s="204" t="e">
        <f t="shared" si="269"/>
        <v>#VALUE!</v>
      </c>
      <c r="W161" s="218">
        <v>527.07000000000005</v>
      </c>
      <c r="X161" s="218">
        <v>5555.4263888888827</v>
      </c>
      <c r="Y161" s="203">
        <v>0.1</v>
      </c>
      <c r="Z161" s="203">
        <f>IF(Tabela1[[#This Row],[Ano Aquisição]]=2023,0,IFERROR(VLOOKUP(H161,inflação!$F:$H,3,FALSE),""))</f>
        <v>1.0241</v>
      </c>
      <c r="AA161" s="203">
        <v>0.8</v>
      </c>
      <c r="AB161" s="202">
        <f t="shared" si="258"/>
        <v>-257233.01</v>
      </c>
      <c r="AC161" s="204" t="e">
        <f t="shared" si="270"/>
        <v>#VALUE!</v>
      </c>
      <c r="AD161" s="204" t="e">
        <f t="shared" si="271"/>
        <v>#VALUE!</v>
      </c>
      <c r="AE161" s="204" t="e">
        <f t="shared" si="272"/>
        <v>#VALUE!</v>
      </c>
      <c r="AF161" s="204" t="e">
        <f t="shared" si="273"/>
        <v>#VALUE!</v>
      </c>
      <c r="AG161" s="204" t="e">
        <f t="shared" si="274"/>
        <v>#VALUE!</v>
      </c>
      <c r="AH161" s="204" t="e">
        <f t="shared" si="275"/>
        <v>#VALUE!</v>
      </c>
      <c r="AI161" s="204" t="e">
        <f t="shared" si="276"/>
        <v>#VALUE!</v>
      </c>
      <c r="AJ161" s="205">
        <f t="shared" si="259"/>
        <v>-520665.33554099995</v>
      </c>
      <c r="AK161" s="204" t="e">
        <f t="shared" si="277"/>
        <v>#VALUE!</v>
      </c>
      <c r="AL161" s="204" t="e">
        <f t="shared" si="278"/>
        <v>#VALUE!</v>
      </c>
      <c r="AM161" s="204" t="e">
        <f t="shared" si="279"/>
        <v>#VALUE!</v>
      </c>
      <c r="AN161" s="204" t="e">
        <f t="shared" si="280"/>
        <v>#VALUE!</v>
      </c>
      <c r="AO161" s="204" t="e">
        <f t="shared" si="281"/>
        <v>#VALUE!</v>
      </c>
      <c r="AP161" s="204" t="e">
        <f t="shared" si="282"/>
        <v>#VALUE!</v>
      </c>
      <c r="AQ161" s="204" t="e">
        <f t="shared" si="283"/>
        <v>#VALUE!</v>
      </c>
      <c r="AR161" s="206" t="e">
        <f t="shared" si="260"/>
        <v>#VALUE!</v>
      </c>
      <c r="AS161" s="170" t="e">
        <f t="shared" si="284"/>
        <v>#VALUE!</v>
      </c>
      <c r="AT161" s="170" t="e">
        <f t="shared" si="285"/>
        <v>#VALUE!</v>
      </c>
      <c r="AU161" s="207" t="e">
        <f t="shared" si="261"/>
        <v>#VALUE!</v>
      </c>
      <c r="AV161" s="208" t="e">
        <f t="shared" si="262"/>
        <v>#VALUE!</v>
      </c>
      <c r="AW161" s="201" t="str">
        <f t="shared" si="263"/>
        <v>Confiabilidade em Crescimento</v>
      </c>
      <c r="AX161" s="253" t="e">
        <f>VLOOKUP(D161,#REF!,5,FALSE)</f>
        <v>#REF!</v>
      </c>
      <c r="AY161" s="201"/>
      <c r="AZ161" s="273" t="s">
        <v>1224</v>
      </c>
      <c r="BB161">
        <f>IFERROR(VLOOKUP(Tabela1[[#This Row],[Denominação]],[10]Planilha1!$A:$B,2,FALSE),"")</f>
        <v>1075929.1700000004</v>
      </c>
    </row>
    <row r="162" spans="1:54" ht="15" hidden="1" customHeight="1" x14ac:dyDescent="0.3">
      <c r="A162" s="253">
        <v>161</v>
      </c>
      <c r="B162" s="171" t="s">
        <v>332</v>
      </c>
      <c r="C162" s="209" t="s">
        <v>153</v>
      </c>
      <c r="D162" s="171">
        <v>10004462</v>
      </c>
      <c r="E162" s="253" t="s">
        <v>1313</v>
      </c>
      <c r="F162" s="210">
        <v>2370</v>
      </c>
      <c r="G162" s="171">
        <v>33969</v>
      </c>
      <c r="H162" s="171">
        <v>2006</v>
      </c>
      <c r="I162" s="213">
        <v>459538.02</v>
      </c>
      <c r="J162" s="213">
        <v>43471</v>
      </c>
      <c r="K162" s="170">
        <v>1321099.7299999974</v>
      </c>
      <c r="L162" s="215">
        <v>1.79</v>
      </c>
      <c r="M162" s="212">
        <v>3054.2759999999998</v>
      </c>
      <c r="N162" s="212">
        <v>149139</v>
      </c>
      <c r="O162" s="171">
        <v>583</v>
      </c>
      <c r="P162" s="271" t="str">
        <f>IFERROR(VLOOKUP(Tabela1[[#This Row],[TAG]],#REF!,14,FALSE),"")</f>
        <v/>
      </c>
      <c r="Q162" s="204" t="e">
        <f t="shared" si="264"/>
        <v>#VALUE!</v>
      </c>
      <c r="R162" s="204" t="e">
        <f t="shared" si="265"/>
        <v>#VALUE!</v>
      </c>
      <c r="S162" s="204" t="e">
        <f t="shared" si="266"/>
        <v>#VALUE!</v>
      </c>
      <c r="T162" s="204" t="e">
        <f t="shared" si="267"/>
        <v>#VALUE!</v>
      </c>
      <c r="U162" s="204" t="e">
        <f t="shared" si="268"/>
        <v>#VALUE!</v>
      </c>
      <c r="V162" s="204" t="e">
        <f t="shared" si="269"/>
        <v>#VALUE!</v>
      </c>
      <c r="W162" s="218">
        <v>595.59</v>
      </c>
      <c r="X162" s="218">
        <v>4557.59</v>
      </c>
      <c r="Y162" s="203">
        <v>0.1</v>
      </c>
      <c r="Z162" s="203">
        <f>IF(Tabela1[[#This Row],[Ano Aquisição]]=2023,0,IFERROR(VLOOKUP(H162,inflação!$F:$H,3,FALSE),""))</f>
        <v>0.96719999999999995</v>
      </c>
      <c r="AA162" s="203">
        <v>0.8</v>
      </c>
      <c r="AB162" s="202">
        <f t="shared" si="258"/>
        <v>-459538.02</v>
      </c>
      <c r="AC162" s="204" t="e">
        <f t="shared" si="270"/>
        <v>#VALUE!</v>
      </c>
      <c r="AD162" s="204" t="e">
        <f t="shared" si="271"/>
        <v>#VALUE!</v>
      </c>
      <c r="AE162" s="204" t="e">
        <f t="shared" si="272"/>
        <v>#VALUE!</v>
      </c>
      <c r="AF162" s="204" t="e">
        <f t="shared" si="273"/>
        <v>#VALUE!</v>
      </c>
      <c r="AG162" s="204" t="e">
        <f t="shared" si="274"/>
        <v>#VALUE!</v>
      </c>
      <c r="AH162" s="204" t="e">
        <f t="shared" si="275"/>
        <v>#VALUE!</v>
      </c>
      <c r="AI162" s="204" t="e">
        <f t="shared" si="276"/>
        <v>#VALUE!</v>
      </c>
      <c r="AJ162" s="205">
        <f t="shared" si="259"/>
        <v>-904003.19294400001</v>
      </c>
      <c r="AK162" s="204" t="e">
        <f t="shared" si="277"/>
        <v>#VALUE!</v>
      </c>
      <c r="AL162" s="204" t="e">
        <f t="shared" si="278"/>
        <v>#VALUE!</v>
      </c>
      <c r="AM162" s="204" t="e">
        <f t="shared" si="279"/>
        <v>#VALUE!</v>
      </c>
      <c r="AN162" s="204" t="e">
        <f t="shared" si="280"/>
        <v>#VALUE!</v>
      </c>
      <c r="AO162" s="204" t="e">
        <f t="shared" si="281"/>
        <v>#VALUE!</v>
      </c>
      <c r="AP162" s="204" t="e">
        <f t="shared" si="282"/>
        <v>#VALUE!</v>
      </c>
      <c r="AQ162" s="204" t="e">
        <f t="shared" si="283"/>
        <v>#VALUE!</v>
      </c>
      <c r="AR162" s="206" t="e">
        <f t="shared" si="260"/>
        <v>#VALUE!</v>
      </c>
      <c r="AS162" s="170" t="e">
        <f t="shared" si="284"/>
        <v>#VALUE!</v>
      </c>
      <c r="AT162" s="170" t="e">
        <f t="shared" si="285"/>
        <v>#VALUE!</v>
      </c>
      <c r="AU162" s="207" t="e">
        <f t="shared" si="261"/>
        <v>#VALUE!</v>
      </c>
      <c r="AV162" s="208" t="e">
        <f t="shared" si="262"/>
        <v>#VALUE!</v>
      </c>
      <c r="AW162" s="201" t="str">
        <f t="shared" si="263"/>
        <v>Fase de Degradação</v>
      </c>
      <c r="AX162" s="253" t="e">
        <f>VLOOKUP(D162,#REF!,5,FALSE)</f>
        <v>#REF!</v>
      </c>
      <c r="AY162" s="201"/>
      <c r="AZ162" s="273" t="s">
        <v>1224</v>
      </c>
      <c r="BB162">
        <f>IFERROR(VLOOKUP(Tabela1[[#This Row],[Denominação]],[10]Planilha1!$A:$B,2,FALSE),"")</f>
        <v>1321099.7299999974</v>
      </c>
    </row>
    <row r="163" spans="1:54" ht="15" hidden="1" customHeight="1" x14ac:dyDescent="0.3">
      <c r="A163" s="268">
        <v>162</v>
      </c>
      <c r="B163" s="171" t="s">
        <v>599</v>
      </c>
      <c r="C163" s="209" t="s">
        <v>600</v>
      </c>
      <c r="D163" s="171">
        <v>10004463</v>
      </c>
      <c r="E163" s="253" t="s">
        <v>1314</v>
      </c>
      <c r="F163" s="210">
        <v>2537</v>
      </c>
      <c r="G163" s="171">
        <v>34043</v>
      </c>
      <c r="H163" s="171">
        <v>2006</v>
      </c>
      <c r="I163" s="213">
        <v>466236.01</v>
      </c>
      <c r="J163" s="213">
        <v>0</v>
      </c>
      <c r="K163" s="170">
        <v>590999.61000000022</v>
      </c>
      <c r="L163" s="215">
        <v>0.86</v>
      </c>
      <c r="M163" s="320">
        <v>5512</v>
      </c>
      <c r="N163" s="212">
        <v>147880</v>
      </c>
      <c r="O163" s="171">
        <v>244</v>
      </c>
      <c r="P163" s="271" t="str">
        <f>IFERROR(VLOOKUP(Tabela1[[#This Row],[TAG]],#REF!,14,FALSE),"")</f>
        <v/>
      </c>
      <c r="Q163" s="204" t="e">
        <f t="shared" si="264"/>
        <v>#VALUE!</v>
      </c>
      <c r="R163" s="204" t="e">
        <f t="shared" si="265"/>
        <v>#VALUE!</v>
      </c>
      <c r="S163" s="204" t="e">
        <f t="shared" si="266"/>
        <v>#VALUE!</v>
      </c>
      <c r="T163" s="204" t="e">
        <f t="shared" si="267"/>
        <v>#VALUE!</v>
      </c>
      <c r="U163" s="204" t="e">
        <f t="shared" si="268"/>
        <v>#VALUE!</v>
      </c>
      <c r="V163" s="204" t="e">
        <f t="shared" si="269"/>
        <v>#VALUE!</v>
      </c>
      <c r="W163" s="304">
        <v>399.24</v>
      </c>
      <c r="X163" s="304">
        <v>1048.47</v>
      </c>
      <c r="Y163" s="203">
        <v>0.1</v>
      </c>
      <c r="Z163" s="203">
        <f>IF(Tabela1[[#This Row],[Ano Aquisição]]=2023,0,IFERROR(VLOOKUP(H163,inflação!$F:$H,3,FALSE),""))</f>
        <v>0.96719999999999995</v>
      </c>
      <c r="AA163" s="203">
        <v>0.8</v>
      </c>
      <c r="AB163" s="202">
        <f t="shared" si="258"/>
        <v>-466236.01</v>
      </c>
      <c r="AC163" s="204" t="e">
        <f t="shared" si="270"/>
        <v>#VALUE!</v>
      </c>
      <c r="AD163" s="204" t="e">
        <f t="shared" si="271"/>
        <v>#VALUE!</v>
      </c>
      <c r="AE163" s="204" t="e">
        <f t="shared" si="272"/>
        <v>#VALUE!</v>
      </c>
      <c r="AF163" s="204" t="e">
        <f t="shared" si="273"/>
        <v>#VALUE!</v>
      </c>
      <c r="AG163" s="204" t="e">
        <f t="shared" si="274"/>
        <v>#VALUE!</v>
      </c>
      <c r="AH163" s="204" t="e">
        <f t="shared" si="275"/>
        <v>#VALUE!</v>
      </c>
      <c r="AI163" s="204" t="e">
        <f t="shared" si="276"/>
        <v>#VALUE!</v>
      </c>
      <c r="AJ163" s="205">
        <f t="shared" si="259"/>
        <v>-917179.47887200001</v>
      </c>
      <c r="AK163" s="204" t="e">
        <f t="shared" si="277"/>
        <v>#VALUE!</v>
      </c>
      <c r="AL163" s="204" t="e">
        <f t="shared" si="278"/>
        <v>#VALUE!</v>
      </c>
      <c r="AM163" s="204" t="e">
        <f t="shared" si="279"/>
        <v>#VALUE!</v>
      </c>
      <c r="AN163" s="204" t="e">
        <f t="shared" si="280"/>
        <v>#VALUE!</v>
      </c>
      <c r="AO163" s="204" t="e">
        <f t="shared" si="281"/>
        <v>#VALUE!</v>
      </c>
      <c r="AP163" s="204" t="e">
        <f t="shared" si="282"/>
        <v>#VALUE!</v>
      </c>
      <c r="AQ163" s="204" t="e">
        <f t="shared" si="283"/>
        <v>#VALUE!</v>
      </c>
      <c r="AR163" s="206" t="e">
        <f t="shared" si="260"/>
        <v>#VALUE!</v>
      </c>
      <c r="AS163" s="170" t="e">
        <f t="shared" si="284"/>
        <v>#VALUE!</v>
      </c>
      <c r="AT163" s="170" t="e">
        <f t="shared" si="285"/>
        <v>#VALUE!</v>
      </c>
      <c r="AU163" s="207" t="e">
        <f t="shared" si="261"/>
        <v>#VALUE!</v>
      </c>
      <c r="AV163" s="208" t="e">
        <f t="shared" si="262"/>
        <v>#VALUE!</v>
      </c>
      <c r="AW163" s="201" t="str">
        <f t="shared" si="263"/>
        <v>Confiabilidade em Crescimento</v>
      </c>
      <c r="AX163" s="253" t="e">
        <f>VLOOKUP(D163,#REF!,5,FALSE)</f>
        <v>#REF!</v>
      </c>
      <c r="AY163" s="201"/>
      <c r="AZ163" s="273" t="s">
        <v>1224</v>
      </c>
      <c r="BB163">
        <f>IFERROR(VLOOKUP(Tabela1[[#This Row],[Denominação]],[10]Planilha1!$A:$B,2,FALSE),"")</f>
        <v>590999.61000000022</v>
      </c>
    </row>
    <row r="164" spans="1:54" ht="15" hidden="1" customHeight="1" x14ac:dyDescent="0.3">
      <c r="A164" s="253">
        <v>163</v>
      </c>
      <c r="B164" s="171" t="s">
        <v>349</v>
      </c>
      <c r="C164" s="209" t="s">
        <v>170</v>
      </c>
      <c r="D164" s="171">
        <v>10004530</v>
      </c>
      <c r="E164" s="253" t="s">
        <v>1315</v>
      </c>
      <c r="F164" s="210">
        <v>2342</v>
      </c>
      <c r="G164" s="171">
        <v>34420</v>
      </c>
      <c r="H164" s="171">
        <v>2006</v>
      </c>
      <c r="I164" s="213">
        <v>248236.7</v>
      </c>
      <c r="J164" s="213">
        <v>0</v>
      </c>
      <c r="K164" s="170">
        <v>1064510.6599999983</v>
      </c>
      <c r="L164" s="215">
        <v>1.51</v>
      </c>
      <c r="M164" s="212">
        <v>4835.0807999999997</v>
      </c>
      <c r="N164" s="212">
        <v>140945</v>
      </c>
      <c r="O164" s="171">
        <v>509</v>
      </c>
      <c r="P164" s="271" t="str">
        <f>IFERROR(VLOOKUP(Tabela1[[#This Row],[TAG]],#REF!,14,FALSE),"")</f>
        <v/>
      </c>
      <c r="Q164" s="204" t="e">
        <f t="shared" si="264"/>
        <v>#VALUE!</v>
      </c>
      <c r="R164" s="204" t="e">
        <f t="shared" si="265"/>
        <v>#VALUE!</v>
      </c>
      <c r="S164" s="204" t="e">
        <f t="shared" si="266"/>
        <v>#VALUE!</v>
      </c>
      <c r="T164" s="204" t="e">
        <f t="shared" si="267"/>
        <v>#VALUE!</v>
      </c>
      <c r="U164" s="204" t="e">
        <f t="shared" si="268"/>
        <v>#VALUE!</v>
      </c>
      <c r="V164" s="204" t="e">
        <f t="shared" si="269"/>
        <v>#VALUE!</v>
      </c>
      <c r="W164" s="218">
        <v>562.89</v>
      </c>
      <c r="X164" s="218">
        <v>6192.8645960000003</v>
      </c>
      <c r="Y164" s="203">
        <v>0.1</v>
      </c>
      <c r="Z164" s="203">
        <f>IF(Tabela1[[#This Row],[Ano Aquisição]]=2023,0,IFERROR(VLOOKUP(H164,inflação!$F:$H,3,FALSE),""))</f>
        <v>0.96719999999999995</v>
      </c>
      <c r="AA164" s="203">
        <v>0.8</v>
      </c>
      <c r="AB164" s="202">
        <f t="shared" si="258"/>
        <v>-248236.7</v>
      </c>
      <c r="AC164" s="204" t="e">
        <f t="shared" si="270"/>
        <v>#VALUE!</v>
      </c>
      <c r="AD164" s="204" t="e">
        <f t="shared" si="271"/>
        <v>#VALUE!</v>
      </c>
      <c r="AE164" s="204" t="e">
        <f t="shared" si="272"/>
        <v>#VALUE!</v>
      </c>
      <c r="AF164" s="204" t="e">
        <f t="shared" si="273"/>
        <v>#VALUE!</v>
      </c>
      <c r="AG164" s="204" t="e">
        <f t="shared" si="274"/>
        <v>#VALUE!</v>
      </c>
      <c r="AH164" s="204" t="e">
        <f t="shared" si="275"/>
        <v>#VALUE!</v>
      </c>
      <c r="AI164" s="204" t="e">
        <f t="shared" si="276"/>
        <v>#VALUE!</v>
      </c>
      <c r="AJ164" s="205">
        <f t="shared" si="259"/>
        <v>-488331.23624000006</v>
      </c>
      <c r="AK164" s="204" t="e">
        <f t="shared" si="277"/>
        <v>#VALUE!</v>
      </c>
      <c r="AL164" s="204" t="e">
        <f t="shared" si="278"/>
        <v>#VALUE!</v>
      </c>
      <c r="AM164" s="204" t="e">
        <f t="shared" si="279"/>
        <v>#VALUE!</v>
      </c>
      <c r="AN164" s="204" t="e">
        <f t="shared" si="280"/>
        <v>#VALUE!</v>
      </c>
      <c r="AO164" s="204" t="e">
        <f t="shared" si="281"/>
        <v>#VALUE!</v>
      </c>
      <c r="AP164" s="204" t="e">
        <f t="shared" si="282"/>
        <v>#VALUE!</v>
      </c>
      <c r="AQ164" s="204" t="e">
        <f t="shared" si="283"/>
        <v>#VALUE!</v>
      </c>
      <c r="AR164" s="206" t="e">
        <f t="shared" si="260"/>
        <v>#VALUE!</v>
      </c>
      <c r="AS164" s="170" t="e">
        <f t="shared" si="284"/>
        <v>#VALUE!</v>
      </c>
      <c r="AT164" s="170" t="e">
        <f t="shared" si="285"/>
        <v>#VALUE!</v>
      </c>
      <c r="AU164" s="207" t="e">
        <f t="shared" si="261"/>
        <v>#VALUE!</v>
      </c>
      <c r="AV164" s="208" t="e">
        <f t="shared" si="262"/>
        <v>#VALUE!</v>
      </c>
      <c r="AW164" s="201" t="str">
        <f t="shared" si="263"/>
        <v>Fase de Degradação</v>
      </c>
      <c r="AX164" s="253" t="e">
        <f>VLOOKUP(D164,#REF!,5,FALSE)</f>
        <v>#REF!</v>
      </c>
      <c r="AY164" s="201"/>
      <c r="AZ164" s="273" t="s">
        <v>1224</v>
      </c>
      <c r="BB164">
        <f>IFERROR(VLOOKUP(Tabela1[[#This Row],[Denominação]],[10]Planilha1!$A:$B,2,FALSE),"")</f>
        <v>1064510.6599999983</v>
      </c>
    </row>
    <row r="165" spans="1:54" ht="15" hidden="1" customHeight="1" x14ac:dyDescent="0.3">
      <c r="A165" s="268">
        <v>164</v>
      </c>
      <c r="B165" s="171" t="s">
        <v>395</v>
      </c>
      <c r="C165" s="209" t="s">
        <v>216</v>
      </c>
      <c r="D165" s="171">
        <v>10004634</v>
      </c>
      <c r="E165" s="253" t="s">
        <v>1316</v>
      </c>
      <c r="F165" s="210">
        <v>2370</v>
      </c>
      <c r="G165" s="171">
        <v>34343</v>
      </c>
      <c r="H165" s="171">
        <v>2006</v>
      </c>
      <c r="I165" s="213">
        <v>364123.39</v>
      </c>
      <c r="J165" s="213">
        <v>0</v>
      </c>
      <c r="K165" s="170">
        <v>1051073.0599999994</v>
      </c>
      <c r="L165" s="215">
        <v>1.27</v>
      </c>
      <c r="M165" s="212">
        <v>3054.2759999999998</v>
      </c>
      <c r="N165" s="212">
        <v>143555</v>
      </c>
      <c r="O165" s="171">
        <v>483</v>
      </c>
      <c r="P165" s="271" t="str">
        <f>IFERROR(VLOOKUP(Tabela1[[#This Row],[TAG]],#REF!,14,FALSE),"")</f>
        <v/>
      </c>
      <c r="Q165" s="204" t="e">
        <f t="shared" si="264"/>
        <v>#VALUE!</v>
      </c>
      <c r="R165" s="204" t="e">
        <f t="shared" si="265"/>
        <v>#VALUE!</v>
      </c>
      <c r="S165" s="204" t="e">
        <f t="shared" si="266"/>
        <v>#VALUE!</v>
      </c>
      <c r="T165" s="204" t="e">
        <f t="shared" si="267"/>
        <v>#VALUE!</v>
      </c>
      <c r="U165" s="204" t="e">
        <f t="shared" si="268"/>
        <v>#VALUE!</v>
      </c>
      <c r="V165" s="204" t="e">
        <f t="shared" si="269"/>
        <v>#VALUE!</v>
      </c>
      <c r="W165" s="218">
        <v>620.82000000000005</v>
      </c>
      <c r="X165" s="218">
        <v>3325.67</v>
      </c>
      <c r="Y165" s="203">
        <v>0.1</v>
      </c>
      <c r="Z165" s="203">
        <f>IF(Tabela1[[#This Row],[Ano Aquisição]]=2023,0,IFERROR(VLOOKUP(H165,inflação!$F:$H,3,FALSE),""))</f>
        <v>0.96719999999999995</v>
      </c>
      <c r="AA165" s="203">
        <v>0.8</v>
      </c>
      <c r="AB165" s="202">
        <f t="shared" si="258"/>
        <v>-364123.39</v>
      </c>
      <c r="AC165" s="204" t="e">
        <f t="shared" si="270"/>
        <v>#VALUE!</v>
      </c>
      <c r="AD165" s="204" t="e">
        <f t="shared" si="271"/>
        <v>#VALUE!</v>
      </c>
      <c r="AE165" s="204" t="e">
        <f t="shared" si="272"/>
        <v>#VALUE!</v>
      </c>
      <c r="AF165" s="204" t="e">
        <f t="shared" si="273"/>
        <v>#VALUE!</v>
      </c>
      <c r="AG165" s="204" t="e">
        <f t="shared" si="274"/>
        <v>#VALUE!</v>
      </c>
      <c r="AH165" s="204" t="e">
        <f t="shared" si="275"/>
        <v>#VALUE!</v>
      </c>
      <c r="AI165" s="204" t="e">
        <f t="shared" si="276"/>
        <v>#VALUE!</v>
      </c>
      <c r="AJ165" s="205">
        <f t="shared" si="259"/>
        <v>-716303.53280800011</v>
      </c>
      <c r="AK165" s="204" t="e">
        <f t="shared" si="277"/>
        <v>#VALUE!</v>
      </c>
      <c r="AL165" s="204" t="e">
        <f t="shared" si="278"/>
        <v>#VALUE!</v>
      </c>
      <c r="AM165" s="204" t="e">
        <f t="shared" si="279"/>
        <v>#VALUE!</v>
      </c>
      <c r="AN165" s="204" t="e">
        <f t="shared" si="280"/>
        <v>#VALUE!</v>
      </c>
      <c r="AO165" s="204" t="e">
        <f t="shared" si="281"/>
        <v>#VALUE!</v>
      </c>
      <c r="AP165" s="204" t="e">
        <f t="shared" si="282"/>
        <v>#VALUE!</v>
      </c>
      <c r="AQ165" s="204" t="e">
        <f t="shared" si="283"/>
        <v>#VALUE!</v>
      </c>
      <c r="AR165" s="206" t="e">
        <f t="shared" si="260"/>
        <v>#VALUE!</v>
      </c>
      <c r="AS165" s="170" t="e">
        <f t="shared" si="284"/>
        <v>#VALUE!</v>
      </c>
      <c r="AT165" s="170" t="e">
        <f t="shared" si="285"/>
        <v>#VALUE!</v>
      </c>
      <c r="AU165" s="207" t="e">
        <f t="shared" si="261"/>
        <v>#VALUE!</v>
      </c>
      <c r="AV165" s="208" t="e">
        <f t="shared" si="262"/>
        <v>#VALUE!</v>
      </c>
      <c r="AW165" s="201" t="str">
        <f t="shared" si="263"/>
        <v>Fase de Degradação</v>
      </c>
      <c r="AX165" s="253" t="e">
        <f>VLOOKUP(D165,#REF!,5,FALSE)</f>
        <v>#REF!</v>
      </c>
      <c r="AY165" s="201"/>
      <c r="AZ165" s="273" t="s">
        <v>1224</v>
      </c>
      <c r="BB165">
        <f>IFERROR(VLOOKUP(Tabela1[[#This Row],[Denominação]],[10]Planilha1!$A:$B,2,FALSE),"")</f>
        <v>1051073.0599999994</v>
      </c>
    </row>
    <row r="166" spans="1:54" ht="15" hidden="1" customHeight="1" x14ac:dyDescent="0.3">
      <c r="A166" s="253">
        <v>165</v>
      </c>
      <c r="B166" s="171" t="s">
        <v>387</v>
      </c>
      <c r="C166" s="209" t="s">
        <v>208</v>
      </c>
      <c r="D166" s="171">
        <v>10004635</v>
      </c>
      <c r="E166" s="253" t="s">
        <v>1317</v>
      </c>
      <c r="F166" s="210">
        <v>2370</v>
      </c>
      <c r="G166" s="171">
        <v>34344</v>
      </c>
      <c r="H166" s="171">
        <v>2006</v>
      </c>
      <c r="I166" s="213">
        <v>271461.53999999998</v>
      </c>
      <c r="J166" s="213">
        <v>0</v>
      </c>
      <c r="K166" s="170">
        <v>1256241.8699999996</v>
      </c>
      <c r="L166" s="215">
        <v>1.57</v>
      </c>
      <c r="M166" s="212">
        <v>2506.1579999999999</v>
      </c>
      <c r="N166" s="212">
        <v>140839</v>
      </c>
      <c r="O166" s="171">
        <v>583</v>
      </c>
      <c r="P166" s="271" t="str">
        <f>IFERROR(VLOOKUP(Tabela1[[#This Row],[TAG]],#REF!,14,FALSE),"")</f>
        <v/>
      </c>
      <c r="Q166" s="204" t="e">
        <f t="shared" si="264"/>
        <v>#VALUE!</v>
      </c>
      <c r="R166" s="204" t="e">
        <f t="shared" si="265"/>
        <v>#VALUE!</v>
      </c>
      <c r="S166" s="204" t="e">
        <f t="shared" si="266"/>
        <v>#VALUE!</v>
      </c>
      <c r="T166" s="204" t="e">
        <f t="shared" si="267"/>
        <v>#VALUE!</v>
      </c>
      <c r="U166" s="204" t="e">
        <f t="shared" si="268"/>
        <v>#VALUE!</v>
      </c>
      <c r="V166" s="204" t="e">
        <f t="shared" si="269"/>
        <v>#VALUE!</v>
      </c>
      <c r="W166" s="218">
        <v>637.12</v>
      </c>
      <c r="X166" s="218">
        <v>5734.49</v>
      </c>
      <c r="Y166" s="203">
        <v>0.1</v>
      </c>
      <c r="Z166" s="203">
        <f>IF(Tabela1[[#This Row],[Ano Aquisição]]=2023,0,IFERROR(VLOOKUP(H166,inflação!$F:$H,3,FALSE),""))</f>
        <v>0.96719999999999995</v>
      </c>
      <c r="AA166" s="203">
        <v>0.8</v>
      </c>
      <c r="AB166" s="202">
        <f t="shared" si="258"/>
        <v>-271461.53999999998</v>
      </c>
      <c r="AC166" s="204" t="e">
        <f t="shared" si="270"/>
        <v>#VALUE!</v>
      </c>
      <c r="AD166" s="204" t="e">
        <f t="shared" si="271"/>
        <v>#VALUE!</v>
      </c>
      <c r="AE166" s="204" t="e">
        <f t="shared" si="272"/>
        <v>#VALUE!</v>
      </c>
      <c r="AF166" s="204" t="e">
        <f t="shared" si="273"/>
        <v>#VALUE!</v>
      </c>
      <c r="AG166" s="204" t="e">
        <f t="shared" si="274"/>
        <v>#VALUE!</v>
      </c>
      <c r="AH166" s="204" t="e">
        <f t="shared" si="275"/>
        <v>#VALUE!</v>
      </c>
      <c r="AI166" s="204" t="e">
        <f t="shared" si="276"/>
        <v>#VALUE!</v>
      </c>
      <c r="AJ166" s="205">
        <f t="shared" si="259"/>
        <v>-534019.14148799994</v>
      </c>
      <c r="AK166" s="204" t="e">
        <f t="shared" si="277"/>
        <v>#VALUE!</v>
      </c>
      <c r="AL166" s="204" t="e">
        <f t="shared" si="278"/>
        <v>#VALUE!</v>
      </c>
      <c r="AM166" s="204" t="e">
        <f t="shared" si="279"/>
        <v>#VALUE!</v>
      </c>
      <c r="AN166" s="204" t="e">
        <f t="shared" si="280"/>
        <v>#VALUE!</v>
      </c>
      <c r="AO166" s="204" t="e">
        <f t="shared" si="281"/>
        <v>#VALUE!</v>
      </c>
      <c r="AP166" s="204" t="e">
        <f t="shared" si="282"/>
        <v>#VALUE!</v>
      </c>
      <c r="AQ166" s="204" t="e">
        <f t="shared" si="283"/>
        <v>#VALUE!</v>
      </c>
      <c r="AR166" s="206" t="e">
        <f t="shared" si="260"/>
        <v>#VALUE!</v>
      </c>
      <c r="AS166" s="170" t="e">
        <f t="shared" si="284"/>
        <v>#VALUE!</v>
      </c>
      <c r="AT166" s="170" t="e">
        <f t="shared" si="285"/>
        <v>#VALUE!</v>
      </c>
      <c r="AU166" s="207" t="e">
        <f t="shared" si="261"/>
        <v>#VALUE!</v>
      </c>
      <c r="AV166" s="208" t="e">
        <f t="shared" si="262"/>
        <v>#VALUE!</v>
      </c>
      <c r="AW166" s="201" t="str">
        <f t="shared" si="263"/>
        <v>Fase de Degradação</v>
      </c>
      <c r="AX166" s="253" t="e">
        <f>VLOOKUP(D166,#REF!,5,FALSE)</f>
        <v>#REF!</v>
      </c>
      <c r="AY166" s="201"/>
      <c r="AZ166" s="273" t="s">
        <v>1224</v>
      </c>
      <c r="BB166">
        <f>IFERROR(VLOOKUP(Tabela1[[#This Row],[Denominação]],[10]Planilha1!$A:$B,2,FALSE),"")</f>
        <v>1256241.8699999996</v>
      </c>
    </row>
    <row r="167" spans="1:54" ht="15" hidden="1" customHeight="1" x14ac:dyDescent="0.3">
      <c r="A167" s="268">
        <v>166</v>
      </c>
      <c r="B167" s="171" t="s">
        <v>32</v>
      </c>
      <c r="C167" s="209" t="s">
        <v>10</v>
      </c>
      <c r="D167" s="171">
        <v>10004867</v>
      </c>
      <c r="E167" s="253" t="s">
        <v>1318</v>
      </c>
      <c r="F167" s="210">
        <v>3340</v>
      </c>
      <c r="G167" s="171">
        <v>34776</v>
      </c>
      <c r="H167" s="171">
        <v>2007</v>
      </c>
      <c r="I167" s="213">
        <v>230268.1</v>
      </c>
      <c r="J167" s="213">
        <v>0</v>
      </c>
      <c r="K167" s="170">
        <v>1406268.1599999997</v>
      </c>
      <c r="L167" s="207">
        <v>1.1499999999999999</v>
      </c>
      <c r="M167" s="212">
        <v>4800</v>
      </c>
      <c r="N167" s="212">
        <v>140073</v>
      </c>
      <c r="O167" s="171">
        <v>947</v>
      </c>
      <c r="P167" s="271" t="str">
        <f>IFERROR(VLOOKUP(Tabela1[[#This Row],[TAG]],#REF!,14,FALSE),"")</f>
        <v/>
      </c>
      <c r="Q167" s="204" t="e">
        <f t="shared" si="264"/>
        <v>#VALUE!</v>
      </c>
      <c r="R167" s="204" t="e">
        <f t="shared" si="265"/>
        <v>#VALUE!</v>
      </c>
      <c r="S167" s="204" t="e">
        <f t="shared" si="266"/>
        <v>#VALUE!</v>
      </c>
      <c r="T167" s="204" t="e">
        <f t="shared" si="267"/>
        <v>#VALUE!</v>
      </c>
      <c r="U167" s="204" t="e">
        <f t="shared" si="268"/>
        <v>#VALUE!</v>
      </c>
      <c r="V167" s="204" t="e">
        <f t="shared" si="269"/>
        <v>#VALUE!</v>
      </c>
      <c r="W167" s="218">
        <v>732.77</v>
      </c>
      <c r="X167" s="218">
        <v>7676.11</v>
      </c>
      <c r="Y167" s="203">
        <v>0.1</v>
      </c>
      <c r="Z167" s="203">
        <f>IF(Tabela1[[#This Row],[Ano Aquisição]]=2023,0,IFERROR(VLOOKUP(H167,inflação!$F:$H,3,FALSE),""))</f>
        <v>0.93579999999999997</v>
      </c>
      <c r="AA167" s="203">
        <v>0.8</v>
      </c>
      <c r="AB167" s="202">
        <f t="shared" si="258"/>
        <v>-230268.1</v>
      </c>
      <c r="AC167" s="204" t="e">
        <f t="shared" si="270"/>
        <v>#VALUE!</v>
      </c>
      <c r="AD167" s="204" t="e">
        <f t="shared" si="271"/>
        <v>#VALUE!</v>
      </c>
      <c r="AE167" s="204" t="e">
        <f t="shared" si="272"/>
        <v>#VALUE!</v>
      </c>
      <c r="AF167" s="204" t="e">
        <f t="shared" si="273"/>
        <v>#VALUE!</v>
      </c>
      <c r="AG167" s="204" t="e">
        <f t="shared" si="274"/>
        <v>#VALUE!</v>
      </c>
      <c r="AH167" s="204" t="e">
        <f t="shared" si="275"/>
        <v>#VALUE!</v>
      </c>
      <c r="AI167" s="204" t="e">
        <f t="shared" si="276"/>
        <v>#VALUE!</v>
      </c>
      <c r="AJ167" s="205">
        <f t="shared" si="259"/>
        <v>-445752.98797999998</v>
      </c>
      <c r="AK167" s="204" t="e">
        <f t="shared" si="277"/>
        <v>#VALUE!</v>
      </c>
      <c r="AL167" s="204" t="e">
        <f t="shared" si="278"/>
        <v>#VALUE!</v>
      </c>
      <c r="AM167" s="204" t="e">
        <f t="shared" si="279"/>
        <v>#VALUE!</v>
      </c>
      <c r="AN167" s="204" t="e">
        <f t="shared" si="280"/>
        <v>#VALUE!</v>
      </c>
      <c r="AO167" s="204" t="e">
        <f t="shared" si="281"/>
        <v>#VALUE!</v>
      </c>
      <c r="AP167" s="204" t="e">
        <f t="shared" si="282"/>
        <v>#VALUE!</v>
      </c>
      <c r="AQ167" s="204" t="e">
        <f t="shared" si="283"/>
        <v>#VALUE!</v>
      </c>
      <c r="AR167" s="206" t="e">
        <f t="shared" si="260"/>
        <v>#VALUE!</v>
      </c>
      <c r="AS167" s="170" t="e">
        <f t="shared" si="284"/>
        <v>#VALUE!</v>
      </c>
      <c r="AT167" s="170" t="e">
        <f t="shared" si="285"/>
        <v>#VALUE!</v>
      </c>
      <c r="AU167" s="207" t="e">
        <f t="shared" si="261"/>
        <v>#VALUE!</v>
      </c>
      <c r="AV167" s="208" t="e">
        <f t="shared" si="262"/>
        <v>#VALUE!</v>
      </c>
      <c r="AW167" s="201" t="str">
        <f t="shared" si="263"/>
        <v>Fase de Degradação</v>
      </c>
      <c r="AX167" s="253" t="e">
        <f>VLOOKUP(D167,#REF!,5,FALSE)</f>
        <v>#REF!</v>
      </c>
      <c r="AY167" s="201"/>
      <c r="AZ167" s="273" t="s">
        <v>1224</v>
      </c>
      <c r="BB167">
        <f>IFERROR(VLOOKUP(Tabela1[[#This Row],[Denominação]],[10]Planilha1!$A:$B,2,FALSE),"")</f>
        <v>1406268.1599999997</v>
      </c>
    </row>
    <row r="168" spans="1:54" ht="15" hidden="1" customHeight="1" x14ac:dyDescent="0.3">
      <c r="A168" s="253">
        <v>167</v>
      </c>
      <c r="B168" s="171" t="s">
        <v>33</v>
      </c>
      <c r="C168" s="209" t="s">
        <v>12</v>
      </c>
      <c r="D168" s="171">
        <v>10004868</v>
      </c>
      <c r="E168" s="253" t="s">
        <v>1319</v>
      </c>
      <c r="F168" s="210">
        <v>3340</v>
      </c>
      <c r="G168" s="171">
        <v>34775</v>
      </c>
      <c r="H168" s="171">
        <v>2007</v>
      </c>
      <c r="I168" s="213">
        <v>210230.48</v>
      </c>
      <c r="J168" s="213">
        <v>0</v>
      </c>
      <c r="K168" s="170">
        <v>1033536.4599999991</v>
      </c>
      <c r="L168" s="207">
        <v>1.22</v>
      </c>
      <c r="M168" s="212">
        <v>4800</v>
      </c>
      <c r="N168" s="212">
        <v>139930</v>
      </c>
      <c r="O168" s="171">
        <v>909</v>
      </c>
      <c r="P168" s="271" t="str">
        <f>IFERROR(VLOOKUP(Tabela1[[#This Row],[TAG]],#REF!,14,FALSE),"")</f>
        <v/>
      </c>
      <c r="Q168" s="204" t="e">
        <f t="shared" si="264"/>
        <v>#VALUE!</v>
      </c>
      <c r="R168" s="204" t="e">
        <f t="shared" si="265"/>
        <v>#VALUE!</v>
      </c>
      <c r="S168" s="204" t="e">
        <f t="shared" si="266"/>
        <v>#VALUE!</v>
      </c>
      <c r="T168" s="204" t="e">
        <f t="shared" si="267"/>
        <v>#VALUE!</v>
      </c>
      <c r="U168" s="204" t="e">
        <f t="shared" si="268"/>
        <v>#VALUE!</v>
      </c>
      <c r="V168" s="204" t="e">
        <f t="shared" si="269"/>
        <v>#VALUE!</v>
      </c>
      <c r="W168" s="218">
        <v>699.67</v>
      </c>
      <c r="X168" s="218">
        <v>6122.87</v>
      </c>
      <c r="Y168" s="203">
        <v>0.1</v>
      </c>
      <c r="Z168" s="203">
        <f>IF(Tabela1[[#This Row],[Ano Aquisição]]=2023,0,IFERROR(VLOOKUP(H168,inflação!$F:$H,3,FALSE),""))</f>
        <v>0.93579999999999997</v>
      </c>
      <c r="AA168" s="203">
        <v>0.8</v>
      </c>
      <c r="AB168" s="202">
        <f t="shared" si="258"/>
        <v>-210230.48</v>
      </c>
      <c r="AC168" s="204" t="e">
        <f t="shared" si="270"/>
        <v>#VALUE!</v>
      </c>
      <c r="AD168" s="204" t="e">
        <f t="shared" si="271"/>
        <v>#VALUE!</v>
      </c>
      <c r="AE168" s="204" t="e">
        <f t="shared" si="272"/>
        <v>#VALUE!</v>
      </c>
      <c r="AF168" s="204" t="e">
        <f t="shared" si="273"/>
        <v>#VALUE!</v>
      </c>
      <c r="AG168" s="204" t="e">
        <f t="shared" si="274"/>
        <v>#VALUE!</v>
      </c>
      <c r="AH168" s="204" t="e">
        <f t="shared" si="275"/>
        <v>#VALUE!</v>
      </c>
      <c r="AI168" s="204" t="e">
        <f t="shared" si="276"/>
        <v>#VALUE!</v>
      </c>
      <c r="AJ168" s="205">
        <f t="shared" si="259"/>
        <v>-406964.163184</v>
      </c>
      <c r="AK168" s="204" t="e">
        <f t="shared" si="277"/>
        <v>#VALUE!</v>
      </c>
      <c r="AL168" s="204" t="e">
        <f t="shared" si="278"/>
        <v>#VALUE!</v>
      </c>
      <c r="AM168" s="204" t="e">
        <f t="shared" si="279"/>
        <v>#VALUE!</v>
      </c>
      <c r="AN168" s="204" t="e">
        <f t="shared" si="280"/>
        <v>#VALUE!</v>
      </c>
      <c r="AO168" s="204" t="e">
        <f t="shared" si="281"/>
        <v>#VALUE!</v>
      </c>
      <c r="AP168" s="204" t="e">
        <f t="shared" si="282"/>
        <v>#VALUE!</v>
      </c>
      <c r="AQ168" s="204" t="e">
        <f t="shared" si="283"/>
        <v>#VALUE!</v>
      </c>
      <c r="AR168" s="206" t="e">
        <f t="shared" si="260"/>
        <v>#VALUE!</v>
      </c>
      <c r="AS168" s="170" t="e">
        <f t="shared" si="284"/>
        <v>#VALUE!</v>
      </c>
      <c r="AT168" s="170" t="e">
        <f t="shared" si="285"/>
        <v>#VALUE!</v>
      </c>
      <c r="AU168" s="207" t="e">
        <f t="shared" si="261"/>
        <v>#VALUE!</v>
      </c>
      <c r="AV168" s="208" t="e">
        <f t="shared" si="262"/>
        <v>#VALUE!</v>
      </c>
      <c r="AW168" s="201" t="str">
        <f t="shared" si="263"/>
        <v>Fase de Degradação</v>
      </c>
      <c r="AX168" s="253" t="e">
        <f>VLOOKUP(D168,#REF!,5,FALSE)</f>
        <v>#REF!</v>
      </c>
      <c r="AY168" s="201"/>
      <c r="AZ168" s="273" t="s">
        <v>1224</v>
      </c>
      <c r="BB168">
        <f>IFERROR(VLOOKUP(Tabela1[[#This Row],[Denominação]],[10]Planilha1!$A:$B,2,FALSE),"")</f>
        <v>1033536.4599999991</v>
      </c>
    </row>
    <row r="169" spans="1:54" ht="15" hidden="1" customHeight="1" x14ac:dyDescent="0.3">
      <c r="A169" s="268">
        <v>168</v>
      </c>
      <c r="B169" s="171" t="s">
        <v>363</v>
      </c>
      <c r="C169" s="209" t="s">
        <v>184</v>
      </c>
      <c r="D169" s="171">
        <v>10004973</v>
      </c>
      <c r="E169" s="253" t="s">
        <v>1278</v>
      </c>
      <c r="F169" s="210">
        <v>1075</v>
      </c>
      <c r="G169" s="171">
        <v>34911</v>
      </c>
      <c r="H169" s="171">
        <v>2007</v>
      </c>
      <c r="I169" s="213">
        <v>405492.45</v>
      </c>
      <c r="J169" s="213">
        <v>0</v>
      </c>
      <c r="K169" s="170">
        <v>922479.63999999932</v>
      </c>
      <c r="L169" s="215">
        <v>2</v>
      </c>
      <c r="M169" s="212">
        <v>3370</v>
      </c>
      <c r="N169" s="212">
        <v>136162</v>
      </c>
      <c r="O169" s="171">
        <v>384</v>
      </c>
      <c r="P169" s="271" t="str">
        <f>IFERROR(VLOOKUP(Tabela1[[#This Row],[TAG]],#REF!,14,FALSE),"")</f>
        <v/>
      </c>
      <c r="Q169" s="204" t="e">
        <f t="shared" si="264"/>
        <v>#VALUE!</v>
      </c>
      <c r="R169" s="204" t="e">
        <f t="shared" si="265"/>
        <v>#VALUE!</v>
      </c>
      <c r="S169" s="204" t="e">
        <f t="shared" si="266"/>
        <v>#VALUE!</v>
      </c>
      <c r="T169" s="204" t="e">
        <f t="shared" si="267"/>
        <v>#VALUE!</v>
      </c>
      <c r="U169" s="204" t="e">
        <f t="shared" si="268"/>
        <v>#VALUE!</v>
      </c>
      <c r="V169" s="204" t="e">
        <f t="shared" si="269"/>
        <v>#VALUE!</v>
      </c>
      <c r="W169" s="218">
        <v>896.56</v>
      </c>
      <c r="X169" s="170">
        <v>4228.43</v>
      </c>
      <c r="Y169" s="203">
        <v>0.1</v>
      </c>
      <c r="Z169" s="203">
        <f>IF(Tabela1[[#This Row],[Ano Aquisição]]=2023,0,IFERROR(VLOOKUP(H169,inflação!$F:$H,3,FALSE),""))</f>
        <v>0.93579999999999997</v>
      </c>
      <c r="AA169" s="203">
        <v>0.8</v>
      </c>
      <c r="AB169" s="202">
        <f t="shared" ref="AB169:AB200" si="286">I169*-1</f>
        <v>-405492.45</v>
      </c>
      <c r="AC169" s="204" t="e">
        <f t="shared" si="270"/>
        <v>#VALUE!</v>
      </c>
      <c r="AD169" s="204" t="e">
        <f t="shared" si="271"/>
        <v>#VALUE!</v>
      </c>
      <c r="AE169" s="204" t="e">
        <f t="shared" si="272"/>
        <v>#VALUE!</v>
      </c>
      <c r="AF169" s="204" t="e">
        <f t="shared" si="273"/>
        <v>#VALUE!</v>
      </c>
      <c r="AG169" s="204" t="e">
        <f t="shared" si="274"/>
        <v>#VALUE!</v>
      </c>
      <c r="AH169" s="204" t="e">
        <f t="shared" si="275"/>
        <v>#VALUE!</v>
      </c>
      <c r="AI169" s="204" t="e">
        <f t="shared" si="276"/>
        <v>#VALUE!</v>
      </c>
      <c r="AJ169" s="205">
        <f t="shared" ref="AJ169:AJ200" si="287">-(I169*(1+Z169))</f>
        <v>-784952.28471000004</v>
      </c>
      <c r="AK169" s="204" t="e">
        <f t="shared" si="277"/>
        <v>#VALUE!</v>
      </c>
      <c r="AL169" s="204" t="e">
        <f t="shared" si="278"/>
        <v>#VALUE!</v>
      </c>
      <c r="AM169" s="204" t="e">
        <f t="shared" si="279"/>
        <v>#VALUE!</v>
      </c>
      <c r="AN169" s="204" t="e">
        <f t="shared" si="280"/>
        <v>#VALUE!</v>
      </c>
      <c r="AO169" s="204" t="e">
        <f t="shared" si="281"/>
        <v>#VALUE!</v>
      </c>
      <c r="AP169" s="204" t="e">
        <f t="shared" si="282"/>
        <v>#VALUE!</v>
      </c>
      <c r="AQ169" s="204" t="e">
        <f t="shared" si="283"/>
        <v>#VALUE!</v>
      </c>
      <c r="AR169" s="206" t="e">
        <f t="shared" ref="AR169:AR200" si="288">(NPV(Y169,AK169,AL169,AM169,AN169,AO169,AP169,AQ169)+(SUM(AJ169,(J169*-1))))-(NPV(Y169,AC169,AD169,AE169,AF169,AG169,AH169,AI169))</f>
        <v>#VALUE!</v>
      </c>
      <c r="AS169" s="170" t="e">
        <f t="shared" si="284"/>
        <v>#VALUE!</v>
      </c>
      <c r="AT169" s="170" t="e">
        <f t="shared" si="285"/>
        <v>#VALUE!</v>
      </c>
      <c r="AU169" s="207" t="e">
        <f t="shared" ref="AU169:AU200" si="289">(((AVERAGE(AC169:AI169)/1000)-(AVERAGE(AK169:AQ169)/1000))+(((AJ169/1000)*-1)/7)+((J169/1000)/7))*-1</f>
        <v>#VALUE!</v>
      </c>
      <c r="AV169" s="208" t="e">
        <f t="shared" ref="AV169:AV200" si="290">AU169/(((J169/1000)+((AJ169*-1)/1000)))</f>
        <v>#VALUE!</v>
      </c>
      <c r="AW169" s="201" t="str">
        <f t="shared" ref="AW169:AW200" si="291">IF(L169&gt;1.1,"Fase de Degradação",IF(L169&lt;1,"Confiabilidade em Crescimento","Fase de Vida Útil"))</f>
        <v>Fase de Degradação</v>
      </c>
      <c r="AX169" s="253" t="e">
        <f>VLOOKUP(D169,#REF!,5,FALSE)</f>
        <v>#REF!</v>
      </c>
      <c r="AY169" s="201"/>
      <c r="AZ169" s="273" t="s">
        <v>1224</v>
      </c>
      <c r="BB169">
        <f>IFERROR(VLOOKUP(Tabela1[[#This Row],[Denominação]],[10]Planilha1!$A:$B,2,FALSE),"")</f>
        <v>922479.63999999932</v>
      </c>
    </row>
    <row r="170" spans="1:54" ht="15" hidden="1" customHeight="1" x14ac:dyDescent="0.3">
      <c r="A170" s="253">
        <v>169</v>
      </c>
      <c r="B170" s="171" t="s">
        <v>322</v>
      </c>
      <c r="C170" s="209" t="s">
        <v>143</v>
      </c>
      <c r="D170" s="171">
        <v>10005079</v>
      </c>
      <c r="E170" s="253" t="s">
        <v>1320</v>
      </c>
      <c r="F170" s="210">
        <v>2379</v>
      </c>
      <c r="G170" s="171">
        <v>34912</v>
      </c>
      <c r="H170" s="171">
        <v>2007</v>
      </c>
      <c r="I170" s="213">
        <v>870237.82</v>
      </c>
      <c r="J170" s="213">
        <v>77092</v>
      </c>
      <c r="K170" s="170">
        <v>1260195.4700000002</v>
      </c>
      <c r="L170" s="215">
        <v>1.54</v>
      </c>
      <c r="M170" s="212">
        <v>4835.0807999999997</v>
      </c>
      <c r="N170" s="212">
        <v>133518</v>
      </c>
      <c r="O170" s="171">
        <v>655</v>
      </c>
      <c r="P170" s="271" t="str">
        <f>IFERROR(VLOOKUP(Tabela1[[#This Row],[TAG]],#REF!,14,FALSE),"")</f>
        <v/>
      </c>
      <c r="Q170" s="204" t="e">
        <f t="shared" si="264"/>
        <v>#VALUE!</v>
      </c>
      <c r="R170" s="204" t="e">
        <f t="shared" si="265"/>
        <v>#VALUE!</v>
      </c>
      <c r="S170" s="204" t="e">
        <f t="shared" si="266"/>
        <v>#VALUE!</v>
      </c>
      <c r="T170" s="204" t="e">
        <f t="shared" si="267"/>
        <v>#VALUE!</v>
      </c>
      <c r="U170" s="204" t="e">
        <f t="shared" si="268"/>
        <v>#VALUE!</v>
      </c>
      <c r="V170" s="204" t="e">
        <f t="shared" si="269"/>
        <v>#VALUE!</v>
      </c>
      <c r="W170" s="218">
        <v>625.28</v>
      </c>
      <c r="X170" s="218">
        <v>5631.84</v>
      </c>
      <c r="Y170" s="203">
        <v>0.1</v>
      </c>
      <c r="Z170" s="203">
        <f>IF(Tabela1[[#This Row],[Ano Aquisição]]=2023,0,IFERROR(VLOOKUP(H170,inflação!$F:$H,3,FALSE),""))</f>
        <v>0.93579999999999997</v>
      </c>
      <c r="AA170" s="203">
        <v>0.8</v>
      </c>
      <c r="AB170" s="202">
        <f t="shared" si="286"/>
        <v>-870237.82</v>
      </c>
      <c r="AC170" s="204" t="e">
        <f t="shared" si="270"/>
        <v>#VALUE!</v>
      </c>
      <c r="AD170" s="204" t="e">
        <f t="shared" si="271"/>
        <v>#VALUE!</v>
      </c>
      <c r="AE170" s="204" t="e">
        <f t="shared" si="272"/>
        <v>#VALUE!</v>
      </c>
      <c r="AF170" s="204" t="e">
        <f t="shared" si="273"/>
        <v>#VALUE!</v>
      </c>
      <c r="AG170" s="204" t="e">
        <f t="shared" si="274"/>
        <v>#VALUE!</v>
      </c>
      <c r="AH170" s="204" t="e">
        <f t="shared" si="275"/>
        <v>#VALUE!</v>
      </c>
      <c r="AI170" s="204" t="e">
        <f t="shared" si="276"/>
        <v>#VALUE!</v>
      </c>
      <c r="AJ170" s="205">
        <f t="shared" si="287"/>
        <v>-1684606.3719559999</v>
      </c>
      <c r="AK170" s="204" t="e">
        <f t="shared" si="277"/>
        <v>#VALUE!</v>
      </c>
      <c r="AL170" s="204" t="e">
        <f t="shared" si="278"/>
        <v>#VALUE!</v>
      </c>
      <c r="AM170" s="204" t="e">
        <f t="shared" si="279"/>
        <v>#VALUE!</v>
      </c>
      <c r="AN170" s="204" t="e">
        <f t="shared" si="280"/>
        <v>#VALUE!</v>
      </c>
      <c r="AO170" s="204" t="e">
        <f t="shared" si="281"/>
        <v>#VALUE!</v>
      </c>
      <c r="AP170" s="204" t="e">
        <f t="shared" si="282"/>
        <v>#VALUE!</v>
      </c>
      <c r="AQ170" s="204" t="e">
        <f t="shared" si="283"/>
        <v>#VALUE!</v>
      </c>
      <c r="AR170" s="206" t="e">
        <f t="shared" si="288"/>
        <v>#VALUE!</v>
      </c>
      <c r="AS170" s="170" t="e">
        <f t="shared" si="284"/>
        <v>#VALUE!</v>
      </c>
      <c r="AT170" s="170" t="e">
        <f t="shared" si="285"/>
        <v>#VALUE!</v>
      </c>
      <c r="AU170" s="207" t="e">
        <f t="shared" si="289"/>
        <v>#VALUE!</v>
      </c>
      <c r="AV170" s="208" t="e">
        <f t="shared" si="290"/>
        <v>#VALUE!</v>
      </c>
      <c r="AW170" s="201" t="str">
        <f t="shared" si="291"/>
        <v>Fase de Degradação</v>
      </c>
      <c r="AX170" s="253" t="e">
        <f>VLOOKUP(D170,#REF!,5,FALSE)</f>
        <v>#REF!</v>
      </c>
      <c r="AY170" s="201"/>
      <c r="AZ170" s="273" t="s">
        <v>1224</v>
      </c>
      <c r="BB170">
        <f>IFERROR(VLOOKUP(Tabela1[[#This Row],[Denominação]],[10]Planilha1!$A:$B,2,FALSE),"")</f>
        <v>1260195.4700000002</v>
      </c>
    </row>
    <row r="171" spans="1:54" ht="15" hidden="1" customHeight="1" x14ac:dyDescent="0.3">
      <c r="A171" s="268">
        <v>170</v>
      </c>
      <c r="B171" s="321" t="s">
        <v>403</v>
      </c>
      <c r="C171" s="328" t="s">
        <v>224</v>
      </c>
      <c r="D171" s="321">
        <v>10005081</v>
      </c>
      <c r="E171" s="299" t="s">
        <v>1278</v>
      </c>
      <c r="F171" s="332">
        <v>1075</v>
      </c>
      <c r="G171" s="308">
        <v>34598</v>
      </c>
      <c r="H171" s="321">
        <v>2006</v>
      </c>
      <c r="I171" s="333">
        <v>233330.31</v>
      </c>
      <c r="J171" s="333">
        <v>0</v>
      </c>
      <c r="K171" s="326">
        <v>569931.07999999984</v>
      </c>
      <c r="L171" s="346">
        <v>1.18</v>
      </c>
      <c r="M171" s="320">
        <v>3207</v>
      </c>
      <c r="N171" s="320">
        <v>93482</v>
      </c>
      <c r="O171" s="321">
        <v>254</v>
      </c>
      <c r="P171" s="271" t="str">
        <f>IFERROR(VLOOKUP(Tabela1[[#This Row],[TAG]],#REF!,14,FALSE),"")</f>
        <v/>
      </c>
      <c r="Q171" s="323" t="e">
        <f t="shared" ref="Q171:Q202" si="292">P171+P171</f>
        <v>#VALUE!</v>
      </c>
      <c r="R171" s="323" t="e">
        <f t="shared" ref="R171:R202" si="293">Q171+P171</f>
        <v>#VALUE!</v>
      </c>
      <c r="S171" s="323" t="e">
        <f t="shared" ref="S171:S202" si="294">R171+P171</f>
        <v>#VALUE!</v>
      </c>
      <c r="T171" s="323" t="e">
        <f t="shared" ref="T171:T202" si="295">S171+P171</f>
        <v>#VALUE!</v>
      </c>
      <c r="U171" s="323" t="e">
        <f t="shared" ref="U171:U202" si="296">T171+P171</f>
        <v>#VALUE!</v>
      </c>
      <c r="V171" s="323" t="e">
        <f t="shared" ref="V171:V202" si="297">U171+P171</f>
        <v>#VALUE!</v>
      </c>
      <c r="W171" s="304">
        <v>624.66999999999996</v>
      </c>
      <c r="X171" s="326">
        <v>3753.7217777777778</v>
      </c>
      <c r="Y171" s="322">
        <v>0.1</v>
      </c>
      <c r="Z171" s="322">
        <f>IF(Tabela1[[#This Row],[Ano Aquisição]]=2023,0,IFERROR(VLOOKUP(H171,inflação!$F:$H,3,FALSE),""))</f>
        <v>0.96719999999999995</v>
      </c>
      <c r="AA171" s="322">
        <v>0.8</v>
      </c>
      <c r="AB171" s="310">
        <f t="shared" si="286"/>
        <v>-233330.31</v>
      </c>
      <c r="AC171" s="323" t="e">
        <f t="shared" ref="AC171:AC202" si="298">-(((P171*$W171)+($X171*12))*((1+$Y171)^AC$1))</f>
        <v>#VALUE!</v>
      </c>
      <c r="AD171" s="323" t="e">
        <f t="shared" ref="AD171:AD202" si="299">-((((Q171-P171)*$W171)+($X171*12))*((1+$Y171)^AD$1))</f>
        <v>#VALUE!</v>
      </c>
      <c r="AE171" s="323" t="e">
        <f t="shared" ref="AE171:AE202" si="300">-((((R171-Q171)*$W171)+($X171*12))*((1+$Y171)^AE$1))</f>
        <v>#VALUE!</v>
      </c>
      <c r="AF171" s="323" t="e">
        <f t="shared" ref="AF171:AF202" si="301">-((((S171-R171)*$W171)+($X171*12))*((1+$Y171)^AF$1))</f>
        <v>#VALUE!</v>
      </c>
      <c r="AG171" s="323" t="e">
        <f t="shared" ref="AG171:AG202" si="302">-((((T171-S171)*$W171)+($X171*12))*((1+$Y171)^AG$1))</f>
        <v>#VALUE!</v>
      </c>
      <c r="AH171" s="323" t="e">
        <f t="shared" ref="AH171:AH202" si="303">-((((U171-T171)*$W171)+($X171*12))*((1+$Y171)^AH$1))</f>
        <v>#VALUE!</v>
      </c>
      <c r="AI171" s="323" t="e">
        <f t="shared" ref="AI171:AI202" si="304">-((((V171-U171)*$W171)+($X171*12))*((1+$Y171)^AI$1))</f>
        <v>#VALUE!</v>
      </c>
      <c r="AJ171" s="324">
        <f t="shared" si="287"/>
        <v>-459007.385832</v>
      </c>
      <c r="AK171" s="323" t="e">
        <f t="shared" ref="AK171:AK202" si="305">AC171*(1-$AA171)</f>
        <v>#VALUE!</v>
      </c>
      <c r="AL171" s="323" t="e">
        <f t="shared" ref="AL171:AL202" si="306">AD171*(1-$AA171)</f>
        <v>#VALUE!</v>
      </c>
      <c r="AM171" s="323" t="e">
        <f t="shared" ref="AM171:AM202" si="307">AE171*(1-$AA171)</f>
        <v>#VALUE!</v>
      </c>
      <c r="AN171" s="323" t="e">
        <f t="shared" ref="AN171:AN202" si="308">AF171*(1-$AA171)</f>
        <v>#VALUE!</v>
      </c>
      <c r="AO171" s="323" t="e">
        <f t="shared" ref="AO171:AO202" si="309">AG171*(1-$AA171)</f>
        <v>#VALUE!</v>
      </c>
      <c r="AP171" s="323" t="e">
        <f t="shared" ref="AP171:AP202" si="310">AH171*(1-$AA171)</f>
        <v>#VALUE!</v>
      </c>
      <c r="AQ171" s="323" t="e">
        <f t="shared" ref="AQ171:AQ202" si="311">AI171*(1-$AA171)</f>
        <v>#VALUE!</v>
      </c>
      <c r="AR171" s="325" t="e">
        <f t="shared" si="288"/>
        <v>#VALUE!</v>
      </c>
      <c r="AS171" s="326" t="e">
        <f t="shared" ref="AS171:AS202" si="312">SUM(AC171:AI171)</f>
        <v>#VALUE!</v>
      </c>
      <c r="AT171" s="326" t="e">
        <f t="shared" ref="AT171:AT202" si="313">SUM(AK171:AQ171)</f>
        <v>#VALUE!</v>
      </c>
      <c r="AU171" s="319" t="e">
        <f t="shared" si="289"/>
        <v>#VALUE!</v>
      </c>
      <c r="AV171" s="327" t="e">
        <f t="shared" si="290"/>
        <v>#VALUE!</v>
      </c>
      <c r="AW171" s="315" t="str">
        <f t="shared" si="291"/>
        <v>Fase de Degradação</v>
      </c>
      <c r="AX171" s="299" t="e">
        <f>VLOOKUP(D171,#REF!,5,FALSE)</f>
        <v>#REF!</v>
      </c>
      <c r="AY171" s="315"/>
      <c r="AZ171" s="316" t="s">
        <v>1224</v>
      </c>
      <c r="BB171">
        <f>IFERROR(VLOOKUP(Tabela1[[#This Row],[Denominação]],[10]Planilha1!$A:$B,2,FALSE),"")</f>
        <v>569931.07999999984</v>
      </c>
    </row>
    <row r="172" spans="1:54" ht="15" hidden="1" customHeight="1" x14ac:dyDescent="0.3">
      <c r="A172" s="253">
        <v>171</v>
      </c>
      <c r="B172" s="171" t="s">
        <v>603</v>
      </c>
      <c r="C172" s="209" t="s">
        <v>604</v>
      </c>
      <c r="D172" s="171">
        <v>10005285</v>
      </c>
      <c r="E172" s="253" t="s">
        <v>1321</v>
      </c>
      <c r="F172" s="210">
        <v>2352</v>
      </c>
      <c r="G172" s="171">
        <v>35249</v>
      </c>
      <c r="H172" s="171">
        <v>2008</v>
      </c>
      <c r="I172" s="213">
        <v>367847.82</v>
      </c>
      <c r="J172" s="213">
        <v>0</v>
      </c>
      <c r="K172" s="170">
        <v>235299.75</v>
      </c>
      <c r="L172" s="215">
        <v>1.63</v>
      </c>
      <c r="M172" s="212">
        <v>4044.3242042648785</v>
      </c>
      <c r="N172" s="212">
        <v>125089</v>
      </c>
      <c r="O172" s="171">
        <v>138</v>
      </c>
      <c r="P172" s="271" t="str">
        <f>IFERROR(VLOOKUP(Tabela1[[#This Row],[TAG]],#REF!,14,FALSE),"")</f>
        <v/>
      </c>
      <c r="Q172" s="204" t="e">
        <f t="shared" si="292"/>
        <v>#VALUE!</v>
      </c>
      <c r="R172" s="204" t="e">
        <f t="shared" si="293"/>
        <v>#VALUE!</v>
      </c>
      <c r="S172" s="204" t="e">
        <f t="shared" si="294"/>
        <v>#VALUE!</v>
      </c>
      <c r="T172" s="204" t="e">
        <f t="shared" si="295"/>
        <v>#VALUE!</v>
      </c>
      <c r="U172" s="204" t="e">
        <f t="shared" si="296"/>
        <v>#VALUE!</v>
      </c>
      <c r="V172" s="204" t="e">
        <f t="shared" si="297"/>
        <v>#VALUE!</v>
      </c>
      <c r="W172" s="218">
        <v>541.42999999999995</v>
      </c>
      <c r="X172" s="218">
        <v>1588.256275</v>
      </c>
      <c r="Y172" s="203">
        <v>0.1</v>
      </c>
      <c r="Z172" s="203">
        <f>IF(Tabela1[[#This Row],[Ano Aquisição]]=2023,0,IFERROR(VLOOKUP(H172,inflação!$F:$H,3,FALSE),""))</f>
        <v>0.89119999999999999</v>
      </c>
      <c r="AA172" s="203">
        <v>0.8</v>
      </c>
      <c r="AB172" s="202">
        <f t="shared" si="286"/>
        <v>-367847.82</v>
      </c>
      <c r="AC172" s="204" t="e">
        <f t="shared" si="298"/>
        <v>#VALUE!</v>
      </c>
      <c r="AD172" s="204" t="e">
        <f t="shared" si="299"/>
        <v>#VALUE!</v>
      </c>
      <c r="AE172" s="204" t="e">
        <f t="shared" si="300"/>
        <v>#VALUE!</v>
      </c>
      <c r="AF172" s="204" t="e">
        <f t="shared" si="301"/>
        <v>#VALUE!</v>
      </c>
      <c r="AG172" s="204" t="e">
        <f t="shared" si="302"/>
        <v>#VALUE!</v>
      </c>
      <c r="AH172" s="204" t="e">
        <f t="shared" si="303"/>
        <v>#VALUE!</v>
      </c>
      <c r="AI172" s="204" t="e">
        <f t="shared" si="304"/>
        <v>#VALUE!</v>
      </c>
      <c r="AJ172" s="205">
        <f t="shared" si="287"/>
        <v>-695673.79718400002</v>
      </c>
      <c r="AK172" s="204" t="e">
        <f t="shared" si="305"/>
        <v>#VALUE!</v>
      </c>
      <c r="AL172" s="204" t="e">
        <f t="shared" si="306"/>
        <v>#VALUE!</v>
      </c>
      <c r="AM172" s="204" t="e">
        <f t="shared" si="307"/>
        <v>#VALUE!</v>
      </c>
      <c r="AN172" s="204" t="e">
        <f t="shared" si="308"/>
        <v>#VALUE!</v>
      </c>
      <c r="AO172" s="204" t="e">
        <f t="shared" si="309"/>
        <v>#VALUE!</v>
      </c>
      <c r="AP172" s="204" t="e">
        <f t="shared" si="310"/>
        <v>#VALUE!</v>
      </c>
      <c r="AQ172" s="204" t="e">
        <f t="shared" si="311"/>
        <v>#VALUE!</v>
      </c>
      <c r="AR172" s="206" t="e">
        <f t="shared" si="288"/>
        <v>#VALUE!</v>
      </c>
      <c r="AS172" s="170" t="e">
        <f t="shared" si="312"/>
        <v>#VALUE!</v>
      </c>
      <c r="AT172" s="170" t="e">
        <f t="shared" si="313"/>
        <v>#VALUE!</v>
      </c>
      <c r="AU172" s="207" t="e">
        <f t="shared" si="289"/>
        <v>#VALUE!</v>
      </c>
      <c r="AV172" s="208" t="e">
        <f t="shared" si="290"/>
        <v>#VALUE!</v>
      </c>
      <c r="AW172" s="201" t="str">
        <f t="shared" si="291"/>
        <v>Fase de Degradação</v>
      </c>
      <c r="AX172" s="253" t="e">
        <f>VLOOKUP(D172,#REF!,5,FALSE)</f>
        <v>#REF!</v>
      </c>
      <c r="AY172" s="201"/>
      <c r="AZ172" s="273" t="s">
        <v>1224</v>
      </c>
      <c r="BB172">
        <f>IFERROR(VLOOKUP(Tabela1[[#This Row],[Denominação]],[10]Planilha1!$A:$B,2,FALSE),"")</f>
        <v>235299.75</v>
      </c>
    </row>
    <row r="173" spans="1:54" ht="15" hidden="1" customHeight="1" x14ac:dyDescent="0.3">
      <c r="A173" s="268">
        <v>172</v>
      </c>
      <c r="B173" s="171" t="s">
        <v>605</v>
      </c>
      <c r="C173" s="209" t="s">
        <v>606</v>
      </c>
      <c r="D173" s="171">
        <v>10005298</v>
      </c>
      <c r="E173" s="253" t="s">
        <v>1322</v>
      </c>
      <c r="F173" s="210">
        <v>2537</v>
      </c>
      <c r="G173" s="171">
        <v>35606</v>
      </c>
      <c r="H173" s="171">
        <v>2008</v>
      </c>
      <c r="I173" s="213">
        <v>360687.06</v>
      </c>
      <c r="J173" s="213">
        <v>754</v>
      </c>
      <c r="K173" s="170">
        <v>707074.41000000027</v>
      </c>
      <c r="L173" s="215">
        <v>1.1399999999999999</v>
      </c>
      <c r="M173" s="320">
        <v>5512</v>
      </c>
      <c r="N173" s="212">
        <v>125976</v>
      </c>
      <c r="O173" s="171">
        <v>176</v>
      </c>
      <c r="P173" s="271" t="str">
        <f>IFERROR(VLOOKUP(Tabela1[[#This Row],[TAG]],#REF!,14,FALSE),"")</f>
        <v/>
      </c>
      <c r="Q173" s="204" t="e">
        <f t="shared" si="292"/>
        <v>#VALUE!</v>
      </c>
      <c r="R173" s="204" t="e">
        <f t="shared" si="293"/>
        <v>#VALUE!</v>
      </c>
      <c r="S173" s="204" t="e">
        <f t="shared" si="294"/>
        <v>#VALUE!</v>
      </c>
      <c r="T173" s="204" t="e">
        <f t="shared" si="295"/>
        <v>#VALUE!</v>
      </c>
      <c r="U173" s="204" t="e">
        <f t="shared" si="296"/>
        <v>#VALUE!</v>
      </c>
      <c r="V173" s="204" t="e">
        <f t="shared" si="297"/>
        <v>#VALUE!</v>
      </c>
      <c r="W173" s="304">
        <v>534.32000000000005</v>
      </c>
      <c r="X173" s="304">
        <v>1338.26</v>
      </c>
      <c r="Y173" s="203">
        <v>0.1</v>
      </c>
      <c r="Z173" s="203">
        <f>IF(Tabela1[[#This Row],[Ano Aquisição]]=2023,0,IFERROR(VLOOKUP(H173,inflação!$F:$H,3,FALSE),""))</f>
        <v>0.89119999999999999</v>
      </c>
      <c r="AA173" s="203">
        <v>0.8</v>
      </c>
      <c r="AB173" s="202">
        <f t="shared" si="286"/>
        <v>-360687.06</v>
      </c>
      <c r="AC173" s="204" t="e">
        <f t="shared" si="298"/>
        <v>#VALUE!</v>
      </c>
      <c r="AD173" s="204" t="e">
        <f t="shared" si="299"/>
        <v>#VALUE!</v>
      </c>
      <c r="AE173" s="204" t="e">
        <f t="shared" si="300"/>
        <v>#VALUE!</v>
      </c>
      <c r="AF173" s="204" t="e">
        <f t="shared" si="301"/>
        <v>#VALUE!</v>
      </c>
      <c r="AG173" s="204" t="e">
        <f t="shared" si="302"/>
        <v>#VALUE!</v>
      </c>
      <c r="AH173" s="204" t="e">
        <f t="shared" si="303"/>
        <v>#VALUE!</v>
      </c>
      <c r="AI173" s="204" t="e">
        <f t="shared" si="304"/>
        <v>#VALUE!</v>
      </c>
      <c r="AJ173" s="205">
        <f t="shared" si="287"/>
        <v>-682131.36787199997</v>
      </c>
      <c r="AK173" s="204" t="e">
        <f t="shared" si="305"/>
        <v>#VALUE!</v>
      </c>
      <c r="AL173" s="204" t="e">
        <f t="shared" si="306"/>
        <v>#VALUE!</v>
      </c>
      <c r="AM173" s="204" t="e">
        <f t="shared" si="307"/>
        <v>#VALUE!</v>
      </c>
      <c r="AN173" s="204" t="e">
        <f t="shared" si="308"/>
        <v>#VALUE!</v>
      </c>
      <c r="AO173" s="204" t="e">
        <f t="shared" si="309"/>
        <v>#VALUE!</v>
      </c>
      <c r="AP173" s="204" t="e">
        <f t="shared" si="310"/>
        <v>#VALUE!</v>
      </c>
      <c r="AQ173" s="204" t="e">
        <f t="shared" si="311"/>
        <v>#VALUE!</v>
      </c>
      <c r="AR173" s="206" t="e">
        <f t="shared" si="288"/>
        <v>#VALUE!</v>
      </c>
      <c r="AS173" s="170" t="e">
        <f t="shared" si="312"/>
        <v>#VALUE!</v>
      </c>
      <c r="AT173" s="170" t="e">
        <f t="shared" si="313"/>
        <v>#VALUE!</v>
      </c>
      <c r="AU173" s="207" t="e">
        <f t="shared" si="289"/>
        <v>#VALUE!</v>
      </c>
      <c r="AV173" s="208" t="e">
        <f t="shared" si="290"/>
        <v>#VALUE!</v>
      </c>
      <c r="AW173" s="201" t="str">
        <f t="shared" si="291"/>
        <v>Fase de Degradação</v>
      </c>
      <c r="AX173" s="253" t="e">
        <f>VLOOKUP(D173,#REF!,5,FALSE)</f>
        <v>#REF!</v>
      </c>
      <c r="AY173" s="201"/>
      <c r="AZ173" s="273" t="s">
        <v>1224</v>
      </c>
      <c r="BB173">
        <f>IFERROR(VLOOKUP(Tabela1[[#This Row],[Denominação]],[10]Planilha1!$A:$B,2,FALSE),"")</f>
        <v>707074.41000000027</v>
      </c>
    </row>
    <row r="174" spans="1:54" ht="15" hidden="1" customHeight="1" x14ac:dyDescent="0.3">
      <c r="A174" s="253">
        <v>173</v>
      </c>
      <c r="B174" s="171" t="s">
        <v>406</v>
      </c>
      <c r="C174" s="209" t="s">
        <v>227</v>
      </c>
      <c r="D174" s="171">
        <v>10005711</v>
      </c>
      <c r="E174" s="253" t="s">
        <v>1323</v>
      </c>
      <c r="F174" s="210">
        <v>1075</v>
      </c>
      <c r="G174" s="254">
        <v>36927</v>
      </c>
      <c r="H174" s="171">
        <v>2006</v>
      </c>
      <c r="I174" s="213">
        <v>233330.31</v>
      </c>
      <c r="J174" s="213">
        <v>0</v>
      </c>
      <c r="K174" s="170">
        <v>698296.86</v>
      </c>
      <c r="L174" s="215">
        <v>1.88</v>
      </c>
      <c r="M174" s="212">
        <v>3043</v>
      </c>
      <c r="N174" s="212">
        <v>106467</v>
      </c>
      <c r="O174" s="171">
        <v>256</v>
      </c>
      <c r="P174" s="271" t="str">
        <f>IFERROR(VLOOKUP(Tabela1[[#This Row],[TAG]],#REF!,14,FALSE),"")</f>
        <v/>
      </c>
      <c r="Q174" s="204" t="e">
        <f t="shared" si="292"/>
        <v>#VALUE!</v>
      </c>
      <c r="R174" s="204" t="e">
        <f t="shared" si="293"/>
        <v>#VALUE!</v>
      </c>
      <c r="S174" s="204" t="e">
        <f t="shared" si="294"/>
        <v>#VALUE!</v>
      </c>
      <c r="T174" s="204" t="e">
        <f t="shared" si="295"/>
        <v>#VALUE!</v>
      </c>
      <c r="U174" s="204" t="e">
        <f t="shared" si="296"/>
        <v>#VALUE!</v>
      </c>
      <c r="V174" s="204" t="e">
        <f t="shared" si="297"/>
        <v>#VALUE!</v>
      </c>
      <c r="W174" s="218">
        <v>683.09</v>
      </c>
      <c r="X174" s="170">
        <v>2486.39</v>
      </c>
      <c r="Y174" s="203">
        <v>0.1</v>
      </c>
      <c r="Z174" s="203">
        <f>IF(Tabela1[[#This Row],[Ano Aquisição]]=2023,0,IFERROR(VLOOKUP(H174,inflação!$F:$H,3,FALSE),""))</f>
        <v>0.96719999999999995</v>
      </c>
      <c r="AA174" s="203">
        <v>0.8</v>
      </c>
      <c r="AB174" s="202">
        <f t="shared" si="286"/>
        <v>-233330.31</v>
      </c>
      <c r="AC174" s="204" t="e">
        <f t="shared" si="298"/>
        <v>#VALUE!</v>
      </c>
      <c r="AD174" s="204" t="e">
        <f t="shared" si="299"/>
        <v>#VALUE!</v>
      </c>
      <c r="AE174" s="204" t="e">
        <f t="shared" si="300"/>
        <v>#VALUE!</v>
      </c>
      <c r="AF174" s="204" t="e">
        <f t="shared" si="301"/>
        <v>#VALUE!</v>
      </c>
      <c r="AG174" s="204" t="e">
        <f t="shared" si="302"/>
        <v>#VALUE!</v>
      </c>
      <c r="AH174" s="204" t="e">
        <f t="shared" si="303"/>
        <v>#VALUE!</v>
      </c>
      <c r="AI174" s="204" t="e">
        <f t="shared" si="304"/>
        <v>#VALUE!</v>
      </c>
      <c r="AJ174" s="205">
        <f t="shared" si="287"/>
        <v>-459007.385832</v>
      </c>
      <c r="AK174" s="204" t="e">
        <f t="shared" si="305"/>
        <v>#VALUE!</v>
      </c>
      <c r="AL174" s="204" t="e">
        <f t="shared" si="306"/>
        <v>#VALUE!</v>
      </c>
      <c r="AM174" s="204" t="e">
        <f t="shared" si="307"/>
        <v>#VALUE!</v>
      </c>
      <c r="AN174" s="204" t="e">
        <f t="shared" si="308"/>
        <v>#VALUE!</v>
      </c>
      <c r="AO174" s="204" t="e">
        <f t="shared" si="309"/>
        <v>#VALUE!</v>
      </c>
      <c r="AP174" s="204" t="e">
        <f t="shared" si="310"/>
        <v>#VALUE!</v>
      </c>
      <c r="AQ174" s="204" t="e">
        <f t="shared" si="311"/>
        <v>#VALUE!</v>
      </c>
      <c r="AR174" s="206" t="e">
        <f t="shared" si="288"/>
        <v>#VALUE!</v>
      </c>
      <c r="AS174" s="170" t="e">
        <f t="shared" si="312"/>
        <v>#VALUE!</v>
      </c>
      <c r="AT174" s="170" t="e">
        <f t="shared" si="313"/>
        <v>#VALUE!</v>
      </c>
      <c r="AU174" s="207" t="e">
        <f t="shared" si="289"/>
        <v>#VALUE!</v>
      </c>
      <c r="AV174" s="208" t="e">
        <f t="shared" si="290"/>
        <v>#VALUE!</v>
      </c>
      <c r="AW174" s="201" t="str">
        <f t="shared" si="291"/>
        <v>Fase de Degradação</v>
      </c>
      <c r="AX174" s="253" t="e">
        <f>VLOOKUP(D174,#REF!,5,FALSE)</f>
        <v>#REF!</v>
      </c>
      <c r="AY174" s="201"/>
      <c r="AZ174" s="273" t="s">
        <v>1224</v>
      </c>
      <c r="BB174">
        <f>IFERROR(VLOOKUP(Tabela1[[#This Row],[Denominação]],[10]Planilha1!$A:$B,2,FALSE),"")</f>
        <v>698296.86</v>
      </c>
    </row>
    <row r="175" spans="1:54" ht="15" hidden="1" customHeight="1" x14ac:dyDescent="0.3">
      <c r="A175" s="268">
        <v>174</v>
      </c>
      <c r="B175" s="171" t="s">
        <v>601</v>
      </c>
      <c r="C175" s="209" t="s">
        <v>602</v>
      </c>
      <c r="D175" s="171">
        <v>10005869</v>
      </c>
      <c r="E175" s="253" t="s">
        <v>1324</v>
      </c>
      <c r="F175" s="210">
        <v>2540</v>
      </c>
      <c r="G175" s="171">
        <v>36639</v>
      </c>
      <c r="H175" s="171">
        <v>2010</v>
      </c>
      <c r="I175" s="213">
        <v>92303.7</v>
      </c>
      <c r="J175" s="213">
        <v>1458</v>
      </c>
      <c r="K175" s="170">
        <v>483700.99999999907</v>
      </c>
      <c r="L175" s="215">
        <v>1.94</v>
      </c>
      <c r="M175" s="307">
        <v>4863.5652</v>
      </c>
      <c r="N175" s="212">
        <v>100969</v>
      </c>
      <c r="O175" s="171">
        <v>249</v>
      </c>
      <c r="P175" s="271" t="str">
        <f>IFERROR(VLOOKUP(Tabela1[[#This Row],[TAG]],#REF!,14,FALSE),"")</f>
        <v/>
      </c>
      <c r="Q175" s="204" t="e">
        <f t="shared" si="292"/>
        <v>#VALUE!</v>
      </c>
      <c r="R175" s="204" t="e">
        <f t="shared" si="293"/>
        <v>#VALUE!</v>
      </c>
      <c r="S175" s="204" t="e">
        <f t="shared" si="294"/>
        <v>#VALUE!</v>
      </c>
      <c r="T175" s="204" t="e">
        <f t="shared" si="295"/>
        <v>#VALUE!</v>
      </c>
      <c r="U175" s="204" t="e">
        <f t="shared" si="296"/>
        <v>#VALUE!</v>
      </c>
      <c r="V175" s="204" t="e">
        <f t="shared" si="297"/>
        <v>#VALUE!</v>
      </c>
      <c r="W175" s="304">
        <v>643.17999999999995</v>
      </c>
      <c r="X175" s="304">
        <v>3052.01</v>
      </c>
      <c r="Y175" s="203">
        <v>0.1</v>
      </c>
      <c r="Z175" s="203">
        <f>IF(Tabela1[[#This Row],[Ano Aquisição]]=2023,0,IFERROR(VLOOKUP(H175,inflação!$F:$H,3,FALSE),""))</f>
        <v>0.78910000000000002</v>
      </c>
      <c r="AA175" s="203">
        <v>0.8</v>
      </c>
      <c r="AB175" s="202">
        <f t="shared" si="286"/>
        <v>-92303.7</v>
      </c>
      <c r="AC175" s="204" t="e">
        <f t="shared" si="298"/>
        <v>#VALUE!</v>
      </c>
      <c r="AD175" s="204" t="e">
        <f t="shared" si="299"/>
        <v>#VALUE!</v>
      </c>
      <c r="AE175" s="204" t="e">
        <f t="shared" si="300"/>
        <v>#VALUE!</v>
      </c>
      <c r="AF175" s="204" t="e">
        <f t="shared" si="301"/>
        <v>#VALUE!</v>
      </c>
      <c r="AG175" s="204" t="e">
        <f t="shared" si="302"/>
        <v>#VALUE!</v>
      </c>
      <c r="AH175" s="204" t="e">
        <f t="shared" si="303"/>
        <v>#VALUE!</v>
      </c>
      <c r="AI175" s="204" t="e">
        <f t="shared" si="304"/>
        <v>#VALUE!</v>
      </c>
      <c r="AJ175" s="205">
        <f t="shared" si="287"/>
        <v>-165140.54966999998</v>
      </c>
      <c r="AK175" s="204" t="e">
        <f t="shared" si="305"/>
        <v>#VALUE!</v>
      </c>
      <c r="AL175" s="204" t="e">
        <f t="shared" si="306"/>
        <v>#VALUE!</v>
      </c>
      <c r="AM175" s="204" t="e">
        <f t="shared" si="307"/>
        <v>#VALUE!</v>
      </c>
      <c r="AN175" s="204" t="e">
        <f t="shared" si="308"/>
        <v>#VALUE!</v>
      </c>
      <c r="AO175" s="204" t="e">
        <f t="shared" si="309"/>
        <v>#VALUE!</v>
      </c>
      <c r="AP175" s="204" t="e">
        <f t="shared" si="310"/>
        <v>#VALUE!</v>
      </c>
      <c r="AQ175" s="204" t="e">
        <f t="shared" si="311"/>
        <v>#VALUE!</v>
      </c>
      <c r="AR175" s="206" t="e">
        <f t="shared" si="288"/>
        <v>#VALUE!</v>
      </c>
      <c r="AS175" s="170" t="e">
        <f t="shared" si="312"/>
        <v>#VALUE!</v>
      </c>
      <c r="AT175" s="170" t="e">
        <f t="shared" si="313"/>
        <v>#VALUE!</v>
      </c>
      <c r="AU175" s="207" t="e">
        <f t="shared" si="289"/>
        <v>#VALUE!</v>
      </c>
      <c r="AV175" s="208" t="e">
        <f t="shared" si="290"/>
        <v>#VALUE!</v>
      </c>
      <c r="AW175" s="201" t="str">
        <f t="shared" si="291"/>
        <v>Fase de Degradação</v>
      </c>
      <c r="AX175" s="253" t="e">
        <f>VLOOKUP(D175,#REF!,5,FALSE)</f>
        <v>#REF!</v>
      </c>
      <c r="AY175" s="201"/>
      <c r="AZ175" s="273" t="s">
        <v>1224</v>
      </c>
      <c r="BB175">
        <f>IFERROR(VLOOKUP(Tabela1[[#This Row],[Denominação]],[10]Planilha1!$A:$B,2,FALSE),"")</f>
        <v>483700.99999999907</v>
      </c>
    </row>
    <row r="176" spans="1:54" ht="15" hidden="1" customHeight="1" x14ac:dyDescent="0.3">
      <c r="A176" s="253">
        <v>175</v>
      </c>
      <c r="B176" s="171" t="s">
        <v>276</v>
      </c>
      <c r="C176" s="209" t="s">
        <v>277</v>
      </c>
      <c r="D176" s="171">
        <v>10005917</v>
      </c>
      <c r="E176" s="253" t="s">
        <v>1323</v>
      </c>
      <c r="F176" s="210">
        <v>1075</v>
      </c>
      <c r="G176" s="171">
        <v>40336</v>
      </c>
      <c r="H176" s="171">
        <v>2011</v>
      </c>
      <c r="I176" s="213">
        <v>377866.85</v>
      </c>
      <c r="J176" s="213">
        <v>0</v>
      </c>
      <c r="K176" s="170">
        <v>396753.88000000035</v>
      </c>
      <c r="L176" s="207">
        <v>1.51</v>
      </c>
      <c r="M176" s="212">
        <v>3812</v>
      </c>
      <c r="N176" s="212">
        <v>98737</v>
      </c>
      <c r="O176" s="171">
        <v>185</v>
      </c>
      <c r="P176" s="271" t="str">
        <f>IFERROR(VLOOKUP(Tabela1[[#This Row],[TAG]],#REF!,14,FALSE),"")</f>
        <v/>
      </c>
      <c r="Q176" s="204" t="e">
        <f t="shared" si="292"/>
        <v>#VALUE!</v>
      </c>
      <c r="R176" s="204" t="e">
        <f t="shared" si="293"/>
        <v>#VALUE!</v>
      </c>
      <c r="S176" s="204" t="e">
        <f t="shared" si="294"/>
        <v>#VALUE!</v>
      </c>
      <c r="T176" s="204" t="e">
        <f t="shared" si="295"/>
        <v>#VALUE!</v>
      </c>
      <c r="U176" s="204" t="e">
        <f t="shared" si="296"/>
        <v>#VALUE!</v>
      </c>
      <c r="V176" s="204" t="e">
        <f t="shared" si="297"/>
        <v>#VALUE!</v>
      </c>
      <c r="W176" s="218">
        <v>605.9</v>
      </c>
      <c r="X176" s="170">
        <v>1767.57</v>
      </c>
      <c r="Y176" s="203">
        <v>0.1</v>
      </c>
      <c r="Z176" s="203">
        <f>IF(Tabela1[[#This Row],[Ano Aquisição]]=2023,0,IFERROR(VLOOKUP(H176,inflação!$F:$H,3,FALSE),""))</f>
        <v>0.73</v>
      </c>
      <c r="AA176" s="203">
        <v>0.8</v>
      </c>
      <c r="AB176" s="202">
        <f t="shared" si="286"/>
        <v>-377866.85</v>
      </c>
      <c r="AC176" s="204" t="e">
        <f t="shared" si="298"/>
        <v>#VALUE!</v>
      </c>
      <c r="AD176" s="204" t="e">
        <f t="shared" si="299"/>
        <v>#VALUE!</v>
      </c>
      <c r="AE176" s="204" t="e">
        <f t="shared" si="300"/>
        <v>#VALUE!</v>
      </c>
      <c r="AF176" s="204" t="e">
        <f t="shared" si="301"/>
        <v>#VALUE!</v>
      </c>
      <c r="AG176" s="204" t="e">
        <f t="shared" si="302"/>
        <v>#VALUE!</v>
      </c>
      <c r="AH176" s="204" t="e">
        <f t="shared" si="303"/>
        <v>#VALUE!</v>
      </c>
      <c r="AI176" s="204" t="e">
        <f t="shared" si="304"/>
        <v>#VALUE!</v>
      </c>
      <c r="AJ176" s="205">
        <f t="shared" si="287"/>
        <v>-653709.65049999999</v>
      </c>
      <c r="AK176" s="204" t="e">
        <f t="shared" si="305"/>
        <v>#VALUE!</v>
      </c>
      <c r="AL176" s="204" t="e">
        <f t="shared" si="306"/>
        <v>#VALUE!</v>
      </c>
      <c r="AM176" s="204" t="e">
        <f t="shared" si="307"/>
        <v>#VALUE!</v>
      </c>
      <c r="AN176" s="204" t="e">
        <f t="shared" si="308"/>
        <v>#VALUE!</v>
      </c>
      <c r="AO176" s="204" t="e">
        <f t="shared" si="309"/>
        <v>#VALUE!</v>
      </c>
      <c r="AP176" s="204" t="e">
        <f t="shared" si="310"/>
        <v>#VALUE!</v>
      </c>
      <c r="AQ176" s="204" t="e">
        <f t="shared" si="311"/>
        <v>#VALUE!</v>
      </c>
      <c r="AR176" s="206" t="e">
        <f t="shared" si="288"/>
        <v>#VALUE!</v>
      </c>
      <c r="AS176" s="170" t="e">
        <f t="shared" si="312"/>
        <v>#VALUE!</v>
      </c>
      <c r="AT176" s="170" t="e">
        <f t="shared" si="313"/>
        <v>#VALUE!</v>
      </c>
      <c r="AU176" s="207" t="e">
        <f t="shared" si="289"/>
        <v>#VALUE!</v>
      </c>
      <c r="AV176" s="208" t="e">
        <f t="shared" si="290"/>
        <v>#VALUE!</v>
      </c>
      <c r="AW176" s="201" t="str">
        <f t="shared" si="291"/>
        <v>Fase de Degradação</v>
      </c>
      <c r="AX176" s="253" t="e">
        <f>VLOOKUP(D176,#REF!,5,FALSE)</f>
        <v>#REF!</v>
      </c>
      <c r="AY176" s="201"/>
      <c r="AZ176" s="273" t="s">
        <v>1224</v>
      </c>
      <c r="BB176">
        <f>IFERROR(VLOOKUP(Tabela1[[#This Row],[Denominação]],[10]Planilha1!$A:$B,2,FALSE),"")</f>
        <v>396753.88000000035</v>
      </c>
    </row>
    <row r="177" spans="1:54" ht="15" hidden="1" customHeight="1" x14ac:dyDescent="0.3">
      <c r="A177" s="268">
        <v>176</v>
      </c>
      <c r="B177" s="171" t="s">
        <v>418</v>
      </c>
      <c r="C177" s="209" t="s">
        <v>239</v>
      </c>
      <c r="D177" s="171">
        <v>10005918</v>
      </c>
      <c r="E177" s="253" t="s">
        <v>1323</v>
      </c>
      <c r="F177" s="210">
        <v>1075</v>
      </c>
      <c r="G177" s="171">
        <v>40335</v>
      </c>
      <c r="H177" s="171">
        <v>2011</v>
      </c>
      <c r="I177" s="213">
        <v>377866.85</v>
      </c>
      <c r="J177" s="213">
        <v>0</v>
      </c>
      <c r="K177" s="170">
        <v>514054.17000000039</v>
      </c>
      <c r="L177" s="215">
        <v>1.33</v>
      </c>
      <c r="M177" s="212">
        <v>4155</v>
      </c>
      <c r="N177" s="212">
        <v>93481</v>
      </c>
      <c r="O177" s="171">
        <v>213</v>
      </c>
      <c r="P177" s="271" t="str">
        <f>IFERROR(VLOOKUP(Tabela1[[#This Row],[TAG]],#REF!,14,FALSE),"")</f>
        <v/>
      </c>
      <c r="Q177" s="204" t="e">
        <f t="shared" si="292"/>
        <v>#VALUE!</v>
      </c>
      <c r="R177" s="204" t="e">
        <f t="shared" si="293"/>
        <v>#VALUE!</v>
      </c>
      <c r="S177" s="204" t="e">
        <f t="shared" si="294"/>
        <v>#VALUE!</v>
      </c>
      <c r="T177" s="204" t="e">
        <f t="shared" si="295"/>
        <v>#VALUE!</v>
      </c>
      <c r="U177" s="204" t="e">
        <f t="shared" si="296"/>
        <v>#VALUE!</v>
      </c>
      <c r="V177" s="204" t="e">
        <f t="shared" si="297"/>
        <v>#VALUE!</v>
      </c>
      <c r="W177" s="218">
        <v>798.98</v>
      </c>
      <c r="X177" s="170">
        <v>1899.85</v>
      </c>
      <c r="Y177" s="203">
        <v>0.1</v>
      </c>
      <c r="Z177" s="203">
        <f>IF(Tabela1[[#This Row],[Ano Aquisição]]=2023,0,IFERROR(VLOOKUP(H177,inflação!$F:$H,3,FALSE),""))</f>
        <v>0.73</v>
      </c>
      <c r="AA177" s="203">
        <v>0.8</v>
      </c>
      <c r="AB177" s="202">
        <f t="shared" si="286"/>
        <v>-377866.85</v>
      </c>
      <c r="AC177" s="204" t="e">
        <f t="shared" si="298"/>
        <v>#VALUE!</v>
      </c>
      <c r="AD177" s="204" t="e">
        <f t="shared" si="299"/>
        <v>#VALUE!</v>
      </c>
      <c r="AE177" s="204" t="e">
        <f t="shared" si="300"/>
        <v>#VALUE!</v>
      </c>
      <c r="AF177" s="204" t="e">
        <f t="shared" si="301"/>
        <v>#VALUE!</v>
      </c>
      <c r="AG177" s="204" t="e">
        <f t="shared" si="302"/>
        <v>#VALUE!</v>
      </c>
      <c r="AH177" s="204" t="e">
        <f t="shared" si="303"/>
        <v>#VALUE!</v>
      </c>
      <c r="AI177" s="204" t="e">
        <f t="shared" si="304"/>
        <v>#VALUE!</v>
      </c>
      <c r="AJ177" s="205">
        <f t="shared" si="287"/>
        <v>-653709.65049999999</v>
      </c>
      <c r="AK177" s="204" t="e">
        <f t="shared" si="305"/>
        <v>#VALUE!</v>
      </c>
      <c r="AL177" s="204" t="e">
        <f t="shared" si="306"/>
        <v>#VALUE!</v>
      </c>
      <c r="AM177" s="204" t="e">
        <f t="shared" si="307"/>
        <v>#VALUE!</v>
      </c>
      <c r="AN177" s="204" t="e">
        <f t="shared" si="308"/>
        <v>#VALUE!</v>
      </c>
      <c r="AO177" s="204" t="e">
        <f t="shared" si="309"/>
        <v>#VALUE!</v>
      </c>
      <c r="AP177" s="204" t="e">
        <f t="shared" si="310"/>
        <v>#VALUE!</v>
      </c>
      <c r="AQ177" s="204" t="e">
        <f t="shared" si="311"/>
        <v>#VALUE!</v>
      </c>
      <c r="AR177" s="206" t="e">
        <f t="shared" si="288"/>
        <v>#VALUE!</v>
      </c>
      <c r="AS177" s="170" t="e">
        <f t="shared" si="312"/>
        <v>#VALUE!</v>
      </c>
      <c r="AT177" s="170" t="e">
        <f t="shared" si="313"/>
        <v>#VALUE!</v>
      </c>
      <c r="AU177" s="207" t="e">
        <f t="shared" si="289"/>
        <v>#VALUE!</v>
      </c>
      <c r="AV177" s="208" t="e">
        <f t="shared" si="290"/>
        <v>#VALUE!</v>
      </c>
      <c r="AW177" s="201" t="str">
        <f t="shared" si="291"/>
        <v>Fase de Degradação</v>
      </c>
      <c r="AX177" s="253" t="e">
        <f>VLOOKUP(D177,#REF!,5,FALSE)</f>
        <v>#REF!</v>
      </c>
      <c r="AY177" s="201"/>
      <c r="AZ177" s="273" t="s">
        <v>1224</v>
      </c>
      <c r="BB177">
        <f>IFERROR(VLOOKUP(Tabela1[[#This Row],[Denominação]],[10]Planilha1!$A:$B,2,FALSE),"")</f>
        <v>514054.17000000039</v>
      </c>
    </row>
    <row r="178" spans="1:54" ht="15" hidden="1" customHeight="1" x14ac:dyDescent="0.3">
      <c r="A178" s="253">
        <v>177</v>
      </c>
      <c r="B178" s="171" t="s">
        <v>268</v>
      </c>
      <c r="C178" s="209" t="s">
        <v>269</v>
      </c>
      <c r="D178" s="171">
        <v>10005935</v>
      </c>
      <c r="E178" s="253" t="s">
        <v>1325</v>
      </c>
      <c r="F178" s="210">
        <v>4531</v>
      </c>
      <c r="G178" s="171">
        <v>41562</v>
      </c>
      <c r="H178" s="171">
        <v>2012</v>
      </c>
      <c r="I178" s="213">
        <v>1081800.1100000001</v>
      </c>
      <c r="J178" s="213">
        <v>13217</v>
      </c>
      <c r="K178" s="170">
        <v>760274.32999999949</v>
      </c>
      <c r="L178" s="215">
        <v>1.35</v>
      </c>
      <c r="M178" s="212">
        <v>5580</v>
      </c>
      <c r="N178" s="212">
        <v>96007</v>
      </c>
      <c r="O178" s="171">
        <v>1036</v>
      </c>
      <c r="P178" s="271" t="str">
        <f>IFERROR(VLOOKUP(Tabela1[[#This Row],[TAG]],#REF!,14,FALSE),"")</f>
        <v/>
      </c>
      <c r="Q178" s="271" t="e">
        <f t="shared" si="292"/>
        <v>#VALUE!</v>
      </c>
      <c r="R178" s="271" t="e">
        <f t="shared" si="293"/>
        <v>#VALUE!</v>
      </c>
      <c r="S178" s="271" t="e">
        <f t="shared" si="294"/>
        <v>#VALUE!</v>
      </c>
      <c r="T178" s="271" t="e">
        <f t="shared" si="295"/>
        <v>#VALUE!</v>
      </c>
      <c r="U178" s="271" t="e">
        <f t="shared" si="296"/>
        <v>#VALUE!</v>
      </c>
      <c r="V178" s="271" t="e">
        <f t="shared" si="297"/>
        <v>#VALUE!</v>
      </c>
      <c r="W178" s="218">
        <v>495.69</v>
      </c>
      <c r="X178" s="218">
        <v>5133.4399999999996</v>
      </c>
      <c r="Y178" s="203">
        <v>0.1</v>
      </c>
      <c r="Z178" s="203">
        <f>IF(Tabela1[[#This Row],[Ano Aquisição]]=2023,0,IFERROR(VLOOKUP(H178,inflação!$F:$H,3,FALSE),""))</f>
        <v>0.66500000000000004</v>
      </c>
      <c r="AA178" s="203">
        <v>0.8</v>
      </c>
      <c r="AB178" s="202">
        <f t="shared" si="286"/>
        <v>-1081800.1100000001</v>
      </c>
      <c r="AC178" s="204" t="e">
        <f t="shared" si="298"/>
        <v>#VALUE!</v>
      </c>
      <c r="AD178" s="204" t="e">
        <f t="shared" si="299"/>
        <v>#VALUE!</v>
      </c>
      <c r="AE178" s="204" t="e">
        <f t="shared" si="300"/>
        <v>#VALUE!</v>
      </c>
      <c r="AF178" s="204" t="e">
        <f t="shared" si="301"/>
        <v>#VALUE!</v>
      </c>
      <c r="AG178" s="204" t="e">
        <f t="shared" si="302"/>
        <v>#VALUE!</v>
      </c>
      <c r="AH178" s="204" t="e">
        <f t="shared" si="303"/>
        <v>#VALUE!</v>
      </c>
      <c r="AI178" s="204" t="e">
        <f t="shared" si="304"/>
        <v>#VALUE!</v>
      </c>
      <c r="AJ178" s="205">
        <f t="shared" si="287"/>
        <v>-1801197.1831500002</v>
      </c>
      <c r="AK178" s="204" t="e">
        <f t="shared" si="305"/>
        <v>#VALUE!</v>
      </c>
      <c r="AL178" s="204" t="e">
        <f t="shared" si="306"/>
        <v>#VALUE!</v>
      </c>
      <c r="AM178" s="204" t="e">
        <f t="shared" si="307"/>
        <v>#VALUE!</v>
      </c>
      <c r="AN178" s="204" t="e">
        <f t="shared" si="308"/>
        <v>#VALUE!</v>
      </c>
      <c r="AO178" s="204" t="e">
        <f t="shared" si="309"/>
        <v>#VALUE!</v>
      </c>
      <c r="AP178" s="204" t="e">
        <f t="shared" si="310"/>
        <v>#VALUE!</v>
      </c>
      <c r="AQ178" s="204" t="e">
        <f t="shared" si="311"/>
        <v>#VALUE!</v>
      </c>
      <c r="AR178" s="206" t="e">
        <f t="shared" si="288"/>
        <v>#VALUE!</v>
      </c>
      <c r="AS178" s="170" t="e">
        <f t="shared" si="312"/>
        <v>#VALUE!</v>
      </c>
      <c r="AT178" s="170" t="e">
        <f t="shared" si="313"/>
        <v>#VALUE!</v>
      </c>
      <c r="AU178" s="207" t="e">
        <f t="shared" si="289"/>
        <v>#VALUE!</v>
      </c>
      <c r="AV178" s="208" t="e">
        <f t="shared" si="290"/>
        <v>#VALUE!</v>
      </c>
      <c r="AW178" s="201" t="str">
        <f t="shared" si="291"/>
        <v>Fase de Degradação</v>
      </c>
      <c r="AX178" s="253" t="e">
        <f>VLOOKUP(D178,#REF!,5,FALSE)</f>
        <v>#REF!</v>
      </c>
      <c r="AY178" s="201"/>
      <c r="AZ178" s="273" t="s">
        <v>1224</v>
      </c>
      <c r="BB178">
        <f>IFERROR(VLOOKUP(Tabela1[[#This Row],[Denominação]],[10]Planilha1!$A:$B,2,FALSE),"")</f>
        <v>760274.32999999949</v>
      </c>
    </row>
    <row r="179" spans="1:54" ht="15" hidden="1" customHeight="1" x14ac:dyDescent="0.3">
      <c r="A179" s="268">
        <v>178</v>
      </c>
      <c r="B179" s="171" t="s">
        <v>408</v>
      </c>
      <c r="C179" s="209" t="s">
        <v>229</v>
      </c>
      <c r="D179" s="171">
        <v>10005936</v>
      </c>
      <c r="E179" s="253" t="s">
        <v>1326</v>
      </c>
      <c r="F179" s="210">
        <v>4531</v>
      </c>
      <c r="G179" s="171">
        <v>41565</v>
      </c>
      <c r="H179" s="171">
        <v>2012</v>
      </c>
      <c r="I179" s="213">
        <v>1082714.76</v>
      </c>
      <c r="J179" s="213">
        <v>13510</v>
      </c>
      <c r="K179" s="170">
        <v>645255.17999999854</v>
      </c>
      <c r="L179" s="215">
        <v>1.38</v>
      </c>
      <c r="M179" s="212">
        <v>5289</v>
      </c>
      <c r="N179" s="212">
        <v>95807</v>
      </c>
      <c r="O179" s="171">
        <v>885</v>
      </c>
      <c r="P179" s="271" t="str">
        <f>IFERROR(VLOOKUP(Tabela1[[#This Row],[TAG]],#REF!,14,FALSE),"")</f>
        <v/>
      </c>
      <c r="Q179" s="271" t="e">
        <f t="shared" si="292"/>
        <v>#VALUE!</v>
      </c>
      <c r="R179" s="271" t="e">
        <f t="shared" si="293"/>
        <v>#VALUE!</v>
      </c>
      <c r="S179" s="271" t="e">
        <f t="shared" si="294"/>
        <v>#VALUE!</v>
      </c>
      <c r="T179" s="271" t="e">
        <f t="shared" si="295"/>
        <v>#VALUE!</v>
      </c>
      <c r="U179" s="271" t="e">
        <f t="shared" si="296"/>
        <v>#VALUE!</v>
      </c>
      <c r="V179" s="271" t="e">
        <f t="shared" si="297"/>
        <v>#VALUE!</v>
      </c>
      <c r="W179" s="218">
        <v>454.18</v>
      </c>
      <c r="X179" s="218">
        <v>5048.2299999999996</v>
      </c>
      <c r="Y179" s="203">
        <v>0.1</v>
      </c>
      <c r="Z179" s="203">
        <f>IF(Tabela1[[#This Row],[Ano Aquisição]]=2023,0,IFERROR(VLOOKUP(H179,inflação!$F:$H,3,FALSE),""))</f>
        <v>0.66500000000000004</v>
      </c>
      <c r="AA179" s="203">
        <v>0.8</v>
      </c>
      <c r="AB179" s="202">
        <f t="shared" si="286"/>
        <v>-1082714.76</v>
      </c>
      <c r="AC179" s="204" t="e">
        <f t="shared" si="298"/>
        <v>#VALUE!</v>
      </c>
      <c r="AD179" s="204" t="e">
        <f t="shared" si="299"/>
        <v>#VALUE!</v>
      </c>
      <c r="AE179" s="204" t="e">
        <f t="shared" si="300"/>
        <v>#VALUE!</v>
      </c>
      <c r="AF179" s="204" t="e">
        <f t="shared" si="301"/>
        <v>#VALUE!</v>
      </c>
      <c r="AG179" s="204" t="e">
        <f t="shared" si="302"/>
        <v>#VALUE!</v>
      </c>
      <c r="AH179" s="204" t="e">
        <f t="shared" si="303"/>
        <v>#VALUE!</v>
      </c>
      <c r="AI179" s="204" t="e">
        <f t="shared" si="304"/>
        <v>#VALUE!</v>
      </c>
      <c r="AJ179" s="205">
        <f t="shared" si="287"/>
        <v>-1802720.0754</v>
      </c>
      <c r="AK179" s="204" t="e">
        <f t="shared" si="305"/>
        <v>#VALUE!</v>
      </c>
      <c r="AL179" s="204" t="e">
        <f t="shared" si="306"/>
        <v>#VALUE!</v>
      </c>
      <c r="AM179" s="204" t="e">
        <f t="shared" si="307"/>
        <v>#VALUE!</v>
      </c>
      <c r="AN179" s="204" t="e">
        <f t="shared" si="308"/>
        <v>#VALUE!</v>
      </c>
      <c r="AO179" s="204" t="e">
        <f t="shared" si="309"/>
        <v>#VALUE!</v>
      </c>
      <c r="AP179" s="204" t="e">
        <f t="shared" si="310"/>
        <v>#VALUE!</v>
      </c>
      <c r="AQ179" s="204" t="e">
        <f t="shared" si="311"/>
        <v>#VALUE!</v>
      </c>
      <c r="AR179" s="206" t="e">
        <f t="shared" si="288"/>
        <v>#VALUE!</v>
      </c>
      <c r="AS179" s="170" t="e">
        <f t="shared" si="312"/>
        <v>#VALUE!</v>
      </c>
      <c r="AT179" s="170" t="e">
        <f t="shared" si="313"/>
        <v>#VALUE!</v>
      </c>
      <c r="AU179" s="207" t="e">
        <f t="shared" si="289"/>
        <v>#VALUE!</v>
      </c>
      <c r="AV179" s="208" t="e">
        <f t="shared" si="290"/>
        <v>#VALUE!</v>
      </c>
      <c r="AW179" s="201" t="str">
        <f t="shared" si="291"/>
        <v>Fase de Degradação</v>
      </c>
      <c r="AX179" s="253" t="e">
        <f>VLOOKUP(D179,#REF!,5,FALSE)</f>
        <v>#REF!</v>
      </c>
      <c r="AY179" s="201"/>
      <c r="AZ179" s="273" t="s">
        <v>1224</v>
      </c>
      <c r="BB179">
        <f>IFERROR(VLOOKUP(Tabela1[[#This Row],[Denominação]],[10]Planilha1!$A:$B,2,FALSE),"")</f>
        <v>645255.17999999854</v>
      </c>
    </row>
    <row r="180" spans="1:54" ht="15" hidden="1" customHeight="1" x14ac:dyDescent="0.3">
      <c r="A180" s="253">
        <v>179</v>
      </c>
      <c r="B180" s="171" t="s">
        <v>247</v>
      </c>
      <c r="C180" s="209" t="s">
        <v>248</v>
      </c>
      <c r="D180" s="171">
        <v>10005937</v>
      </c>
      <c r="E180" s="253" t="s">
        <v>1327</v>
      </c>
      <c r="F180" s="210">
        <v>4531</v>
      </c>
      <c r="G180" s="171">
        <v>41563</v>
      </c>
      <c r="H180" s="171">
        <v>2012</v>
      </c>
      <c r="I180" s="213">
        <v>1086768.21</v>
      </c>
      <c r="J180" s="213">
        <v>14825</v>
      </c>
      <c r="K180" s="170">
        <v>1179276.8399999999</v>
      </c>
      <c r="L180" s="215">
        <v>1.3</v>
      </c>
      <c r="M180" s="212">
        <v>5645</v>
      </c>
      <c r="N180" s="212">
        <v>96100</v>
      </c>
      <c r="O180" s="171">
        <v>892</v>
      </c>
      <c r="P180" s="271" t="str">
        <f>IFERROR(VLOOKUP(Tabela1[[#This Row],[TAG]],#REF!,14,FALSE),"")</f>
        <v/>
      </c>
      <c r="Q180" s="271" t="e">
        <f t="shared" si="292"/>
        <v>#VALUE!</v>
      </c>
      <c r="R180" s="271" t="e">
        <f t="shared" si="293"/>
        <v>#VALUE!</v>
      </c>
      <c r="S180" s="271" t="e">
        <f t="shared" si="294"/>
        <v>#VALUE!</v>
      </c>
      <c r="T180" s="271" t="e">
        <f t="shared" si="295"/>
        <v>#VALUE!</v>
      </c>
      <c r="U180" s="271" t="e">
        <f t="shared" si="296"/>
        <v>#VALUE!</v>
      </c>
      <c r="V180" s="271" t="e">
        <f t="shared" si="297"/>
        <v>#VALUE!</v>
      </c>
      <c r="W180" s="218">
        <v>555.15</v>
      </c>
      <c r="X180" s="218">
        <v>4884.3999999999996</v>
      </c>
      <c r="Y180" s="203">
        <v>0.1</v>
      </c>
      <c r="Z180" s="203">
        <f>IF(Tabela1[[#This Row],[Ano Aquisição]]=2023,0,IFERROR(VLOOKUP(H180,inflação!$F:$H,3,FALSE),""))</f>
        <v>0.66500000000000004</v>
      </c>
      <c r="AA180" s="203">
        <v>0.8</v>
      </c>
      <c r="AB180" s="202">
        <f t="shared" si="286"/>
        <v>-1086768.21</v>
      </c>
      <c r="AC180" s="204" t="e">
        <f t="shared" si="298"/>
        <v>#VALUE!</v>
      </c>
      <c r="AD180" s="204" t="e">
        <f t="shared" si="299"/>
        <v>#VALUE!</v>
      </c>
      <c r="AE180" s="204" t="e">
        <f t="shared" si="300"/>
        <v>#VALUE!</v>
      </c>
      <c r="AF180" s="204" t="e">
        <f t="shared" si="301"/>
        <v>#VALUE!</v>
      </c>
      <c r="AG180" s="204" t="e">
        <f t="shared" si="302"/>
        <v>#VALUE!</v>
      </c>
      <c r="AH180" s="204" t="e">
        <f t="shared" si="303"/>
        <v>#VALUE!</v>
      </c>
      <c r="AI180" s="204" t="e">
        <f t="shared" si="304"/>
        <v>#VALUE!</v>
      </c>
      <c r="AJ180" s="205">
        <f t="shared" si="287"/>
        <v>-1809469.06965</v>
      </c>
      <c r="AK180" s="204" t="e">
        <f t="shared" si="305"/>
        <v>#VALUE!</v>
      </c>
      <c r="AL180" s="204" t="e">
        <f t="shared" si="306"/>
        <v>#VALUE!</v>
      </c>
      <c r="AM180" s="204" t="e">
        <f t="shared" si="307"/>
        <v>#VALUE!</v>
      </c>
      <c r="AN180" s="204" t="e">
        <f t="shared" si="308"/>
        <v>#VALUE!</v>
      </c>
      <c r="AO180" s="204" t="e">
        <f t="shared" si="309"/>
        <v>#VALUE!</v>
      </c>
      <c r="AP180" s="204" t="e">
        <f t="shared" si="310"/>
        <v>#VALUE!</v>
      </c>
      <c r="AQ180" s="204" t="e">
        <f t="shared" si="311"/>
        <v>#VALUE!</v>
      </c>
      <c r="AR180" s="206" t="e">
        <f t="shared" si="288"/>
        <v>#VALUE!</v>
      </c>
      <c r="AS180" s="170" t="e">
        <f t="shared" si="312"/>
        <v>#VALUE!</v>
      </c>
      <c r="AT180" s="170" t="e">
        <f t="shared" si="313"/>
        <v>#VALUE!</v>
      </c>
      <c r="AU180" s="207" t="e">
        <f t="shared" si="289"/>
        <v>#VALUE!</v>
      </c>
      <c r="AV180" s="208" t="e">
        <f t="shared" si="290"/>
        <v>#VALUE!</v>
      </c>
      <c r="AW180" s="201" t="str">
        <f t="shared" si="291"/>
        <v>Fase de Degradação</v>
      </c>
      <c r="AX180" s="253" t="e">
        <f>VLOOKUP(D180,#REF!,5,FALSE)</f>
        <v>#REF!</v>
      </c>
      <c r="AY180" s="201"/>
      <c r="AZ180" s="273" t="s">
        <v>1224</v>
      </c>
      <c r="BB180">
        <f>IFERROR(VLOOKUP(Tabela1[[#This Row],[Denominação]],[10]Planilha1!$A:$B,2,FALSE),"")</f>
        <v>1179276.8399999999</v>
      </c>
    </row>
    <row r="181" spans="1:54" ht="15" hidden="1" customHeight="1" x14ac:dyDescent="0.3">
      <c r="A181" s="268">
        <v>180</v>
      </c>
      <c r="B181" s="171" t="s">
        <v>260</v>
      </c>
      <c r="C181" s="209" t="s">
        <v>261</v>
      </c>
      <c r="D181" s="171">
        <v>10006124</v>
      </c>
      <c r="E181" s="253" t="s">
        <v>1328</v>
      </c>
      <c r="F181" s="210">
        <v>4531</v>
      </c>
      <c r="G181" s="171">
        <v>42558</v>
      </c>
      <c r="H181" s="171">
        <v>2012</v>
      </c>
      <c r="I181" s="213">
        <v>1054133.81</v>
      </c>
      <c r="J181" s="213">
        <v>81317</v>
      </c>
      <c r="K181" s="170">
        <v>577021.89999999967</v>
      </c>
      <c r="L181" s="215">
        <v>1.41</v>
      </c>
      <c r="M181" s="212">
        <v>5618</v>
      </c>
      <c r="N181" s="212">
        <v>92618</v>
      </c>
      <c r="O181" s="171">
        <v>766</v>
      </c>
      <c r="P181" s="271" t="str">
        <f>IFERROR(VLOOKUP(Tabela1[[#This Row],[TAG]],#REF!,14,FALSE),"")</f>
        <v/>
      </c>
      <c r="Q181" s="271" t="e">
        <f t="shared" si="292"/>
        <v>#VALUE!</v>
      </c>
      <c r="R181" s="271" t="e">
        <f t="shared" si="293"/>
        <v>#VALUE!</v>
      </c>
      <c r="S181" s="271" t="e">
        <f t="shared" si="294"/>
        <v>#VALUE!</v>
      </c>
      <c r="T181" s="271" t="e">
        <f t="shared" si="295"/>
        <v>#VALUE!</v>
      </c>
      <c r="U181" s="271" t="e">
        <f t="shared" si="296"/>
        <v>#VALUE!</v>
      </c>
      <c r="V181" s="271" t="e">
        <f t="shared" si="297"/>
        <v>#VALUE!</v>
      </c>
      <c r="W181" s="218">
        <v>405.06</v>
      </c>
      <c r="X181" s="218">
        <v>3946.42</v>
      </c>
      <c r="Y181" s="203">
        <v>0.1</v>
      </c>
      <c r="Z181" s="203">
        <f>IF(Tabela1[[#This Row],[Ano Aquisição]]=2023,0,IFERROR(VLOOKUP(H181,inflação!$F:$H,3,FALSE),""))</f>
        <v>0.66500000000000004</v>
      </c>
      <c r="AA181" s="203">
        <v>0.8</v>
      </c>
      <c r="AB181" s="202">
        <f t="shared" si="286"/>
        <v>-1054133.81</v>
      </c>
      <c r="AC181" s="204" t="e">
        <f t="shared" si="298"/>
        <v>#VALUE!</v>
      </c>
      <c r="AD181" s="204" t="e">
        <f t="shared" si="299"/>
        <v>#VALUE!</v>
      </c>
      <c r="AE181" s="204" t="e">
        <f t="shared" si="300"/>
        <v>#VALUE!</v>
      </c>
      <c r="AF181" s="204" t="e">
        <f t="shared" si="301"/>
        <v>#VALUE!</v>
      </c>
      <c r="AG181" s="204" t="e">
        <f t="shared" si="302"/>
        <v>#VALUE!</v>
      </c>
      <c r="AH181" s="204" t="e">
        <f t="shared" si="303"/>
        <v>#VALUE!</v>
      </c>
      <c r="AI181" s="204" t="e">
        <f t="shared" si="304"/>
        <v>#VALUE!</v>
      </c>
      <c r="AJ181" s="205">
        <f t="shared" si="287"/>
        <v>-1755132.7936500001</v>
      </c>
      <c r="AK181" s="204" t="e">
        <f t="shared" si="305"/>
        <v>#VALUE!</v>
      </c>
      <c r="AL181" s="204" t="e">
        <f t="shared" si="306"/>
        <v>#VALUE!</v>
      </c>
      <c r="AM181" s="204" t="e">
        <f t="shared" si="307"/>
        <v>#VALUE!</v>
      </c>
      <c r="AN181" s="204" t="e">
        <f t="shared" si="308"/>
        <v>#VALUE!</v>
      </c>
      <c r="AO181" s="204" t="e">
        <f t="shared" si="309"/>
        <v>#VALUE!</v>
      </c>
      <c r="AP181" s="204" t="e">
        <f t="shared" si="310"/>
        <v>#VALUE!</v>
      </c>
      <c r="AQ181" s="204" t="e">
        <f t="shared" si="311"/>
        <v>#VALUE!</v>
      </c>
      <c r="AR181" s="206" t="e">
        <f t="shared" si="288"/>
        <v>#VALUE!</v>
      </c>
      <c r="AS181" s="170" t="e">
        <f t="shared" si="312"/>
        <v>#VALUE!</v>
      </c>
      <c r="AT181" s="170" t="e">
        <f t="shared" si="313"/>
        <v>#VALUE!</v>
      </c>
      <c r="AU181" s="207" t="e">
        <f t="shared" si="289"/>
        <v>#VALUE!</v>
      </c>
      <c r="AV181" s="208" t="e">
        <f t="shared" si="290"/>
        <v>#VALUE!</v>
      </c>
      <c r="AW181" s="201" t="str">
        <f t="shared" si="291"/>
        <v>Fase de Degradação</v>
      </c>
      <c r="AX181" s="253" t="e">
        <f>VLOOKUP(D181,#REF!,5,FALSE)</f>
        <v>#REF!</v>
      </c>
      <c r="AY181" s="201"/>
      <c r="AZ181" s="273" t="s">
        <v>1224</v>
      </c>
      <c r="BB181">
        <f>IFERROR(VLOOKUP(Tabela1[[#This Row],[Denominação]],[10]Planilha1!$A:$B,2,FALSE),"")</f>
        <v>577021.89999999967</v>
      </c>
    </row>
    <row r="182" spans="1:54" ht="15" hidden="1" customHeight="1" x14ac:dyDescent="0.3">
      <c r="A182" s="253">
        <v>181</v>
      </c>
      <c r="B182" s="171" t="s">
        <v>405</v>
      </c>
      <c r="C182" s="209" t="s">
        <v>226</v>
      </c>
      <c r="D182" s="171">
        <v>10006125</v>
      </c>
      <c r="E182" s="253" t="s">
        <v>1329</v>
      </c>
      <c r="F182" s="210">
        <v>4531</v>
      </c>
      <c r="G182" s="171">
        <v>42559</v>
      </c>
      <c r="H182" s="171">
        <v>2012</v>
      </c>
      <c r="I182" s="213">
        <v>1058332.8799999999</v>
      </c>
      <c r="J182" s="213">
        <v>82470</v>
      </c>
      <c r="K182" s="170">
        <v>844335.76000000047</v>
      </c>
      <c r="L182" s="215">
        <v>1.38</v>
      </c>
      <c r="M182" s="212">
        <v>6104</v>
      </c>
      <c r="N182" s="212">
        <v>91875</v>
      </c>
      <c r="O182" s="171">
        <v>945</v>
      </c>
      <c r="P182" s="271" t="str">
        <f>IFERROR(VLOOKUP(Tabela1[[#This Row],[TAG]],#REF!,14,FALSE),"")</f>
        <v/>
      </c>
      <c r="Q182" s="271" t="e">
        <f t="shared" si="292"/>
        <v>#VALUE!</v>
      </c>
      <c r="R182" s="271" t="e">
        <f t="shared" si="293"/>
        <v>#VALUE!</v>
      </c>
      <c r="S182" s="271" t="e">
        <f t="shared" si="294"/>
        <v>#VALUE!</v>
      </c>
      <c r="T182" s="271" t="e">
        <f t="shared" si="295"/>
        <v>#VALUE!</v>
      </c>
      <c r="U182" s="271" t="e">
        <f t="shared" si="296"/>
        <v>#VALUE!</v>
      </c>
      <c r="V182" s="271" t="e">
        <f t="shared" si="297"/>
        <v>#VALUE!</v>
      </c>
      <c r="W182" s="218">
        <v>463.64</v>
      </c>
      <c r="X182" s="218">
        <v>5359.5</v>
      </c>
      <c r="Y182" s="203">
        <v>0.1</v>
      </c>
      <c r="Z182" s="203">
        <f>IF(Tabela1[[#This Row],[Ano Aquisição]]=2023,0,IFERROR(VLOOKUP(H182,inflação!$F:$H,3,FALSE),""))</f>
        <v>0.66500000000000004</v>
      </c>
      <c r="AA182" s="203">
        <v>0.8</v>
      </c>
      <c r="AB182" s="202">
        <f t="shared" si="286"/>
        <v>-1058332.8799999999</v>
      </c>
      <c r="AC182" s="204" t="e">
        <f t="shared" si="298"/>
        <v>#VALUE!</v>
      </c>
      <c r="AD182" s="204" t="e">
        <f t="shared" si="299"/>
        <v>#VALUE!</v>
      </c>
      <c r="AE182" s="204" t="e">
        <f t="shared" si="300"/>
        <v>#VALUE!</v>
      </c>
      <c r="AF182" s="204" t="e">
        <f t="shared" si="301"/>
        <v>#VALUE!</v>
      </c>
      <c r="AG182" s="204" t="e">
        <f t="shared" si="302"/>
        <v>#VALUE!</v>
      </c>
      <c r="AH182" s="204" t="e">
        <f t="shared" si="303"/>
        <v>#VALUE!</v>
      </c>
      <c r="AI182" s="204" t="e">
        <f t="shared" si="304"/>
        <v>#VALUE!</v>
      </c>
      <c r="AJ182" s="205">
        <f t="shared" si="287"/>
        <v>-1762124.2451999998</v>
      </c>
      <c r="AK182" s="204" t="e">
        <f t="shared" si="305"/>
        <v>#VALUE!</v>
      </c>
      <c r="AL182" s="204" t="e">
        <f t="shared" si="306"/>
        <v>#VALUE!</v>
      </c>
      <c r="AM182" s="204" t="e">
        <f t="shared" si="307"/>
        <v>#VALUE!</v>
      </c>
      <c r="AN182" s="204" t="e">
        <f t="shared" si="308"/>
        <v>#VALUE!</v>
      </c>
      <c r="AO182" s="204" t="e">
        <f t="shared" si="309"/>
        <v>#VALUE!</v>
      </c>
      <c r="AP182" s="204" t="e">
        <f t="shared" si="310"/>
        <v>#VALUE!</v>
      </c>
      <c r="AQ182" s="204" t="e">
        <f t="shared" si="311"/>
        <v>#VALUE!</v>
      </c>
      <c r="AR182" s="206" t="e">
        <f t="shared" si="288"/>
        <v>#VALUE!</v>
      </c>
      <c r="AS182" s="170" t="e">
        <f t="shared" si="312"/>
        <v>#VALUE!</v>
      </c>
      <c r="AT182" s="170" t="e">
        <f t="shared" si="313"/>
        <v>#VALUE!</v>
      </c>
      <c r="AU182" s="207" t="e">
        <f t="shared" si="289"/>
        <v>#VALUE!</v>
      </c>
      <c r="AV182" s="208" t="e">
        <f t="shared" si="290"/>
        <v>#VALUE!</v>
      </c>
      <c r="AW182" s="201" t="str">
        <f t="shared" si="291"/>
        <v>Fase de Degradação</v>
      </c>
      <c r="AX182" s="253" t="e">
        <f>VLOOKUP(D182,#REF!,5,FALSE)</f>
        <v>#REF!</v>
      </c>
      <c r="AY182" s="201"/>
      <c r="AZ182" s="273" t="s">
        <v>1224</v>
      </c>
      <c r="BB182">
        <f>IFERROR(VLOOKUP(Tabela1[[#This Row],[Denominação]],[10]Planilha1!$A:$B,2,FALSE),"")</f>
        <v>844335.76000000047</v>
      </c>
    </row>
    <row r="183" spans="1:54" ht="15" hidden="1" customHeight="1" x14ac:dyDescent="0.3">
      <c r="A183" s="268">
        <v>182</v>
      </c>
      <c r="B183" s="171" t="s">
        <v>252</v>
      </c>
      <c r="C183" s="209" t="s">
        <v>253</v>
      </c>
      <c r="D183" s="171">
        <v>10006129</v>
      </c>
      <c r="E183" s="253" t="s">
        <v>1330</v>
      </c>
      <c r="F183" s="210">
        <v>4531</v>
      </c>
      <c r="G183" s="171">
        <v>42560</v>
      </c>
      <c r="H183" s="171">
        <v>2012</v>
      </c>
      <c r="I183" s="213">
        <v>1059248.0900000001</v>
      </c>
      <c r="J183" s="213">
        <v>82776</v>
      </c>
      <c r="K183" s="170">
        <v>512214.0299999995</v>
      </c>
      <c r="L183" s="215">
        <v>1.81</v>
      </c>
      <c r="M183" s="212">
        <v>5761</v>
      </c>
      <c r="N183" s="212">
        <v>89698</v>
      </c>
      <c r="O183" s="171">
        <v>823</v>
      </c>
      <c r="P183" s="271" t="str">
        <f>IFERROR(VLOOKUP(Tabela1[[#This Row],[TAG]],#REF!,14,FALSE),"")</f>
        <v/>
      </c>
      <c r="Q183" s="271" t="e">
        <f t="shared" si="292"/>
        <v>#VALUE!</v>
      </c>
      <c r="R183" s="271" t="e">
        <f t="shared" si="293"/>
        <v>#VALUE!</v>
      </c>
      <c r="S183" s="271" t="e">
        <f t="shared" si="294"/>
        <v>#VALUE!</v>
      </c>
      <c r="T183" s="271" t="e">
        <f t="shared" si="295"/>
        <v>#VALUE!</v>
      </c>
      <c r="U183" s="271" t="e">
        <f t="shared" si="296"/>
        <v>#VALUE!</v>
      </c>
      <c r="V183" s="271" t="e">
        <f t="shared" si="297"/>
        <v>#VALUE!</v>
      </c>
      <c r="W183" s="218">
        <v>420.72</v>
      </c>
      <c r="X183" s="218">
        <v>4514.87</v>
      </c>
      <c r="Y183" s="203">
        <v>0.1</v>
      </c>
      <c r="Z183" s="203">
        <f>IF(Tabela1[[#This Row],[Ano Aquisição]]=2023,0,IFERROR(VLOOKUP(H183,inflação!$F:$H,3,FALSE),""))</f>
        <v>0.66500000000000004</v>
      </c>
      <c r="AA183" s="203">
        <v>0.8</v>
      </c>
      <c r="AB183" s="202">
        <f t="shared" si="286"/>
        <v>-1059248.0900000001</v>
      </c>
      <c r="AC183" s="204" t="e">
        <f t="shared" si="298"/>
        <v>#VALUE!</v>
      </c>
      <c r="AD183" s="204" t="e">
        <f t="shared" si="299"/>
        <v>#VALUE!</v>
      </c>
      <c r="AE183" s="204" t="e">
        <f t="shared" si="300"/>
        <v>#VALUE!</v>
      </c>
      <c r="AF183" s="204" t="e">
        <f t="shared" si="301"/>
        <v>#VALUE!</v>
      </c>
      <c r="AG183" s="204" t="e">
        <f t="shared" si="302"/>
        <v>#VALUE!</v>
      </c>
      <c r="AH183" s="204" t="e">
        <f t="shared" si="303"/>
        <v>#VALUE!</v>
      </c>
      <c r="AI183" s="204" t="e">
        <f t="shared" si="304"/>
        <v>#VALUE!</v>
      </c>
      <c r="AJ183" s="205">
        <f t="shared" si="287"/>
        <v>-1763648.0698500001</v>
      </c>
      <c r="AK183" s="204" t="e">
        <f t="shared" si="305"/>
        <v>#VALUE!</v>
      </c>
      <c r="AL183" s="204" t="e">
        <f t="shared" si="306"/>
        <v>#VALUE!</v>
      </c>
      <c r="AM183" s="204" t="e">
        <f t="shared" si="307"/>
        <v>#VALUE!</v>
      </c>
      <c r="AN183" s="204" t="e">
        <f t="shared" si="308"/>
        <v>#VALUE!</v>
      </c>
      <c r="AO183" s="204" t="e">
        <f t="shared" si="309"/>
        <v>#VALUE!</v>
      </c>
      <c r="AP183" s="204" t="e">
        <f t="shared" si="310"/>
        <v>#VALUE!</v>
      </c>
      <c r="AQ183" s="204" t="e">
        <f t="shared" si="311"/>
        <v>#VALUE!</v>
      </c>
      <c r="AR183" s="206" t="e">
        <f t="shared" si="288"/>
        <v>#VALUE!</v>
      </c>
      <c r="AS183" s="170" t="e">
        <f t="shared" si="312"/>
        <v>#VALUE!</v>
      </c>
      <c r="AT183" s="170" t="e">
        <f t="shared" si="313"/>
        <v>#VALUE!</v>
      </c>
      <c r="AU183" s="207" t="e">
        <f t="shared" si="289"/>
        <v>#VALUE!</v>
      </c>
      <c r="AV183" s="208" t="e">
        <f t="shared" si="290"/>
        <v>#VALUE!</v>
      </c>
      <c r="AW183" s="201" t="str">
        <f t="shared" si="291"/>
        <v>Fase de Degradação</v>
      </c>
      <c r="AX183" s="253" t="e">
        <f>VLOOKUP(D183,#REF!,5,FALSE)</f>
        <v>#REF!</v>
      </c>
      <c r="AY183" s="201"/>
      <c r="AZ183" s="273" t="s">
        <v>1224</v>
      </c>
      <c r="BB183">
        <f>IFERROR(VLOOKUP(Tabela1[[#This Row],[Denominação]],[10]Planilha1!$A:$B,2,FALSE),"")</f>
        <v>512214.0299999995</v>
      </c>
    </row>
    <row r="184" spans="1:54" ht="15" hidden="1" customHeight="1" x14ac:dyDescent="0.3">
      <c r="A184" s="253">
        <v>183</v>
      </c>
      <c r="B184" s="171" t="s">
        <v>411</v>
      </c>
      <c r="C184" s="209" t="s">
        <v>232</v>
      </c>
      <c r="D184" s="171">
        <v>10006127</v>
      </c>
      <c r="E184" s="253" t="s">
        <v>1331</v>
      </c>
      <c r="F184" s="210">
        <v>4531</v>
      </c>
      <c r="G184" s="171">
        <v>42561</v>
      </c>
      <c r="H184" s="171">
        <v>2012</v>
      </c>
      <c r="I184" s="213">
        <v>1044234.63</v>
      </c>
      <c r="J184" s="213">
        <v>81339</v>
      </c>
      <c r="K184" s="170">
        <v>748539.00999999931</v>
      </c>
      <c r="L184" s="215">
        <v>1.68</v>
      </c>
      <c r="M184" s="212">
        <v>6144</v>
      </c>
      <c r="N184" s="212">
        <v>89206</v>
      </c>
      <c r="O184" s="171">
        <v>839</v>
      </c>
      <c r="P184" s="271" t="str">
        <f>IFERROR(VLOOKUP(Tabela1[[#This Row],[TAG]],#REF!,14,FALSE),"")</f>
        <v/>
      </c>
      <c r="Q184" s="271" t="e">
        <f t="shared" si="292"/>
        <v>#VALUE!</v>
      </c>
      <c r="R184" s="271" t="e">
        <f t="shared" si="293"/>
        <v>#VALUE!</v>
      </c>
      <c r="S184" s="271" t="e">
        <f t="shared" si="294"/>
        <v>#VALUE!</v>
      </c>
      <c r="T184" s="271" t="e">
        <f t="shared" si="295"/>
        <v>#VALUE!</v>
      </c>
      <c r="U184" s="271" t="e">
        <f t="shared" si="296"/>
        <v>#VALUE!</v>
      </c>
      <c r="V184" s="271" t="e">
        <f t="shared" si="297"/>
        <v>#VALUE!</v>
      </c>
      <c r="W184" s="218">
        <v>550.29999999999995</v>
      </c>
      <c r="X184" s="218">
        <v>5798.33</v>
      </c>
      <c r="Y184" s="203">
        <v>0.1</v>
      </c>
      <c r="Z184" s="203">
        <f>IF(Tabela1[[#This Row],[Ano Aquisição]]=2023,0,IFERROR(VLOOKUP(H184,inflação!$F:$H,3,FALSE),""))</f>
        <v>0.66500000000000004</v>
      </c>
      <c r="AA184" s="203">
        <v>0.8</v>
      </c>
      <c r="AB184" s="202">
        <f t="shared" si="286"/>
        <v>-1044234.63</v>
      </c>
      <c r="AC184" s="204" t="e">
        <f t="shared" si="298"/>
        <v>#VALUE!</v>
      </c>
      <c r="AD184" s="204" t="e">
        <f t="shared" si="299"/>
        <v>#VALUE!</v>
      </c>
      <c r="AE184" s="204" t="e">
        <f t="shared" si="300"/>
        <v>#VALUE!</v>
      </c>
      <c r="AF184" s="204" t="e">
        <f t="shared" si="301"/>
        <v>#VALUE!</v>
      </c>
      <c r="AG184" s="204" t="e">
        <f t="shared" si="302"/>
        <v>#VALUE!</v>
      </c>
      <c r="AH184" s="204" t="e">
        <f t="shared" si="303"/>
        <v>#VALUE!</v>
      </c>
      <c r="AI184" s="204" t="e">
        <f t="shared" si="304"/>
        <v>#VALUE!</v>
      </c>
      <c r="AJ184" s="205">
        <f t="shared" si="287"/>
        <v>-1738650.6589500001</v>
      </c>
      <c r="AK184" s="204" t="e">
        <f t="shared" si="305"/>
        <v>#VALUE!</v>
      </c>
      <c r="AL184" s="204" t="e">
        <f t="shared" si="306"/>
        <v>#VALUE!</v>
      </c>
      <c r="AM184" s="204" t="e">
        <f t="shared" si="307"/>
        <v>#VALUE!</v>
      </c>
      <c r="AN184" s="204" t="e">
        <f t="shared" si="308"/>
        <v>#VALUE!</v>
      </c>
      <c r="AO184" s="204" t="e">
        <f t="shared" si="309"/>
        <v>#VALUE!</v>
      </c>
      <c r="AP184" s="204" t="e">
        <f t="shared" si="310"/>
        <v>#VALUE!</v>
      </c>
      <c r="AQ184" s="204" t="e">
        <f t="shared" si="311"/>
        <v>#VALUE!</v>
      </c>
      <c r="AR184" s="206" t="e">
        <f t="shared" si="288"/>
        <v>#VALUE!</v>
      </c>
      <c r="AS184" s="170" t="e">
        <f t="shared" si="312"/>
        <v>#VALUE!</v>
      </c>
      <c r="AT184" s="170" t="e">
        <f t="shared" si="313"/>
        <v>#VALUE!</v>
      </c>
      <c r="AU184" s="207" t="e">
        <f t="shared" si="289"/>
        <v>#VALUE!</v>
      </c>
      <c r="AV184" s="208" t="e">
        <f t="shared" si="290"/>
        <v>#VALUE!</v>
      </c>
      <c r="AW184" s="201" t="str">
        <f t="shared" si="291"/>
        <v>Fase de Degradação</v>
      </c>
      <c r="AX184" s="253" t="e">
        <f>VLOOKUP(D184,#REF!,5,FALSE)</f>
        <v>#REF!</v>
      </c>
      <c r="AY184" s="201"/>
      <c r="AZ184" s="273" t="s">
        <v>1224</v>
      </c>
      <c r="BB184">
        <f>IFERROR(VLOOKUP(Tabela1[[#This Row],[Denominação]],[10]Planilha1!$A:$B,2,FALSE),"")</f>
        <v>748539.00999999931</v>
      </c>
    </row>
    <row r="185" spans="1:54" ht="15" hidden="1" customHeight="1" x14ac:dyDescent="0.3">
      <c r="A185" s="268">
        <v>184</v>
      </c>
      <c r="B185" s="171" t="s">
        <v>407</v>
      </c>
      <c r="C185" s="209" t="s">
        <v>228</v>
      </c>
      <c r="D185" s="171">
        <v>10006128</v>
      </c>
      <c r="E185" s="253" t="s">
        <v>1332</v>
      </c>
      <c r="F185" s="210">
        <v>4531</v>
      </c>
      <c r="G185" s="171">
        <v>42562</v>
      </c>
      <c r="H185" s="171">
        <v>2012</v>
      </c>
      <c r="I185" s="213">
        <v>1044234.63</v>
      </c>
      <c r="J185" s="213">
        <v>81339</v>
      </c>
      <c r="K185" s="170">
        <v>853598.99000000046</v>
      </c>
      <c r="L185" s="215">
        <v>1.46</v>
      </c>
      <c r="M185" s="212">
        <v>5755</v>
      </c>
      <c r="N185" s="212">
        <v>89060</v>
      </c>
      <c r="O185" s="171">
        <v>1018</v>
      </c>
      <c r="P185" s="271" t="str">
        <f>IFERROR(VLOOKUP(Tabela1[[#This Row],[TAG]],#REF!,14,FALSE),"")</f>
        <v/>
      </c>
      <c r="Q185" s="271" t="e">
        <f t="shared" si="292"/>
        <v>#VALUE!</v>
      </c>
      <c r="R185" s="271" t="e">
        <f t="shared" si="293"/>
        <v>#VALUE!</v>
      </c>
      <c r="S185" s="271" t="e">
        <f t="shared" si="294"/>
        <v>#VALUE!</v>
      </c>
      <c r="T185" s="271" t="e">
        <f t="shared" si="295"/>
        <v>#VALUE!</v>
      </c>
      <c r="U185" s="271" t="e">
        <f t="shared" si="296"/>
        <v>#VALUE!</v>
      </c>
      <c r="V185" s="271" t="e">
        <f t="shared" si="297"/>
        <v>#VALUE!</v>
      </c>
      <c r="W185" s="218">
        <v>498.05</v>
      </c>
      <c r="X185" s="218">
        <v>5759.59</v>
      </c>
      <c r="Y185" s="203">
        <v>0.1</v>
      </c>
      <c r="Z185" s="203">
        <f>IF(Tabela1[[#This Row],[Ano Aquisição]]=2023,0,IFERROR(VLOOKUP(H185,inflação!$F:$H,3,FALSE),""))</f>
        <v>0.66500000000000004</v>
      </c>
      <c r="AA185" s="203">
        <v>0.8</v>
      </c>
      <c r="AB185" s="202">
        <f t="shared" si="286"/>
        <v>-1044234.63</v>
      </c>
      <c r="AC185" s="204" t="e">
        <f t="shared" si="298"/>
        <v>#VALUE!</v>
      </c>
      <c r="AD185" s="204" t="e">
        <f t="shared" si="299"/>
        <v>#VALUE!</v>
      </c>
      <c r="AE185" s="204" t="e">
        <f t="shared" si="300"/>
        <v>#VALUE!</v>
      </c>
      <c r="AF185" s="204" t="e">
        <f t="shared" si="301"/>
        <v>#VALUE!</v>
      </c>
      <c r="AG185" s="204" t="e">
        <f t="shared" si="302"/>
        <v>#VALUE!</v>
      </c>
      <c r="AH185" s="204" t="e">
        <f t="shared" si="303"/>
        <v>#VALUE!</v>
      </c>
      <c r="AI185" s="204" t="e">
        <f t="shared" si="304"/>
        <v>#VALUE!</v>
      </c>
      <c r="AJ185" s="205">
        <f t="shared" si="287"/>
        <v>-1738650.6589500001</v>
      </c>
      <c r="AK185" s="204" t="e">
        <f t="shared" si="305"/>
        <v>#VALUE!</v>
      </c>
      <c r="AL185" s="204" t="e">
        <f t="shared" si="306"/>
        <v>#VALUE!</v>
      </c>
      <c r="AM185" s="204" t="e">
        <f t="shared" si="307"/>
        <v>#VALUE!</v>
      </c>
      <c r="AN185" s="204" t="e">
        <f t="shared" si="308"/>
        <v>#VALUE!</v>
      </c>
      <c r="AO185" s="204" t="e">
        <f t="shared" si="309"/>
        <v>#VALUE!</v>
      </c>
      <c r="AP185" s="204" t="e">
        <f t="shared" si="310"/>
        <v>#VALUE!</v>
      </c>
      <c r="AQ185" s="204" t="e">
        <f t="shared" si="311"/>
        <v>#VALUE!</v>
      </c>
      <c r="AR185" s="206" t="e">
        <f t="shared" si="288"/>
        <v>#VALUE!</v>
      </c>
      <c r="AS185" s="170" t="e">
        <f t="shared" si="312"/>
        <v>#VALUE!</v>
      </c>
      <c r="AT185" s="170" t="e">
        <f t="shared" si="313"/>
        <v>#VALUE!</v>
      </c>
      <c r="AU185" s="207" t="e">
        <f t="shared" si="289"/>
        <v>#VALUE!</v>
      </c>
      <c r="AV185" s="208" t="e">
        <f t="shared" si="290"/>
        <v>#VALUE!</v>
      </c>
      <c r="AW185" s="201" t="str">
        <f t="shared" si="291"/>
        <v>Fase de Degradação</v>
      </c>
      <c r="AX185" s="253" t="e">
        <f>VLOOKUP(D185,#REF!,5,FALSE)</f>
        <v>#REF!</v>
      </c>
      <c r="AY185" s="201"/>
      <c r="AZ185" s="273" t="s">
        <v>1224</v>
      </c>
      <c r="BB185">
        <f>IFERROR(VLOOKUP(Tabela1[[#This Row],[Denominação]],[10]Planilha1!$A:$B,2,FALSE),"")</f>
        <v>853598.99000000046</v>
      </c>
    </row>
    <row r="186" spans="1:54" ht="15" hidden="1" customHeight="1" x14ac:dyDescent="0.3">
      <c r="A186" s="253">
        <v>185</v>
      </c>
      <c r="B186" s="171" t="s">
        <v>272</v>
      </c>
      <c r="C186" s="209" t="s">
        <v>273</v>
      </c>
      <c r="D186" s="171">
        <v>10006126</v>
      </c>
      <c r="E186" s="253" t="s">
        <v>1333</v>
      </c>
      <c r="F186" s="210">
        <v>4531</v>
      </c>
      <c r="G186" s="171">
        <v>42563</v>
      </c>
      <c r="H186" s="171">
        <v>2012</v>
      </c>
      <c r="I186" s="213">
        <v>1044234.65</v>
      </c>
      <c r="J186" s="213">
        <v>81339</v>
      </c>
      <c r="K186" s="170">
        <v>545069.4499999996</v>
      </c>
      <c r="L186" s="207">
        <v>1.52</v>
      </c>
      <c r="M186" s="212">
        <v>6102</v>
      </c>
      <c r="N186" s="212">
        <v>90247</v>
      </c>
      <c r="O186" s="171">
        <v>728</v>
      </c>
      <c r="P186" s="271" t="str">
        <f>IFERROR(VLOOKUP(Tabela1[[#This Row],[TAG]],#REF!,14,FALSE),"")</f>
        <v/>
      </c>
      <c r="Q186" s="271" t="e">
        <f t="shared" si="292"/>
        <v>#VALUE!</v>
      </c>
      <c r="R186" s="271" t="e">
        <f t="shared" si="293"/>
        <v>#VALUE!</v>
      </c>
      <c r="S186" s="271" t="e">
        <f t="shared" si="294"/>
        <v>#VALUE!</v>
      </c>
      <c r="T186" s="271" t="e">
        <f t="shared" si="295"/>
        <v>#VALUE!</v>
      </c>
      <c r="U186" s="271" t="e">
        <f t="shared" si="296"/>
        <v>#VALUE!</v>
      </c>
      <c r="V186" s="271" t="e">
        <f t="shared" si="297"/>
        <v>#VALUE!</v>
      </c>
      <c r="W186" s="218">
        <v>433.13</v>
      </c>
      <c r="X186" s="218">
        <v>3652.91</v>
      </c>
      <c r="Y186" s="203">
        <v>0.1</v>
      </c>
      <c r="Z186" s="203">
        <f>IF(Tabela1[[#This Row],[Ano Aquisição]]=2023,0,IFERROR(VLOOKUP(H186,inflação!$F:$H,3,FALSE),""))</f>
        <v>0.66500000000000004</v>
      </c>
      <c r="AA186" s="203">
        <v>0.8</v>
      </c>
      <c r="AB186" s="202">
        <f t="shared" si="286"/>
        <v>-1044234.65</v>
      </c>
      <c r="AC186" s="204" t="e">
        <f t="shared" si="298"/>
        <v>#VALUE!</v>
      </c>
      <c r="AD186" s="204" t="e">
        <f t="shared" si="299"/>
        <v>#VALUE!</v>
      </c>
      <c r="AE186" s="204" t="e">
        <f t="shared" si="300"/>
        <v>#VALUE!</v>
      </c>
      <c r="AF186" s="204" t="e">
        <f t="shared" si="301"/>
        <v>#VALUE!</v>
      </c>
      <c r="AG186" s="204" t="e">
        <f t="shared" si="302"/>
        <v>#VALUE!</v>
      </c>
      <c r="AH186" s="204" t="e">
        <f t="shared" si="303"/>
        <v>#VALUE!</v>
      </c>
      <c r="AI186" s="204" t="e">
        <f t="shared" si="304"/>
        <v>#VALUE!</v>
      </c>
      <c r="AJ186" s="205">
        <f t="shared" si="287"/>
        <v>-1738650.6922500001</v>
      </c>
      <c r="AK186" s="204" t="e">
        <f t="shared" si="305"/>
        <v>#VALUE!</v>
      </c>
      <c r="AL186" s="204" t="e">
        <f t="shared" si="306"/>
        <v>#VALUE!</v>
      </c>
      <c r="AM186" s="204" t="e">
        <f t="shared" si="307"/>
        <v>#VALUE!</v>
      </c>
      <c r="AN186" s="204" t="e">
        <f t="shared" si="308"/>
        <v>#VALUE!</v>
      </c>
      <c r="AO186" s="204" t="e">
        <f t="shared" si="309"/>
        <v>#VALUE!</v>
      </c>
      <c r="AP186" s="204" t="e">
        <f t="shared" si="310"/>
        <v>#VALUE!</v>
      </c>
      <c r="AQ186" s="204" t="e">
        <f t="shared" si="311"/>
        <v>#VALUE!</v>
      </c>
      <c r="AR186" s="206" t="e">
        <f t="shared" si="288"/>
        <v>#VALUE!</v>
      </c>
      <c r="AS186" s="170" t="e">
        <f t="shared" si="312"/>
        <v>#VALUE!</v>
      </c>
      <c r="AT186" s="170" t="e">
        <f t="shared" si="313"/>
        <v>#VALUE!</v>
      </c>
      <c r="AU186" s="207" t="e">
        <f t="shared" si="289"/>
        <v>#VALUE!</v>
      </c>
      <c r="AV186" s="208" t="e">
        <f t="shared" si="290"/>
        <v>#VALUE!</v>
      </c>
      <c r="AW186" s="201" t="str">
        <f t="shared" si="291"/>
        <v>Fase de Degradação</v>
      </c>
      <c r="AX186" s="253" t="e">
        <f>VLOOKUP(D186,#REF!,5,FALSE)</f>
        <v>#REF!</v>
      </c>
      <c r="AY186" s="201"/>
      <c r="AZ186" s="273" t="s">
        <v>1224</v>
      </c>
      <c r="BB186">
        <f>IFERROR(VLOOKUP(Tabela1[[#This Row],[Denominação]],[10]Planilha1!$A:$B,2,FALSE),"")</f>
        <v>545069.4499999996</v>
      </c>
    </row>
    <row r="187" spans="1:54" ht="15" hidden="1" customHeight="1" x14ac:dyDescent="0.3">
      <c r="A187" s="268">
        <v>186</v>
      </c>
      <c r="B187" s="171" t="s">
        <v>339</v>
      </c>
      <c r="C187" s="209" t="s">
        <v>160</v>
      </c>
      <c r="D187" s="171">
        <v>10006130</v>
      </c>
      <c r="E187" s="253" t="s">
        <v>1334</v>
      </c>
      <c r="F187" s="210">
        <v>4531</v>
      </c>
      <c r="G187" s="171">
        <v>42564</v>
      </c>
      <c r="H187" s="171">
        <v>2012</v>
      </c>
      <c r="I187" s="213">
        <v>1044224.84</v>
      </c>
      <c r="J187" s="213">
        <v>81335</v>
      </c>
      <c r="K187" s="170">
        <v>992937.67999999819</v>
      </c>
      <c r="L187" s="215">
        <v>1.58</v>
      </c>
      <c r="M187" s="212">
        <v>5573</v>
      </c>
      <c r="N187" s="212">
        <v>90661</v>
      </c>
      <c r="O187" s="171">
        <v>861</v>
      </c>
      <c r="P187" s="271" t="str">
        <f>IFERROR(VLOOKUP(Tabela1[[#This Row],[TAG]],#REF!,14,FALSE),"")</f>
        <v/>
      </c>
      <c r="Q187" s="271" t="e">
        <f t="shared" si="292"/>
        <v>#VALUE!</v>
      </c>
      <c r="R187" s="271" t="e">
        <f t="shared" si="293"/>
        <v>#VALUE!</v>
      </c>
      <c r="S187" s="271" t="e">
        <f t="shared" si="294"/>
        <v>#VALUE!</v>
      </c>
      <c r="T187" s="271" t="e">
        <f t="shared" si="295"/>
        <v>#VALUE!</v>
      </c>
      <c r="U187" s="271" t="e">
        <f t="shared" si="296"/>
        <v>#VALUE!</v>
      </c>
      <c r="V187" s="271" t="e">
        <f t="shared" si="297"/>
        <v>#VALUE!</v>
      </c>
      <c r="W187" s="218">
        <v>488.55</v>
      </c>
      <c r="X187" s="218">
        <v>4773.66</v>
      </c>
      <c r="Y187" s="203">
        <v>0.1</v>
      </c>
      <c r="Z187" s="203">
        <f>IF(Tabela1[[#This Row],[Ano Aquisição]]=2023,0,IFERROR(VLOOKUP(H187,inflação!$F:$H,3,FALSE),""))</f>
        <v>0.66500000000000004</v>
      </c>
      <c r="AA187" s="203">
        <v>0.8</v>
      </c>
      <c r="AB187" s="202">
        <f t="shared" si="286"/>
        <v>-1044224.84</v>
      </c>
      <c r="AC187" s="204" t="e">
        <f t="shared" si="298"/>
        <v>#VALUE!</v>
      </c>
      <c r="AD187" s="204" t="e">
        <f t="shared" si="299"/>
        <v>#VALUE!</v>
      </c>
      <c r="AE187" s="204" t="e">
        <f t="shared" si="300"/>
        <v>#VALUE!</v>
      </c>
      <c r="AF187" s="204" t="e">
        <f t="shared" si="301"/>
        <v>#VALUE!</v>
      </c>
      <c r="AG187" s="204" t="e">
        <f t="shared" si="302"/>
        <v>#VALUE!</v>
      </c>
      <c r="AH187" s="204" t="e">
        <f t="shared" si="303"/>
        <v>#VALUE!</v>
      </c>
      <c r="AI187" s="204" t="e">
        <f t="shared" si="304"/>
        <v>#VALUE!</v>
      </c>
      <c r="AJ187" s="205">
        <f t="shared" si="287"/>
        <v>-1738634.3585999999</v>
      </c>
      <c r="AK187" s="204" t="e">
        <f t="shared" si="305"/>
        <v>#VALUE!</v>
      </c>
      <c r="AL187" s="204" t="e">
        <f t="shared" si="306"/>
        <v>#VALUE!</v>
      </c>
      <c r="AM187" s="204" t="e">
        <f t="shared" si="307"/>
        <v>#VALUE!</v>
      </c>
      <c r="AN187" s="204" t="e">
        <f t="shared" si="308"/>
        <v>#VALUE!</v>
      </c>
      <c r="AO187" s="204" t="e">
        <f t="shared" si="309"/>
        <v>#VALUE!</v>
      </c>
      <c r="AP187" s="204" t="e">
        <f t="shared" si="310"/>
        <v>#VALUE!</v>
      </c>
      <c r="AQ187" s="204" t="e">
        <f t="shared" si="311"/>
        <v>#VALUE!</v>
      </c>
      <c r="AR187" s="206" t="e">
        <f t="shared" si="288"/>
        <v>#VALUE!</v>
      </c>
      <c r="AS187" s="170" t="e">
        <f t="shared" si="312"/>
        <v>#VALUE!</v>
      </c>
      <c r="AT187" s="170" t="e">
        <f t="shared" si="313"/>
        <v>#VALUE!</v>
      </c>
      <c r="AU187" s="207" t="e">
        <f t="shared" si="289"/>
        <v>#VALUE!</v>
      </c>
      <c r="AV187" s="208" t="e">
        <f t="shared" si="290"/>
        <v>#VALUE!</v>
      </c>
      <c r="AW187" s="201" t="str">
        <f t="shared" si="291"/>
        <v>Fase de Degradação</v>
      </c>
      <c r="AX187" s="253" t="e">
        <f>VLOOKUP(D187,#REF!,5,FALSE)</f>
        <v>#REF!</v>
      </c>
      <c r="AY187" s="201"/>
      <c r="AZ187" s="273" t="s">
        <v>1224</v>
      </c>
      <c r="BB187">
        <f>IFERROR(VLOOKUP(Tabela1[[#This Row],[Denominação]],[10]Planilha1!$A:$B,2,FALSE),"")</f>
        <v>992937.67999999819</v>
      </c>
    </row>
    <row r="188" spans="1:54" ht="15" hidden="1" customHeight="1" x14ac:dyDescent="0.3">
      <c r="A188" s="253">
        <v>187</v>
      </c>
      <c r="B188" s="171" t="s">
        <v>404</v>
      </c>
      <c r="C188" s="209" t="s">
        <v>225</v>
      </c>
      <c r="D188" s="171">
        <v>10006131</v>
      </c>
      <c r="E188" s="253" t="s">
        <v>1335</v>
      </c>
      <c r="F188" s="210">
        <v>4531</v>
      </c>
      <c r="G188" s="171">
        <v>43112</v>
      </c>
      <c r="H188" s="171">
        <v>2013</v>
      </c>
      <c r="I188" s="213">
        <v>1276446.5</v>
      </c>
      <c r="J188" s="213">
        <v>130002</v>
      </c>
      <c r="K188" s="170">
        <v>746514.70999999845</v>
      </c>
      <c r="L188" s="215">
        <v>1.64</v>
      </c>
      <c r="M188" s="212">
        <v>5517</v>
      </c>
      <c r="N188" s="212">
        <v>89210</v>
      </c>
      <c r="O188" s="171">
        <v>921</v>
      </c>
      <c r="P188" s="271" t="str">
        <f>IFERROR(VLOOKUP(Tabela1[[#This Row],[TAG]],#REF!,14,FALSE),"")</f>
        <v/>
      </c>
      <c r="Q188" s="271" t="e">
        <f t="shared" si="292"/>
        <v>#VALUE!</v>
      </c>
      <c r="R188" s="271" t="e">
        <f t="shared" si="293"/>
        <v>#VALUE!</v>
      </c>
      <c r="S188" s="271" t="e">
        <f t="shared" si="294"/>
        <v>#VALUE!</v>
      </c>
      <c r="T188" s="271" t="e">
        <f t="shared" si="295"/>
        <v>#VALUE!</v>
      </c>
      <c r="U188" s="271" t="e">
        <f t="shared" si="296"/>
        <v>#VALUE!</v>
      </c>
      <c r="V188" s="271" t="e">
        <f t="shared" si="297"/>
        <v>#VALUE!</v>
      </c>
      <c r="W188" s="218">
        <v>484.63</v>
      </c>
      <c r="X188" s="218">
        <v>5900.82</v>
      </c>
      <c r="Y188" s="203">
        <v>0.1</v>
      </c>
      <c r="Z188" s="203">
        <f>IF(Tabela1[[#This Row],[Ano Aquisição]]=2023,0,IFERROR(VLOOKUP(H188,inflação!$F:$H,3,FALSE),""))</f>
        <v>0.60660000000000003</v>
      </c>
      <c r="AA188" s="203">
        <v>0.8</v>
      </c>
      <c r="AB188" s="202">
        <f t="shared" si="286"/>
        <v>-1276446.5</v>
      </c>
      <c r="AC188" s="204" t="e">
        <f t="shared" si="298"/>
        <v>#VALUE!</v>
      </c>
      <c r="AD188" s="204" t="e">
        <f t="shared" si="299"/>
        <v>#VALUE!</v>
      </c>
      <c r="AE188" s="204" t="e">
        <f t="shared" si="300"/>
        <v>#VALUE!</v>
      </c>
      <c r="AF188" s="204" t="e">
        <f t="shared" si="301"/>
        <v>#VALUE!</v>
      </c>
      <c r="AG188" s="204" t="e">
        <f t="shared" si="302"/>
        <v>#VALUE!</v>
      </c>
      <c r="AH188" s="204" t="e">
        <f t="shared" si="303"/>
        <v>#VALUE!</v>
      </c>
      <c r="AI188" s="204" t="e">
        <f t="shared" si="304"/>
        <v>#VALUE!</v>
      </c>
      <c r="AJ188" s="205">
        <f t="shared" si="287"/>
        <v>-2050738.9469000001</v>
      </c>
      <c r="AK188" s="204" t="e">
        <f t="shared" si="305"/>
        <v>#VALUE!</v>
      </c>
      <c r="AL188" s="204" t="e">
        <f t="shared" si="306"/>
        <v>#VALUE!</v>
      </c>
      <c r="AM188" s="204" t="e">
        <f t="shared" si="307"/>
        <v>#VALUE!</v>
      </c>
      <c r="AN188" s="204" t="e">
        <f t="shared" si="308"/>
        <v>#VALUE!</v>
      </c>
      <c r="AO188" s="204" t="e">
        <f t="shared" si="309"/>
        <v>#VALUE!</v>
      </c>
      <c r="AP188" s="204" t="e">
        <f t="shared" si="310"/>
        <v>#VALUE!</v>
      </c>
      <c r="AQ188" s="204" t="e">
        <f t="shared" si="311"/>
        <v>#VALUE!</v>
      </c>
      <c r="AR188" s="206" t="e">
        <f t="shared" si="288"/>
        <v>#VALUE!</v>
      </c>
      <c r="AS188" s="170" t="e">
        <f t="shared" si="312"/>
        <v>#VALUE!</v>
      </c>
      <c r="AT188" s="170" t="e">
        <f t="shared" si="313"/>
        <v>#VALUE!</v>
      </c>
      <c r="AU188" s="207" t="e">
        <f t="shared" si="289"/>
        <v>#VALUE!</v>
      </c>
      <c r="AV188" s="208" t="e">
        <f t="shared" si="290"/>
        <v>#VALUE!</v>
      </c>
      <c r="AW188" s="201" t="str">
        <f t="shared" si="291"/>
        <v>Fase de Degradação</v>
      </c>
      <c r="AX188" s="253" t="e">
        <f>VLOOKUP(D188,#REF!,5,FALSE)</f>
        <v>#REF!</v>
      </c>
      <c r="AY188" s="201"/>
      <c r="AZ188" s="273" t="s">
        <v>1224</v>
      </c>
      <c r="BB188">
        <f>IFERROR(VLOOKUP(Tabela1[[#This Row],[Denominação]],[10]Planilha1!$A:$B,2,FALSE),"")</f>
        <v>746514.70999999845</v>
      </c>
    </row>
    <row r="189" spans="1:54" ht="15" hidden="1" customHeight="1" x14ac:dyDescent="0.3">
      <c r="A189" s="268">
        <v>188</v>
      </c>
      <c r="B189" s="171" t="s">
        <v>401</v>
      </c>
      <c r="C189" s="209" t="s">
        <v>222</v>
      </c>
      <c r="D189" s="171">
        <v>10006132</v>
      </c>
      <c r="E189" s="253" t="s">
        <v>1336</v>
      </c>
      <c r="F189" s="210">
        <v>4531</v>
      </c>
      <c r="G189" s="171">
        <v>42565</v>
      </c>
      <c r="H189" s="171">
        <v>2012</v>
      </c>
      <c r="I189" s="213">
        <v>1076581.98</v>
      </c>
      <c r="J189" s="213">
        <v>83851</v>
      </c>
      <c r="K189" s="170">
        <v>908242.97999999905</v>
      </c>
      <c r="L189" s="215">
        <v>1.55</v>
      </c>
      <c r="M189" s="212">
        <v>6283</v>
      </c>
      <c r="N189" s="212">
        <v>89630</v>
      </c>
      <c r="O189" s="171">
        <v>1101</v>
      </c>
      <c r="P189" s="271" t="str">
        <f>IFERROR(VLOOKUP(Tabela1[[#This Row],[TAG]],#REF!,14,FALSE),"")</f>
        <v/>
      </c>
      <c r="Q189" s="271" t="e">
        <f t="shared" si="292"/>
        <v>#VALUE!</v>
      </c>
      <c r="R189" s="271" t="e">
        <f t="shared" si="293"/>
        <v>#VALUE!</v>
      </c>
      <c r="S189" s="271" t="e">
        <f t="shared" si="294"/>
        <v>#VALUE!</v>
      </c>
      <c r="T189" s="271" t="e">
        <f t="shared" si="295"/>
        <v>#VALUE!</v>
      </c>
      <c r="U189" s="271" t="e">
        <f t="shared" si="296"/>
        <v>#VALUE!</v>
      </c>
      <c r="V189" s="271" t="e">
        <f t="shared" si="297"/>
        <v>#VALUE!</v>
      </c>
      <c r="W189" s="218">
        <v>481.81</v>
      </c>
      <c r="X189" s="218">
        <v>7051.29</v>
      </c>
      <c r="Y189" s="203">
        <v>0.1</v>
      </c>
      <c r="Z189" s="203">
        <f>IF(Tabela1[[#This Row],[Ano Aquisição]]=2023,0,IFERROR(VLOOKUP(H189,inflação!$F:$H,3,FALSE),""))</f>
        <v>0.66500000000000004</v>
      </c>
      <c r="AA189" s="203">
        <v>0.8</v>
      </c>
      <c r="AB189" s="202">
        <f t="shared" si="286"/>
        <v>-1076581.98</v>
      </c>
      <c r="AC189" s="204" t="e">
        <f t="shared" si="298"/>
        <v>#VALUE!</v>
      </c>
      <c r="AD189" s="204" t="e">
        <f t="shared" si="299"/>
        <v>#VALUE!</v>
      </c>
      <c r="AE189" s="204" t="e">
        <f t="shared" si="300"/>
        <v>#VALUE!</v>
      </c>
      <c r="AF189" s="204" t="e">
        <f t="shared" si="301"/>
        <v>#VALUE!</v>
      </c>
      <c r="AG189" s="204" t="e">
        <f t="shared" si="302"/>
        <v>#VALUE!</v>
      </c>
      <c r="AH189" s="204" t="e">
        <f t="shared" si="303"/>
        <v>#VALUE!</v>
      </c>
      <c r="AI189" s="204" t="e">
        <f t="shared" si="304"/>
        <v>#VALUE!</v>
      </c>
      <c r="AJ189" s="205">
        <f t="shared" si="287"/>
        <v>-1792508.9967</v>
      </c>
      <c r="AK189" s="204" t="e">
        <f t="shared" si="305"/>
        <v>#VALUE!</v>
      </c>
      <c r="AL189" s="204" t="e">
        <f t="shared" si="306"/>
        <v>#VALUE!</v>
      </c>
      <c r="AM189" s="204" t="e">
        <f t="shared" si="307"/>
        <v>#VALUE!</v>
      </c>
      <c r="AN189" s="204" t="e">
        <f t="shared" si="308"/>
        <v>#VALUE!</v>
      </c>
      <c r="AO189" s="204" t="e">
        <f t="shared" si="309"/>
        <v>#VALUE!</v>
      </c>
      <c r="AP189" s="204" t="e">
        <f t="shared" si="310"/>
        <v>#VALUE!</v>
      </c>
      <c r="AQ189" s="204" t="e">
        <f t="shared" si="311"/>
        <v>#VALUE!</v>
      </c>
      <c r="AR189" s="206" t="e">
        <f t="shared" si="288"/>
        <v>#VALUE!</v>
      </c>
      <c r="AS189" s="170" t="e">
        <f t="shared" si="312"/>
        <v>#VALUE!</v>
      </c>
      <c r="AT189" s="170" t="e">
        <f t="shared" si="313"/>
        <v>#VALUE!</v>
      </c>
      <c r="AU189" s="207" t="e">
        <f t="shared" si="289"/>
        <v>#VALUE!</v>
      </c>
      <c r="AV189" s="208" t="e">
        <f t="shared" si="290"/>
        <v>#VALUE!</v>
      </c>
      <c r="AW189" s="201" t="str">
        <f t="shared" si="291"/>
        <v>Fase de Degradação</v>
      </c>
      <c r="AX189" s="253" t="e">
        <f>VLOOKUP(D189,#REF!,5,FALSE)</f>
        <v>#REF!</v>
      </c>
      <c r="AY189" s="201"/>
      <c r="AZ189" s="273" t="s">
        <v>1224</v>
      </c>
      <c r="BB189">
        <f>IFERROR(VLOOKUP(Tabela1[[#This Row],[Denominação]],[10]Planilha1!$A:$B,2,FALSE),"")</f>
        <v>908242.97999999905</v>
      </c>
    </row>
    <row r="190" spans="1:54" ht="15" hidden="1" customHeight="1" x14ac:dyDescent="0.3">
      <c r="A190" s="253">
        <v>189</v>
      </c>
      <c r="B190" s="171" t="s">
        <v>250</v>
      </c>
      <c r="C190" s="209" t="s">
        <v>251</v>
      </c>
      <c r="D190" s="171">
        <v>10006133</v>
      </c>
      <c r="E190" s="253" t="s">
        <v>1337</v>
      </c>
      <c r="F190" s="210">
        <v>4531</v>
      </c>
      <c r="G190" s="171">
        <v>43111</v>
      </c>
      <c r="H190" s="171">
        <v>2013</v>
      </c>
      <c r="I190" s="213">
        <v>1276069.47</v>
      </c>
      <c r="J190" s="213">
        <v>129961</v>
      </c>
      <c r="K190" s="170">
        <v>951692.56999999937</v>
      </c>
      <c r="L190" s="215">
        <v>1.53</v>
      </c>
      <c r="M190" s="212">
        <v>5487</v>
      </c>
      <c r="N190" s="212">
        <v>89225</v>
      </c>
      <c r="O190" s="171">
        <v>912</v>
      </c>
      <c r="P190" s="271" t="str">
        <f>IFERROR(VLOOKUP(Tabela1[[#This Row],[TAG]],#REF!,14,FALSE),"")</f>
        <v/>
      </c>
      <c r="Q190" s="271" t="e">
        <f t="shared" si="292"/>
        <v>#VALUE!</v>
      </c>
      <c r="R190" s="271" t="e">
        <f t="shared" si="293"/>
        <v>#VALUE!</v>
      </c>
      <c r="S190" s="271" t="e">
        <f t="shared" si="294"/>
        <v>#VALUE!</v>
      </c>
      <c r="T190" s="271" t="e">
        <f t="shared" si="295"/>
        <v>#VALUE!</v>
      </c>
      <c r="U190" s="271" t="e">
        <f t="shared" si="296"/>
        <v>#VALUE!</v>
      </c>
      <c r="V190" s="271" t="e">
        <f t="shared" si="297"/>
        <v>#VALUE!</v>
      </c>
      <c r="W190" s="218">
        <v>454.63</v>
      </c>
      <c r="X190" s="218">
        <v>5271.48</v>
      </c>
      <c r="Y190" s="203">
        <v>0.1</v>
      </c>
      <c r="Z190" s="203">
        <f>IF(Tabela1[[#This Row],[Ano Aquisição]]=2023,0,IFERROR(VLOOKUP(H190,inflação!$F:$H,3,FALSE),""))</f>
        <v>0.60660000000000003</v>
      </c>
      <c r="AA190" s="203">
        <v>0.8</v>
      </c>
      <c r="AB190" s="202">
        <f t="shared" si="286"/>
        <v>-1276069.47</v>
      </c>
      <c r="AC190" s="204" t="e">
        <f t="shared" si="298"/>
        <v>#VALUE!</v>
      </c>
      <c r="AD190" s="204" t="e">
        <f t="shared" si="299"/>
        <v>#VALUE!</v>
      </c>
      <c r="AE190" s="204" t="e">
        <f t="shared" si="300"/>
        <v>#VALUE!</v>
      </c>
      <c r="AF190" s="204" t="e">
        <f t="shared" si="301"/>
        <v>#VALUE!</v>
      </c>
      <c r="AG190" s="204" t="e">
        <f t="shared" si="302"/>
        <v>#VALUE!</v>
      </c>
      <c r="AH190" s="204" t="e">
        <f t="shared" si="303"/>
        <v>#VALUE!</v>
      </c>
      <c r="AI190" s="204" t="e">
        <f t="shared" si="304"/>
        <v>#VALUE!</v>
      </c>
      <c r="AJ190" s="205">
        <f t="shared" si="287"/>
        <v>-2050133.2105020001</v>
      </c>
      <c r="AK190" s="204" t="e">
        <f t="shared" si="305"/>
        <v>#VALUE!</v>
      </c>
      <c r="AL190" s="204" t="e">
        <f t="shared" si="306"/>
        <v>#VALUE!</v>
      </c>
      <c r="AM190" s="204" t="e">
        <f t="shared" si="307"/>
        <v>#VALUE!</v>
      </c>
      <c r="AN190" s="204" t="e">
        <f t="shared" si="308"/>
        <v>#VALUE!</v>
      </c>
      <c r="AO190" s="204" t="e">
        <f t="shared" si="309"/>
        <v>#VALUE!</v>
      </c>
      <c r="AP190" s="204" t="e">
        <f t="shared" si="310"/>
        <v>#VALUE!</v>
      </c>
      <c r="AQ190" s="204" t="e">
        <f t="shared" si="311"/>
        <v>#VALUE!</v>
      </c>
      <c r="AR190" s="206" t="e">
        <f t="shared" si="288"/>
        <v>#VALUE!</v>
      </c>
      <c r="AS190" s="170" t="e">
        <f t="shared" si="312"/>
        <v>#VALUE!</v>
      </c>
      <c r="AT190" s="170" t="e">
        <f t="shared" si="313"/>
        <v>#VALUE!</v>
      </c>
      <c r="AU190" s="207" t="e">
        <f t="shared" si="289"/>
        <v>#VALUE!</v>
      </c>
      <c r="AV190" s="208" t="e">
        <f t="shared" si="290"/>
        <v>#VALUE!</v>
      </c>
      <c r="AW190" s="201" t="str">
        <f t="shared" si="291"/>
        <v>Fase de Degradação</v>
      </c>
      <c r="AX190" s="253" t="e">
        <f>VLOOKUP(D190,#REF!,5,FALSE)</f>
        <v>#REF!</v>
      </c>
      <c r="AY190" s="201"/>
      <c r="AZ190" s="273" t="s">
        <v>1224</v>
      </c>
      <c r="BB190">
        <f>IFERROR(VLOOKUP(Tabela1[[#This Row],[Denominação]],[10]Planilha1!$A:$B,2,FALSE),"")</f>
        <v>951692.56999999937</v>
      </c>
    </row>
    <row r="191" spans="1:54" ht="15" hidden="1" customHeight="1" x14ac:dyDescent="0.3">
      <c r="A191" s="268">
        <v>190</v>
      </c>
      <c r="B191" s="171" t="s">
        <v>359</v>
      </c>
      <c r="C191" s="209" t="s">
        <v>180</v>
      </c>
      <c r="D191" s="171">
        <v>10006134</v>
      </c>
      <c r="E191" s="253" t="s">
        <v>1338</v>
      </c>
      <c r="F191" s="210">
        <v>4531</v>
      </c>
      <c r="G191" s="171">
        <v>43110</v>
      </c>
      <c r="H191" s="171">
        <v>2013</v>
      </c>
      <c r="I191" s="213">
        <v>1276069.47</v>
      </c>
      <c r="J191" s="213">
        <v>129961</v>
      </c>
      <c r="K191" s="170">
        <v>999023.54999999923</v>
      </c>
      <c r="L191" s="215">
        <v>1.57</v>
      </c>
      <c r="M191" s="212">
        <v>5983</v>
      </c>
      <c r="N191" s="212">
        <v>89382</v>
      </c>
      <c r="O191" s="171">
        <v>1063</v>
      </c>
      <c r="P191" s="271" t="str">
        <f>IFERROR(VLOOKUP(Tabela1[[#This Row],[TAG]],#REF!,14,FALSE),"")</f>
        <v/>
      </c>
      <c r="Q191" s="271" t="e">
        <f t="shared" si="292"/>
        <v>#VALUE!</v>
      </c>
      <c r="R191" s="271" t="e">
        <f t="shared" si="293"/>
        <v>#VALUE!</v>
      </c>
      <c r="S191" s="271" t="e">
        <f t="shared" si="294"/>
        <v>#VALUE!</v>
      </c>
      <c r="T191" s="271" t="e">
        <f t="shared" si="295"/>
        <v>#VALUE!</v>
      </c>
      <c r="U191" s="271" t="e">
        <f t="shared" si="296"/>
        <v>#VALUE!</v>
      </c>
      <c r="V191" s="271" t="e">
        <f t="shared" si="297"/>
        <v>#VALUE!</v>
      </c>
      <c r="W191" s="218">
        <v>481.8</v>
      </c>
      <c r="X191" s="218">
        <v>6144.46</v>
      </c>
      <c r="Y191" s="203">
        <v>0.1</v>
      </c>
      <c r="Z191" s="203">
        <f>IF(Tabela1[[#This Row],[Ano Aquisição]]=2023,0,IFERROR(VLOOKUP(H191,inflação!$F:$H,3,FALSE),""))</f>
        <v>0.60660000000000003</v>
      </c>
      <c r="AA191" s="203">
        <v>0.8</v>
      </c>
      <c r="AB191" s="202">
        <f t="shared" si="286"/>
        <v>-1276069.47</v>
      </c>
      <c r="AC191" s="204" t="e">
        <f t="shared" si="298"/>
        <v>#VALUE!</v>
      </c>
      <c r="AD191" s="204" t="e">
        <f t="shared" si="299"/>
        <v>#VALUE!</v>
      </c>
      <c r="AE191" s="204" t="e">
        <f t="shared" si="300"/>
        <v>#VALUE!</v>
      </c>
      <c r="AF191" s="204" t="e">
        <f t="shared" si="301"/>
        <v>#VALUE!</v>
      </c>
      <c r="AG191" s="204" t="e">
        <f t="shared" si="302"/>
        <v>#VALUE!</v>
      </c>
      <c r="AH191" s="204" t="e">
        <f t="shared" si="303"/>
        <v>#VALUE!</v>
      </c>
      <c r="AI191" s="204" t="e">
        <f t="shared" si="304"/>
        <v>#VALUE!</v>
      </c>
      <c r="AJ191" s="205">
        <f t="shared" si="287"/>
        <v>-2050133.2105020001</v>
      </c>
      <c r="AK191" s="204" t="e">
        <f t="shared" si="305"/>
        <v>#VALUE!</v>
      </c>
      <c r="AL191" s="204" t="e">
        <f t="shared" si="306"/>
        <v>#VALUE!</v>
      </c>
      <c r="AM191" s="204" t="e">
        <f t="shared" si="307"/>
        <v>#VALUE!</v>
      </c>
      <c r="AN191" s="204" t="e">
        <f t="shared" si="308"/>
        <v>#VALUE!</v>
      </c>
      <c r="AO191" s="204" t="e">
        <f t="shared" si="309"/>
        <v>#VALUE!</v>
      </c>
      <c r="AP191" s="204" t="e">
        <f t="shared" si="310"/>
        <v>#VALUE!</v>
      </c>
      <c r="AQ191" s="204" t="e">
        <f t="shared" si="311"/>
        <v>#VALUE!</v>
      </c>
      <c r="AR191" s="206" t="e">
        <f t="shared" si="288"/>
        <v>#VALUE!</v>
      </c>
      <c r="AS191" s="170" t="e">
        <f t="shared" si="312"/>
        <v>#VALUE!</v>
      </c>
      <c r="AT191" s="170" t="e">
        <f t="shared" si="313"/>
        <v>#VALUE!</v>
      </c>
      <c r="AU191" s="207" t="e">
        <f t="shared" si="289"/>
        <v>#VALUE!</v>
      </c>
      <c r="AV191" s="208" t="e">
        <f t="shared" si="290"/>
        <v>#VALUE!</v>
      </c>
      <c r="AW191" s="201" t="str">
        <f t="shared" si="291"/>
        <v>Fase de Degradação</v>
      </c>
      <c r="AX191" s="253" t="e">
        <f>VLOOKUP(D191,#REF!,5,FALSE)</f>
        <v>#REF!</v>
      </c>
      <c r="AY191" s="201"/>
      <c r="AZ191" s="273" t="s">
        <v>1224</v>
      </c>
      <c r="BB191">
        <f>IFERROR(VLOOKUP(Tabela1[[#This Row],[Denominação]],[10]Planilha1!$A:$B,2,FALSE),"")</f>
        <v>999023.54999999923</v>
      </c>
    </row>
    <row r="192" spans="1:54" ht="15" hidden="1" customHeight="1" x14ac:dyDescent="0.3">
      <c r="A192" s="253">
        <v>191</v>
      </c>
      <c r="B192" s="171" t="s">
        <v>318</v>
      </c>
      <c r="C192" s="209" t="s">
        <v>139</v>
      </c>
      <c r="D192" s="171">
        <v>10006280</v>
      </c>
      <c r="E192" s="253" t="s">
        <v>1323</v>
      </c>
      <c r="F192" s="210">
        <v>1075</v>
      </c>
      <c r="G192" s="171">
        <v>44210</v>
      </c>
      <c r="H192" s="171">
        <v>2014</v>
      </c>
      <c r="I192" s="213">
        <v>1441579.15</v>
      </c>
      <c r="J192" s="213">
        <v>255807</v>
      </c>
      <c r="K192" s="170">
        <v>848460.99000000011</v>
      </c>
      <c r="L192" s="215">
        <v>1.39</v>
      </c>
      <c r="M192" s="212">
        <v>6299</v>
      </c>
      <c r="N192" s="212">
        <v>67400</v>
      </c>
      <c r="O192" s="171">
        <v>195</v>
      </c>
      <c r="P192" s="271" t="str">
        <f>IFERROR(VLOOKUP(Tabela1[[#This Row],[TAG]],#REF!,14,FALSE),"")</f>
        <v/>
      </c>
      <c r="Q192" s="204" t="e">
        <f t="shared" si="292"/>
        <v>#VALUE!</v>
      </c>
      <c r="R192" s="204" t="e">
        <f t="shared" si="293"/>
        <v>#VALUE!</v>
      </c>
      <c r="S192" s="204" t="e">
        <f t="shared" si="294"/>
        <v>#VALUE!</v>
      </c>
      <c r="T192" s="204" t="e">
        <f t="shared" si="295"/>
        <v>#VALUE!</v>
      </c>
      <c r="U192" s="204" t="e">
        <f t="shared" si="296"/>
        <v>#VALUE!</v>
      </c>
      <c r="V192" s="204" t="e">
        <f t="shared" si="297"/>
        <v>#VALUE!</v>
      </c>
      <c r="W192" s="218">
        <v>832.37</v>
      </c>
      <c r="X192" s="170">
        <v>2101.84</v>
      </c>
      <c r="Y192" s="203">
        <v>0.1</v>
      </c>
      <c r="Z192" s="203">
        <f>IF(Tabela1[[#This Row],[Ano Aquisição]]=2023,0,IFERROR(VLOOKUP(H192,inflação!$F:$H,3,FALSE),""))</f>
        <v>0.54749999999999999</v>
      </c>
      <c r="AA192" s="203">
        <v>0.8</v>
      </c>
      <c r="AB192" s="202">
        <f t="shared" si="286"/>
        <v>-1441579.15</v>
      </c>
      <c r="AC192" s="204" t="e">
        <f t="shared" si="298"/>
        <v>#VALUE!</v>
      </c>
      <c r="AD192" s="204" t="e">
        <f t="shared" si="299"/>
        <v>#VALUE!</v>
      </c>
      <c r="AE192" s="204" t="e">
        <f t="shared" si="300"/>
        <v>#VALUE!</v>
      </c>
      <c r="AF192" s="204" t="e">
        <f t="shared" si="301"/>
        <v>#VALUE!</v>
      </c>
      <c r="AG192" s="204" t="e">
        <f t="shared" si="302"/>
        <v>#VALUE!</v>
      </c>
      <c r="AH192" s="204" t="e">
        <f t="shared" si="303"/>
        <v>#VALUE!</v>
      </c>
      <c r="AI192" s="204" t="e">
        <f t="shared" si="304"/>
        <v>#VALUE!</v>
      </c>
      <c r="AJ192" s="205">
        <f t="shared" si="287"/>
        <v>-2230843.7346249996</v>
      </c>
      <c r="AK192" s="204" t="e">
        <f t="shared" si="305"/>
        <v>#VALUE!</v>
      </c>
      <c r="AL192" s="204" t="e">
        <f t="shared" si="306"/>
        <v>#VALUE!</v>
      </c>
      <c r="AM192" s="204" t="e">
        <f t="shared" si="307"/>
        <v>#VALUE!</v>
      </c>
      <c r="AN192" s="204" t="e">
        <f t="shared" si="308"/>
        <v>#VALUE!</v>
      </c>
      <c r="AO192" s="204" t="e">
        <f t="shared" si="309"/>
        <v>#VALUE!</v>
      </c>
      <c r="AP192" s="204" t="e">
        <f t="shared" si="310"/>
        <v>#VALUE!</v>
      </c>
      <c r="AQ192" s="204" t="e">
        <f t="shared" si="311"/>
        <v>#VALUE!</v>
      </c>
      <c r="AR192" s="206" t="e">
        <f t="shared" si="288"/>
        <v>#VALUE!</v>
      </c>
      <c r="AS192" s="170" t="e">
        <f t="shared" si="312"/>
        <v>#VALUE!</v>
      </c>
      <c r="AT192" s="170" t="e">
        <f t="shared" si="313"/>
        <v>#VALUE!</v>
      </c>
      <c r="AU192" s="207" t="e">
        <f t="shared" si="289"/>
        <v>#VALUE!</v>
      </c>
      <c r="AV192" s="208" t="e">
        <f t="shared" si="290"/>
        <v>#VALUE!</v>
      </c>
      <c r="AW192" s="201" t="str">
        <f t="shared" si="291"/>
        <v>Fase de Degradação</v>
      </c>
      <c r="AX192" s="253" t="e">
        <f>VLOOKUP(D192,#REF!,5,FALSE)</f>
        <v>#REF!</v>
      </c>
      <c r="AY192" s="201"/>
      <c r="AZ192" s="273" t="s">
        <v>1224</v>
      </c>
      <c r="BB192">
        <f>IFERROR(VLOOKUP(Tabela1[[#This Row],[Denominação]],[10]Planilha1!$A:$B,2,FALSE),"")</f>
        <v>848460.99000000011</v>
      </c>
    </row>
    <row r="193" spans="1:54" ht="15" hidden="1" customHeight="1" x14ac:dyDescent="0.3">
      <c r="A193" s="268">
        <v>192</v>
      </c>
      <c r="B193" s="171" t="s">
        <v>327</v>
      </c>
      <c r="C193" s="209" t="s">
        <v>148</v>
      </c>
      <c r="D193" s="171">
        <v>20001593</v>
      </c>
      <c r="E193" s="253" t="s">
        <v>1339</v>
      </c>
      <c r="F193" s="210">
        <v>3314</v>
      </c>
      <c r="G193" s="171">
        <v>44574</v>
      </c>
      <c r="H193" s="171">
        <v>2014</v>
      </c>
      <c r="I193" s="213">
        <v>3085413.66</v>
      </c>
      <c r="J193" s="213">
        <v>1527441</v>
      </c>
      <c r="K193" s="170">
        <v>3034646.1999999997</v>
      </c>
      <c r="L193" s="207">
        <v>1.4</v>
      </c>
      <c r="M193" s="212">
        <v>5781.3360000000002</v>
      </c>
      <c r="N193" s="212">
        <v>70236</v>
      </c>
      <c r="O193" s="171">
        <v>825</v>
      </c>
      <c r="P193" s="271" t="str">
        <f>IFERROR(VLOOKUP(Tabela1[[#This Row],[TAG]],#REF!,14,FALSE),"")</f>
        <v/>
      </c>
      <c r="Q193" s="204" t="e">
        <f t="shared" si="292"/>
        <v>#VALUE!</v>
      </c>
      <c r="R193" s="204" t="e">
        <f t="shared" si="293"/>
        <v>#VALUE!</v>
      </c>
      <c r="S193" s="204" t="e">
        <f t="shared" si="294"/>
        <v>#VALUE!</v>
      </c>
      <c r="T193" s="204" t="e">
        <f t="shared" si="295"/>
        <v>#VALUE!</v>
      </c>
      <c r="U193" s="204" t="e">
        <f t="shared" si="296"/>
        <v>#VALUE!</v>
      </c>
      <c r="V193" s="204" t="e">
        <f t="shared" si="297"/>
        <v>#VALUE!</v>
      </c>
      <c r="W193" s="218">
        <v>1020.6</v>
      </c>
      <c r="X193" s="218">
        <v>17845.060000000001</v>
      </c>
      <c r="Y193" s="203">
        <v>0.1</v>
      </c>
      <c r="Z193" s="203">
        <f>IF(Tabela1[[#This Row],[Ano Aquisição]]=2023,0,IFERROR(VLOOKUP(H193,inflação!$F:$H,3,FALSE),""))</f>
        <v>0.54749999999999999</v>
      </c>
      <c r="AA193" s="203">
        <v>0.8</v>
      </c>
      <c r="AB193" s="202">
        <f t="shared" si="286"/>
        <v>-3085413.66</v>
      </c>
      <c r="AC193" s="204" t="e">
        <f t="shared" si="298"/>
        <v>#VALUE!</v>
      </c>
      <c r="AD193" s="204" t="e">
        <f t="shared" si="299"/>
        <v>#VALUE!</v>
      </c>
      <c r="AE193" s="204" t="e">
        <f t="shared" si="300"/>
        <v>#VALUE!</v>
      </c>
      <c r="AF193" s="204" t="e">
        <f t="shared" si="301"/>
        <v>#VALUE!</v>
      </c>
      <c r="AG193" s="204" t="e">
        <f t="shared" si="302"/>
        <v>#VALUE!</v>
      </c>
      <c r="AH193" s="204" t="e">
        <f t="shared" si="303"/>
        <v>#VALUE!</v>
      </c>
      <c r="AI193" s="204" t="e">
        <f t="shared" si="304"/>
        <v>#VALUE!</v>
      </c>
      <c r="AJ193" s="205">
        <f t="shared" si="287"/>
        <v>-4774677.6388499998</v>
      </c>
      <c r="AK193" s="204" t="e">
        <f t="shared" si="305"/>
        <v>#VALUE!</v>
      </c>
      <c r="AL193" s="204" t="e">
        <f t="shared" si="306"/>
        <v>#VALUE!</v>
      </c>
      <c r="AM193" s="204" t="e">
        <f t="shared" si="307"/>
        <v>#VALUE!</v>
      </c>
      <c r="AN193" s="204" t="e">
        <f t="shared" si="308"/>
        <v>#VALUE!</v>
      </c>
      <c r="AO193" s="204" t="e">
        <f t="shared" si="309"/>
        <v>#VALUE!</v>
      </c>
      <c r="AP193" s="204" t="e">
        <f t="shared" si="310"/>
        <v>#VALUE!</v>
      </c>
      <c r="AQ193" s="204" t="e">
        <f t="shared" si="311"/>
        <v>#VALUE!</v>
      </c>
      <c r="AR193" s="206" t="e">
        <f t="shared" si="288"/>
        <v>#VALUE!</v>
      </c>
      <c r="AS193" s="170" t="e">
        <f t="shared" si="312"/>
        <v>#VALUE!</v>
      </c>
      <c r="AT193" s="170" t="e">
        <f t="shared" si="313"/>
        <v>#VALUE!</v>
      </c>
      <c r="AU193" s="207" t="e">
        <f t="shared" si="289"/>
        <v>#VALUE!</v>
      </c>
      <c r="AV193" s="208" t="e">
        <f t="shared" si="290"/>
        <v>#VALUE!</v>
      </c>
      <c r="AW193" s="201" t="str">
        <f t="shared" si="291"/>
        <v>Fase de Degradação</v>
      </c>
      <c r="AX193" s="253" t="e">
        <f>VLOOKUP(D193,#REF!,5,FALSE)</f>
        <v>#REF!</v>
      </c>
      <c r="AY193" s="201"/>
      <c r="AZ193" s="273" t="s">
        <v>1224</v>
      </c>
      <c r="BB193">
        <f>IFERROR(VLOOKUP(Tabela1[[#This Row],[Denominação]],[10]Planilha1!$A:$B,2,FALSE),"")</f>
        <v>3034646.1999999997</v>
      </c>
    </row>
    <row r="194" spans="1:54" ht="15" hidden="1" customHeight="1" x14ac:dyDescent="0.3">
      <c r="A194" s="253">
        <v>193</v>
      </c>
      <c r="B194" s="171" t="s">
        <v>274</v>
      </c>
      <c r="C194" s="209" t="s">
        <v>275</v>
      </c>
      <c r="D194" s="171">
        <v>10006323</v>
      </c>
      <c r="E194" s="253" t="s">
        <v>1340</v>
      </c>
      <c r="F194" s="210">
        <v>4531</v>
      </c>
      <c r="G194" s="171">
        <v>45739</v>
      </c>
      <c r="H194" s="171">
        <v>2015</v>
      </c>
      <c r="I194" s="213">
        <v>2226295.27</v>
      </c>
      <c r="J194" s="213">
        <v>628044</v>
      </c>
      <c r="K194" s="170">
        <v>1204827.4600000021</v>
      </c>
      <c r="L194" s="207">
        <v>1.26</v>
      </c>
      <c r="M194" s="212">
        <v>5224</v>
      </c>
      <c r="N194" s="212">
        <v>70151</v>
      </c>
      <c r="O194" s="171">
        <v>877</v>
      </c>
      <c r="P194" s="271" t="str">
        <f>IFERROR(VLOOKUP(Tabela1[[#This Row],[TAG]],#REF!,14,FALSE),"")</f>
        <v/>
      </c>
      <c r="Q194" s="271" t="e">
        <f t="shared" si="292"/>
        <v>#VALUE!</v>
      </c>
      <c r="R194" s="271" t="e">
        <f t="shared" si="293"/>
        <v>#VALUE!</v>
      </c>
      <c r="S194" s="271" t="e">
        <f t="shared" si="294"/>
        <v>#VALUE!</v>
      </c>
      <c r="T194" s="271" t="e">
        <f t="shared" si="295"/>
        <v>#VALUE!</v>
      </c>
      <c r="U194" s="271" t="e">
        <f t="shared" si="296"/>
        <v>#VALUE!</v>
      </c>
      <c r="V194" s="271" t="e">
        <f t="shared" si="297"/>
        <v>#VALUE!</v>
      </c>
      <c r="W194" s="218">
        <v>636.63</v>
      </c>
      <c r="X194" s="218">
        <v>7761.98</v>
      </c>
      <c r="Y194" s="203">
        <v>0.1</v>
      </c>
      <c r="Z194" s="203">
        <f>IF(Tabela1[[#This Row],[Ano Aquisição]]=2023,0,IFERROR(VLOOKUP(H194,inflação!$F:$H,3,FALSE),""))</f>
        <v>0.4834</v>
      </c>
      <c r="AA194" s="203">
        <v>0.8</v>
      </c>
      <c r="AB194" s="202">
        <f t="shared" si="286"/>
        <v>-2226295.27</v>
      </c>
      <c r="AC194" s="204" t="e">
        <f t="shared" si="298"/>
        <v>#VALUE!</v>
      </c>
      <c r="AD194" s="204" t="e">
        <f t="shared" si="299"/>
        <v>#VALUE!</v>
      </c>
      <c r="AE194" s="204" t="e">
        <f t="shared" si="300"/>
        <v>#VALUE!</v>
      </c>
      <c r="AF194" s="204" t="e">
        <f t="shared" si="301"/>
        <v>#VALUE!</v>
      </c>
      <c r="AG194" s="204" t="e">
        <f t="shared" si="302"/>
        <v>#VALUE!</v>
      </c>
      <c r="AH194" s="204" t="e">
        <f t="shared" si="303"/>
        <v>#VALUE!</v>
      </c>
      <c r="AI194" s="204" t="e">
        <f t="shared" si="304"/>
        <v>#VALUE!</v>
      </c>
      <c r="AJ194" s="205">
        <f t="shared" si="287"/>
        <v>-3302486.4035180002</v>
      </c>
      <c r="AK194" s="204" t="e">
        <f t="shared" si="305"/>
        <v>#VALUE!</v>
      </c>
      <c r="AL194" s="204" t="e">
        <f t="shared" si="306"/>
        <v>#VALUE!</v>
      </c>
      <c r="AM194" s="204" t="e">
        <f t="shared" si="307"/>
        <v>#VALUE!</v>
      </c>
      <c r="AN194" s="204" t="e">
        <f t="shared" si="308"/>
        <v>#VALUE!</v>
      </c>
      <c r="AO194" s="204" t="e">
        <f t="shared" si="309"/>
        <v>#VALUE!</v>
      </c>
      <c r="AP194" s="204" t="e">
        <f t="shared" si="310"/>
        <v>#VALUE!</v>
      </c>
      <c r="AQ194" s="204" t="e">
        <f t="shared" si="311"/>
        <v>#VALUE!</v>
      </c>
      <c r="AR194" s="206" t="e">
        <f t="shared" si="288"/>
        <v>#VALUE!</v>
      </c>
      <c r="AS194" s="170" t="e">
        <f t="shared" si="312"/>
        <v>#VALUE!</v>
      </c>
      <c r="AT194" s="170" t="e">
        <f t="shared" si="313"/>
        <v>#VALUE!</v>
      </c>
      <c r="AU194" s="207" t="e">
        <f t="shared" si="289"/>
        <v>#VALUE!</v>
      </c>
      <c r="AV194" s="208" t="e">
        <f t="shared" si="290"/>
        <v>#VALUE!</v>
      </c>
      <c r="AW194" s="201" t="str">
        <f t="shared" si="291"/>
        <v>Fase de Degradação</v>
      </c>
      <c r="AX194" s="253" t="e">
        <f>VLOOKUP(D194,#REF!,5,FALSE)</f>
        <v>#REF!</v>
      </c>
      <c r="AY194" s="201"/>
      <c r="AZ194" s="273" t="s">
        <v>1224</v>
      </c>
      <c r="BB194">
        <f>IFERROR(VLOOKUP(Tabela1[[#This Row],[Denominação]],[10]Planilha1!$A:$B,2,FALSE),"")</f>
        <v>1204827.4600000021</v>
      </c>
    </row>
    <row r="195" spans="1:54" ht="15" hidden="1" customHeight="1" x14ac:dyDescent="0.3">
      <c r="A195" s="268">
        <v>194</v>
      </c>
      <c r="B195" s="171" t="s">
        <v>329</v>
      </c>
      <c r="C195" s="209" t="s">
        <v>150</v>
      </c>
      <c r="D195" s="171">
        <v>10006326</v>
      </c>
      <c r="E195" s="253" t="s">
        <v>1341</v>
      </c>
      <c r="F195" s="210">
        <v>4531</v>
      </c>
      <c r="G195" s="171">
        <v>45738</v>
      </c>
      <c r="H195" s="171">
        <v>2015</v>
      </c>
      <c r="I195" s="213">
        <v>2226295.2599999998</v>
      </c>
      <c r="J195" s="213">
        <v>628044</v>
      </c>
      <c r="K195" s="170">
        <v>1900016.920000002</v>
      </c>
      <c r="L195" s="215">
        <v>1.53</v>
      </c>
      <c r="M195" s="212">
        <v>4703</v>
      </c>
      <c r="N195" s="212">
        <v>70418</v>
      </c>
      <c r="O195" s="171">
        <v>825</v>
      </c>
      <c r="P195" s="271" t="str">
        <f>IFERROR(VLOOKUP(Tabela1[[#This Row],[TAG]],#REF!,14,FALSE),"")</f>
        <v/>
      </c>
      <c r="Q195" s="271" t="e">
        <f t="shared" si="292"/>
        <v>#VALUE!</v>
      </c>
      <c r="R195" s="271" t="e">
        <f t="shared" si="293"/>
        <v>#VALUE!</v>
      </c>
      <c r="S195" s="271" t="e">
        <f t="shared" si="294"/>
        <v>#VALUE!</v>
      </c>
      <c r="T195" s="271" t="e">
        <f t="shared" si="295"/>
        <v>#VALUE!</v>
      </c>
      <c r="U195" s="271" t="e">
        <f t="shared" si="296"/>
        <v>#VALUE!</v>
      </c>
      <c r="V195" s="271" t="e">
        <f t="shared" si="297"/>
        <v>#VALUE!</v>
      </c>
      <c r="W195" s="218">
        <v>893.72</v>
      </c>
      <c r="X195" s="218">
        <v>10486.18</v>
      </c>
      <c r="Y195" s="203">
        <v>0.1</v>
      </c>
      <c r="Z195" s="203">
        <f>IF(Tabela1[[#This Row],[Ano Aquisição]]=2023,0,IFERROR(VLOOKUP(H195,inflação!$F:$H,3,FALSE),""))</f>
        <v>0.4834</v>
      </c>
      <c r="AA195" s="203">
        <v>0.8</v>
      </c>
      <c r="AB195" s="202">
        <f t="shared" si="286"/>
        <v>-2226295.2599999998</v>
      </c>
      <c r="AC195" s="204" t="e">
        <f t="shared" si="298"/>
        <v>#VALUE!</v>
      </c>
      <c r="AD195" s="204" t="e">
        <f t="shared" si="299"/>
        <v>#VALUE!</v>
      </c>
      <c r="AE195" s="204" t="e">
        <f t="shared" si="300"/>
        <v>#VALUE!</v>
      </c>
      <c r="AF195" s="204" t="e">
        <f t="shared" si="301"/>
        <v>#VALUE!</v>
      </c>
      <c r="AG195" s="204" t="e">
        <f t="shared" si="302"/>
        <v>#VALUE!</v>
      </c>
      <c r="AH195" s="204" t="e">
        <f t="shared" si="303"/>
        <v>#VALUE!</v>
      </c>
      <c r="AI195" s="204" t="e">
        <f t="shared" si="304"/>
        <v>#VALUE!</v>
      </c>
      <c r="AJ195" s="205">
        <f t="shared" si="287"/>
        <v>-3302486.3886839999</v>
      </c>
      <c r="AK195" s="204" t="e">
        <f t="shared" si="305"/>
        <v>#VALUE!</v>
      </c>
      <c r="AL195" s="204" t="e">
        <f t="shared" si="306"/>
        <v>#VALUE!</v>
      </c>
      <c r="AM195" s="204" t="e">
        <f t="shared" si="307"/>
        <v>#VALUE!</v>
      </c>
      <c r="AN195" s="204" t="e">
        <f t="shared" si="308"/>
        <v>#VALUE!</v>
      </c>
      <c r="AO195" s="204" t="e">
        <f t="shared" si="309"/>
        <v>#VALUE!</v>
      </c>
      <c r="AP195" s="204" t="e">
        <f t="shared" si="310"/>
        <v>#VALUE!</v>
      </c>
      <c r="AQ195" s="204" t="e">
        <f t="shared" si="311"/>
        <v>#VALUE!</v>
      </c>
      <c r="AR195" s="206" t="e">
        <f t="shared" si="288"/>
        <v>#VALUE!</v>
      </c>
      <c r="AS195" s="170" t="e">
        <f t="shared" si="312"/>
        <v>#VALUE!</v>
      </c>
      <c r="AT195" s="170" t="e">
        <f t="shared" si="313"/>
        <v>#VALUE!</v>
      </c>
      <c r="AU195" s="207" t="e">
        <f t="shared" si="289"/>
        <v>#VALUE!</v>
      </c>
      <c r="AV195" s="208" t="e">
        <f t="shared" si="290"/>
        <v>#VALUE!</v>
      </c>
      <c r="AW195" s="201" t="str">
        <f t="shared" si="291"/>
        <v>Fase de Degradação</v>
      </c>
      <c r="AX195" s="253" t="e">
        <f>VLOOKUP(D195,#REF!,5,FALSE)</f>
        <v>#REF!</v>
      </c>
      <c r="AY195" s="201"/>
      <c r="AZ195" s="273" t="s">
        <v>1224</v>
      </c>
      <c r="BB195">
        <f>IFERROR(VLOOKUP(Tabela1[[#This Row],[Denominação]],[10]Planilha1!$A:$B,2,FALSE),"")</f>
        <v>1900016.920000002</v>
      </c>
    </row>
    <row r="196" spans="1:54" ht="15" hidden="1" customHeight="1" x14ac:dyDescent="0.3">
      <c r="A196" s="253">
        <v>195</v>
      </c>
      <c r="B196" s="171" t="s">
        <v>633</v>
      </c>
      <c r="C196" s="209" t="s">
        <v>634</v>
      </c>
      <c r="D196" s="171">
        <v>10006373</v>
      </c>
      <c r="E196" s="253" t="s">
        <v>1342</v>
      </c>
      <c r="F196" s="210">
        <v>2540</v>
      </c>
      <c r="G196" s="171">
        <v>46406</v>
      </c>
      <c r="H196" s="171">
        <v>2015</v>
      </c>
      <c r="I196" s="213">
        <v>370342.89</v>
      </c>
      <c r="J196" s="213">
        <v>119723</v>
      </c>
      <c r="K196" s="170">
        <v>194464.28000000006</v>
      </c>
      <c r="L196" s="215">
        <v>1.26</v>
      </c>
      <c r="M196" s="307">
        <v>4863.5652</v>
      </c>
      <c r="N196" s="212">
        <v>63471</v>
      </c>
      <c r="O196" s="171">
        <v>44</v>
      </c>
      <c r="P196" s="271" t="str">
        <f>IFERROR(VLOOKUP(Tabela1[[#This Row],[TAG]],#REF!,14,FALSE),"")</f>
        <v/>
      </c>
      <c r="Q196" s="204" t="e">
        <f t="shared" si="292"/>
        <v>#VALUE!</v>
      </c>
      <c r="R196" s="204" t="e">
        <f t="shared" si="293"/>
        <v>#VALUE!</v>
      </c>
      <c r="S196" s="204" t="e">
        <f t="shared" si="294"/>
        <v>#VALUE!</v>
      </c>
      <c r="T196" s="204" t="e">
        <f t="shared" si="295"/>
        <v>#VALUE!</v>
      </c>
      <c r="U196" s="204" t="e">
        <f t="shared" si="296"/>
        <v>#VALUE!</v>
      </c>
      <c r="V196" s="204" t="e">
        <f t="shared" si="297"/>
        <v>#VALUE!</v>
      </c>
      <c r="W196" s="304">
        <v>1018.17</v>
      </c>
      <c r="X196" s="304">
        <v>1999.45</v>
      </c>
      <c r="Y196" s="203">
        <v>0.1</v>
      </c>
      <c r="Z196" s="203">
        <f>IF(Tabela1[[#This Row],[Ano Aquisição]]=2023,0,IFERROR(VLOOKUP(H196,inflação!$F:$H,3,FALSE),""))</f>
        <v>0.4834</v>
      </c>
      <c r="AA196" s="203">
        <v>0.8</v>
      </c>
      <c r="AB196" s="202">
        <f t="shared" si="286"/>
        <v>-370342.89</v>
      </c>
      <c r="AC196" s="204" t="e">
        <f t="shared" si="298"/>
        <v>#VALUE!</v>
      </c>
      <c r="AD196" s="204" t="e">
        <f t="shared" si="299"/>
        <v>#VALUE!</v>
      </c>
      <c r="AE196" s="204" t="e">
        <f t="shared" si="300"/>
        <v>#VALUE!</v>
      </c>
      <c r="AF196" s="204" t="e">
        <f t="shared" si="301"/>
        <v>#VALUE!</v>
      </c>
      <c r="AG196" s="204" t="e">
        <f t="shared" si="302"/>
        <v>#VALUE!</v>
      </c>
      <c r="AH196" s="204" t="e">
        <f t="shared" si="303"/>
        <v>#VALUE!</v>
      </c>
      <c r="AI196" s="204" t="e">
        <f t="shared" si="304"/>
        <v>#VALUE!</v>
      </c>
      <c r="AJ196" s="205">
        <f t="shared" si="287"/>
        <v>-549366.64302600001</v>
      </c>
      <c r="AK196" s="204" t="e">
        <f t="shared" si="305"/>
        <v>#VALUE!</v>
      </c>
      <c r="AL196" s="204" t="e">
        <f t="shared" si="306"/>
        <v>#VALUE!</v>
      </c>
      <c r="AM196" s="204" t="e">
        <f t="shared" si="307"/>
        <v>#VALUE!</v>
      </c>
      <c r="AN196" s="204" t="e">
        <f t="shared" si="308"/>
        <v>#VALUE!</v>
      </c>
      <c r="AO196" s="204" t="e">
        <f t="shared" si="309"/>
        <v>#VALUE!</v>
      </c>
      <c r="AP196" s="204" t="e">
        <f t="shared" si="310"/>
        <v>#VALUE!</v>
      </c>
      <c r="AQ196" s="204" t="e">
        <f t="shared" si="311"/>
        <v>#VALUE!</v>
      </c>
      <c r="AR196" s="206" t="e">
        <f t="shared" si="288"/>
        <v>#VALUE!</v>
      </c>
      <c r="AS196" s="170" t="e">
        <f t="shared" si="312"/>
        <v>#VALUE!</v>
      </c>
      <c r="AT196" s="170" t="e">
        <f t="shared" si="313"/>
        <v>#VALUE!</v>
      </c>
      <c r="AU196" s="207" t="e">
        <f t="shared" si="289"/>
        <v>#VALUE!</v>
      </c>
      <c r="AV196" s="208" t="e">
        <f t="shared" si="290"/>
        <v>#VALUE!</v>
      </c>
      <c r="AW196" s="201" t="str">
        <f t="shared" si="291"/>
        <v>Fase de Degradação</v>
      </c>
      <c r="AX196" s="253" t="e">
        <f>VLOOKUP(D196,#REF!,5,FALSE)</f>
        <v>#REF!</v>
      </c>
      <c r="AY196" s="201"/>
      <c r="AZ196" s="273" t="s">
        <v>1224</v>
      </c>
      <c r="BB196">
        <f>IFERROR(VLOOKUP(Tabela1[[#This Row],[Denominação]],[10]Planilha1!$A:$B,2,FALSE),"")</f>
        <v>194464.28000000006</v>
      </c>
    </row>
    <row r="197" spans="1:54" ht="15" hidden="1" customHeight="1" x14ac:dyDescent="0.3">
      <c r="A197" s="268">
        <v>196</v>
      </c>
      <c r="B197" s="171" t="s">
        <v>336</v>
      </c>
      <c r="C197" s="209" t="s">
        <v>157</v>
      </c>
      <c r="D197" s="171">
        <v>10006376</v>
      </c>
      <c r="E197" s="253" t="s">
        <v>1343</v>
      </c>
      <c r="F197" s="210">
        <v>3314</v>
      </c>
      <c r="G197" s="171">
        <v>46444</v>
      </c>
      <c r="H197" s="171">
        <v>2015</v>
      </c>
      <c r="I197" s="213">
        <v>3909717.49</v>
      </c>
      <c r="J197" s="213">
        <v>1433239</v>
      </c>
      <c r="K197" s="170">
        <v>1745936.3399999989</v>
      </c>
      <c r="L197" s="207">
        <v>1.57</v>
      </c>
      <c r="M197" s="212">
        <v>5520.7536</v>
      </c>
      <c r="N197" s="212">
        <v>63350</v>
      </c>
      <c r="O197" s="171">
        <v>838</v>
      </c>
      <c r="P197" s="271" t="str">
        <f>IFERROR(VLOOKUP(Tabela1[[#This Row],[TAG]],#REF!,14,FALSE),"")</f>
        <v/>
      </c>
      <c r="Q197" s="204" t="e">
        <f t="shared" si="292"/>
        <v>#VALUE!</v>
      </c>
      <c r="R197" s="204" t="e">
        <f t="shared" si="293"/>
        <v>#VALUE!</v>
      </c>
      <c r="S197" s="204" t="e">
        <f t="shared" si="294"/>
        <v>#VALUE!</v>
      </c>
      <c r="T197" s="204" t="e">
        <f t="shared" si="295"/>
        <v>#VALUE!</v>
      </c>
      <c r="U197" s="204" t="e">
        <f t="shared" si="296"/>
        <v>#VALUE!</v>
      </c>
      <c r="V197" s="204" t="e">
        <f t="shared" si="297"/>
        <v>#VALUE!</v>
      </c>
      <c r="W197" s="218">
        <v>809.75</v>
      </c>
      <c r="X197" s="218">
        <v>14198.3</v>
      </c>
      <c r="Y197" s="203">
        <v>0.1</v>
      </c>
      <c r="Z197" s="203">
        <f>IF(Tabela1[[#This Row],[Ano Aquisição]]=2023,0,IFERROR(VLOOKUP(H197,inflação!$F:$H,3,FALSE),""))</f>
        <v>0.4834</v>
      </c>
      <c r="AA197" s="203">
        <v>0.8</v>
      </c>
      <c r="AB197" s="202">
        <f t="shared" si="286"/>
        <v>-3909717.49</v>
      </c>
      <c r="AC197" s="204" t="e">
        <f t="shared" si="298"/>
        <v>#VALUE!</v>
      </c>
      <c r="AD197" s="204" t="e">
        <f t="shared" si="299"/>
        <v>#VALUE!</v>
      </c>
      <c r="AE197" s="204" t="e">
        <f t="shared" si="300"/>
        <v>#VALUE!</v>
      </c>
      <c r="AF197" s="204" t="e">
        <f t="shared" si="301"/>
        <v>#VALUE!</v>
      </c>
      <c r="AG197" s="204" t="e">
        <f t="shared" si="302"/>
        <v>#VALUE!</v>
      </c>
      <c r="AH197" s="204" t="e">
        <f t="shared" si="303"/>
        <v>#VALUE!</v>
      </c>
      <c r="AI197" s="204" t="e">
        <f t="shared" si="304"/>
        <v>#VALUE!</v>
      </c>
      <c r="AJ197" s="205">
        <f t="shared" si="287"/>
        <v>-5799674.9246660005</v>
      </c>
      <c r="AK197" s="204" t="e">
        <f t="shared" si="305"/>
        <v>#VALUE!</v>
      </c>
      <c r="AL197" s="204" t="e">
        <f t="shared" si="306"/>
        <v>#VALUE!</v>
      </c>
      <c r="AM197" s="204" t="e">
        <f t="shared" si="307"/>
        <v>#VALUE!</v>
      </c>
      <c r="AN197" s="204" t="e">
        <f t="shared" si="308"/>
        <v>#VALUE!</v>
      </c>
      <c r="AO197" s="204" t="e">
        <f t="shared" si="309"/>
        <v>#VALUE!</v>
      </c>
      <c r="AP197" s="204" t="e">
        <f t="shared" si="310"/>
        <v>#VALUE!</v>
      </c>
      <c r="AQ197" s="204" t="e">
        <f t="shared" si="311"/>
        <v>#VALUE!</v>
      </c>
      <c r="AR197" s="206" t="e">
        <f t="shared" si="288"/>
        <v>#VALUE!</v>
      </c>
      <c r="AS197" s="170" t="e">
        <f t="shared" si="312"/>
        <v>#VALUE!</v>
      </c>
      <c r="AT197" s="170" t="e">
        <f t="shared" si="313"/>
        <v>#VALUE!</v>
      </c>
      <c r="AU197" s="207" t="e">
        <f t="shared" si="289"/>
        <v>#VALUE!</v>
      </c>
      <c r="AV197" s="208" t="e">
        <f t="shared" si="290"/>
        <v>#VALUE!</v>
      </c>
      <c r="AW197" s="201" t="str">
        <f t="shared" si="291"/>
        <v>Fase de Degradação</v>
      </c>
      <c r="AX197" s="253" t="e">
        <f>VLOOKUP(D197,#REF!,5,FALSE)</f>
        <v>#REF!</v>
      </c>
      <c r="AY197" s="201"/>
      <c r="AZ197" s="273" t="s">
        <v>1224</v>
      </c>
      <c r="BB197">
        <f>IFERROR(VLOOKUP(Tabela1[[#This Row],[Denominação]],[10]Planilha1!$A:$B,2,FALSE),"")</f>
        <v>1745936.3399999989</v>
      </c>
    </row>
    <row r="198" spans="1:54" ht="15" hidden="1" customHeight="1" x14ac:dyDescent="0.3">
      <c r="A198" s="253">
        <v>197</v>
      </c>
      <c r="B198" s="171" t="s">
        <v>354</v>
      </c>
      <c r="C198" s="209" t="s">
        <v>175</v>
      </c>
      <c r="D198" s="171">
        <v>10006380</v>
      </c>
      <c r="E198" s="253" t="s">
        <v>1344</v>
      </c>
      <c r="F198" s="210">
        <v>4531</v>
      </c>
      <c r="G198" s="171">
        <v>46621</v>
      </c>
      <c r="H198" s="171">
        <v>2016</v>
      </c>
      <c r="I198" s="213">
        <v>2766740.72</v>
      </c>
      <c r="J198" s="213">
        <v>1004101</v>
      </c>
      <c r="K198" s="170">
        <v>1443292.7799999991</v>
      </c>
      <c r="L198" s="215">
        <v>1.93</v>
      </c>
      <c r="M198" s="212">
        <v>4935</v>
      </c>
      <c r="N198" s="212">
        <v>62808</v>
      </c>
      <c r="O198" s="171">
        <v>648</v>
      </c>
      <c r="P198" s="271" t="str">
        <f>IFERROR(VLOOKUP(Tabela1[[#This Row],[TAG]],#REF!,14,FALSE),"")</f>
        <v/>
      </c>
      <c r="Q198" s="271" t="e">
        <f t="shared" si="292"/>
        <v>#VALUE!</v>
      </c>
      <c r="R198" s="271" t="e">
        <f t="shared" si="293"/>
        <v>#VALUE!</v>
      </c>
      <c r="S198" s="271" t="e">
        <f t="shared" si="294"/>
        <v>#VALUE!</v>
      </c>
      <c r="T198" s="271" t="e">
        <f t="shared" si="295"/>
        <v>#VALUE!</v>
      </c>
      <c r="U198" s="271" t="e">
        <f t="shared" si="296"/>
        <v>#VALUE!</v>
      </c>
      <c r="V198" s="271" t="e">
        <f t="shared" si="297"/>
        <v>#VALUE!</v>
      </c>
      <c r="W198" s="218">
        <v>558.80999999999995</v>
      </c>
      <c r="X198" s="218">
        <v>7598.77</v>
      </c>
      <c r="Y198" s="203">
        <v>0.1</v>
      </c>
      <c r="Z198" s="203">
        <f>IF(Tabela1[[#This Row],[Ano Aquisição]]=2023,0,IFERROR(VLOOKUP(H198,inflação!$F:$H,3,FALSE),""))</f>
        <v>0.37669999999999998</v>
      </c>
      <c r="AA198" s="203">
        <v>0.8</v>
      </c>
      <c r="AB198" s="202">
        <f t="shared" si="286"/>
        <v>-2766740.72</v>
      </c>
      <c r="AC198" s="204" t="e">
        <f t="shared" si="298"/>
        <v>#VALUE!</v>
      </c>
      <c r="AD198" s="204" t="e">
        <f t="shared" si="299"/>
        <v>#VALUE!</v>
      </c>
      <c r="AE198" s="204" t="e">
        <f t="shared" si="300"/>
        <v>#VALUE!</v>
      </c>
      <c r="AF198" s="204" t="e">
        <f t="shared" si="301"/>
        <v>#VALUE!</v>
      </c>
      <c r="AG198" s="204" t="e">
        <f t="shared" si="302"/>
        <v>#VALUE!</v>
      </c>
      <c r="AH198" s="204" t="e">
        <f t="shared" si="303"/>
        <v>#VALUE!</v>
      </c>
      <c r="AI198" s="204" t="e">
        <f t="shared" si="304"/>
        <v>#VALUE!</v>
      </c>
      <c r="AJ198" s="205">
        <f t="shared" si="287"/>
        <v>-3808971.9492240003</v>
      </c>
      <c r="AK198" s="204" t="e">
        <f t="shared" si="305"/>
        <v>#VALUE!</v>
      </c>
      <c r="AL198" s="204" t="e">
        <f t="shared" si="306"/>
        <v>#VALUE!</v>
      </c>
      <c r="AM198" s="204" t="e">
        <f t="shared" si="307"/>
        <v>#VALUE!</v>
      </c>
      <c r="AN198" s="204" t="e">
        <f t="shared" si="308"/>
        <v>#VALUE!</v>
      </c>
      <c r="AO198" s="204" t="e">
        <f t="shared" si="309"/>
        <v>#VALUE!</v>
      </c>
      <c r="AP198" s="204" t="e">
        <f t="shared" si="310"/>
        <v>#VALUE!</v>
      </c>
      <c r="AQ198" s="204" t="e">
        <f t="shared" si="311"/>
        <v>#VALUE!</v>
      </c>
      <c r="AR198" s="206" t="e">
        <f t="shared" si="288"/>
        <v>#VALUE!</v>
      </c>
      <c r="AS198" s="170" t="e">
        <f t="shared" si="312"/>
        <v>#VALUE!</v>
      </c>
      <c r="AT198" s="170" t="e">
        <f t="shared" si="313"/>
        <v>#VALUE!</v>
      </c>
      <c r="AU198" s="207" t="e">
        <f t="shared" si="289"/>
        <v>#VALUE!</v>
      </c>
      <c r="AV198" s="208" t="e">
        <f t="shared" si="290"/>
        <v>#VALUE!</v>
      </c>
      <c r="AW198" s="201" t="str">
        <f t="shared" si="291"/>
        <v>Fase de Degradação</v>
      </c>
      <c r="AX198" s="253" t="e">
        <f>VLOOKUP(D198,#REF!,5,FALSE)</f>
        <v>#REF!</v>
      </c>
      <c r="AY198" s="201"/>
      <c r="AZ198" s="273" t="s">
        <v>1224</v>
      </c>
      <c r="BB198">
        <f>IFERROR(VLOOKUP(Tabela1[[#This Row],[Denominação]],[10]Planilha1!$A:$B,2,FALSE),"")</f>
        <v>1443292.7799999991</v>
      </c>
    </row>
    <row r="199" spans="1:54" ht="15" hidden="1" customHeight="1" x14ac:dyDescent="0.3">
      <c r="A199" s="268">
        <v>198</v>
      </c>
      <c r="B199" s="171" t="s">
        <v>254</v>
      </c>
      <c r="C199" s="209" t="s">
        <v>255</v>
      </c>
      <c r="D199" s="171">
        <v>10006381</v>
      </c>
      <c r="E199" s="253" t="s">
        <v>1345</v>
      </c>
      <c r="F199" s="210">
        <v>4531</v>
      </c>
      <c r="G199" s="171">
        <v>46622</v>
      </c>
      <c r="H199" s="171">
        <v>2016</v>
      </c>
      <c r="I199" s="213">
        <v>2766740.72</v>
      </c>
      <c r="J199" s="213">
        <v>1004101</v>
      </c>
      <c r="K199" s="170">
        <v>1079724.6400000011</v>
      </c>
      <c r="L199" s="215">
        <v>1.2</v>
      </c>
      <c r="M199" s="212">
        <v>5281</v>
      </c>
      <c r="N199" s="212">
        <v>62629</v>
      </c>
      <c r="O199" s="171">
        <v>656</v>
      </c>
      <c r="P199" s="271" t="str">
        <f>IFERROR(VLOOKUP(Tabela1[[#This Row],[TAG]],#REF!,14,FALSE),"")</f>
        <v/>
      </c>
      <c r="Q199" s="271" t="e">
        <f t="shared" si="292"/>
        <v>#VALUE!</v>
      </c>
      <c r="R199" s="271" t="e">
        <f t="shared" si="293"/>
        <v>#VALUE!</v>
      </c>
      <c r="S199" s="271" t="e">
        <f t="shared" si="294"/>
        <v>#VALUE!</v>
      </c>
      <c r="T199" s="271" t="e">
        <f t="shared" si="295"/>
        <v>#VALUE!</v>
      </c>
      <c r="U199" s="271" t="e">
        <f t="shared" si="296"/>
        <v>#VALUE!</v>
      </c>
      <c r="V199" s="271" t="e">
        <f t="shared" si="297"/>
        <v>#VALUE!</v>
      </c>
      <c r="W199" s="218">
        <v>617.59</v>
      </c>
      <c r="X199" s="218">
        <v>5367.62</v>
      </c>
      <c r="Y199" s="203">
        <v>0.1</v>
      </c>
      <c r="Z199" s="203">
        <f>IF(Tabela1[[#This Row],[Ano Aquisição]]=2023,0,IFERROR(VLOOKUP(H199,inflação!$F:$H,3,FALSE),""))</f>
        <v>0.37669999999999998</v>
      </c>
      <c r="AA199" s="203">
        <v>0.8</v>
      </c>
      <c r="AB199" s="202">
        <f t="shared" si="286"/>
        <v>-2766740.72</v>
      </c>
      <c r="AC199" s="204" t="e">
        <f t="shared" si="298"/>
        <v>#VALUE!</v>
      </c>
      <c r="AD199" s="204" t="e">
        <f t="shared" si="299"/>
        <v>#VALUE!</v>
      </c>
      <c r="AE199" s="204" t="e">
        <f t="shared" si="300"/>
        <v>#VALUE!</v>
      </c>
      <c r="AF199" s="204" t="e">
        <f t="shared" si="301"/>
        <v>#VALUE!</v>
      </c>
      <c r="AG199" s="204" t="e">
        <f t="shared" si="302"/>
        <v>#VALUE!</v>
      </c>
      <c r="AH199" s="204" t="e">
        <f t="shared" si="303"/>
        <v>#VALUE!</v>
      </c>
      <c r="AI199" s="204" t="e">
        <f t="shared" si="304"/>
        <v>#VALUE!</v>
      </c>
      <c r="AJ199" s="205">
        <f t="shared" si="287"/>
        <v>-3808971.9492240003</v>
      </c>
      <c r="AK199" s="204" t="e">
        <f t="shared" si="305"/>
        <v>#VALUE!</v>
      </c>
      <c r="AL199" s="204" t="e">
        <f t="shared" si="306"/>
        <v>#VALUE!</v>
      </c>
      <c r="AM199" s="204" t="e">
        <f t="shared" si="307"/>
        <v>#VALUE!</v>
      </c>
      <c r="AN199" s="204" t="e">
        <f t="shared" si="308"/>
        <v>#VALUE!</v>
      </c>
      <c r="AO199" s="204" t="e">
        <f t="shared" si="309"/>
        <v>#VALUE!</v>
      </c>
      <c r="AP199" s="204" t="e">
        <f t="shared" si="310"/>
        <v>#VALUE!</v>
      </c>
      <c r="AQ199" s="204" t="e">
        <f t="shared" si="311"/>
        <v>#VALUE!</v>
      </c>
      <c r="AR199" s="206" t="e">
        <f t="shared" si="288"/>
        <v>#VALUE!</v>
      </c>
      <c r="AS199" s="170" t="e">
        <f t="shared" si="312"/>
        <v>#VALUE!</v>
      </c>
      <c r="AT199" s="170" t="e">
        <f t="shared" si="313"/>
        <v>#VALUE!</v>
      </c>
      <c r="AU199" s="207" t="e">
        <f t="shared" si="289"/>
        <v>#VALUE!</v>
      </c>
      <c r="AV199" s="208" t="e">
        <f t="shared" si="290"/>
        <v>#VALUE!</v>
      </c>
      <c r="AW199" s="201" t="str">
        <f t="shared" si="291"/>
        <v>Fase de Degradação</v>
      </c>
      <c r="AX199" s="253" t="e">
        <f>VLOOKUP(D199,#REF!,5,FALSE)</f>
        <v>#REF!</v>
      </c>
      <c r="AY199" s="201"/>
      <c r="AZ199" s="273" t="s">
        <v>1224</v>
      </c>
      <c r="BB199">
        <f>IFERROR(VLOOKUP(Tabela1[[#This Row],[Denominação]],[10]Planilha1!$A:$B,2,FALSE),"")</f>
        <v>1079724.6400000011</v>
      </c>
    </row>
    <row r="200" spans="1:54" ht="15" hidden="1" customHeight="1" x14ac:dyDescent="0.3">
      <c r="A200" s="253">
        <v>199</v>
      </c>
      <c r="B200" s="171" t="s">
        <v>637</v>
      </c>
      <c r="C200" s="209" t="s">
        <v>638</v>
      </c>
      <c r="D200" s="171">
        <v>10006565</v>
      </c>
      <c r="E200" s="253" t="s">
        <v>1278</v>
      </c>
      <c r="F200" s="210">
        <v>1075</v>
      </c>
      <c r="G200" s="171">
        <v>49569</v>
      </c>
      <c r="H200" s="171">
        <v>2018</v>
      </c>
      <c r="I200" s="213">
        <v>2250045.35</v>
      </c>
      <c r="J200" s="213">
        <v>1283853</v>
      </c>
      <c r="K200" s="170">
        <v>1095527.5999999996</v>
      </c>
      <c r="L200" s="207">
        <v>1.1200000000000001</v>
      </c>
      <c r="M200" s="212">
        <v>4726</v>
      </c>
      <c r="N200" s="212">
        <v>39486</v>
      </c>
      <c r="O200" s="171">
        <v>158</v>
      </c>
      <c r="P200" s="271" t="str">
        <f>IFERROR(VLOOKUP(Tabela1[[#This Row],[TAG]],#REF!,14,FALSE),"")</f>
        <v/>
      </c>
      <c r="Q200" s="204" t="e">
        <f t="shared" si="292"/>
        <v>#VALUE!</v>
      </c>
      <c r="R200" s="204" t="e">
        <f t="shared" si="293"/>
        <v>#VALUE!</v>
      </c>
      <c r="S200" s="204" t="e">
        <f t="shared" si="294"/>
        <v>#VALUE!</v>
      </c>
      <c r="T200" s="204" t="e">
        <f t="shared" si="295"/>
        <v>#VALUE!</v>
      </c>
      <c r="U200" s="204" t="e">
        <f t="shared" si="296"/>
        <v>#VALUE!</v>
      </c>
      <c r="V200" s="204" t="e">
        <f t="shared" si="297"/>
        <v>#VALUE!</v>
      </c>
      <c r="W200" s="218">
        <v>1088.46</v>
      </c>
      <c r="X200" s="170">
        <v>3379.13</v>
      </c>
      <c r="Y200" s="203">
        <v>0.1</v>
      </c>
      <c r="Z200" s="203">
        <f>IF(Tabela1[[#This Row],[Ano Aquisição]]=2023,0,IFERROR(VLOOKUP(H200,inflação!$F:$H,3,FALSE),""))</f>
        <v>0.2843</v>
      </c>
      <c r="AA200" s="203">
        <v>0.8</v>
      </c>
      <c r="AB200" s="202">
        <f t="shared" si="286"/>
        <v>-2250045.35</v>
      </c>
      <c r="AC200" s="204" t="e">
        <f t="shared" si="298"/>
        <v>#VALUE!</v>
      </c>
      <c r="AD200" s="204" t="e">
        <f t="shared" si="299"/>
        <v>#VALUE!</v>
      </c>
      <c r="AE200" s="204" t="e">
        <f t="shared" si="300"/>
        <v>#VALUE!</v>
      </c>
      <c r="AF200" s="204" t="e">
        <f t="shared" si="301"/>
        <v>#VALUE!</v>
      </c>
      <c r="AG200" s="204" t="e">
        <f t="shared" si="302"/>
        <v>#VALUE!</v>
      </c>
      <c r="AH200" s="204" t="e">
        <f t="shared" si="303"/>
        <v>#VALUE!</v>
      </c>
      <c r="AI200" s="204" t="e">
        <f t="shared" si="304"/>
        <v>#VALUE!</v>
      </c>
      <c r="AJ200" s="205">
        <f t="shared" si="287"/>
        <v>-2889733.2430050001</v>
      </c>
      <c r="AK200" s="204" t="e">
        <f t="shared" si="305"/>
        <v>#VALUE!</v>
      </c>
      <c r="AL200" s="204" t="e">
        <f t="shared" si="306"/>
        <v>#VALUE!</v>
      </c>
      <c r="AM200" s="204" t="e">
        <f t="shared" si="307"/>
        <v>#VALUE!</v>
      </c>
      <c r="AN200" s="204" t="e">
        <f t="shared" si="308"/>
        <v>#VALUE!</v>
      </c>
      <c r="AO200" s="204" t="e">
        <f t="shared" si="309"/>
        <v>#VALUE!</v>
      </c>
      <c r="AP200" s="204" t="e">
        <f t="shared" si="310"/>
        <v>#VALUE!</v>
      </c>
      <c r="AQ200" s="204" t="e">
        <f t="shared" si="311"/>
        <v>#VALUE!</v>
      </c>
      <c r="AR200" s="206" t="e">
        <f t="shared" si="288"/>
        <v>#VALUE!</v>
      </c>
      <c r="AS200" s="170" t="e">
        <f t="shared" si="312"/>
        <v>#VALUE!</v>
      </c>
      <c r="AT200" s="170" t="e">
        <f t="shared" si="313"/>
        <v>#VALUE!</v>
      </c>
      <c r="AU200" s="207" t="e">
        <f t="shared" si="289"/>
        <v>#VALUE!</v>
      </c>
      <c r="AV200" s="208" t="e">
        <f t="shared" si="290"/>
        <v>#VALUE!</v>
      </c>
      <c r="AW200" s="201" t="str">
        <f t="shared" si="291"/>
        <v>Fase de Degradação</v>
      </c>
      <c r="AX200" s="253" t="e">
        <f>VLOOKUP(D200,#REF!,5,FALSE)</f>
        <v>#REF!</v>
      </c>
      <c r="AY200" s="201"/>
      <c r="AZ200" s="273" t="s">
        <v>1224</v>
      </c>
      <c r="BB200">
        <f>IFERROR(VLOOKUP(Tabela1[[#This Row],[Denominação]],[10]Planilha1!$A:$B,2,FALSE),"")</f>
        <v>1095527.5999999996</v>
      </c>
    </row>
    <row r="201" spans="1:54" ht="15" hidden="1" customHeight="1" x14ac:dyDescent="0.3">
      <c r="A201" s="268">
        <v>200</v>
      </c>
      <c r="B201" s="171" t="s">
        <v>689</v>
      </c>
      <c r="C201" s="209" t="s">
        <v>690</v>
      </c>
      <c r="D201" s="171">
        <v>10006573</v>
      </c>
      <c r="E201" s="253" t="s">
        <v>1346</v>
      </c>
      <c r="F201" s="210">
        <v>2370</v>
      </c>
      <c r="G201" s="171">
        <v>50325</v>
      </c>
      <c r="H201" s="171">
        <v>2018</v>
      </c>
      <c r="I201" s="213">
        <v>835358.8</v>
      </c>
      <c r="J201" s="213">
        <v>512120</v>
      </c>
      <c r="K201" s="170">
        <v>204918.1599999998</v>
      </c>
      <c r="L201" s="207">
        <v>0.95</v>
      </c>
      <c r="M201" s="212">
        <v>4459.7592000000004</v>
      </c>
      <c r="N201" s="212">
        <v>38397</v>
      </c>
      <c r="O201" s="171">
        <v>74</v>
      </c>
      <c r="P201" s="271" t="str">
        <f>IFERROR(VLOOKUP(Tabela1[[#This Row],[TAG]],#REF!,14,FALSE),"")</f>
        <v/>
      </c>
      <c r="Q201" s="204" t="e">
        <f t="shared" si="292"/>
        <v>#VALUE!</v>
      </c>
      <c r="R201" s="204" t="e">
        <f t="shared" si="293"/>
        <v>#VALUE!</v>
      </c>
      <c r="S201" s="204" t="e">
        <f t="shared" si="294"/>
        <v>#VALUE!</v>
      </c>
      <c r="T201" s="204" t="e">
        <f t="shared" si="295"/>
        <v>#VALUE!</v>
      </c>
      <c r="U201" s="204" t="e">
        <f t="shared" si="296"/>
        <v>#VALUE!</v>
      </c>
      <c r="V201" s="204" t="e">
        <f t="shared" si="297"/>
        <v>#VALUE!</v>
      </c>
      <c r="W201" s="218">
        <v>404.08</v>
      </c>
      <c r="X201" s="218">
        <v>3765.1480555555554</v>
      </c>
      <c r="Y201" s="203">
        <v>0.1</v>
      </c>
      <c r="Z201" s="203">
        <f>IF(Tabela1[[#This Row],[Ano Aquisição]]=2023,0,IFERROR(VLOOKUP(H201,inflação!$F:$H,3,FALSE),""))</f>
        <v>0.2843</v>
      </c>
      <c r="AA201" s="203">
        <v>0.8</v>
      </c>
      <c r="AB201" s="202">
        <f t="shared" ref="AB201:AB232" si="314">I201*-1</f>
        <v>-835358.8</v>
      </c>
      <c r="AC201" s="204" t="e">
        <f t="shared" si="298"/>
        <v>#VALUE!</v>
      </c>
      <c r="AD201" s="204" t="e">
        <f t="shared" si="299"/>
        <v>#VALUE!</v>
      </c>
      <c r="AE201" s="204" t="e">
        <f t="shared" si="300"/>
        <v>#VALUE!</v>
      </c>
      <c r="AF201" s="204" t="e">
        <f t="shared" si="301"/>
        <v>#VALUE!</v>
      </c>
      <c r="AG201" s="204" t="e">
        <f t="shared" si="302"/>
        <v>#VALUE!</v>
      </c>
      <c r="AH201" s="204" t="e">
        <f t="shared" si="303"/>
        <v>#VALUE!</v>
      </c>
      <c r="AI201" s="204" t="e">
        <f t="shared" si="304"/>
        <v>#VALUE!</v>
      </c>
      <c r="AJ201" s="205">
        <f t="shared" ref="AJ201:AJ232" si="315">-(I201*(1+Z201))</f>
        <v>-1072851.30684</v>
      </c>
      <c r="AK201" s="204" t="e">
        <f t="shared" si="305"/>
        <v>#VALUE!</v>
      </c>
      <c r="AL201" s="204" t="e">
        <f t="shared" si="306"/>
        <v>#VALUE!</v>
      </c>
      <c r="AM201" s="204" t="e">
        <f t="shared" si="307"/>
        <v>#VALUE!</v>
      </c>
      <c r="AN201" s="204" t="e">
        <f t="shared" si="308"/>
        <v>#VALUE!</v>
      </c>
      <c r="AO201" s="204" t="e">
        <f t="shared" si="309"/>
        <v>#VALUE!</v>
      </c>
      <c r="AP201" s="204" t="e">
        <f t="shared" si="310"/>
        <v>#VALUE!</v>
      </c>
      <c r="AQ201" s="204" t="e">
        <f t="shared" si="311"/>
        <v>#VALUE!</v>
      </c>
      <c r="AR201" s="206" t="e">
        <f t="shared" ref="AR201:AR232" si="316">(NPV(Y201,AK201,AL201,AM201,AN201,AO201,AP201,AQ201)+(SUM(AJ201,(J201*-1))))-(NPV(Y201,AC201,AD201,AE201,AF201,AG201,AH201,AI201))</f>
        <v>#VALUE!</v>
      </c>
      <c r="AS201" s="170" t="e">
        <f t="shared" si="312"/>
        <v>#VALUE!</v>
      </c>
      <c r="AT201" s="170" t="e">
        <f t="shared" si="313"/>
        <v>#VALUE!</v>
      </c>
      <c r="AU201" s="207" t="e">
        <f t="shared" ref="AU201:AU232" si="317">(((AVERAGE(AC201:AI201)/1000)-(AVERAGE(AK201:AQ201)/1000))+(((AJ201/1000)*-1)/7)+((J201/1000)/7))*-1</f>
        <v>#VALUE!</v>
      </c>
      <c r="AV201" s="208" t="e">
        <f t="shared" ref="AV201:AV232" si="318">AU201/(((J201/1000)+((AJ201*-1)/1000)))</f>
        <v>#VALUE!</v>
      </c>
      <c r="AW201" s="201" t="str">
        <f t="shared" ref="AW201:AW232" si="319">IF(L201&gt;1.1,"Fase de Degradação",IF(L201&lt;1,"Confiabilidade em Crescimento","Fase de Vida Útil"))</f>
        <v>Confiabilidade em Crescimento</v>
      </c>
      <c r="AX201" s="253" t="e">
        <f>VLOOKUP(D201,#REF!,5,FALSE)</f>
        <v>#REF!</v>
      </c>
      <c r="AY201" s="201"/>
      <c r="AZ201" s="273" t="s">
        <v>1224</v>
      </c>
      <c r="BB201">
        <f>IFERROR(VLOOKUP(Tabela1[[#This Row],[Denominação]],[10]Planilha1!$A:$B,2,FALSE),"")</f>
        <v>204918.1599999998</v>
      </c>
    </row>
    <row r="202" spans="1:54" ht="15" hidden="1" customHeight="1" x14ac:dyDescent="0.3">
      <c r="A202" s="253">
        <v>201</v>
      </c>
      <c r="B202" s="171" t="s">
        <v>697</v>
      </c>
      <c r="C202" s="209" t="s">
        <v>698</v>
      </c>
      <c r="D202" s="171">
        <v>10006577</v>
      </c>
      <c r="E202" s="253" t="s">
        <v>1278</v>
      </c>
      <c r="F202" s="210">
        <v>1075</v>
      </c>
      <c r="G202" s="171">
        <v>50307</v>
      </c>
      <c r="H202" s="171">
        <v>2018</v>
      </c>
      <c r="I202" s="213">
        <v>2353915.7400000002</v>
      </c>
      <c r="J202" s="213">
        <v>1434981</v>
      </c>
      <c r="K202" s="170">
        <v>770115.05999999994</v>
      </c>
      <c r="L202" s="207">
        <v>1</v>
      </c>
      <c r="M202" s="212">
        <v>4731</v>
      </c>
      <c r="N202" s="212">
        <v>37615</v>
      </c>
      <c r="O202" s="171">
        <v>108</v>
      </c>
      <c r="P202" s="271" t="str">
        <f>IFERROR(VLOOKUP(Tabela1[[#This Row],[TAG]],#REF!,14,FALSE),"")</f>
        <v/>
      </c>
      <c r="Q202" s="204" t="e">
        <f t="shared" si="292"/>
        <v>#VALUE!</v>
      </c>
      <c r="R202" s="204" t="e">
        <f t="shared" si="293"/>
        <v>#VALUE!</v>
      </c>
      <c r="S202" s="204" t="e">
        <f t="shared" si="294"/>
        <v>#VALUE!</v>
      </c>
      <c r="T202" s="204" t="e">
        <f t="shared" si="295"/>
        <v>#VALUE!</v>
      </c>
      <c r="U202" s="204" t="e">
        <f t="shared" si="296"/>
        <v>#VALUE!</v>
      </c>
      <c r="V202" s="204" t="e">
        <f t="shared" si="297"/>
        <v>#VALUE!</v>
      </c>
      <c r="W202" s="218">
        <v>969.03</v>
      </c>
      <c r="X202" s="170">
        <v>1628.35</v>
      </c>
      <c r="Y202" s="203">
        <v>0.1</v>
      </c>
      <c r="Z202" s="203">
        <f>IF(Tabela1[[#This Row],[Ano Aquisição]]=2023,0,IFERROR(VLOOKUP(H202,inflação!$F:$H,3,FALSE),""))</f>
        <v>0.2843</v>
      </c>
      <c r="AA202" s="203">
        <v>0.8</v>
      </c>
      <c r="AB202" s="202">
        <f t="shared" si="314"/>
        <v>-2353915.7400000002</v>
      </c>
      <c r="AC202" s="204" t="e">
        <f t="shared" si="298"/>
        <v>#VALUE!</v>
      </c>
      <c r="AD202" s="204" t="e">
        <f t="shared" si="299"/>
        <v>#VALUE!</v>
      </c>
      <c r="AE202" s="204" t="e">
        <f t="shared" si="300"/>
        <v>#VALUE!</v>
      </c>
      <c r="AF202" s="204" t="e">
        <f t="shared" si="301"/>
        <v>#VALUE!</v>
      </c>
      <c r="AG202" s="204" t="e">
        <f t="shared" si="302"/>
        <v>#VALUE!</v>
      </c>
      <c r="AH202" s="204" t="e">
        <f t="shared" si="303"/>
        <v>#VALUE!</v>
      </c>
      <c r="AI202" s="204" t="e">
        <f t="shared" si="304"/>
        <v>#VALUE!</v>
      </c>
      <c r="AJ202" s="205">
        <f t="shared" si="315"/>
        <v>-3023133.9848820004</v>
      </c>
      <c r="AK202" s="204" t="e">
        <f t="shared" si="305"/>
        <v>#VALUE!</v>
      </c>
      <c r="AL202" s="204" t="e">
        <f t="shared" si="306"/>
        <v>#VALUE!</v>
      </c>
      <c r="AM202" s="204" t="e">
        <f t="shared" si="307"/>
        <v>#VALUE!</v>
      </c>
      <c r="AN202" s="204" t="e">
        <f t="shared" si="308"/>
        <v>#VALUE!</v>
      </c>
      <c r="AO202" s="204" t="e">
        <f t="shared" si="309"/>
        <v>#VALUE!</v>
      </c>
      <c r="AP202" s="204" t="e">
        <f t="shared" si="310"/>
        <v>#VALUE!</v>
      </c>
      <c r="AQ202" s="204" t="e">
        <f t="shared" si="311"/>
        <v>#VALUE!</v>
      </c>
      <c r="AR202" s="206" t="e">
        <f t="shared" si="316"/>
        <v>#VALUE!</v>
      </c>
      <c r="AS202" s="170" t="e">
        <f t="shared" si="312"/>
        <v>#VALUE!</v>
      </c>
      <c r="AT202" s="170" t="e">
        <f t="shared" si="313"/>
        <v>#VALUE!</v>
      </c>
      <c r="AU202" s="207" t="e">
        <f t="shared" si="317"/>
        <v>#VALUE!</v>
      </c>
      <c r="AV202" s="208" t="e">
        <f t="shared" si="318"/>
        <v>#VALUE!</v>
      </c>
      <c r="AW202" s="201" t="str">
        <f t="shared" si="319"/>
        <v>Fase de Vida Útil</v>
      </c>
      <c r="AX202" s="253" t="e">
        <f>VLOOKUP(D202,#REF!,5,FALSE)</f>
        <v>#REF!</v>
      </c>
      <c r="AY202" s="201"/>
      <c r="AZ202" s="273" t="s">
        <v>1224</v>
      </c>
      <c r="BB202">
        <f>IFERROR(VLOOKUP(Tabela1[[#This Row],[Denominação]],[10]Planilha1!$A:$B,2,FALSE),"")</f>
        <v>770115.05999999994</v>
      </c>
    </row>
    <row r="203" spans="1:54" ht="15" hidden="1" customHeight="1" x14ac:dyDescent="0.3">
      <c r="A203" s="268">
        <v>202</v>
      </c>
      <c r="B203" s="201" t="s">
        <v>755</v>
      </c>
      <c r="C203" s="211" t="s">
        <v>756</v>
      </c>
      <c r="D203" s="201">
        <v>10006597</v>
      </c>
      <c r="E203" s="253" t="s">
        <v>1347</v>
      </c>
      <c r="F203" s="253">
        <v>2370</v>
      </c>
      <c r="G203" s="201">
        <v>51235</v>
      </c>
      <c r="H203" s="201">
        <v>2019</v>
      </c>
      <c r="I203" s="216">
        <v>1173211.95</v>
      </c>
      <c r="J203" s="214">
        <v>761555</v>
      </c>
      <c r="K203" s="170">
        <v>251674.79999999967</v>
      </c>
      <c r="L203" s="207">
        <v>1.84</v>
      </c>
      <c r="M203" s="212">
        <v>4434.0191999999997</v>
      </c>
      <c r="N203" s="212">
        <v>34867</v>
      </c>
      <c r="O203" s="171">
        <v>89</v>
      </c>
      <c r="P203" s="271" t="str">
        <f>IFERROR(VLOOKUP(Tabela1[[#This Row],[TAG]],#REF!,14,FALSE),"")</f>
        <v/>
      </c>
      <c r="Q203" s="204" t="e">
        <f t="shared" ref="Q203:Q208" si="320">P203+P203</f>
        <v>#VALUE!</v>
      </c>
      <c r="R203" s="204" t="e">
        <f t="shared" ref="R203:R225" si="321">Q203+P203</f>
        <v>#VALUE!</v>
      </c>
      <c r="S203" s="204" t="e">
        <f t="shared" ref="S203:S225" si="322">R203+P203</f>
        <v>#VALUE!</v>
      </c>
      <c r="T203" s="204" t="e">
        <f t="shared" ref="T203:T225" si="323">S203+P203</f>
        <v>#VALUE!</v>
      </c>
      <c r="U203" s="204" t="e">
        <f t="shared" ref="U203:U225" si="324">T203+P203</f>
        <v>#VALUE!</v>
      </c>
      <c r="V203" s="204" t="e">
        <f t="shared" ref="V203:V225" si="325">U203+P203</f>
        <v>#VALUE!</v>
      </c>
      <c r="W203" s="218">
        <v>532.9</v>
      </c>
      <c r="X203" s="218">
        <v>3617.78</v>
      </c>
      <c r="Y203" s="203">
        <v>0.1</v>
      </c>
      <c r="Z203" s="203">
        <f>IF(Tabela1[[#This Row],[Ano Aquisição]]=2023,0,IFERROR(VLOOKUP(H203,inflação!$F:$H,3,FALSE),""))</f>
        <v>0.24679999999999999</v>
      </c>
      <c r="AA203" s="203">
        <v>0.8</v>
      </c>
      <c r="AB203" s="202">
        <f t="shared" si="314"/>
        <v>-1173211.95</v>
      </c>
      <c r="AC203" s="204" t="e">
        <f t="shared" ref="AC203:AC225" si="326">-(((P203*$W203)+($X203*12))*((1+$Y203)^AC$1))</f>
        <v>#VALUE!</v>
      </c>
      <c r="AD203" s="204" t="e">
        <f t="shared" ref="AD203:AD225" si="327">-((((Q203-P203)*$W203)+($X203*12))*((1+$Y203)^AD$1))</f>
        <v>#VALUE!</v>
      </c>
      <c r="AE203" s="204" t="e">
        <f t="shared" ref="AE203:AE225" si="328">-((((R203-Q203)*$W203)+($X203*12))*((1+$Y203)^AE$1))</f>
        <v>#VALUE!</v>
      </c>
      <c r="AF203" s="204" t="e">
        <f t="shared" ref="AF203:AF225" si="329">-((((S203-R203)*$W203)+($X203*12))*((1+$Y203)^AF$1))</f>
        <v>#VALUE!</v>
      </c>
      <c r="AG203" s="204" t="e">
        <f t="shared" ref="AG203:AG225" si="330">-((((T203-S203)*$W203)+($X203*12))*((1+$Y203)^AG$1))</f>
        <v>#VALUE!</v>
      </c>
      <c r="AH203" s="204" t="e">
        <f t="shared" ref="AH203:AH225" si="331">-((((U203-T203)*$W203)+($X203*12))*((1+$Y203)^AH$1))</f>
        <v>#VALUE!</v>
      </c>
      <c r="AI203" s="204" t="e">
        <f t="shared" ref="AI203:AI225" si="332">-((((V203-U203)*$W203)+($X203*12))*((1+$Y203)^AI$1))</f>
        <v>#VALUE!</v>
      </c>
      <c r="AJ203" s="205">
        <f t="shared" si="315"/>
        <v>-1462760.6592599999</v>
      </c>
      <c r="AK203" s="204" t="e">
        <f t="shared" ref="AK203:AK225" si="333">AC203*(1-$AA203)</f>
        <v>#VALUE!</v>
      </c>
      <c r="AL203" s="204" t="e">
        <f t="shared" ref="AL203:AL225" si="334">AD203*(1-$AA203)</f>
        <v>#VALUE!</v>
      </c>
      <c r="AM203" s="204" t="e">
        <f t="shared" ref="AM203:AM225" si="335">AE203*(1-$AA203)</f>
        <v>#VALUE!</v>
      </c>
      <c r="AN203" s="204" t="e">
        <f t="shared" ref="AN203:AN225" si="336">AF203*(1-$AA203)</f>
        <v>#VALUE!</v>
      </c>
      <c r="AO203" s="204" t="e">
        <f t="shared" ref="AO203:AO225" si="337">AG203*(1-$AA203)</f>
        <v>#VALUE!</v>
      </c>
      <c r="AP203" s="204" t="e">
        <f t="shared" ref="AP203:AP225" si="338">AH203*(1-$AA203)</f>
        <v>#VALUE!</v>
      </c>
      <c r="AQ203" s="204" t="e">
        <f t="shared" ref="AQ203:AQ225" si="339">AI203*(1-$AA203)</f>
        <v>#VALUE!</v>
      </c>
      <c r="AR203" s="206" t="e">
        <f t="shared" si="316"/>
        <v>#VALUE!</v>
      </c>
      <c r="AS203" s="170" t="e">
        <f t="shared" ref="AS203:AS225" si="340">SUM(AC203:AI203)</f>
        <v>#VALUE!</v>
      </c>
      <c r="AT203" s="170" t="e">
        <f t="shared" ref="AT203:AT225" si="341">SUM(AK203:AQ203)</f>
        <v>#VALUE!</v>
      </c>
      <c r="AU203" s="207" t="e">
        <f t="shared" si="317"/>
        <v>#VALUE!</v>
      </c>
      <c r="AV203" s="208" t="e">
        <f t="shared" si="318"/>
        <v>#VALUE!</v>
      </c>
      <c r="AW203" s="201" t="str">
        <f t="shared" si="319"/>
        <v>Fase de Degradação</v>
      </c>
      <c r="AX203" s="253" t="e">
        <f>VLOOKUP(D203,#REF!,5,FALSE)</f>
        <v>#REF!</v>
      </c>
      <c r="AY203" s="201"/>
      <c r="AZ203" s="273" t="s">
        <v>1224</v>
      </c>
      <c r="BB203">
        <f>IFERROR(VLOOKUP(Tabela1[[#This Row],[Denominação]],[10]Planilha1!$A:$B,2,FALSE),"")</f>
        <v>251674.79999999967</v>
      </c>
    </row>
    <row r="204" spans="1:54" ht="15" hidden="1" customHeight="1" x14ac:dyDescent="0.3">
      <c r="A204" s="253">
        <v>203</v>
      </c>
      <c r="B204" s="201" t="s">
        <v>757</v>
      </c>
      <c r="C204" s="211" t="s">
        <v>758</v>
      </c>
      <c r="D204" s="201">
        <v>10006614</v>
      </c>
      <c r="E204" s="253" t="s">
        <v>1348</v>
      </c>
      <c r="F204" s="253">
        <v>2370</v>
      </c>
      <c r="G204" s="201">
        <v>51605</v>
      </c>
      <c r="H204" s="201">
        <v>2019</v>
      </c>
      <c r="I204" s="216">
        <v>927601.04</v>
      </c>
      <c r="J204" s="214">
        <v>631790</v>
      </c>
      <c r="K204" s="170">
        <v>176670.52000000019</v>
      </c>
      <c r="L204" s="207">
        <v>1.42</v>
      </c>
      <c r="M204" s="212">
        <v>2736.4512</v>
      </c>
      <c r="N204" s="212">
        <v>29499</v>
      </c>
      <c r="O204" s="171">
        <v>79</v>
      </c>
      <c r="P204" s="271" t="str">
        <f>IFERROR(VLOOKUP(Tabela1[[#This Row],[TAG]],#REF!,14,FALSE),"")</f>
        <v/>
      </c>
      <c r="Q204" s="204" t="e">
        <f t="shared" si="320"/>
        <v>#VALUE!</v>
      </c>
      <c r="R204" s="204" t="e">
        <f t="shared" si="321"/>
        <v>#VALUE!</v>
      </c>
      <c r="S204" s="204" t="e">
        <f t="shared" si="322"/>
        <v>#VALUE!</v>
      </c>
      <c r="T204" s="204" t="e">
        <f t="shared" si="323"/>
        <v>#VALUE!</v>
      </c>
      <c r="U204" s="204" t="e">
        <f t="shared" si="324"/>
        <v>#VALUE!</v>
      </c>
      <c r="V204" s="204" t="e">
        <f t="shared" si="325"/>
        <v>#VALUE!</v>
      </c>
      <c r="W204" s="218">
        <v>575.97</v>
      </c>
      <c r="X204" s="218">
        <v>3896.88</v>
      </c>
      <c r="Y204" s="203">
        <v>0.1</v>
      </c>
      <c r="Z204" s="203">
        <f>IF(Tabela1[[#This Row],[Ano Aquisição]]=2023,0,IFERROR(VLOOKUP(H204,inflação!$F:$H,3,FALSE),""))</f>
        <v>0.24679999999999999</v>
      </c>
      <c r="AA204" s="203">
        <v>0.8</v>
      </c>
      <c r="AB204" s="202">
        <f t="shared" si="314"/>
        <v>-927601.04</v>
      </c>
      <c r="AC204" s="204" t="e">
        <f t="shared" si="326"/>
        <v>#VALUE!</v>
      </c>
      <c r="AD204" s="204" t="e">
        <f t="shared" si="327"/>
        <v>#VALUE!</v>
      </c>
      <c r="AE204" s="204" t="e">
        <f t="shared" si="328"/>
        <v>#VALUE!</v>
      </c>
      <c r="AF204" s="204" t="e">
        <f t="shared" si="329"/>
        <v>#VALUE!</v>
      </c>
      <c r="AG204" s="204" t="e">
        <f t="shared" si="330"/>
        <v>#VALUE!</v>
      </c>
      <c r="AH204" s="204" t="e">
        <f t="shared" si="331"/>
        <v>#VALUE!</v>
      </c>
      <c r="AI204" s="204" t="e">
        <f t="shared" si="332"/>
        <v>#VALUE!</v>
      </c>
      <c r="AJ204" s="205">
        <f t="shared" si="315"/>
        <v>-1156532.976672</v>
      </c>
      <c r="AK204" s="204" t="e">
        <f t="shared" si="333"/>
        <v>#VALUE!</v>
      </c>
      <c r="AL204" s="204" t="e">
        <f t="shared" si="334"/>
        <v>#VALUE!</v>
      </c>
      <c r="AM204" s="204" t="e">
        <f t="shared" si="335"/>
        <v>#VALUE!</v>
      </c>
      <c r="AN204" s="204" t="e">
        <f t="shared" si="336"/>
        <v>#VALUE!</v>
      </c>
      <c r="AO204" s="204" t="e">
        <f t="shared" si="337"/>
        <v>#VALUE!</v>
      </c>
      <c r="AP204" s="204" t="e">
        <f t="shared" si="338"/>
        <v>#VALUE!</v>
      </c>
      <c r="AQ204" s="204" t="e">
        <f t="shared" si="339"/>
        <v>#VALUE!</v>
      </c>
      <c r="AR204" s="206" t="e">
        <f t="shared" si="316"/>
        <v>#VALUE!</v>
      </c>
      <c r="AS204" s="170" t="e">
        <f t="shared" si="340"/>
        <v>#VALUE!</v>
      </c>
      <c r="AT204" s="170" t="e">
        <f t="shared" si="341"/>
        <v>#VALUE!</v>
      </c>
      <c r="AU204" s="207" t="e">
        <f t="shared" si="317"/>
        <v>#VALUE!</v>
      </c>
      <c r="AV204" s="208" t="e">
        <f t="shared" si="318"/>
        <v>#VALUE!</v>
      </c>
      <c r="AW204" s="201" t="str">
        <f t="shared" si="319"/>
        <v>Fase de Degradação</v>
      </c>
      <c r="AX204" s="253" t="e">
        <f>VLOOKUP(D204,#REF!,5,FALSE)</f>
        <v>#REF!</v>
      </c>
      <c r="AY204" s="201"/>
      <c r="AZ204" s="273" t="s">
        <v>1224</v>
      </c>
      <c r="BB204">
        <f>IFERROR(VLOOKUP(Tabela1[[#This Row],[Denominação]],[10]Planilha1!$A:$B,2,FALSE),"")</f>
        <v>176670.52000000019</v>
      </c>
    </row>
    <row r="205" spans="1:54" ht="15" hidden="1" customHeight="1" x14ac:dyDescent="0.3">
      <c r="A205" s="268">
        <v>204</v>
      </c>
      <c r="B205" s="201" t="s">
        <v>759</v>
      </c>
      <c r="C205" s="211" t="s">
        <v>760</v>
      </c>
      <c r="D205" s="201">
        <v>10006617</v>
      </c>
      <c r="E205" s="253" t="s">
        <v>1349</v>
      </c>
      <c r="F205" s="253">
        <v>2370</v>
      </c>
      <c r="G205" s="201">
        <v>51930</v>
      </c>
      <c r="H205" s="201">
        <v>2019</v>
      </c>
      <c r="I205" s="216">
        <v>977100.26</v>
      </c>
      <c r="J205" s="214">
        <v>689028</v>
      </c>
      <c r="K205" s="170">
        <v>231945.51999999976</v>
      </c>
      <c r="L205" s="207">
        <v>1.53</v>
      </c>
      <c r="M205" s="212">
        <v>4021.1759999999999</v>
      </c>
      <c r="N205" s="212">
        <v>28495</v>
      </c>
      <c r="O205" s="171">
        <v>85</v>
      </c>
      <c r="P205" s="271" t="str">
        <f>IFERROR(VLOOKUP(Tabela1[[#This Row],[TAG]],#REF!,14,FALSE),"")</f>
        <v/>
      </c>
      <c r="Q205" s="204" t="e">
        <f t="shared" si="320"/>
        <v>#VALUE!</v>
      </c>
      <c r="R205" s="204" t="e">
        <f t="shared" si="321"/>
        <v>#VALUE!</v>
      </c>
      <c r="S205" s="204" t="e">
        <f t="shared" si="322"/>
        <v>#VALUE!</v>
      </c>
      <c r="T205" s="204" t="e">
        <f t="shared" si="323"/>
        <v>#VALUE!</v>
      </c>
      <c r="U205" s="204" t="e">
        <f t="shared" si="324"/>
        <v>#VALUE!</v>
      </c>
      <c r="V205" s="204" t="e">
        <f t="shared" si="325"/>
        <v>#VALUE!</v>
      </c>
      <c r="W205" s="218">
        <v>715.23</v>
      </c>
      <c r="X205" s="218">
        <v>6892.51</v>
      </c>
      <c r="Y205" s="203">
        <v>0.1</v>
      </c>
      <c r="Z205" s="203">
        <f>IF(Tabela1[[#This Row],[Ano Aquisição]]=2023,0,IFERROR(VLOOKUP(H205,inflação!$F:$H,3,FALSE),""))</f>
        <v>0.24679999999999999</v>
      </c>
      <c r="AA205" s="203">
        <v>0.8</v>
      </c>
      <c r="AB205" s="202">
        <f t="shared" si="314"/>
        <v>-977100.26</v>
      </c>
      <c r="AC205" s="204" t="e">
        <f t="shared" si="326"/>
        <v>#VALUE!</v>
      </c>
      <c r="AD205" s="204" t="e">
        <f t="shared" si="327"/>
        <v>#VALUE!</v>
      </c>
      <c r="AE205" s="204" t="e">
        <f t="shared" si="328"/>
        <v>#VALUE!</v>
      </c>
      <c r="AF205" s="204" t="e">
        <f t="shared" si="329"/>
        <v>#VALUE!</v>
      </c>
      <c r="AG205" s="204" t="e">
        <f t="shared" si="330"/>
        <v>#VALUE!</v>
      </c>
      <c r="AH205" s="204" t="e">
        <f t="shared" si="331"/>
        <v>#VALUE!</v>
      </c>
      <c r="AI205" s="204" t="e">
        <f t="shared" si="332"/>
        <v>#VALUE!</v>
      </c>
      <c r="AJ205" s="205">
        <f t="shared" si="315"/>
        <v>-1218248.6041679999</v>
      </c>
      <c r="AK205" s="204" t="e">
        <f t="shared" si="333"/>
        <v>#VALUE!</v>
      </c>
      <c r="AL205" s="204" t="e">
        <f t="shared" si="334"/>
        <v>#VALUE!</v>
      </c>
      <c r="AM205" s="204" t="e">
        <f t="shared" si="335"/>
        <v>#VALUE!</v>
      </c>
      <c r="AN205" s="204" t="e">
        <f t="shared" si="336"/>
        <v>#VALUE!</v>
      </c>
      <c r="AO205" s="204" t="e">
        <f t="shared" si="337"/>
        <v>#VALUE!</v>
      </c>
      <c r="AP205" s="204" t="e">
        <f t="shared" si="338"/>
        <v>#VALUE!</v>
      </c>
      <c r="AQ205" s="204" t="e">
        <f t="shared" si="339"/>
        <v>#VALUE!</v>
      </c>
      <c r="AR205" s="206" t="e">
        <f t="shared" si="316"/>
        <v>#VALUE!</v>
      </c>
      <c r="AS205" s="170" t="e">
        <f t="shared" si="340"/>
        <v>#VALUE!</v>
      </c>
      <c r="AT205" s="170" t="e">
        <f t="shared" si="341"/>
        <v>#VALUE!</v>
      </c>
      <c r="AU205" s="207" t="e">
        <f t="shared" si="317"/>
        <v>#VALUE!</v>
      </c>
      <c r="AV205" s="208" t="e">
        <f t="shared" si="318"/>
        <v>#VALUE!</v>
      </c>
      <c r="AW205" s="201" t="str">
        <f t="shared" si="319"/>
        <v>Fase de Degradação</v>
      </c>
      <c r="AX205" s="253" t="e">
        <f>VLOOKUP(D205,#REF!,5,FALSE)</f>
        <v>#REF!</v>
      </c>
      <c r="AY205" s="201"/>
      <c r="AZ205" s="273" t="s">
        <v>1224</v>
      </c>
      <c r="BB205">
        <f>IFERROR(VLOOKUP(Tabela1[[#This Row],[Denominação]],[10]Planilha1!$A:$B,2,FALSE),"")</f>
        <v>231945.51999999976</v>
      </c>
    </row>
    <row r="206" spans="1:54" ht="15" hidden="1" customHeight="1" x14ac:dyDescent="0.3">
      <c r="A206" s="253">
        <v>205</v>
      </c>
      <c r="B206" s="201" t="s">
        <v>761</v>
      </c>
      <c r="C206" s="211" t="s">
        <v>762</v>
      </c>
      <c r="D206" s="201">
        <v>10006618</v>
      </c>
      <c r="E206" s="253" t="s">
        <v>1350</v>
      </c>
      <c r="F206" s="253">
        <v>2370</v>
      </c>
      <c r="G206" s="201">
        <v>51931</v>
      </c>
      <c r="H206" s="201">
        <v>2019</v>
      </c>
      <c r="I206" s="216">
        <v>1015870.05</v>
      </c>
      <c r="J206" s="214">
        <v>719213</v>
      </c>
      <c r="K206" s="170">
        <v>132380.94</v>
      </c>
      <c r="L206" s="207">
        <v>1.64</v>
      </c>
      <c r="M206" s="212">
        <v>3791.1552000000001</v>
      </c>
      <c r="N206" s="212">
        <v>28985</v>
      </c>
      <c r="O206" s="171">
        <v>38</v>
      </c>
      <c r="P206" s="271" t="str">
        <f>IFERROR(VLOOKUP(Tabela1[[#This Row],[TAG]],#REF!,14,FALSE),"")</f>
        <v/>
      </c>
      <c r="Q206" s="204" t="e">
        <f t="shared" si="320"/>
        <v>#VALUE!</v>
      </c>
      <c r="R206" s="204" t="e">
        <f t="shared" si="321"/>
        <v>#VALUE!</v>
      </c>
      <c r="S206" s="204" t="e">
        <f t="shared" si="322"/>
        <v>#VALUE!</v>
      </c>
      <c r="T206" s="204" t="e">
        <f t="shared" si="323"/>
        <v>#VALUE!</v>
      </c>
      <c r="U206" s="204" t="e">
        <f t="shared" si="324"/>
        <v>#VALUE!</v>
      </c>
      <c r="V206" s="204" t="e">
        <f t="shared" si="325"/>
        <v>#VALUE!</v>
      </c>
      <c r="W206" s="218">
        <v>540.67999999999995</v>
      </c>
      <c r="X206" s="218">
        <v>5071.2100000000009</v>
      </c>
      <c r="Y206" s="203">
        <v>0.1</v>
      </c>
      <c r="Z206" s="203">
        <f>IF(Tabela1[[#This Row],[Ano Aquisição]]=2023,0,IFERROR(VLOOKUP(H206,inflação!$F:$H,3,FALSE),""))</f>
        <v>0.24679999999999999</v>
      </c>
      <c r="AA206" s="203">
        <v>0.8</v>
      </c>
      <c r="AB206" s="202">
        <f t="shared" si="314"/>
        <v>-1015870.05</v>
      </c>
      <c r="AC206" s="204" t="e">
        <f t="shared" si="326"/>
        <v>#VALUE!</v>
      </c>
      <c r="AD206" s="204" t="e">
        <f t="shared" si="327"/>
        <v>#VALUE!</v>
      </c>
      <c r="AE206" s="204" t="e">
        <f t="shared" si="328"/>
        <v>#VALUE!</v>
      </c>
      <c r="AF206" s="204" t="e">
        <f t="shared" si="329"/>
        <v>#VALUE!</v>
      </c>
      <c r="AG206" s="204" t="e">
        <f t="shared" si="330"/>
        <v>#VALUE!</v>
      </c>
      <c r="AH206" s="204" t="e">
        <f t="shared" si="331"/>
        <v>#VALUE!</v>
      </c>
      <c r="AI206" s="204" t="e">
        <f t="shared" si="332"/>
        <v>#VALUE!</v>
      </c>
      <c r="AJ206" s="205">
        <f t="shared" si="315"/>
        <v>-1266586.77834</v>
      </c>
      <c r="AK206" s="204" t="e">
        <f t="shared" si="333"/>
        <v>#VALUE!</v>
      </c>
      <c r="AL206" s="204" t="e">
        <f t="shared" si="334"/>
        <v>#VALUE!</v>
      </c>
      <c r="AM206" s="204" t="e">
        <f t="shared" si="335"/>
        <v>#VALUE!</v>
      </c>
      <c r="AN206" s="204" t="e">
        <f t="shared" si="336"/>
        <v>#VALUE!</v>
      </c>
      <c r="AO206" s="204" t="e">
        <f t="shared" si="337"/>
        <v>#VALUE!</v>
      </c>
      <c r="AP206" s="204" t="e">
        <f t="shared" si="338"/>
        <v>#VALUE!</v>
      </c>
      <c r="AQ206" s="204" t="e">
        <f t="shared" si="339"/>
        <v>#VALUE!</v>
      </c>
      <c r="AR206" s="206" t="e">
        <f t="shared" si="316"/>
        <v>#VALUE!</v>
      </c>
      <c r="AS206" s="170" t="e">
        <f t="shared" si="340"/>
        <v>#VALUE!</v>
      </c>
      <c r="AT206" s="170" t="e">
        <f t="shared" si="341"/>
        <v>#VALUE!</v>
      </c>
      <c r="AU206" s="207" t="e">
        <f t="shared" si="317"/>
        <v>#VALUE!</v>
      </c>
      <c r="AV206" s="208" t="e">
        <f t="shared" si="318"/>
        <v>#VALUE!</v>
      </c>
      <c r="AW206" s="201" t="str">
        <f t="shared" si="319"/>
        <v>Fase de Degradação</v>
      </c>
      <c r="AX206" s="253" t="e">
        <f>VLOOKUP(D206,#REF!,5,FALSE)</f>
        <v>#REF!</v>
      </c>
      <c r="AY206" s="201"/>
      <c r="AZ206" s="273" t="s">
        <v>1224</v>
      </c>
      <c r="BB206">
        <f>IFERROR(VLOOKUP(Tabela1[[#This Row],[Denominação]],[10]Planilha1!$A:$B,2,FALSE),"")</f>
        <v>132380.94</v>
      </c>
    </row>
    <row r="207" spans="1:54" ht="15" hidden="1" customHeight="1" x14ac:dyDescent="0.3">
      <c r="A207" s="268">
        <v>206</v>
      </c>
      <c r="B207" s="201" t="s">
        <v>763</v>
      </c>
      <c r="C207" s="211" t="s">
        <v>764</v>
      </c>
      <c r="D207" s="201">
        <v>10006632</v>
      </c>
      <c r="E207" s="253" t="s">
        <v>1351</v>
      </c>
      <c r="F207" s="253">
        <v>4531</v>
      </c>
      <c r="G207" s="201">
        <v>52346</v>
      </c>
      <c r="H207" s="201">
        <v>2020</v>
      </c>
      <c r="I207" s="216">
        <v>2889003.89</v>
      </c>
      <c r="J207" s="214">
        <v>2130132</v>
      </c>
      <c r="K207" s="170">
        <v>433010.19000000006</v>
      </c>
      <c r="L207" s="207">
        <v>1.04</v>
      </c>
      <c r="M207" s="212">
        <v>5730</v>
      </c>
      <c r="N207" s="212">
        <v>27251</v>
      </c>
      <c r="O207" s="171">
        <v>443</v>
      </c>
      <c r="P207" s="271" t="str">
        <f>IFERROR(VLOOKUP(Tabela1[[#This Row],[TAG]],#REF!,14,FALSE),"")</f>
        <v/>
      </c>
      <c r="Q207" s="204" t="e">
        <f t="shared" si="320"/>
        <v>#VALUE!</v>
      </c>
      <c r="R207" s="204" t="e">
        <f t="shared" si="321"/>
        <v>#VALUE!</v>
      </c>
      <c r="S207" s="204" t="e">
        <f t="shared" si="322"/>
        <v>#VALUE!</v>
      </c>
      <c r="T207" s="204" t="e">
        <f t="shared" si="323"/>
        <v>#VALUE!</v>
      </c>
      <c r="U207" s="204" t="e">
        <f t="shared" si="324"/>
        <v>#VALUE!</v>
      </c>
      <c r="V207" s="204" t="e">
        <f t="shared" si="325"/>
        <v>#VALUE!</v>
      </c>
      <c r="W207" s="218">
        <v>413.43</v>
      </c>
      <c r="X207" s="218">
        <v>3628.55</v>
      </c>
      <c r="Y207" s="203">
        <v>0.1</v>
      </c>
      <c r="Z207" s="203">
        <f>IF(Tabela1[[#This Row],[Ano Aquisição]]=2023,0,IFERROR(VLOOKUP(H207,inflação!$F:$H,3,FALSE),""))</f>
        <v>0.20369999999999999</v>
      </c>
      <c r="AA207" s="203">
        <v>0.8</v>
      </c>
      <c r="AB207" s="202">
        <f t="shared" si="314"/>
        <v>-2889003.89</v>
      </c>
      <c r="AC207" s="204" t="e">
        <f t="shared" si="326"/>
        <v>#VALUE!</v>
      </c>
      <c r="AD207" s="204" t="e">
        <f t="shared" si="327"/>
        <v>#VALUE!</v>
      </c>
      <c r="AE207" s="204" t="e">
        <f t="shared" si="328"/>
        <v>#VALUE!</v>
      </c>
      <c r="AF207" s="204" t="e">
        <f t="shared" si="329"/>
        <v>#VALUE!</v>
      </c>
      <c r="AG207" s="204" t="e">
        <f t="shared" si="330"/>
        <v>#VALUE!</v>
      </c>
      <c r="AH207" s="204" t="e">
        <f t="shared" si="331"/>
        <v>#VALUE!</v>
      </c>
      <c r="AI207" s="204" t="e">
        <f t="shared" si="332"/>
        <v>#VALUE!</v>
      </c>
      <c r="AJ207" s="205">
        <f t="shared" si="315"/>
        <v>-3477493.9823930003</v>
      </c>
      <c r="AK207" s="204" t="e">
        <f t="shared" si="333"/>
        <v>#VALUE!</v>
      </c>
      <c r="AL207" s="204" t="e">
        <f t="shared" si="334"/>
        <v>#VALUE!</v>
      </c>
      <c r="AM207" s="204" t="e">
        <f t="shared" si="335"/>
        <v>#VALUE!</v>
      </c>
      <c r="AN207" s="204" t="e">
        <f t="shared" si="336"/>
        <v>#VALUE!</v>
      </c>
      <c r="AO207" s="204" t="e">
        <f t="shared" si="337"/>
        <v>#VALUE!</v>
      </c>
      <c r="AP207" s="204" t="e">
        <f t="shared" si="338"/>
        <v>#VALUE!</v>
      </c>
      <c r="AQ207" s="204" t="e">
        <f t="shared" si="339"/>
        <v>#VALUE!</v>
      </c>
      <c r="AR207" s="206" t="e">
        <f t="shared" si="316"/>
        <v>#VALUE!</v>
      </c>
      <c r="AS207" s="170" t="e">
        <f t="shared" si="340"/>
        <v>#VALUE!</v>
      </c>
      <c r="AT207" s="170" t="e">
        <f t="shared" si="341"/>
        <v>#VALUE!</v>
      </c>
      <c r="AU207" s="207" t="e">
        <f t="shared" si="317"/>
        <v>#VALUE!</v>
      </c>
      <c r="AV207" s="208" t="e">
        <f t="shared" si="318"/>
        <v>#VALUE!</v>
      </c>
      <c r="AW207" s="201" t="str">
        <f t="shared" si="319"/>
        <v>Fase de Vida Útil</v>
      </c>
      <c r="AX207" s="253" t="e">
        <f>VLOOKUP(D207,#REF!,5,FALSE)</f>
        <v>#REF!</v>
      </c>
      <c r="AY207" s="201"/>
      <c r="AZ207" s="273" t="s">
        <v>1224</v>
      </c>
      <c r="BB207">
        <f>IFERROR(VLOOKUP(Tabela1[[#This Row],[Denominação]],[10]Planilha1!$A:$B,2,FALSE),"")</f>
        <v>433010.19000000006</v>
      </c>
    </row>
    <row r="208" spans="1:54" ht="15" hidden="1" customHeight="1" x14ac:dyDescent="0.3">
      <c r="A208" s="253">
        <v>207</v>
      </c>
      <c r="B208" s="201" t="s">
        <v>765</v>
      </c>
      <c r="C208" s="211" t="s">
        <v>766</v>
      </c>
      <c r="D208" s="201">
        <v>10006633</v>
      </c>
      <c r="E208" s="253" t="s">
        <v>1352</v>
      </c>
      <c r="F208" s="253">
        <v>4531</v>
      </c>
      <c r="G208" s="201">
        <v>52347</v>
      </c>
      <c r="H208" s="201">
        <v>2020</v>
      </c>
      <c r="I208" s="216">
        <v>2889003.28</v>
      </c>
      <c r="J208" s="214">
        <v>2130131</v>
      </c>
      <c r="K208" s="170">
        <v>313859.99999999988</v>
      </c>
      <c r="L208" s="207">
        <v>0.97</v>
      </c>
      <c r="M208" s="212">
        <v>5096</v>
      </c>
      <c r="N208" s="212">
        <v>26138</v>
      </c>
      <c r="O208" s="171">
        <v>423</v>
      </c>
      <c r="P208" s="271" t="str">
        <f>IFERROR(VLOOKUP(Tabela1[[#This Row],[TAG]],#REF!,14,FALSE),"")</f>
        <v/>
      </c>
      <c r="Q208" s="204" t="e">
        <f t="shared" si="320"/>
        <v>#VALUE!</v>
      </c>
      <c r="R208" s="204" t="e">
        <f t="shared" si="321"/>
        <v>#VALUE!</v>
      </c>
      <c r="S208" s="204" t="e">
        <f t="shared" si="322"/>
        <v>#VALUE!</v>
      </c>
      <c r="T208" s="204" t="e">
        <f t="shared" si="323"/>
        <v>#VALUE!</v>
      </c>
      <c r="U208" s="204" t="e">
        <f t="shared" si="324"/>
        <v>#VALUE!</v>
      </c>
      <c r="V208" s="204" t="e">
        <f t="shared" si="325"/>
        <v>#VALUE!</v>
      </c>
      <c r="W208" s="218">
        <v>568.35</v>
      </c>
      <c r="X208" s="218">
        <v>4774.26</v>
      </c>
      <c r="Y208" s="203">
        <v>0.1</v>
      </c>
      <c r="Z208" s="203">
        <f>IF(Tabela1[[#This Row],[Ano Aquisição]]=2023,0,IFERROR(VLOOKUP(H208,inflação!$F:$H,3,FALSE),""))</f>
        <v>0.20369999999999999</v>
      </c>
      <c r="AA208" s="203">
        <v>0.8</v>
      </c>
      <c r="AB208" s="202">
        <f t="shared" si="314"/>
        <v>-2889003.28</v>
      </c>
      <c r="AC208" s="204" t="e">
        <f t="shared" si="326"/>
        <v>#VALUE!</v>
      </c>
      <c r="AD208" s="204" t="e">
        <f t="shared" si="327"/>
        <v>#VALUE!</v>
      </c>
      <c r="AE208" s="204" t="e">
        <f t="shared" si="328"/>
        <v>#VALUE!</v>
      </c>
      <c r="AF208" s="204" t="e">
        <f t="shared" si="329"/>
        <v>#VALUE!</v>
      </c>
      <c r="AG208" s="204" t="e">
        <f t="shared" si="330"/>
        <v>#VALUE!</v>
      </c>
      <c r="AH208" s="204" t="e">
        <f t="shared" si="331"/>
        <v>#VALUE!</v>
      </c>
      <c r="AI208" s="204" t="e">
        <f t="shared" si="332"/>
        <v>#VALUE!</v>
      </c>
      <c r="AJ208" s="205">
        <f t="shared" si="315"/>
        <v>-3477493.2481359998</v>
      </c>
      <c r="AK208" s="204" t="e">
        <f t="shared" si="333"/>
        <v>#VALUE!</v>
      </c>
      <c r="AL208" s="204" t="e">
        <f t="shared" si="334"/>
        <v>#VALUE!</v>
      </c>
      <c r="AM208" s="204" t="e">
        <f t="shared" si="335"/>
        <v>#VALUE!</v>
      </c>
      <c r="AN208" s="204" t="e">
        <f t="shared" si="336"/>
        <v>#VALUE!</v>
      </c>
      <c r="AO208" s="204" t="e">
        <f t="shared" si="337"/>
        <v>#VALUE!</v>
      </c>
      <c r="AP208" s="204" t="e">
        <f t="shared" si="338"/>
        <v>#VALUE!</v>
      </c>
      <c r="AQ208" s="204" t="e">
        <f t="shared" si="339"/>
        <v>#VALUE!</v>
      </c>
      <c r="AR208" s="206" t="e">
        <f t="shared" si="316"/>
        <v>#VALUE!</v>
      </c>
      <c r="AS208" s="170" t="e">
        <f t="shared" si="340"/>
        <v>#VALUE!</v>
      </c>
      <c r="AT208" s="170" t="e">
        <f t="shared" si="341"/>
        <v>#VALUE!</v>
      </c>
      <c r="AU208" s="207" t="e">
        <f t="shared" si="317"/>
        <v>#VALUE!</v>
      </c>
      <c r="AV208" s="208" t="e">
        <f t="shared" si="318"/>
        <v>#VALUE!</v>
      </c>
      <c r="AW208" s="201" t="str">
        <f t="shared" si="319"/>
        <v>Confiabilidade em Crescimento</v>
      </c>
      <c r="AX208" s="253" t="e">
        <f>VLOOKUP(D208,#REF!,5,FALSE)</f>
        <v>#REF!</v>
      </c>
      <c r="AY208" s="201"/>
      <c r="AZ208" s="273" t="s">
        <v>1224</v>
      </c>
      <c r="BB208">
        <f>IFERROR(VLOOKUP(Tabela1[[#This Row],[Denominação]],[10]Planilha1!$A:$B,2,FALSE),"")</f>
        <v>313859.99999999988</v>
      </c>
    </row>
    <row r="209" spans="1:54" ht="15" hidden="1" customHeight="1" x14ac:dyDescent="0.3">
      <c r="A209" s="268">
        <v>208</v>
      </c>
      <c r="B209" s="201" t="s">
        <v>958</v>
      </c>
      <c r="C209" s="211" t="s">
        <v>959</v>
      </c>
      <c r="D209" s="201">
        <v>10006687</v>
      </c>
      <c r="E209" s="253" t="s">
        <v>1353</v>
      </c>
      <c r="F209" s="253">
        <v>4531</v>
      </c>
      <c r="G209" s="201">
        <v>54936</v>
      </c>
      <c r="H209" s="201">
        <v>2021</v>
      </c>
      <c r="I209" s="216">
        <v>3470965.14</v>
      </c>
      <c r="J209" s="214">
        <v>3032384</v>
      </c>
      <c r="K209" s="170">
        <v>89138.650000000009</v>
      </c>
      <c r="L209" s="207">
        <v>0.99</v>
      </c>
      <c r="M209" s="212">
        <v>6000</v>
      </c>
      <c r="N209" s="171">
        <v>13694</v>
      </c>
      <c r="O209" s="171">
        <v>126</v>
      </c>
      <c r="P209" s="271" t="str">
        <f>IFERROR(VLOOKUP(Tabela1[[#This Row],[TAG]],#REF!,14,FALSE),"")</f>
        <v/>
      </c>
      <c r="Q209" s="271" t="e">
        <f>P209+O209</f>
        <v>#VALUE!</v>
      </c>
      <c r="R209" s="271" t="e">
        <f t="shared" si="321"/>
        <v>#VALUE!</v>
      </c>
      <c r="S209" s="204" t="e">
        <f t="shared" si="322"/>
        <v>#VALUE!</v>
      </c>
      <c r="T209" s="204" t="e">
        <f t="shared" si="323"/>
        <v>#VALUE!</v>
      </c>
      <c r="U209" s="204" t="e">
        <f t="shared" si="324"/>
        <v>#VALUE!</v>
      </c>
      <c r="V209" s="204" t="e">
        <f t="shared" si="325"/>
        <v>#VALUE!</v>
      </c>
      <c r="W209" s="218">
        <v>461.70500000000004</v>
      </c>
      <c r="X209" s="218">
        <v>3714.8591666666671</v>
      </c>
      <c r="Y209" s="203">
        <v>0.1</v>
      </c>
      <c r="Z209" s="203">
        <f>IF(Tabela1[[#This Row],[Ano Aquisição]]=2023,0,IFERROR(VLOOKUP(H209,inflação!$F:$H,3,FALSE),""))</f>
        <v>0.1585</v>
      </c>
      <c r="AA209" s="203">
        <v>0.8</v>
      </c>
      <c r="AB209" s="202">
        <f t="shared" si="314"/>
        <v>-3470965.14</v>
      </c>
      <c r="AC209" s="204" t="e">
        <f t="shared" si="326"/>
        <v>#VALUE!</v>
      </c>
      <c r="AD209" s="204" t="e">
        <f t="shared" si="327"/>
        <v>#VALUE!</v>
      </c>
      <c r="AE209" s="204" t="e">
        <f t="shared" si="328"/>
        <v>#VALUE!</v>
      </c>
      <c r="AF209" s="204" t="e">
        <f t="shared" si="329"/>
        <v>#VALUE!</v>
      </c>
      <c r="AG209" s="204" t="e">
        <f t="shared" si="330"/>
        <v>#VALUE!</v>
      </c>
      <c r="AH209" s="204" t="e">
        <f t="shared" si="331"/>
        <v>#VALUE!</v>
      </c>
      <c r="AI209" s="204" t="e">
        <f t="shared" si="332"/>
        <v>#VALUE!</v>
      </c>
      <c r="AJ209" s="205">
        <f t="shared" si="315"/>
        <v>-4021113.1146900007</v>
      </c>
      <c r="AK209" s="204" t="e">
        <f t="shared" si="333"/>
        <v>#VALUE!</v>
      </c>
      <c r="AL209" s="204" t="e">
        <f t="shared" si="334"/>
        <v>#VALUE!</v>
      </c>
      <c r="AM209" s="204" t="e">
        <f t="shared" si="335"/>
        <v>#VALUE!</v>
      </c>
      <c r="AN209" s="204" t="e">
        <f t="shared" si="336"/>
        <v>#VALUE!</v>
      </c>
      <c r="AO209" s="204" t="e">
        <f t="shared" si="337"/>
        <v>#VALUE!</v>
      </c>
      <c r="AP209" s="204" t="e">
        <f t="shared" si="338"/>
        <v>#VALUE!</v>
      </c>
      <c r="AQ209" s="204" t="e">
        <f t="shared" si="339"/>
        <v>#VALUE!</v>
      </c>
      <c r="AR209" s="206" t="e">
        <f t="shared" si="316"/>
        <v>#VALUE!</v>
      </c>
      <c r="AS209" s="170" t="e">
        <f t="shared" si="340"/>
        <v>#VALUE!</v>
      </c>
      <c r="AT209" s="170" t="e">
        <f t="shared" si="341"/>
        <v>#VALUE!</v>
      </c>
      <c r="AU209" s="207" t="e">
        <f t="shared" si="317"/>
        <v>#VALUE!</v>
      </c>
      <c r="AV209" s="208" t="e">
        <f t="shared" si="318"/>
        <v>#VALUE!</v>
      </c>
      <c r="AW209" s="201" t="str">
        <f t="shared" si="319"/>
        <v>Confiabilidade em Crescimento</v>
      </c>
      <c r="AX209" s="253" t="e">
        <f>VLOOKUP(D209,#REF!,5,FALSE)</f>
        <v>#REF!</v>
      </c>
      <c r="AY209" s="201"/>
      <c r="AZ209" s="273" t="s">
        <v>1224</v>
      </c>
      <c r="BB209">
        <f>IFERROR(VLOOKUP(Tabela1[[#This Row],[Denominação]],[10]Planilha1!$A:$B,2,FALSE),"")</f>
        <v>89138.650000000009</v>
      </c>
    </row>
    <row r="210" spans="1:54" ht="15" hidden="1" customHeight="1" x14ac:dyDescent="0.3">
      <c r="A210" s="253">
        <v>209</v>
      </c>
      <c r="B210" s="201" t="s">
        <v>960</v>
      </c>
      <c r="C210" s="211" t="s">
        <v>961</v>
      </c>
      <c r="D210" s="201">
        <v>10006688</v>
      </c>
      <c r="E210" s="253" t="s">
        <v>1354</v>
      </c>
      <c r="F210" s="253">
        <v>4531</v>
      </c>
      <c r="G210" s="201">
        <v>54935</v>
      </c>
      <c r="H210" s="201">
        <v>2021</v>
      </c>
      <c r="I210" s="216">
        <v>3496714.53</v>
      </c>
      <c r="J210" s="214">
        <v>3054881</v>
      </c>
      <c r="K210" s="170">
        <v>136190.71</v>
      </c>
      <c r="L210" s="207">
        <v>0.95</v>
      </c>
      <c r="M210" s="212">
        <v>5014</v>
      </c>
      <c r="N210" s="212">
        <v>14250</v>
      </c>
      <c r="O210" s="171">
        <v>168</v>
      </c>
      <c r="P210" s="271" t="str">
        <f>IFERROR(VLOOKUP(Tabela1[[#This Row],[TAG]],#REF!,14,FALSE),"")</f>
        <v/>
      </c>
      <c r="Q210" s="204" t="e">
        <f>P210+P210</f>
        <v>#VALUE!</v>
      </c>
      <c r="R210" s="204" t="e">
        <f t="shared" si="321"/>
        <v>#VALUE!</v>
      </c>
      <c r="S210" s="204" t="e">
        <f t="shared" si="322"/>
        <v>#VALUE!</v>
      </c>
      <c r="T210" s="204" t="e">
        <f t="shared" si="323"/>
        <v>#VALUE!</v>
      </c>
      <c r="U210" s="204" t="e">
        <f t="shared" si="324"/>
        <v>#VALUE!</v>
      </c>
      <c r="V210" s="204" t="e">
        <f t="shared" si="325"/>
        <v>#VALUE!</v>
      </c>
      <c r="W210" s="218">
        <v>468.4425</v>
      </c>
      <c r="X210" s="218">
        <v>2908.7720833333333</v>
      </c>
      <c r="Y210" s="203">
        <v>0.1</v>
      </c>
      <c r="Z210" s="203">
        <f>IF(Tabela1[[#This Row],[Ano Aquisição]]=2023,0,IFERROR(VLOOKUP(H210,inflação!$F:$H,3,FALSE),""))</f>
        <v>0.1585</v>
      </c>
      <c r="AA210" s="203">
        <v>0.8</v>
      </c>
      <c r="AB210" s="202">
        <f t="shared" si="314"/>
        <v>-3496714.53</v>
      </c>
      <c r="AC210" s="204" t="e">
        <f t="shared" si="326"/>
        <v>#VALUE!</v>
      </c>
      <c r="AD210" s="204" t="e">
        <f t="shared" si="327"/>
        <v>#VALUE!</v>
      </c>
      <c r="AE210" s="204" t="e">
        <f t="shared" si="328"/>
        <v>#VALUE!</v>
      </c>
      <c r="AF210" s="204" t="e">
        <f t="shared" si="329"/>
        <v>#VALUE!</v>
      </c>
      <c r="AG210" s="204" t="e">
        <f t="shared" si="330"/>
        <v>#VALUE!</v>
      </c>
      <c r="AH210" s="204" t="e">
        <f t="shared" si="331"/>
        <v>#VALUE!</v>
      </c>
      <c r="AI210" s="204" t="e">
        <f t="shared" si="332"/>
        <v>#VALUE!</v>
      </c>
      <c r="AJ210" s="205">
        <f t="shared" si="315"/>
        <v>-4050943.7830050001</v>
      </c>
      <c r="AK210" s="204" t="e">
        <f t="shared" si="333"/>
        <v>#VALUE!</v>
      </c>
      <c r="AL210" s="204" t="e">
        <f t="shared" si="334"/>
        <v>#VALUE!</v>
      </c>
      <c r="AM210" s="204" t="e">
        <f t="shared" si="335"/>
        <v>#VALUE!</v>
      </c>
      <c r="AN210" s="204" t="e">
        <f t="shared" si="336"/>
        <v>#VALUE!</v>
      </c>
      <c r="AO210" s="204" t="e">
        <f t="shared" si="337"/>
        <v>#VALUE!</v>
      </c>
      <c r="AP210" s="204" t="e">
        <f t="shared" si="338"/>
        <v>#VALUE!</v>
      </c>
      <c r="AQ210" s="204" t="e">
        <f t="shared" si="339"/>
        <v>#VALUE!</v>
      </c>
      <c r="AR210" s="206" t="e">
        <f t="shared" si="316"/>
        <v>#VALUE!</v>
      </c>
      <c r="AS210" s="170" t="e">
        <f t="shared" si="340"/>
        <v>#VALUE!</v>
      </c>
      <c r="AT210" s="170" t="e">
        <f t="shared" si="341"/>
        <v>#VALUE!</v>
      </c>
      <c r="AU210" s="207" t="e">
        <f t="shared" si="317"/>
        <v>#VALUE!</v>
      </c>
      <c r="AV210" s="208" t="e">
        <f t="shared" si="318"/>
        <v>#VALUE!</v>
      </c>
      <c r="AW210" s="201" t="str">
        <f t="shared" si="319"/>
        <v>Confiabilidade em Crescimento</v>
      </c>
      <c r="AX210" s="253" t="e">
        <f>VLOOKUP(D210,#REF!,5,FALSE)</f>
        <v>#REF!</v>
      </c>
      <c r="AY210" s="201"/>
      <c r="AZ210" s="273" t="s">
        <v>1224</v>
      </c>
      <c r="BB210">
        <f>IFERROR(VLOOKUP(Tabela1[[#This Row],[Denominação]],[10]Planilha1!$A:$B,2,FALSE),"")</f>
        <v>136190.71</v>
      </c>
    </row>
    <row r="211" spans="1:54" ht="15" hidden="1" customHeight="1" x14ac:dyDescent="0.3">
      <c r="A211" s="268">
        <v>210</v>
      </c>
      <c r="B211" s="201" t="s">
        <v>962</v>
      </c>
      <c r="C211" s="211" t="s">
        <v>963</v>
      </c>
      <c r="D211" s="201">
        <v>10006689</v>
      </c>
      <c r="E211" s="253" t="s">
        <v>1355</v>
      </c>
      <c r="F211" s="253">
        <v>4531</v>
      </c>
      <c r="G211" s="201">
        <v>54934</v>
      </c>
      <c r="H211" s="201">
        <v>2021</v>
      </c>
      <c r="I211" s="216">
        <v>3294729.57</v>
      </c>
      <c r="J211" s="214">
        <v>2878418</v>
      </c>
      <c r="K211" s="170">
        <v>100522.27</v>
      </c>
      <c r="L211" s="207">
        <v>0.71</v>
      </c>
      <c r="M211" s="212">
        <v>5373</v>
      </c>
      <c r="N211" s="212">
        <v>13830</v>
      </c>
      <c r="O211" s="171">
        <v>154</v>
      </c>
      <c r="P211" s="271" t="str">
        <f>IFERROR(VLOOKUP(Tabela1[[#This Row],[TAG]],#REF!,14,FALSE),"")</f>
        <v/>
      </c>
      <c r="Q211" s="204" t="e">
        <f t="shared" ref="Q211:Q225" si="342">P211+P211</f>
        <v>#VALUE!</v>
      </c>
      <c r="R211" s="204" t="e">
        <f t="shared" si="321"/>
        <v>#VALUE!</v>
      </c>
      <c r="S211" s="204" t="e">
        <f t="shared" si="322"/>
        <v>#VALUE!</v>
      </c>
      <c r="T211" s="204" t="e">
        <f t="shared" si="323"/>
        <v>#VALUE!</v>
      </c>
      <c r="U211" s="204" t="e">
        <f t="shared" si="324"/>
        <v>#VALUE!</v>
      </c>
      <c r="V211" s="204" t="e">
        <f t="shared" si="325"/>
        <v>#VALUE!</v>
      </c>
      <c r="W211" s="218">
        <v>611.54</v>
      </c>
      <c r="X211" s="218">
        <v>3409.13</v>
      </c>
      <c r="Y211" s="203">
        <v>0.1</v>
      </c>
      <c r="Z211" s="203">
        <f>IF(Tabela1[[#This Row],[Ano Aquisição]]=2023,0,IFERROR(VLOOKUP(H211,inflação!$F:$H,3,FALSE),""))</f>
        <v>0.1585</v>
      </c>
      <c r="AA211" s="203">
        <v>0.8</v>
      </c>
      <c r="AB211" s="202">
        <f t="shared" si="314"/>
        <v>-3294729.57</v>
      </c>
      <c r="AC211" s="204" t="e">
        <f t="shared" si="326"/>
        <v>#VALUE!</v>
      </c>
      <c r="AD211" s="204" t="e">
        <f t="shared" si="327"/>
        <v>#VALUE!</v>
      </c>
      <c r="AE211" s="204" t="e">
        <f t="shared" si="328"/>
        <v>#VALUE!</v>
      </c>
      <c r="AF211" s="204" t="e">
        <f t="shared" si="329"/>
        <v>#VALUE!</v>
      </c>
      <c r="AG211" s="204" t="e">
        <f t="shared" si="330"/>
        <v>#VALUE!</v>
      </c>
      <c r="AH211" s="204" t="e">
        <f t="shared" si="331"/>
        <v>#VALUE!</v>
      </c>
      <c r="AI211" s="204" t="e">
        <f t="shared" si="332"/>
        <v>#VALUE!</v>
      </c>
      <c r="AJ211" s="205">
        <f t="shared" si="315"/>
        <v>-3816944.2068449999</v>
      </c>
      <c r="AK211" s="204" t="e">
        <f t="shared" si="333"/>
        <v>#VALUE!</v>
      </c>
      <c r="AL211" s="204" t="e">
        <f t="shared" si="334"/>
        <v>#VALUE!</v>
      </c>
      <c r="AM211" s="204" t="e">
        <f t="shared" si="335"/>
        <v>#VALUE!</v>
      </c>
      <c r="AN211" s="204" t="e">
        <f t="shared" si="336"/>
        <v>#VALUE!</v>
      </c>
      <c r="AO211" s="204" t="e">
        <f t="shared" si="337"/>
        <v>#VALUE!</v>
      </c>
      <c r="AP211" s="204" t="e">
        <f t="shared" si="338"/>
        <v>#VALUE!</v>
      </c>
      <c r="AQ211" s="204" t="e">
        <f t="shared" si="339"/>
        <v>#VALUE!</v>
      </c>
      <c r="AR211" s="206" t="e">
        <f t="shared" si="316"/>
        <v>#VALUE!</v>
      </c>
      <c r="AS211" s="170" t="e">
        <f t="shared" si="340"/>
        <v>#VALUE!</v>
      </c>
      <c r="AT211" s="170" t="e">
        <f t="shared" si="341"/>
        <v>#VALUE!</v>
      </c>
      <c r="AU211" s="207" t="e">
        <f t="shared" si="317"/>
        <v>#VALUE!</v>
      </c>
      <c r="AV211" s="208" t="e">
        <f t="shared" si="318"/>
        <v>#VALUE!</v>
      </c>
      <c r="AW211" s="201" t="str">
        <f t="shared" si="319"/>
        <v>Confiabilidade em Crescimento</v>
      </c>
      <c r="AX211" s="253" t="e">
        <f>VLOOKUP(D211,#REF!,5,FALSE)</f>
        <v>#REF!</v>
      </c>
      <c r="AY211" s="201"/>
      <c r="AZ211" s="273" t="s">
        <v>1224</v>
      </c>
      <c r="BB211">
        <f>IFERROR(VLOOKUP(Tabela1[[#This Row],[Denominação]],[10]Planilha1!$A:$B,2,FALSE),"")</f>
        <v>100522.27</v>
      </c>
    </row>
    <row r="212" spans="1:54" ht="15" hidden="1" customHeight="1" x14ac:dyDescent="0.3">
      <c r="A212" s="253">
        <v>211</v>
      </c>
      <c r="B212" s="201" t="s">
        <v>964</v>
      </c>
      <c r="C212" s="211" t="s">
        <v>965</v>
      </c>
      <c r="D212" s="201">
        <v>10006690</v>
      </c>
      <c r="E212" s="253" t="s">
        <v>1356</v>
      </c>
      <c r="F212" s="253">
        <v>4531</v>
      </c>
      <c r="G212" s="201">
        <v>54933</v>
      </c>
      <c r="H212" s="201">
        <v>2021</v>
      </c>
      <c r="I212" s="216">
        <v>3273312.33</v>
      </c>
      <c r="J212" s="214">
        <v>2859706</v>
      </c>
      <c r="K212" s="170">
        <v>136113.20000000001</v>
      </c>
      <c r="L212" s="207">
        <v>0.93</v>
      </c>
      <c r="M212" s="212">
        <v>5243</v>
      </c>
      <c r="N212" s="212">
        <v>13667</v>
      </c>
      <c r="O212" s="171">
        <v>182</v>
      </c>
      <c r="P212" s="271" t="str">
        <f>IFERROR(VLOOKUP(Tabela1[[#This Row],[TAG]],#REF!,14,FALSE),"")</f>
        <v/>
      </c>
      <c r="Q212" s="204" t="e">
        <f t="shared" si="342"/>
        <v>#VALUE!</v>
      </c>
      <c r="R212" s="204" t="e">
        <f t="shared" si="321"/>
        <v>#VALUE!</v>
      </c>
      <c r="S212" s="204" t="e">
        <f t="shared" si="322"/>
        <v>#VALUE!</v>
      </c>
      <c r="T212" s="204" t="e">
        <f t="shared" si="323"/>
        <v>#VALUE!</v>
      </c>
      <c r="U212" s="204" t="e">
        <f t="shared" si="324"/>
        <v>#VALUE!</v>
      </c>
      <c r="V212" s="204" t="e">
        <f t="shared" si="325"/>
        <v>#VALUE!</v>
      </c>
      <c r="W212" s="218">
        <v>451.64</v>
      </c>
      <c r="X212" s="218">
        <v>3949.66</v>
      </c>
      <c r="Y212" s="203">
        <v>0.1</v>
      </c>
      <c r="Z212" s="203">
        <f>IF(Tabela1[[#This Row],[Ano Aquisição]]=2023,0,IFERROR(VLOOKUP(H212,inflação!$F:$H,3,FALSE),""))</f>
        <v>0.1585</v>
      </c>
      <c r="AA212" s="203">
        <v>0.8</v>
      </c>
      <c r="AB212" s="202">
        <f t="shared" si="314"/>
        <v>-3273312.33</v>
      </c>
      <c r="AC212" s="204" t="e">
        <f t="shared" si="326"/>
        <v>#VALUE!</v>
      </c>
      <c r="AD212" s="204" t="e">
        <f t="shared" si="327"/>
        <v>#VALUE!</v>
      </c>
      <c r="AE212" s="204" t="e">
        <f t="shared" si="328"/>
        <v>#VALUE!</v>
      </c>
      <c r="AF212" s="204" t="e">
        <f t="shared" si="329"/>
        <v>#VALUE!</v>
      </c>
      <c r="AG212" s="204" t="e">
        <f t="shared" si="330"/>
        <v>#VALUE!</v>
      </c>
      <c r="AH212" s="204" t="e">
        <f t="shared" si="331"/>
        <v>#VALUE!</v>
      </c>
      <c r="AI212" s="204" t="e">
        <f t="shared" si="332"/>
        <v>#VALUE!</v>
      </c>
      <c r="AJ212" s="205">
        <f t="shared" si="315"/>
        <v>-3792132.3343050005</v>
      </c>
      <c r="AK212" s="204" t="e">
        <f t="shared" si="333"/>
        <v>#VALUE!</v>
      </c>
      <c r="AL212" s="204" t="e">
        <f t="shared" si="334"/>
        <v>#VALUE!</v>
      </c>
      <c r="AM212" s="204" t="e">
        <f t="shared" si="335"/>
        <v>#VALUE!</v>
      </c>
      <c r="AN212" s="204" t="e">
        <f t="shared" si="336"/>
        <v>#VALUE!</v>
      </c>
      <c r="AO212" s="204" t="e">
        <f t="shared" si="337"/>
        <v>#VALUE!</v>
      </c>
      <c r="AP212" s="204" t="e">
        <f t="shared" si="338"/>
        <v>#VALUE!</v>
      </c>
      <c r="AQ212" s="204" t="e">
        <f t="shared" si="339"/>
        <v>#VALUE!</v>
      </c>
      <c r="AR212" s="206" t="e">
        <f t="shared" si="316"/>
        <v>#VALUE!</v>
      </c>
      <c r="AS212" s="170" t="e">
        <f t="shared" si="340"/>
        <v>#VALUE!</v>
      </c>
      <c r="AT212" s="170" t="e">
        <f t="shared" si="341"/>
        <v>#VALUE!</v>
      </c>
      <c r="AU212" s="207" t="e">
        <f t="shared" si="317"/>
        <v>#VALUE!</v>
      </c>
      <c r="AV212" s="208" t="e">
        <f t="shared" si="318"/>
        <v>#VALUE!</v>
      </c>
      <c r="AW212" s="201" t="str">
        <f t="shared" si="319"/>
        <v>Confiabilidade em Crescimento</v>
      </c>
      <c r="AX212" s="253" t="e">
        <f>VLOOKUP(D212,#REF!,5,FALSE)</f>
        <v>#REF!</v>
      </c>
      <c r="AY212" s="201"/>
      <c r="AZ212" s="273" t="s">
        <v>1224</v>
      </c>
      <c r="BB212">
        <f>IFERROR(VLOOKUP(Tabela1[[#This Row],[Denominação]],[10]Planilha1!$A:$B,2,FALSE),"")</f>
        <v>136113.20000000001</v>
      </c>
    </row>
    <row r="213" spans="1:54" ht="15" hidden="1" customHeight="1" x14ac:dyDescent="0.3">
      <c r="A213" s="268">
        <v>212</v>
      </c>
      <c r="B213" s="201" t="s">
        <v>966</v>
      </c>
      <c r="C213" s="211" t="s">
        <v>967</v>
      </c>
      <c r="D213" s="201">
        <v>10006691</v>
      </c>
      <c r="E213" s="253" t="s">
        <v>1357</v>
      </c>
      <c r="F213" s="253">
        <v>4531</v>
      </c>
      <c r="G213" s="201">
        <v>55965</v>
      </c>
      <c r="H213" s="201">
        <v>2021</v>
      </c>
      <c r="I213" s="216">
        <v>3643233.81</v>
      </c>
      <c r="J213" s="214">
        <v>3271985</v>
      </c>
      <c r="K213" s="170">
        <v>106586.18999999997</v>
      </c>
      <c r="L213" s="207">
        <v>0.8</v>
      </c>
      <c r="M213" s="212">
        <v>5438</v>
      </c>
      <c r="N213" s="212">
        <v>11819</v>
      </c>
      <c r="O213" s="171">
        <v>94</v>
      </c>
      <c r="P213" s="271" t="str">
        <f>IFERROR(VLOOKUP(Tabela1[[#This Row],[TAG]],#REF!,14,FALSE),"")</f>
        <v/>
      </c>
      <c r="Q213" s="204" t="e">
        <f t="shared" si="342"/>
        <v>#VALUE!</v>
      </c>
      <c r="R213" s="204" t="e">
        <f t="shared" si="321"/>
        <v>#VALUE!</v>
      </c>
      <c r="S213" s="204" t="e">
        <f t="shared" si="322"/>
        <v>#VALUE!</v>
      </c>
      <c r="T213" s="204" t="e">
        <f t="shared" si="323"/>
        <v>#VALUE!</v>
      </c>
      <c r="U213" s="204" t="e">
        <f t="shared" si="324"/>
        <v>#VALUE!</v>
      </c>
      <c r="V213" s="204" t="e">
        <f t="shared" si="325"/>
        <v>#VALUE!</v>
      </c>
      <c r="W213" s="218">
        <v>1106.72</v>
      </c>
      <c r="X213" s="218">
        <v>2662.38</v>
      </c>
      <c r="Y213" s="203">
        <v>0.1</v>
      </c>
      <c r="Z213" s="203">
        <f>IF(Tabela1[[#This Row],[Ano Aquisição]]=2023,0,IFERROR(VLOOKUP(H213,inflação!$F:$H,3,FALSE),""))</f>
        <v>0.1585</v>
      </c>
      <c r="AA213" s="203">
        <v>0.8</v>
      </c>
      <c r="AB213" s="202">
        <f t="shared" si="314"/>
        <v>-3643233.81</v>
      </c>
      <c r="AC213" s="204" t="e">
        <f t="shared" si="326"/>
        <v>#VALUE!</v>
      </c>
      <c r="AD213" s="204" t="e">
        <f t="shared" si="327"/>
        <v>#VALUE!</v>
      </c>
      <c r="AE213" s="204" t="e">
        <f t="shared" si="328"/>
        <v>#VALUE!</v>
      </c>
      <c r="AF213" s="204" t="e">
        <f t="shared" si="329"/>
        <v>#VALUE!</v>
      </c>
      <c r="AG213" s="204" t="e">
        <f t="shared" si="330"/>
        <v>#VALUE!</v>
      </c>
      <c r="AH213" s="204" t="e">
        <f t="shared" si="331"/>
        <v>#VALUE!</v>
      </c>
      <c r="AI213" s="204" t="e">
        <f t="shared" si="332"/>
        <v>#VALUE!</v>
      </c>
      <c r="AJ213" s="205">
        <f t="shared" si="315"/>
        <v>-4220686.3688850002</v>
      </c>
      <c r="AK213" s="204" t="e">
        <f t="shared" si="333"/>
        <v>#VALUE!</v>
      </c>
      <c r="AL213" s="204" t="e">
        <f t="shared" si="334"/>
        <v>#VALUE!</v>
      </c>
      <c r="AM213" s="204" t="e">
        <f t="shared" si="335"/>
        <v>#VALUE!</v>
      </c>
      <c r="AN213" s="204" t="e">
        <f t="shared" si="336"/>
        <v>#VALUE!</v>
      </c>
      <c r="AO213" s="204" t="e">
        <f t="shared" si="337"/>
        <v>#VALUE!</v>
      </c>
      <c r="AP213" s="204" t="e">
        <f t="shared" si="338"/>
        <v>#VALUE!</v>
      </c>
      <c r="AQ213" s="204" t="e">
        <f t="shared" si="339"/>
        <v>#VALUE!</v>
      </c>
      <c r="AR213" s="206" t="e">
        <f t="shared" si="316"/>
        <v>#VALUE!</v>
      </c>
      <c r="AS213" s="170" t="e">
        <f t="shared" si="340"/>
        <v>#VALUE!</v>
      </c>
      <c r="AT213" s="170" t="e">
        <f t="shared" si="341"/>
        <v>#VALUE!</v>
      </c>
      <c r="AU213" s="207" t="e">
        <f t="shared" si="317"/>
        <v>#VALUE!</v>
      </c>
      <c r="AV213" s="208" t="e">
        <f t="shared" si="318"/>
        <v>#VALUE!</v>
      </c>
      <c r="AW213" s="201" t="str">
        <f t="shared" si="319"/>
        <v>Confiabilidade em Crescimento</v>
      </c>
      <c r="AX213" s="253" t="e">
        <f>VLOOKUP(D213,#REF!,5,FALSE)</f>
        <v>#REF!</v>
      </c>
      <c r="AY213" s="201"/>
      <c r="AZ213" s="273" t="s">
        <v>1224</v>
      </c>
      <c r="BB213">
        <f>IFERROR(VLOOKUP(Tabela1[[#This Row],[Denominação]],[10]Planilha1!$A:$B,2,FALSE),"")</f>
        <v>106586.18999999997</v>
      </c>
    </row>
    <row r="214" spans="1:54" ht="15" hidden="1" customHeight="1" x14ac:dyDescent="0.3">
      <c r="A214" s="253">
        <v>213</v>
      </c>
      <c r="B214" s="201" t="s">
        <v>968</v>
      </c>
      <c r="C214" s="211" t="s">
        <v>969</v>
      </c>
      <c r="D214" s="201">
        <v>10006692</v>
      </c>
      <c r="E214" s="253" t="s">
        <v>1358</v>
      </c>
      <c r="F214" s="253">
        <v>4531</v>
      </c>
      <c r="G214" s="201">
        <v>55966</v>
      </c>
      <c r="H214" s="201">
        <v>2021</v>
      </c>
      <c r="I214" s="216">
        <v>3643233.79</v>
      </c>
      <c r="J214" s="214">
        <v>3271985</v>
      </c>
      <c r="K214" s="170">
        <v>50594.80000000001</v>
      </c>
      <c r="L214" s="207">
        <v>0.88</v>
      </c>
      <c r="M214" s="212">
        <v>5704</v>
      </c>
      <c r="N214" s="212">
        <v>12168</v>
      </c>
      <c r="O214" s="171">
        <v>103</v>
      </c>
      <c r="P214" s="271" t="str">
        <f>IFERROR(VLOOKUP(Tabela1[[#This Row],[TAG]],#REF!,14,FALSE),"")</f>
        <v/>
      </c>
      <c r="Q214" s="204" t="e">
        <f t="shared" si="342"/>
        <v>#VALUE!</v>
      </c>
      <c r="R214" s="204" t="e">
        <f t="shared" si="321"/>
        <v>#VALUE!</v>
      </c>
      <c r="S214" s="204" t="e">
        <f t="shared" si="322"/>
        <v>#VALUE!</v>
      </c>
      <c r="T214" s="204" t="e">
        <f t="shared" si="323"/>
        <v>#VALUE!</v>
      </c>
      <c r="U214" s="204" t="e">
        <f t="shared" si="324"/>
        <v>#VALUE!</v>
      </c>
      <c r="V214" s="204" t="e">
        <f t="shared" si="325"/>
        <v>#VALUE!</v>
      </c>
      <c r="W214" s="218">
        <v>661.07</v>
      </c>
      <c r="X214" s="218">
        <v>2908.7720833333333</v>
      </c>
      <c r="Y214" s="203">
        <v>0.1</v>
      </c>
      <c r="Z214" s="203">
        <f>IF(Tabela1[[#This Row],[Ano Aquisição]]=2023,0,IFERROR(VLOOKUP(H214,inflação!$F:$H,3,FALSE),""))</f>
        <v>0.1585</v>
      </c>
      <c r="AA214" s="203">
        <v>0.8</v>
      </c>
      <c r="AB214" s="202">
        <f t="shared" si="314"/>
        <v>-3643233.79</v>
      </c>
      <c r="AC214" s="204" t="e">
        <f t="shared" si="326"/>
        <v>#VALUE!</v>
      </c>
      <c r="AD214" s="204" t="e">
        <f t="shared" si="327"/>
        <v>#VALUE!</v>
      </c>
      <c r="AE214" s="204" t="e">
        <f t="shared" si="328"/>
        <v>#VALUE!</v>
      </c>
      <c r="AF214" s="204" t="e">
        <f t="shared" si="329"/>
        <v>#VALUE!</v>
      </c>
      <c r="AG214" s="204" t="e">
        <f t="shared" si="330"/>
        <v>#VALUE!</v>
      </c>
      <c r="AH214" s="204" t="e">
        <f t="shared" si="331"/>
        <v>#VALUE!</v>
      </c>
      <c r="AI214" s="204" t="e">
        <f t="shared" si="332"/>
        <v>#VALUE!</v>
      </c>
      <c r="AJ214" s="205">
        <f t="shared" si="315"/>
        <v>-4220686.3457150003</v>
      </c>
      <c r="AK214" s="204" t="e">
        <f t="shared" si="333"/>
        <v>#VALUE!</v>
      </c>
      <c r="AL214" s="204" t="e">
        <f t="shared" si="334"/>
        <v>#VALUE!</v>
      </c>
      <c r="AM214" s="204" t="e">
        <f t="shared" si="335"/>
        <v>#VALUE!</v>
      </c>
      <c r="AN214" s="204" t="e">
        <f t="shared" si="336"/>
        <v>#VALUE!</v>
      </c>
      <c r="AO214" s="204" t="e">
        <f t="shared" si="337"/>
        <v>#VALUE!</v>
      </c>
      <c r="AP214" s="204" t="e">
        <f t="shared" si="338"/>
        <v>#VALUE!</v>
      </c>
      <c r="AQ214" s="204" t="e">
        <f t="shared" si="339"/>
        <v>#VALUE!</v>
      </c>
      <c r="AR214" s="206" t="e">
        <f t="shared" si="316"/>
        <v>#VALUE!</v>
      </c>
      <c r="AS214" s="170" t="e">
        <f t="shared" si="340"/>
        <v>#VALUE!</v>
      </c>
      <c r="AT214" s="170" t="e">
        <f t="shared" si="341"/>
        <v>#VALUE!</v>
      </c>
      <c r="AU214" s="207" t="e">
        <f t="shared" si="317"/>
        <v>#VALUE!</v>
      </c>
      <c r="AV214" s="208" t="e">
        <f t="shared" si="318"/>
        <v>#VALUE!</v>
      </c>
      <c r="AW214" s="201" t="str">
        <f t="shared" si="319"/>
        <v>Confiabilidade em Crescimento</v>
      </c>
      <c r="AX214" s="253" t="e">
        <f>VLOOKUP(D214,#REF!,5,FALSE)</f>
        <v>#REF!</v>
      </c>
      <c r="AY214" s="201"/>
      <c r="AZ214" s="273" t="s">
        <v>1224</v>
      </c>
      <c r="BB214">
        <f>IFERROR(VLOOKUP(Tabela1[[#This Row],[Denominação]],[10]Planilha1!$A:$B,2,FALSE),"")</f>
        <v>50594.80000000001</v>
      </c>
    </row>
    <row r="215" spans="1:54" ht="15" hidden="1" customHeight="1" x14ac:dyDescent="0.3">
      <c r="A215" s="268">
        <v>214</v>
      </c>
      <c r="B215" s="201" t="s">
        <v>970</v>
      </c>
      <c r="C215" s="211" t="s">
        <v>971</v>
      </c>
      <c r="D215" s="201">
        <v>10006693</v>
      </c>
      <c r="E215" s="253" t="s">
        <v>1359</v>
      </c>
      <c r="F215" s="253">
        <v>4531</v>
      </c>
      <c r="G215" s="201">
        <v>56425</v>
      </c>
      <c r="H215" s="201">
        <v>2021</v>
      </c>
      <c r="I215" s="216">
        <v>3741397.82</v>
      </c>
      <c r="J215" s="214">
        <v>3433282</v>
      </c>
      <c r="K215" s="170">
        <v>613224.92000000027</v>
      </c>
      <c r="L215" s="207">
        <v>0.99</v>
      </c>
      <c r="M215" s="212">
        <v>5091</v>
      </c>
      <c r="N215" s="212">
        <v>8870</v>
      </c>
      <c r="O215" s="171">
        <v>73</v>
      </c>
      <c r="P215" s="271" t="str">
        <f>IFERROR(VLOOKUP(Tabela1[[#This Row],[TAG]],#REF!,14,FALSE),"")</f>
        <v/>
      </c>
      <c r="Q215" s="204" t="e">
        <f t="shared" si="342"/>
        <v>#VALUE!</v>
      </c>
      <c r="R215" s="204" t="e">
        <f t="shared" si="321"/>
        <v>#VALUE!</v>
      </c>
      <c r="S215" s="204" t="e">
        <f t="shared" si="322"/>
        <v>#VALUE!</v>
      </c>
      <c r="T215" s="204" t="e">
        <f t="shared" si="323"/>
        <v>#VALUE!</v>
      </c>
      <c r="U215" s="204" t="e">
        <f t="shared" si="324"/>
        <v>#VALUE!</v>
      </c>
      <c r="V215" s="204" t="e">
        <f t="shared" si="325"/>
        <v>#VALUE!</v>
      </c>
      <c r="W215" s="218">
        <v>431.95</v>
      </c>
      <c r="X215" s="218">
        <v>2055.19</v>
      </c>
      <c r="Y215" s="203">
        <v>0.1</v>
      </c>
      <c r="Z215" s="203">
        <f>IF(Tabela1[[#This Row],[Ano Aquisição]]=2023,0,IFERROR(VLOOKUP(H215,inflação!$F:$H,3,FALSE),""))</f>
        <v>0.1585</v>
      </c>
      <c r="AA215" s="203">
        <v>0.8</v>
      </c>
      <c r="AB215" s="202">
        <f t="shared" si="314"/>
        <v>-3741397.82</v>
      </c>
      <c r="AC215" s="204" t="e">
        <f t="shared" si="326"/>
        <v>#VALUE!</v>
      </c>
      <c r="AD215" s="204" t="e">
        <f t="shared" si="327"/>
        <v>#VALUE!</v>
      </c>
      <c r="AE215" s="204" t="e">
        <f t="shared" si="328"/>
        <v>#VALUE!</v>
      </c>
      <c r="AF215" s="204" t="e">
        <f t="shared" si="329"/>
        <v>#VALUE!</v>
      </c>
      <c r="AG215" s="204" t="e">
        <f t="shared" si="330"/>
        <v>#VALUE!</v>
      </c>
      <c r="AH215" s="204" t="e">
        <f t="shared" si="331"/>
        <v>#VALUE!</v>
      </c>
      <c r="AI215" s="204" t="e">
        <f t="shared" si="332"/>
        <v>#VALUE!</v>
      </c>
      <c r="AJ215" s="205">
        <f t="shared" si="315"/>
        <v>-4334409.3744700002</v>
      </c>
      <c r="AK215" s="204" t="e">
        <f t="shared" si="333"/>
        <v>#VALUE!</v>
      </c>
      <c r="AL215" s="204" t="e">
        <f t="shared" si="334"/>
        <v>#VALUE!</v>
      </c>
      <c r="AM215" s="204" t="e">
        <f t="shared" si="335"/>
        <v>#VALUE!</v>
      </c>
      <c r="AN215" s="204" t="e">
        <f t="shared" si="336"/>
        <v>#VALUE!</v>
      </c>
      <c r="AO215" s="204" t="e">
        <f t="shared" si="337"/>
        <v>#VALUE!</v>
      </c>
      <c r="AP215" s="204" t="e">
        <f t="shared" si="338"/>
        <v>#VALUE!</v>
      </c>
      <c r="AQ215" s="204" t="e">
        <f t="shared" si="339"/>
        <v>#VALUE!</v>
      </c>
      <c r="AR215" s="206" t="e">
        <f t="shared" si="316"/>
        <v>#VALUE!</v>
      </c>
      <c r="AS215" s="170" t="e">
        <f t="shared" si="340"/>
        <v>#VALUE!</v>
      </c>
      <c r="AT215" s="170" t="e">
        <f t="shared" si="341"/>
        <v>#VALUE!</v>
      </c>
      <c r="AU215" s="207" t="e">
        <f t="shared" si="317"/>
        <v>#VALUE!</v>
      </c>
      <c r="AV215" s="208" t="e">
        <f t="shared" si="318"/>
        <v>#VALUE!</v>
      </c>
      <c r="AW215" s="201" t="str">
        <f t="shared" si="319"/>
        <v>Confiabilidade em Crescimento</v>
      </c>
      <c r="AX215" s="253" t="e">
        <f>VLOOKUP(D215,#REF!,5,FALSE)</f>
        <v>#REF!</v>
      </c>
      <c r="AY215" s="201"/>
      <c r="AZ215" s="273" t="s">
        <v>1224</v>
      </c>
      <c r="BB215">
        <f>IFERROR(VLOOKUP(Tabela1[[#This Row],[Denominação]],[10]Planilha1!$A:$B,2,FALSE),"")</f>
        <v>613224.92000000027</v>
      </c>
    </row>
    <row r="216" spans="1:54" ht="15" hidden="1" customHeight="1" x14ac:dyDescent="0.3">
      <c r="A216" s="253">
        <v>215</v>
      </c>
      <c r="B216" s="201" t="s">
        <v>972</v>
      </c>
      <c r="C216" s="211" t="s">
        <v>973</v>
      </c>
      <c r="D216" s="201">
        <v>10006694</v>
      </c>
      <c r="E216" s="253" t="s">
        <v>1360</v>
      </c>
      <c r="F216" s="253">
        <v>4531</v>
      </c>
      <c r="G216" s="201">
        <v>56422</v>
      </c>
      <c r="H216" s="201">
        <v>2021</v>
      </c>
      <c r="I216" s="216">
        <v>3741398.17</v>
      </c>
      <c r="J216" s="214">
        <v>3433282</v>
      </c>
      <c r="K216" s="170">
        <v>98617.58</v>
      </c>
      <c r="L216" s="207">
        <v>0.83</v>
      </c>
      <c r="M216" s="212">
        <v>5155</v>
      </c>
      <c r="N216" s="212">
        <v>9994</v>
      </c>
      <c r="O216" s="171">
        <v>92</v>
      </c>
      <c r="P216" s="271" t="str">
        <f>IFERROR(VLOOKUP(Tabela1[[#This Row],[TAG]],#REF!,14,FALSE),"")</f>
        <v/>
      </c>
      <c r="Q216" s="204" t="e">
        <f t="shared" si="342"/>
        <v>#VALUE!</v>
      </c>
      <c r="R216" s="204" t="e">
        <f t="shared" si="321"/>
        <v>#VALUE!</v>
      </c>
      <c r="S216" s="204" t="e">
        <f t="shared" si="322"/>
        <v>#VALUE!</v>
      </c>
      <c r="T216" s="204" t="e">
        <f t="shared" si="323"/>
        <v>#VALUE!</v>
      </c>
      <c r="U216" s="204" t="e">
        <f t="shared" si="324"/>
        <v>#VALUE!</v>
      </c>
      <c r="V216" s="204" t="e">
        <f t="shared" si="325"/>
        <v>#VALUE!</v>
      </c>
      <c r="W216" s="218">
        <v>938.27</v>
      </c>
      <c r="X216" s="218">
        <v>7248.83</v>
      </c>
      <c r="Y216" s="203">
        <v>0.1</v>
      </c>
      <c r="Z216" s="203">
        <f>IF(Tabela1[[#This Row],[Ano Aquisição]]=2023,0,IFERROR(VLOOKUP(H216,inflação!$F:$H,3,FALSE),""))</f>
        <v>0.1585</v>
      </c>
      <c r="AA216" s="203">
        <v>0.8</v>
      </c>
      <c r="AB216" s="202">
        <f t="shared" si="314"/>
        <v>-3741398.17</v>
      </c>
      <c r="AC216" s="204" t="e">
        <f t="shared" si="326"/>
        <v>#VALUE!</v>
      </c>
      <c r="AD216" s="204" t="e">
        <f t="shared" si="327"/>
        <v>#VALUE!</v>
      </c>
      <c r="AE216" s="204" t="e">
        <f t="shared" si="328"/>
        <v>#VALUE!</v>
      </c>
      <c r="AF216" s="204" t="e">
        <f t="shared" si="329"/>
        <v>#VALUE!</v>
      </c>
      <c r="AG216" s="204" t="e">
        <f t="shared" si="330"/>
        <v>#VALUE!</v>
      </c>
      <c r="AH216" s="204" t="e">
        <f t="shared" si="331"/>
        <v>#VALUE!</v>
      </c>
      <c r="AI216" s="204" t="e">
        <f t="shared" si="332"/>
        <v>#VALUE!</v>
      </c>
      <c r="AJ216" s="205">
        <f t="shared" si="315"/>
        <v>-4334409.7799450001</v>
      </c>
      <c r="AK216" s="204" t="e">
        <f t="shared" si="333"/>
        <v>#VALUE!</v>
      </c>
      <c r="AL216" s="204" t="e">
        <f t="shared" si="334"/>
        <v>#VALUE!</v>
      </c>
      <c r="AM216" s="204" t="e">
        <f t="shared" si="335"/>
        <v>#VALUE!</v>
      </c>
      <c r="AN216" s="204" t="e">
        <f t="shared" si="336"/>
        <v>#VALUE!</v>
      </c>
      <c r="AO216" s="204" t="e">
        <f t="shared" si="337"/>
        <v>#VALUE!</v>
      </c>
      <c r="AP216" s="204" t="e">
        <f t="shared" si="338"/>
        <v>#VALUE!</v>
      </c>
      <c r="AQ216" s="204" t="e">
        <f t="shared" si="339"/>
        <v>#VALUE!</v>
      </c>
      <c r="AR216" s="206" t="e">
        <f t="shared" si="316"/>
        <v>#VALUE!</v>
      </c>
      <c r="AS216" s="170" t="e">
        <f t="shared" si="340"/>
        <v>#VALUE!</v>
      </c>
      <c r="AT216" s="170" t="e">
        <f t="shared" si="341"/>
        <v>#VALUE!</v>
      </c>
      <c r="AU216" s="207" t="e">
        <f t="shared" si="317"/>
        <v>#VALUE!</v>
      </c>
      <c r="AV216" s="208" t="e">
        <f t="shared" si="318"/>
        <v>#VALUE!</v>
      </c>
      <c r="AW216" s="201" t="str">
        <f t="shared" si="319"/>
        <v>Confiabilidade em Crescimento</v>
      </c>
      <c r="AX216" s="253" t="e">
        <f>VLOOKUP(D216,#REF!,5,FALSE)</f>
        <v>#REF!</v>
      </c>
      <c r="AY216" s="201"/>
      <c r="AZ216" s="273" t="s">
        <v>1224</v>
      </c>
      <c r="BB216">
        <f>IFERROR(VLOOKUP(Tabela1[[#This Row],[Denominação]],[10]Planilha1!$A:$B,2,FALSE),"")</f>
        <v>98617.58</v>
      </c>
    </row>
    <row r="217" spans="1:54" ht="15" hidden="1" customHeight="1" x14ac:dyDescent="0.3">
      <c r="A217" s="268">
        <v>216</v>
      </c>
      <c r="B217" s="201" t="s">
        <v>974</v>
      </c>
      <c r="C217" s="211" t="s">
        <v>975</v>
      </c>
      <c r="D217" s="201">
        <v>10006695</v>
      </c>
      <c r="E217" s="253" t="s">
        <v>1361</v>
      </c>
      <c r="F217" s="253">
        <v>4531</v>
      </c>
      <c r="G217" s="201">
        <v>56423</v>
      </c>
      <c r="H217" s="201">
        <v>2021</v>
      </c>
      <c r="I217" s="216">
        <v>3741398.17</v>
      </c>
      <c r="J217" s="214">
        <v>3433282</v>
      </c>
      <c r="K217" s="170">
        <v>146864.24000000002</v>
      </c>
      <c r="L217" s="207">
        <v>0.76</v>
      </c>
      <c r="M217" s="212">
        <v>5272</v>
      </c>
      <c r="N217" s="212">
        <v>10040</v>
      </c>
      <c r="O217" s="171">
        <v>85</v>
      </c>
      <c r="P217" s="271" t="str">
        <f>IFERROR(VLOOKUP(Tabela1[[#This Row],[TAG]],#REF!,14,FALSE),"")</f>
        <v/>
      </c>
      <c r="Q217" s="204" t="e">
        <f t="shared" si="342"/>
        <v>#VALUE!</v>
      </c>
      <c r="R217" s="204" t="e">
        <f t="shared" si="321"/>
        <v>#VALUE!</v>
      </c>
      <c r="S217" s="204" t="e">
        <f t="shared" si="322"/>
        <v>#VALUE!</v>
      </c>
      <c r="T217" s="204" t="e">
        <f t="shared" si="323"/>
        <v>#VALUE!</v>
      </c>
      <c r="U217" s="204" t="e">
        <f t="shared" si="324"/>
        <v>#VALUE!</v>
      </c>
      <c r="V217" s="204" t="e">
        <f t="shared" si="325"/>
        <v>#VALUE!</v>
      </c>
      <c r="W217" s="218">
        <v>517.51</v>
      </c>
      <c r="X217" s="218">
        <v>2218.1799999999998</v>
      </c>
      <c r="Y217" s="203">
        <v>0.1</v>
      </c>
      <c r="Z217" s="203">
        <f>IF(Tabela1[[#This Row],[Ano Aquisição]]=2023,0,IFERROR(VLOOKUP(H217,inflação!$F:$H,3,FALSE),""))</f>
        <v>0.1585</v>
      </c>
      <c r="AA217" s="203">
        <v>0.8</v>
      </c>
      <c r="AB217" s="202">
        <f t="shared" si="314"/>
        <v>-3741398.17</v>
      </c>
      <c r="AC217" s="204" t="e">
        <f t="shared" si="326"/>
        <v>#VALUE!</v>
      </c>
      <c r="AD217" s="204" t="e">
        <f t="shared" si="327"/>
        <v>#VALUE!</v>
      </c>
      <c r="AE217" s="204" t="e">
        <f t="shared" si="328"/>
        <v>#VALUE!</v>
      </c>
      <c r="AF217" s="204" t="e">
        <f t="shared" si="329"/>
        <v>#VALUE!</v>
      </c>
      <c r="AG217" s="204" t="e">
        <f t="shared" si="330"/>
        <v>#VALUE!</v>
      </c>
      <c r="AH217" s="204" t="e">
        <f t="shared" si="331"/>
        <v>#VALUE!</v>
      </c>
      <c r="AI217" s="204" t="e">
        <f t="shared" si="332"/>
        <v>#VALUE!</v>
      </c>
      <c r="AJ217" s="205">
        <f t="shared" si="315"/>
        <v>-4334409.7799450001</v>
      </c>
      <c r="AK217" s="204" t="e">
        <f t="shared" si="333"/>
        <v>#VALUE!</v>
      </c>
      <c r="AL217" s="204" t="e">
        <f t="shared" si="334"/>
        <v>#VALUE!</v>
      </c>
      <c r="AM217" s="204" t="e">
        <f t="shared" si="335"/>
        <v>#VALUE!</v>
      </c>
      <c r="AN217" s="204" t="e">
        <f t="shared" si="336"/>
        <v>#VALUE!</v>
      </c>
      <c r="AO217" s="204" t="e">
        <f t="shared" si="337"/>
        <v>#VALUE!</v>
      </c>
      <c r="AP217" s="204" t="e">
        <f t="shared" si="338"/>
        <v>#VALUE!</v>
      </c>
      <c r="AQ217" s="204" t="e">
        <f t="shared" si="339"/>
        <v>#VALUE!</v>
      </c>
      <c r="AR217" s="206" t="e">
        <f t="shared" si="316"/>
        <v>#VALUE!</v>
      </c>
      <c r="AS217" s="170" t="e">
        <f t="shared" si="340"/>
        <v>#VALUE!</v>
      </c>
      <c r="AT217" s="170" t="e">
        <f t="shared" si="341"/>
        <v>#VALUE!</v>
      </c>
      <c r="AU217" s="207" t="e">
        <f t="shared" si="317"/>
        <v>#VALUE!</v>
      </c>
      <c r="AV217" s="208" t="e">
        <f t="shared" si="318"/>
        <v>#VALUE!</v>
      </c>
      <c r="AW217" s="201" t="str">
        <f t="shared" si="319"/>
        <v>Confiabilidade em Crescimento</v>
      </c>
      <c r="AX217" s="253" t="e">
        <f>VLOOKUP(D217,#REF!,5,FALSE)</f>
        <v>#REF!</v>
      </c>
      <c r="AY217" s="201"/>
      <c r="AZ217" s="273" t="s">
        <v>1224</v>
      </c>
      <c r="BB217">
        <f>IFERROR(VLOOKUP(Tabela1[[#This Row],[Denominação]],[10]Planilha1!$A:$B,2,FALSE),"")</f>
        <v>146864.24000000002</v>
      </c>
    </row>
    <row r="218" spans="1:54" ht="15" hidden="1" customHeight="1" x14ac:dyDescent="0.3">
      <c r="A218" s="253">
        <v>217</v>
      </c>
      <c r="B218" s="201" t="s">
        <v>976</v>
      </c>
      <c r="C218" s="211" t="s">
        <v>977</v>
      </c>
      <c r="D218" s="201">
        <v>10006696</v>
      </c>
      <c r="E218" s="253" t="s">
        <v>1362</v>
      </c>
      <c r="F218" s="253">
        <v>4531</v>
      </c>
      <c r="G218" s="201">
        <v>56424</v>
      </c>
      <c r="H218" s="201">
        <v>2021</v>
      </c>
      <c r="I218" s="216">
        <v>3741398.17</v>
      </c>
      <c r="J218" s="214">
        <v>3433282</v>
      </c>
      <c r="K218" s="170">
        <v>23958.459999999988</v>
      </c>
      <c r="L218" s="207">
        <v>0.85</v>
      </c>
      <c r="M218" s="212">
        <v>5079</v>
      </c>
      <c r="N218" s="212">
        <v>9637</v>
      </c>
      <c r="O218" s="171">
        <v>78</v>
      </c>
      <c r="P218" s="271" t="str">
        <f>IFERROR(VLOOKUP(Tabela1[[#This Row],[TAG]],#REF!,14,FALSE),"")</f>
        <v/>
      </c>
      <c r="Q218" s="204" t="e">
        <f t="shared" si="342"/>
        <v>#VALUE!</v>
      </c>
      <c r="R218" s="204" t="e">
        <f t="shared" si="321"/>
        <v>#VALUE!</v>
      </c>
      <c r="S218" s="204" t="e">
        <f t="shared" si="322"/>
        <v>#VALUE!</v>
      </c>
      <c r="T218" s="204" t="e">
        <f t="shared" si="323"/>
        <v>#VALUE!</v>
      </c>
      <c r="U218" s="204" t="e">
        <f t="shared" si="324"/>
        <v>#VALUE!</v>
      </c>
      <c r="V218" s="204" t="e">
        <f t="shared" si="325"/>
        <v>#VALUE!</v>
      </c>
      <c r="W218" s="218">
        <v>403.51</v>
      </c>
      <c r="X218" s="218">
        <v>1378.29</v>
      </c>
      <c r="Y218" s="203">
        <v>0.1</v>
      </c>
      <c r="Z218" s="203">
        <f>IF(Tabela1[[#This Row],[Ano Aquisição]]=2023,0,IFERROR(VLOOKUP(H218,inflação!$F:$H,3,FALSE),""))</f>
        <v>0.1585</v>
      </c>
      <c r="AA218" s="203">
        <v>0.8</v>
      </c>
      <c r="AB218" s="202">
        <f t="shared" si="314"/>
        <v>-3741398.17</v>
      </c>
      <c r="AC218" s="204" t="e">
        <f t="shared" si="326"/>
        <v>#VALUE!</v>
      </c>
      <c r="AD218" s="204" t="e">
        <f t="shared" si="327"/>
        <v>#VALUE!</v>
      </c>
      <c r="AE218" s="204" t="e">
        <f t="shared" si="328"/>
        <v>#VALUE!</v>
      </c>
      <c r="AF218" s="204" t="e">
        <f t="shared" si="329"/>
        <v>#VALUE!</v>
      </c>
      <c r="AG218" s="204" t="e">
        <f t="shared" si="330"/>
        <v>#VALUE!</v>
      </c>
      <c r="AH218" s="204" t="e">
        <f t="shared" si="331"/>
        <v>#VALUE!</v>
      </c>
      <c r="AI218" s="204" t="e">
        <f t="shared" si="332"/>
        <v>#VALUE!</v>
      </c>
      <c r="AJ218" s="205">
        <f t="shared" si="315"/>
        <v>-4334409.7799450001</v>
      </c>
      <c r="AK218" s="204" t="e">
        <f t="shared" si="333"/>
        <v>#VALUE!</v>
      </c>
      <c r="AL218" s="204" t="e">
        <f t="shared" si="334"/>
        <v>#VALUE!</v>
      </c>
      <c r="AM218" s="204" t="e">
        <f t="shared" si="335"/>
        <v>#VALUE!</v>
      </c>
      <c r="AN218" s="204" t="e">
        <f t="shared" si="336"/>
        <v>#VALUE!</v>
      </c>
      <c r="AO218" s="204" t="e">
        <f t="shared" si="337"/>
        <v>#VALUE!</v>
      </c>
      <c r="AP218" s="204" t="e">
        <f t="shared" si="338"/>
        <v>#VALUE!</v>
      </c>
      <c r="AQ218" s="204" t="e">
        <f t="shared" si="339"/>
        <v>#VALUE!</v>
      </c>
      <c r="AR218" s="206" t="e">
        <f t="shared" si="316"/>
        <v>#VALUE!</v>
      </c>
      <c r="AS218" s="170" t="e">
        <f t="shared" si="340"/>
        <v>#VALUE!</v>
      </c>
      <c r="AT218" s="170" t="e">
        <f t="shared" si="341"/>
        <v>#VALUE!</v>
      </c>
      <c r="AU218" s="207" t="e">
        <f t="shared" si="317"/>
        <v>#VALUE!</v>
      </c>
      <c r="AV218" s="208" t="e">
        <f t="shared" si="318"/>
        <v>#VALUE!</v>
      </c>
      <c r="AW218" s="201" t="str">
        <f t="shared" si="319"/>
        <v>Confiabilidade em Crescimento</v>
      </c>
      <c r="AX218" s="253" t="e">
        <f>VLOOKUP(D218,#REF!,5,FALSE)</f>
        <v>#REF!</v>
      </c>
      <c r="AY218" s="201"/>
      <c r="AZ218" s="273" t="s">
        <v>1224</v>
      </c>
      <c r="BB218">
        <f>IFERROR(VLOOKUP(Tabela1[[#This Row],[Denominação]],[10]Planilha1!$A:$B,2,FALSE),"")</f>
        <v>23958.459999999988</v>
      </c>
    </row>
    <row r="219" spans="1:54" ht="15" hidden="1" customHeight="1" x14ac:dyDescent="0.3">
      <c r="A219" s="268">
        <v>218</v>
      </c>
      <c r="B219" s="201" t="s">
        <v>978</v>
      </c>
      <c r="C219" s="211" t="s">
        <v>979</v>
      </c>
      <c r="D219" s="201">
        <v>10006711</v>
      </c>
      <c r="E219" s="253" t="s">
        <v>1363</v>
      </c>
      <c r="F219" s="253">
        <v>4531</v>
      </c>
      <c r="G219" s="201">
        <v>57466</v>
      </c>
      <c r="H219" s="201">
        <v>2021</v>
      </c>
      <c r="I219" s="216">
        <v>3194345.48</v>
      </c>
      <c r="J219" s="214">
        <v>3023219</v>
      </c>
      <c r="K219" s="170">
        <v>52906.73</v>
      </c>
      <c r="L219" s="207">
        <v>1.35</v>
      </c>
      <c r="M219" s="212">
        <v>2889</v>
      </c>
      <c r="N219" s="212">
        <v>6308</v>
      </c>
      <c r="O219" s="171">
        <v>64</v>
      </c>
      <c r="P219" s="271" t="str">
        <f>IFERROR(VLOOKUP(Tabela1[[#This Row],[TAG]],#REF!,14,FALSE),"")</f>
        <v/>
      </c>
      <c r="Q219" s="204" t="e">
        <f>P219+P219</f>
        <v>#VALUE!</v>
      </c>
      <c r="R219" s="204" t="e">
        <f t="shared" si="321"/>
        <v>#VALUE!</v>
      </c>
      <c r="S219" s="204" t="e">
        <f t="shared" si="322"/>
        <v>#VALUE!</v>
      </c>
      <c r="T219" s="204" t="e">
        <f t="shared" si="323"/>
        <v>#VALUE!</v>
      </c>
      <c r="U219" s="204" t="e">
        <f t="shared" si="324"/>
        <v>#VALUE!</v>
      </c>
      <c r="V219" s="204" t="e">
        <f t="shared" si="325"/>
        <v>#VALUE!</v>
      </c>
      <c r="W219" s="218">
        <v>727.94</v>
      </c>
      <c r="X219" s="218">
        <v>3577.61</v>
      </c>
      <c r="Y219" s="203">
        <v>0.1</v>
      </c>
      <c r="Z219" s="203">
        <f>IF(Tabela1[[#This Row],[Ano Aquisição]]=2023,0,IFERROR(VLOOKUP(H219,inflação!$F:$H,3,FALSE),""))</f>
        <v>0.1585</v>
      </c>
      <c r="AA219" s="203">
        <v>0.8</v>
      </c>
      <c r="AB219" s="202">
        <f t="shared" si="314"/>
        <v>-3194345.48</v>
      </c>
      <c r="AC219" s="204" t="e">
        <f t="shared" si="326"/>
        <v>#VALUE!</v>
      </c>
      <c r="AD219" s="204" t="e">
        <f t="shared" si="327"/>
        <v>#VALUE!</v>
      </c>
      <c r="AE219" s="204" t="e">
        <f t="shared" si="328"/>
        <v>#VALUE!</v>
      </c>
      <c r="AF219" s="204" t="e">
        <f t="shared" si="329"/>
        <v>#VALUE!</v>
      </c>
      <c r="AG219" s="204" t="e">
        <f t="shared" si="330"/>
        <v>#VALUE!</v>
      </c>
      <c r="AH219" s="204" t="e">
        <f t="shared" si="331"/>
        <v>#VALUE!</v>
      </c>
      <c r="AI219" s="204" t="e">
        <f t="shared" si="332"/>
        <v>#VALUE!</v>
      </c>
      <c r="AJ219" s="205">
        <f t="shared" si="315"/>
        <v>-3700649.2385800001</v>
      </c>
      <c r="AK219" s="204" t="e">
        <f t="shared" si="333"/>
        <v>#VALUE!</v>
      </c>
      <c r="AL219" s="204" t="e">
        <f t="shared" si="334"/>
        <v>#VALUE!</v>
      </c>
      <c r="AM219" s="204" t="e">
        <f t="shared" si="335"/>
        <v>#VALUE!</v>
      </c>
      <c r="AN219" s="204" t="e">
        <f t="shared" si="336"/>
        <v>#VALUE!</v>
      </c>
      <c r="AO219" s="204" t="e">
        <f t="shared" si="337"/>
        <v>#VALUE!</v>
      </c>
      <c r="AP219" s="204" t="e">
        <f t="shared" si="338"/>
        <v>#VALUE!</v>
      </c>
      <c r="AQ219" s="204" t="e">
        <f t="shared" si="339"/>
        <v>#VALUE!</v>
      </c>
      <c r="AR219" s="206" t="e">
        <f t="shared" si="316"/>
        <v>#VALUE!</v>
      </c>
      <c r="AS219" s="170" t="e">
        <f t="shared" si="340"/>
        <v>#VALUE!</v>
      </c>
      <c r="AT219" s="170" t="e">
        <f t="shared" si="341"/>
        <v>#VALUE!</v>
      </c>
      <c r="AU219" s="207" t="e">
        <f t="shared" si="317"/>
        <v>#VALUE!</v>
      </c>
      <c r="AV219" s="208" t="e">
        <f t="shared" si="318"/>
        <v>#VALUE!</v>
      </c>
      <c r="AW219" s="201" t="str">
        <f t="shared" si="319"/>
        <v>Fase de Degradação</v>
      </c>
      <c r="AX219" s="253" t="e">
        <f>VLOOKUP(D219,#REF!,5,FALSE)</f>
        <v>#REF!</v>
      </c>
      <c r="AY219" s="201"/>
      <c r="AZ219" s="273" t="s">
        <v>1224</v>
      </c>
      <c r="BB219">
        <f>IFERROR(VLOOKUP(Tabela1[[#This Row],[Denominação]],[10]Planilha1!$A:$B,2,FALSE),"")</f>
        <v>52906.73</v>
      </c>
    </row>
    <row r="220" spans="1:54" ht="15" hidden="1" customHeight="1" x14ac:dyDescent="0.3">
      <c r="A220" s="253">
        <v>219</v>
      </c>
      <c r="B220" s="201" t="s">
        <v>980</v>
      </c>
      <c r="C220" s="211" t="s">
        <v>981</v>
      </c>
      <c r="D220" s="201">
        <v>10006712</v>
      </c>
      <c r="E220" s="253" t="s">
        <v>1364</v>
      </c>
      <c r="F220" s="253">
        <v>4531</v>
      </c>
      <c r="G220" s="201">
        <v>57467</v>
      </c>
      <c r="H220" s="201">
        <v>2021</v>
      </c>
      <c r="I220" s="216">
        <v>3194345.48</v>
      </c>
      <c r="J220" s="214">
        <v>3023219</v>
      </c>
      <c r="K220" s="170">
        <v>8842.619999999999</v>
      </c>
      <c r="L220" s="207">
        <v>1.05</v>
      </c>
      <c r="M220" s="212">
        <v>4641</v>
      </c>
      <c r="N220" s="212">
        <v>6612</v>
      </c>
      <c r="O220" s="171">
        <v>37</v>
      </c>
      <c r="P220" s="271" t="str">
        <f>IFERROR(VLOOKUP(Tabela1[[#This Row],[TAG]],#REF!,14,FALSE),"")</f>
        <v/>
      </c>
      <c r="Q220" s="204" t="e">
        <f t="shared" si="342"/>
        <v>#VALUE!</v>
      </c>
      <c r="R220" s="204" t="e">
        <f t="shared" si="321"/>
        <v>#VALUE!</v>
      </c>
      <c r="S220" s="204" t="e">
        <f t="shared" si="322"/>
        <v>#VALUE!</v>
      </c>
      <c r="T220" s="204" t="e">
        <f t="shared" si="323"/>
        <v>#VALUE!</v>
      </c>
      <c r="U220" s="204" t="e">
        <f t="shared" si="324"/>
        <v>#VALUE!</v>
      </c>
      <c r="V220" s="204" t="e">
        <f t="shared" si="325"/>
        <v>#VALUE!</v>
      </c>
      <c r="W220" s="218">
        <v>251.5</v>
      </c>
      <c r="X220" s="218">
        <v>582.92999999999995</v>
      </c>
      <c r="Y220" s="203">
        <v>0.1</v>
      </c>
      <c r="Z220" s="203">
        <f>IF(Tabela1[[#This Row],[Ano Aquisição]]=2023,0,IFERROR(VLOOKUP(H220,inflação!$F:$H,3,FALSE),""))</f>
        <v>0.1585</v>
      </c>
      <c r="AA220" s="203">
        <v>0.8</v>
      </c>
      <c r="AB220" s="202">
        <f t="shared" si="314"/>
        <v>-3194345.48</v>
      </c>
      <c r="AC220" s="204" t="e">
        <f t="shared" si="326"/>
        <v>#VALUE!</v>
      </c>
      <c r="AD220" s="204" t="e">
        <f t="shared" si="327"/>
        <v>#VALUE!</v>
      </c>
      <c r="AE220" s="204" t="e">
        <f t="shared" si="328"/>
        <v>#VALUE!</v>
      </c>
      <c r="AF220" s="204" t="e">
        <f t="shared" si="329"/>
        <v>#VALUE!</v>
      </c>
      <c r="AG220" s="204" t="e">
        <f t="shared" si="330"/>
        <v>#VALUE!</v>
      </c>
      <c r="AH220" s="204" t="e">
        <f t="shared" si="331"/>
        <v>#VALUE!</v>
      </c>
      <c r="AI220" s="204" t="e">
        <f t="shared" si="332"/>
        <v>#VALUE!</v>
      </c>
      <c r="AJ220" s="205">
        <f t="shared" si="315"/>
        <v>-3700649.2385800001</v>
      </c>
      <c r="AK220" s="204" t="e">
        <f t="shared" si="333"/>
        <v>#VALUE!</v>
      </c>
      <c r="AL220" s="204" t="e">
        <f t="shared" si="334"/>
        <v>#VALUE!</v>
      </c>
      <c r="AM220" s="204" t="e">
        <f t="shared" si="335"/>
        <v>#VALUE!</v>
      </c>
      <c r="AN220" s="204" t="e">
        <f t="shared" si="336"/>
        <v>#VALUE!</v>
      </c>
      <c r="AO220" s="204" t="e">
        <f t="shared" si="337"/>
        <v>#VALUE!</v>
      </c>
      <c r="AP220" s="204" t="e">
        <f t="shared" si="338"/>
        <v>#VALUE!</v>
      </c>
      <c r="AQ220" s="204" t="e">
        <f t="shared" si="339"/>
        <v>#VALUE!</v>
      </c>
      <c r="AR220" s="206" t="e">
        <f t="shared" si="316"/>
        <v>#VALUE!</v>
      </c>
      <c r="AS220" s="170" t="e">
        <f t="shared" si="340"/>
        <v>#VALUE!</v>
      </c>
      <c r="AT220" s="170" t="e">
        <f t="shared" si="341"/>
        <v>#VALUE!</v>
      </c>
      <c r="AU220" s="207" t="e">
        <f t="shared" si="317"/>
        <v>#VALUE!</v>
      </c>
      <c r="AV220" s="208" t="e">
        <f t="shared" si="318"/>
        <v>#VALUE!</v>
      </c>
      <c r="AW220" s="201" t="str">
        <f t="shared" si="319"/>
        <v>Fase de Vida Útil</v>
      </c>
      <c r="AX220" s="253" t="e">
        <f>VLOOKUP(D220,#REF!,5,FALSE)</f>
        <v>#REF!</v>
      </c>
      <c r="AY220" s="201"/>
      <c r="AZ220" s="273" t="s">
        <v>1224</v>
      </c>
      <c r="BB220">
        <f>IFERROR(VLOOKUP(Tabela1[[#This Row],[Denominação]],[10]Planilha1!$A:$B,2,FALSE),"")</f>
        <v>8842.619999999999</v>
      </c>
    </row>
    <row r="221" spans="1:54" ht="15" hidden="1" customHeight="1" x14ac:dyDescent="0.3">
      <c r="A221" s="268">
        <v>220</v>
      </c>
      <c r="B221" s="201" t="s">
        <v>982</v>
      </c>
      <c r="C221" s="211" t="s">
        <v>983</v>
      </c>
      <c r="D221" s="201">
        <v>10006713</v>
      </c>
      <c r="E221" s="253" t="s">
        <v>1365</v>
      </c>
      <c r="F221" s="253">
        <v>4531</v>
      </c>
      <c r="G221" s="201">
        <v>57468</v>
      </c>
      <c r="H221" s="201">
        <v>2021</v>
      </c>
      <c r="I221" s="216">
        <v>3194345.48</v>
      </c>
      <c r="J221" s="214">
        <v>3023219</v>
      </c>
      <c r="K221" s="170">
        <v>23168.38</v>
      </c>
      <c r="L221" s="207">
        <v>1.6</v>
      </c>
      <c r="M221" s="212">
        <v>5014</v>
      </c>
      <c r="N221" s="212">
        <v>6128</v>
      </c>
      <c r="O221" s="171">
        <v>39</v>
      </c>
      <c r="P221" s="271" t="str">
        <f>IFERROR(VLOOKUP(Tabela1[[#This Row],[TAG]],#REF!,14,FALSE),"")</f>
        <v/>
      </c>
      <c r="Q221" s="204" t="e">
        <f t="shared" si="342"/>
        <v>#VALUE!</v>
      </c>
      <c r="R221" s="204" t="e">
        <f t="shared" si="321"/>
        <v>#VALUE!</v>
      </c>
      <c r="S221" s="204" t="e">
        <f t="shared" si="322"/>
        <v>#VALUE!</v>
      </c>
      <c r="T221" s="204" t="e">
        <f t="shared" si="323"/>
        <v>#VALUE!</v>
      </c>
      <c r="U221" s="204" t="e">
        <f t="shared" si="324"/>
        <v>#VALUE!</v>
      </c>
      <c r="V221" s="204" t="e">
        <f t="shared" si="325"/>
        <v>#VALUE!</v>
      </c>
      <c r="W221" s="218">
        <v>620.85</v>
      </c>
      <c r="X221" s="218">
        <v>1975.78</v>
      </c>
      <c r="Y221" s="203">
        <v>0.1</v>
      </c>
      <c r="Z221" s="203">
        <f>IF(Tabela1[[#This Row],[Ano Aquisição]]=2023,0,IFERROR(VLOOKUP(H221,inflação!$F:$H,3,FALSE),""))</f>
        <v>0.1585</v>
      </c>
      <c r="AA221" s="203">
        <v>0.8</v>
      </c>
      <c r="AB221" s="202">
        <f t="shared" si="314"/>
        <v>-3194345.48</v>
      </c>
      <c r="AC221" s="204" t="e">
        <f t="shared" si="326"/>
        <v>#VALUE!</v>
      </c>
      <c r="AD221" s="204" t="e">
        <f t="shared" si="327"/>
        <v>#VALUE!</v>
      </c>
      <c r="AE221" s="204" t="e">
        <f t="shared" si="328"/>
        <v>#VALUE!</v>
      </c>
      <c r="AF221" s="204" t="e">
        <f t="shared" si="329"/>
        <v>#VALUE!</v>
      </c>
      <c r="AG221" s="204" t="e">
        <f t="shared" si="330"/>
        <v>#VALUE!</v>
      </c>
      <c r="AH221" s="204" t="e">
        <f t="shared" si="331"/>
        <v>#VALUE!</v>
      </c>
      <c r="AI221" s="204" t="e">
        <f t="shared" si="332"/>
        <v>#VALUE!</v>
      </c>
      <c r="AJ221" s="205">
        <f t="shared" si="315"/>
        <v>-3700649.2385800001</v>
      </c>
      <c r="AK221" s="204" t="e">
        <f t="shared" si="333"/>
        <v>#VALUE!</v>
      </c>
      <c r="AL221" s="204" t="e">
        <f t="shared" si="334"/>
        <v>#VALUE!</v>
      </c>
      <c r="AM221" s="204" t="e">
        <f t="shared" si="335"/>
        <v>#VALUE!</v>
      </c>
      <c r="AN221" s="204" t="e">
        <f t="shared" si="336"/>
        <v>#VALUE!</v>
      </c>
      <c r="AO221" s="204" t="e">
        <f t="shared" si="337"/>
        <v>#VALUE!</v>
      </c>
      <c r="AP221" s="204" t="e">
        <f t="shared" si="338"/>
        <v>#VALUE!</v>
      </c>
      <c r="AQ221" s="204" t="e">
        <f t="shared" si="339"/>
        <v>#VALUE!</v>
      </c>
      <c r="AR221" s="206" t="e">
        <f t="shared" si="316"/>
        <v>#VALUE!</v>
      </c>
      <c r="AS221" s="170" t="e">
        <f t="shared" si="340"/>
        <v>#VALUE!</v>
      </c>
      <c r="AT221" s="170" t="e">
        <f t="shared" si="341"/>
        <v>#VALUE!</v>
      </c>
      <c r="AU221" s="207" t="e">
        <f t="shared" si="317"/>
        <v>#VALUE!</v>
      </c>
      <c r="AV221" s="208" t="e">
        <f t="shared" si="318"/>
        <v>#VALUE!</v>
      </c>
      <c r="AW221" s="201" t="str">
        <f t="shared" si="319"/>
        <v>Fase de Degradação</v>
      </c>
      <c r="AX221" s="253" t="e">
        <f>VLOOKUP(D221,#REF!,5,FALSE)</f>
        <v>#REF!</v>
      </c>
      <c r="AY221" s="201"/>
      <c r="AZ221" s="273" t="s">
        <v>1224</v>
      </c>
      <c r="BB221">
        <f>IFERROR(VLOOKUP(Tabela1[[#This Row],[Denominação]],[10]Planilha1!$A:$B,2,FALSE),"")</f>
        <v>23168.38</v>
      </c>
    </row>
    <row r="222" spans="1:54" ht="15" hidden="1" customHeight="1" x14ac:dyDescent="0.3">
      <c r="A222" s="253">
        <v>221</v>
      </c>
      <c r="B222" s="201" t="s">
        <v>984</v>
      </c>
      <c r="C222" s="211" t="s">
        <v>985</v>
      </c>
      <c r="D222" s="201">
        <v>10006714</v>
      </c>
      <c r="E222" s="253" t="s">
        <v>1366</v>
      </c>
      <c r="F222" s="253">
        <v>4531</v>
      </c>
      <c r="G222" s="201">
        <v>57469</v>
      </c>
      <c r="H222" s="201">
        <v>2021</v>
      </c>
      <c r="I222" s="216">
        <v>3194371.88</v>
      </c>
      <c r="J222" s="214">
        <v>3023244</v>
      </c>
      <c r="K222" s="170">
        <v>33992.410000000003</v>
      </c>
      <c r="L222" s="207">
        <v>1.05</v>
      </c>
      <c r="M222" s="212">
        <v>3693</v>
      </c>
      <c r="N222" s="212">
        <v>5295</v>
      </c>
      <c r="O222" s="171">
        <v>49</v>
      </c>
      <c r="P222" s="271" t="str">
        <f>IFERROR(VLOOKUP(Tabela1[[#This Row],[TAG]],#REF!,14,FALSE),"")</f>
        <v/>
      </c>
      <c r="Q222" s="204" t="e">
        <f t="shared" si="342"/>
        <v>#VALUE!</v>
      </c>
      <c r="R222" s="204" t="e">
        <f t="shared" si="321"/>
        <v>#VALUE!</v>
      </c>
      <c r="S222" s="204" t="e">
        <f t="shared" si="322"/>
        <v>#VALUE!</v>
      </c>
      <c r="T222" s="204" t="e">
        <f t="shared" si="323"/>
        <v>#VALUE!</v>
      </c>
      <c r="U222" s="204" t="e">
        <f t="shared" si="324"/>
        <v>#VALUE!</v>
      </c>
      <c r="V222" s="204" t="e">
        <f t="shared" si="325"/>
        <v>#VALUE!</v>
      </c>
      <c r="W222" s="218">
        <v>541.04999999999995</v>
      </c>
      <c r="X222" s="218">
        <v>2192.41</v>
      </c>
      <c r="Y222" s="203">
        <v>0.1</v>
      </c>
      <c r="Z222" s="203">
        <f>IF(Tabela1[[#This Row],[Ano Aquisição]]=2023,0,IFERROR(VLOOKUP(H222,inflação!$F:$H,3,FALSE),""))</f>
        <v>0.1585</v>
      </c>
      <c r="AA222" s="203">
        <v>0.8</v>
      </c>
      <c r="AB222" s="202">
        <f t="shared" si="314"/>
        <v>-3194371.88</v>
      </c>
      <c r="AC222" s="204" t="e">
        <f t="shared" si="326"/>
        <v>#VALUE!</v>
      </c>
      <c r="AD222" s="204" t="e">
        <f t="shared" si="327"/>
        <v>#VALUE!</v>
      </c>
      <c r="AE222" s="204" t="e">
        <f t="shared" si="328"/>
        <v>#VALUE!</v>
      </c>
      <c r="AF222" s="204" t="e">
        <f t="shared" si="329"/>
        <v>#VALUE!</v>
      </c>
      <c r="AG222" s="204" t="e">
        <f t="shared" si="330"/>
        <v>#VALUE!</v>
      </c>
      <c r="AH222" s="204" t="e">
        <f t="shared" si="331"/>
        <v>#VALUE!</v>
      </c>
      <c r="AI222" s="204" t="e">
        <f t="shared" si="332"/>
        <v>#VALUE!</v>
      </c>
      <c r="AJ222" s="205">
        <f t="shared" si="315"/>
        <v>-3700679.8229800002</v>
      </c>
      <c r="AK222" s="204" t="e">
        <f t="shared" si="333"/>
        <v>#VALUE!</v>
      </c>
      <c r="AL222" s="204" t="e">
        <f t="shared" si="334"/>
        <v>#VALUE!</v>
      </c>
      <c r="AM222" s="204" t="e">
        <f t="shared" si="335"/>
        <v>#VALUE!</v>
      </c>
      <c r="AN222" s="204" t="e">
        <f t="shared" si="336"/>
        <v>#VALUE!</v>
      </c>
      <c r="AO222" s="204" t="e">
        <f t="shared" si="337"/>
        <v>#VALUE!</v>
      </c>
      <c r="AP222" s="204" t="e">
        <f t="shared" si="338"/>
        <v>#VALUE!</v>
      </c>
      <c r="AQ222" s="204" t="e">
        <f t="shared" si="339"/>
        <v>#VALUE!</v>
      </c>
      <c r="AR222" s="206" t="e">
        <f t="shared" si="316"/>
        <v>#VALUE!</v>
      </c>
      <c r="AS222" s="170" t="e">
        <f t="shared" si="340"/>
        <v>#VALUE!</v>
      </c>
      <c r="AT222" s="170" t="e">
        <f t="shared" si="341"/>
        <v>#VALUE!</v>
      </c>
      <c r="AU222" s="207" t="e">
        <f t="shared" si="317"/>
        <v>#VALUE!</v>
      </c>
      <c r="AV222" s="208" t="e">
        <f t="shared" si="318"/>
        <v>#VALUE!</v>
      </c>
      <c r="AW222" s="201" t="str">
        <f t="shared" si="319"/>
        <v>Fase de Vida Útil</v>
      </c>
      <c r="AX222" s="253" t="e">
        <f>VLOOKUP(D222,#REF!,5,FALSE)</f>
        <v>#REF!</v>
      </c>
      <c r="AY222" s="201"/>
      <c r="AZ222" s="273" t="s">
        <v>1224</v>
      </c>
      <c r="BB222">
        <f>IFERROR(VLOOKUP(Tabela1[[#This Row],[Denominação]],[10]Planilha1!$A:$B,2,FALSE),"")</f>
        <v>33992.410000000003</v>
      </c>
    </row>
    <row r="223" spans="1:54" ht="15" hidden="1" customHeight="1" x14ac:dyDescent="0.3">
      <c r="A223" s="268">
        <v>222</v>
      </c>
      <c r="B223" s="201" t="s">
        <v>986</v>
      </c>
      <c r="C223" s="211" t="s">
        <v>987</v>
      </c>
      <c r="D223" s="201">
        <v>10006715</v>
      </c>
      <c r="E223" s="253" t="s">
        <v>1367</v>
      </c>
      <c r="F223" s="253">
        <v>4531</v>
      </c>
      <c r="G223" s="201">
        <v>57470</v>
      </c>
      <c r="H223" s="201">
        <v>2021</v>
      </c>
      <c r="I223" s="216">
        <v>3194367.68</v>
      </c>
      <c r="J223" s="214">
        <v>3023240</v>
      </c>
      <c r="K223" s="170">
        <v>17679.82</v>
      </c>
      <c r="L223" s="207">
        <v>1.42</v>
      </c>
      <c r="M223" s="212">
        <v>3669</v>
      </c>
      <c r="N223" s="212">
        <v>4725</v>
      </c>
      <c r="O223" s="171">
        <v>28</v>
      </c>
      <c r="P223" s="271" t="str">
        <f>IFERROR(VLOOKUP(Tabela1[[#This Row],[TAG]],#REF!,14,FALSE),"")</f>
        <v/>
      </c>
      <c r="Q223" s="204" t="e">
        <f t="shared" si="342"/>
        <v>#VALUE!</v>
      </c>
      <c r="R223" s="204" t="e">
        <f t="shared" si="321"/>
        <v>#VALUE!</v>
      </c>
      <c r="S223" s="204" t="e">
        <f t="shared" si="322"/>
        <v>#VALUE!</v>
      </c>
      <c r="T223" s="204" t="e">
        <f t="shared" si="323"/>
        <v>#VALUE!</v>
      </c>
      <c r="U223" s="204" t="e">
        <f t="shared" si="324"/>
        <v>#VALUE!</v>
      </c>
      <c r="V223" s="204" t="e">
        <f t="shared" si="325"/>
        <v>#VALUE!</v>
      </c>
      <c r="W223" s="218">
        <v>533</v>
      </c>
      <c r="X223" s="218">
        <v>2208.98</v>
      </c>
      <c r="Y223" s="203">
        <v>0.1</v>
      </c>
      <c r="Z223" s="203">
        <f>IF(Tabela1[[#This Row],[Ano Aquisição]]=2023,0,IFERROR(VLOOKUP(H223,inflação!$F:$H,3,FALSE),""))</f>
        <v>0.1585</v>
      </c>
      <c r="AA223" s="203">
        <v>0.8</v>
      </c>
      <c r="AB223" s="202">
        <f t="shared" si="314"/>
        <v>-3194367.68</v>
      </c>
      <c r="AC223" s="204" t="e">
        <f t="shared" si="326"/>
        <v>#VALUE!</v>
      </c>
      <c r="AD223" s="204" t="e">
        <f t="shared" si="327"/>
        <v>#VALUE!</v>
      </c>
      <c r="AE223" s="204" t="e">
        <f t="shared" si="328"/>
        <v>#VALUE!</v>
      </c>
      <c r="AF223" s="204" t="e">
        <f t="shared" si="329"/>
        <v>#VALUE!</v>
      </c>
      <c r="AG223" s="204" t="e">
        <f t="shared" si="330"/>
        <v>#VALUE!</v>
      </c>
      <c r="AH223" s="204" t="e">
        <f t="shared" si="331"/>
        <v>#VALUE!</v>
      </c>
      <c r="AI223" s="204" t="e">
        <f t="shared" si="332"/>
        <v>#VALUE!</v>
      </c>
      <c r="AJ223" s="205">
        <f t="shared" si="315"/>
        <v>-3700674.9572800007</v>
      </c>
      <c r="AK223" s="204" t="e">
        <f t="shared" si="333"/>
        <v>#VALUE!</v>
      </c>
      <c r="AL223" s="204" t="e">
        <f t="shared" si="334"/>
        <v>#VALUE!</v>
      </c>
      <c r="AM223" s="204" t="e">
        <f t="shared" si="335"/>
        <v>#VALUE!</v>
      </c>
      <c r="AN223" s="204" t="e">
        <f t="shared" si="336"/>
        <v>#VALUE!</v>
      </c>
      <c r="AO223" s="204" t="e">
        <f t="shared" si="337"/>
        <v>#VALUE!</v>
      </c>
      <c r="AP223" s="204" t="e">
        <f t="shared" si="338"/>
        <v>#VALUE!</v>
      </c>
      <c r="AQ223" s="204" t="e">
        <f t="shared" si="339"/>
        <v>#VALUE!</v>
      </c>
      <c r="AR223" s="206" t="e">
        <f t="shared" si="316"/>
        <v>#VALUE!</v>
      </c>
      <c r="AS223" s="170" t="e">
        <f t="shared" si="340"/>
        <v>#VALUE!</v>
      </c>
      <c r="AT223" s="170" t="e">
        <f t="shared" si="341"/>
        <v>#VALUE!</v>
      </c>
      <c r="AU223" s="207" t="e">
        <f t="shared" si="317"/>
        <v>#VALUE!</v>
      </c>
      <c r="AV223" s="208" t="e">
        <f t="shared" si="318"/>
        <v>#VALUE!</v>
      </c>
      <c r="AW223" s="201" t="str">
        <f t="shared" si="319"/>
        <v>Fase de Degradação</v>
      </c>
      <c r="AX223" s="253" t="e">
        <f>VLOOKUP(D223,#REF!,5,FALSE)</f>
        <v>#REF!</v>
      </c>
      <c r="AY223" s="201"/>
      <c r="AZ223" s="273" t="s">
        <v>1224</v>
      </c>
      <c r="BB223">
        <f>IFERROR(VLOOKUP(Tabela1[[#This Row],[Denominação]],[10]Planilha1!$A:$B,2,FALSE),"")</f>
        <v>17679.82</v>
      </c>
    </row>
    <row r="224" spans="1:54" ht="15" hidden="1" customHeight="1" x14ac:dyDescent="0.3">
      <c r="A224" s="253">
        <v>223</v>
      </c>
      <c r="B224" s="201" t="s">
        <v>988</v>
      </c>
      <c r="C224" s="211" t="s">
        <v>989</v>
      </c>
      <c r="D224" s="201">
        <v>10006716</v>
      </c>
      <c r="E224" s="253" t="s">
        <v>1368</v>
      </c>
      <c r="F224" s="253">
        <v>4531</v>
      </c>
      <c r="G224" s="201">
        <v>57471</v>
      </c>
      <c r="H224" s="201">
        <v>2021</v>
      </c>
      <c r="I224" s="216">
        <v>3194367.68</v>
      </c>
      <c r="J224" s="214">
        <v>3023240</v>
      </c>
      <c r="K224" s="170">
        <v>33569.80000000001</v>
      </c>
      <c r="L224" s="207">
        <v>1.29</v>
      </c>
      <c r="M224" s="212">
        <v>3813</v>
      </c>
      <c r="N224" s="212">
        <v>5616</v>
      </c>
      <c r="O224" s="171">
        <v>70</v>
      </c>
      <c r="P224" s="271" t="str">
        <f>IFERROR(VLOOKUP(Tabela1[[#This Row],[TAG]],#REF!,14,FALSE),"")</f>
        <v/>
      </c>
      <c r="Q224" s="204" t="e">
        <f>P224+P224</f>
        <v>#VALUE!</v>
      </c>
      <c r="R224" s="204" t="e">
        <f t="shared" si="321"/>
        <v>#VALUE!</v>
      </c>
      <c r="S224" s="204" t="e">
        <f t="shared" si="322"/>
        <v>#VALUE!</v>
      </c>
      <c r="T224" s="204" t="e">
        <f t="shared" si="323"/>
        <v>#VALUE!</v>
      </c>
      <c r="U224" s="204" t="e">
        <f t="shared" si="324"/>
        <v>#VALUE!</v>
      </c>
      <c r="V224" s="204" t="e">
        <f t="shared" si="325"/>
        <v>#VALUE!</v>
      </c>
      <c r="W224" s="218">
        <v>546.02</v>
      </c>
      <c r="X224" s="218">
        <v>3519.01</v>
      </c>
      <c r="Y224" s="203">
        <v>0.1</v>
      </c>
      <c r="Z224" s="203">
        <f>IF(Tabela1[[#This Row],[Ano Aquisição]]=2023,0,IFERROR(VLOOKUP(H224,inflação!$F:$H,3,FALSE),""))</f>
        <v>0.1585</v>
      </c>
      <c r="AA224" s="203">
        <v>0.8</v>
      </c>
      <c r="AB224" s="202">
        <f t="shared" si="314"/>
        <v>-3194367.68</v>
      </c>
      <c r="AC224" s="204" t="e">
        <f t="shared" si="326"/>
        <v>#VALUE!</v>
      </c>
      <c r="AD224" s="204" t="e">
        <f t="shared" si="327"/>
        <v>#VALUE!</v>
      </c>
      <c r="AE224" s="204" t="e">
        <f t="shared" si="328"/>
        <v>#VALUE!</v>
      </c>
      <c r="AF224" s="204" t="e">
        <f t="shared" si="329"/>
        <v>#VALUE!</v>
      </c>
      <c r="AG224" s="204" t="e">
        <f t="shared" si="330"/>
        <v>#VALUE!</v>
      </c>
      <c r="AH224" s="204" t="e">
        <f t="shared" si="331"/>
        <v>#VALUE!</v>
      </c>
      <c r="AI224" s="204" t="e">
        <f t="shared" si="332"/>
        <v>#VALUE!</v>
      </c>
      <c r="AJ224" s="205">
        <f t="shared" si="315"/>
        <v>-3700674.9572800007</v>
      </c>
      <c r="AK224" s="204" t="e">
        <f t="shared" si="333"/>
        <v>#VALUE!</v>
      </c>
      <c r="AL224" s="204" t="e">
        <f t="shared" si="334"/>
        <v>#VALUE!</v>
      </c>
      <c r="AM224" s="204" t="e">
        <f t="shared" si="335"/>
        <v>#VALUE!</v>
      </c>
      <c r="AN224" s="204" t="e">
        <f t="shared" si="336"/>
        <v>#VALUE!</v>
      </c>
      <c r="AO224" s="204" t="e">
        <f t="shared" si="337"/>
        <v>#VALUE!</v>
      </c>
      <c r="AP224" s="204" t="e">
        <f t="shared" si="338"/>
        <v>#VALUE!</v>
      </c>
      <c r="AQ224" s="204" t="e">
        <f t="shared" si="339"/>
        <v>#VALUE!</v>
      </c>
      <c r="AR224" s="206" t="e">
        <f t="shared" si="316"/>
        <v>#VALUE!</v>
      </c>
      <c r="AS224" s="170" t="e">
        <f t="shared" si="340"/>
        <v>#VALUE!</v>
      </c>
      <c r="AT224" s="170" t="e">
        <f t="shared" si="341"/>
        <v>#VALUE!</v>
      </c>
      <c r="AU224" s="207" t="e">
        <f t="shared" si="317"/>
        <v>#VALUE!</v>
      </c>
      <c r="AV224" s="208" t="e">
        <f t="shared" si="318"/>
        <v>#VALUE!</v>
      </c>
      <c r="AW224" s="201" t="str">
        <f t="shared" si="319"/>
        <v>Fase de Degradação</v>
      </c>
      <c r="AX224" s="253" t="e">
        <f>VLOOKUP(D224,#REF!,5,FALSE)</f>
        <v>#REF!</v>
      </c>
      <c r="AY224" s="201"/>
      <c r="AZ224" s="273" t="s">
        <v>1224</v>
      </c>
      <c r="BB224">
        <f>IFERROR(VLOOKUP(Tabela1[[#This Row],[Denominação]],[10]Planilha1!$A:$B,2,FALSE),"")</f>
        <v>33569.80000000001</v>
      </c>
    </row>
    <row r="225" spans="1:54" ht="15" hidden="1" customHeight="1" x14ac:dyDescent="0.3">
      <c r="A225" s="268">
        <v>224</v>
      </c>
      <c r="B225" s="201" t="s">
        <v>990</v>
      </c>
      <c r="C225" s="211" t="s">
        <v>991</v>
      </c>
      <c r="D225" s="201">
        <v>10006717</v>
      </c>
      <c r="E225" s="253" t="s">
        <v>1369</v>
      </c>
      <c r="F225" s="253">
        <v>4531</v>
      </c>
      <c r="G225" s="201">
        <v>57472</v>
      </c>
      <c r="H225" s="201">
        <v>2021</v>
      </c>
      <c r="I225" s="216">
        <v>3194367.86</v>
      </c>
      <c r="J225" s="214">
        <v>3023240</v>
      </c>
      <c r="K225" s="170">
        <v>40689.32</v>
      </c>
      <c r="L225" s="207">
        <v>1.33</v>
      </c>
      <c r="M225" s="212">
        <v>3470</v>
      </c>
      <c r="N225" s="212">
        <v>5735</v>
      </c>
      <c r="O225" s="171">
        <v>56</v>
      </c>
      <c r="P225" s="271" t="str">
        <f>IFERROR(VLOOKUP(Tabela1[[#This Row],[TAG]],#REF!,14,FALSE),"")</f>
        <v/>
      </c>
      <c r="Q225" s="204" t="e">
        <f t="shared" si="342"/>
        <v>#VALUE!</v>
      </c>
      <c r="R225" s="204" t="e">
        <f t="shared" si="321"/>
        <v>#VALUE!</v>
      </c>
      <c r="S225" s="204" t="e">
        <f t="shared" si="322"/>
        <v>#VALUE!</v>
      </c>
      <c r="T225" s="204" t="e">
        <f t="shared" si="323"/>
        <v>#VALUE!</v>
      </c>
      <c r="U225" s="204" t="e">
        <f t="shared" si="324"/>
        <v>#VALUE!</v>
      </c>
      <c r="V225" s="204" t="e">
        <f t="shared" si="325"/>
        <v>#VALUE!</v>
      </c>
      <c r="W225" s="218">
        <v>758.7</v>
      </c>
      <c r="X225" s="218">
        <v>4166.92</v>
      </c>
      <c r="Y225" s="203">
        <v>0.1</v>
      </c>
      <c r="Z225" s="203">
        <f>IF(Tabela1[[#This Row],[Ano Aquisição]]=2023,0,IFERROR(VLOOKUP(H225,inflação!$F:$H,3,FALSE),""))</f>
        <v>0.1585</v>
      </c>
      <c r="AA225" s="203">
        <v>0.8</v>
      </c>
      <c r="AB225" s="202">
        <f t="shared" si="314"/>
        <v>-3194367.86</v>
      </c>
      <c r="AC225" s="204" t="e">
        <f t="shared" si="326"/>
        <v>#VALUE!</v>
      </c>
      <c r="AD225" s="204" t="e">
        <f t="shared" si="327"/>
        <v>#VALUE!</v>
      </c>
      <c r="AE225" s="204" t="e">
        <f t="shared" si="328"/>
        <v>#VALUE!</v>
      </c>
      <c r="AF225" s="204" t="e">
        <f t="shared" si="329"/>
        <v>#VALUE!</v>
      </c>
      <c r="AG225" s="204" t="e">
        <f t="shared" si="330"/>
        <v>#VALUE!</v>
      </c>
      <c r="AH225" s="204" t="e">
        <f t="shared" si="331"/>
        <v>#VALUE!</v>
      </c>
      <c r="AI225" s="204" t="e">
        <f t="shared" si="332"/>
        <v>#VALUE!</v>
      </c>
      <c r="AJ225" s="205">
        <f t="shared" si="315"/>
        <v>-3700675.1658100002</v>
      </c>
      <c r="AK225" s="204" t="e">
        <f t="shared" si="333"/>
        <v>#VALUE!</v>
      </c>
      <c r="AL225" s="204" t="e">
        <f t="shared" si="334"/>
        <v>#VALUE!</v>
      </c>
      <c r="AM225" s="204" t="e">
        <f t="shared" si="335"/>
        <v>#VALUE!</v>
      </c>
      <c r="AN225" s="204" t="e">
        <f t="shared" si="336"/>
        <v>#VALUE!</v>
      </c>
      <c r="AO225" s="204" t="e">
        <f t="shared" si="337"/>
        <v>#VALUE!</v>
      </c>
      <c r="AP225" s="204" t="e">
        <f t="shared" si="338"/>
        <v>#VALUE!</v>
      </c>
      <c r="AQ225" s="204" t="e">
        <f t="shared" si="339"/>
        <v>#VALUE!</v>
      </c>
      <c r="AR225" s="206" t="e">
        <f t="shared" si="316"/>
        <v>#VALUE!</v>
      </c>
      <c r="AS225" s="170" t="e">
        <f t="shared" si="340"/>
        <v>#VALUE!</v>
      </c>
      <c r="AT225" s="170" t="e">
        <f t="shared" si="341"/>
        <v>#VALUE!</v>
      </c>
      <c r="AU225" s="207" t="e">
        <f t="shared" si="317"/>
        <v>#VALUE!</v>
      </c>
      <c r="AV225" s="208" t="e">
        <f t="shared" si="318"/>
        <v>#VALUE!</v>
      </c>
      <c r="AW225" s="201" t="str">
        <f t="shared" si="319"/>
        <v>Fase de Degradação</v>
      </c>
      <c r="AX225" s="253" t="e">
        <f>VLOOKUP(D225,#REF!,5,FALSE)</f>
        <v>#REF!</v>
      </c>
      <c r="AY225" s="201"/>
      <c r="AZ225" s="273" t="s">
        <v>1224</v>
      </c>
      <c r="BB225">
        <f>IFERROR(VLOOKUP(Tabela1[[#This Row],[Denominação]],[10]Planilha1!$A:$B,2,FALSE),"")</f>
        <v>40689.32</v>
      </c>
    </row>
    <row r="226" spans="1:54" ht="15" hidden="1" customHeight="1" x14ac:dyDescent="0.3">
      <c r="A226" s="253">
        <v>225</v>
      </c>
      <c r="B226" s="300" t="s">
        <v>1820</v>
      </c>
      <c r="C226" s="318" t="s">
        <v>1689</v>
      </c>
      <c r="D226" s="315">
        <v>10006937</v>
      </c>
      <c r="E226" s="299" t="s">
        <v>1763</v>
      </c>
      <c r="F226" s="299">
        <v>4531</v>
      </c>
      <c r="G226" s="323">
        <v>900000023370</v>
      </c>
      <c r="H226" s="315">
        <v>2022</v>
      </c>
      <c r="I226" s="329">
        <v>824006.91</v>
      </c>
      <c r="J226" s="329">
        <v>824006.91</v>
      </c>
      <c r="K226" s="326"/>
      <c r="L226" s="319"/>
      <c r="M226" s="320"/>
      <c r="N226" s="320"/>
      <c r="O226" s="321"/>
      <c r="P226" s="271" t="str">
        <f>IFERROR(VLOOKUP(Tabela1[[#This Row],[TAG]],#REF!,14,FALSE),"")</f>
        <v/>
      </c>
      <c r="Q226" s="323" t="e">
        <f t="shared" ref="Q226:Q227" si="343">P226+P226</f>
        <v>#VALUE!</v>
      </c>
      <c r="R226" s="323" t="e">
        <f t="shared" ref="R226:R227" si="344">Q226+P226</f>
        <v>#VALUE!</v>
      </c>
      <c r="S226" s="323" t="e">
        <f t="shared" ref="S226:S227" si="345">R226+P226</f>
        <v>#VALUE!</v>
      </c>
      <c r="T226" s="323" t="e">
        <f t="shared" ref="T226:T227" si="346">S226+P226</f>
        <v>#VALUE!</v>
      </c>
      <c r="U226" s="323" t="e">
        <f t="shared" ref="U226:U227" si="347">T226+P226</f>
        <v>#VALUE!</v>
      </c>
      <c r="V226" s="323" t="e">
        <f t="shared" ref="V226:V227" si="348">U226+P226</f>
        <v>#VALUE!</v>
      </c>
      <c r="W226" s="304"/>
      <c r="X226" s="304"/>
      <c r="Y226" s="322">
        <v>0.1</v>
      </c>
      <c r="Z226" s="322">
        <f>IF(Tabela1[[#This Row],[Ano Aquisição]]=2023,0,IFERROR(VLOOKUP(H226,inflação!$F:$H,3,FALSE),""))</f>
        <v>5.79E-2</v>
      </c>
      <c r="AA226" s="322">
        <v>0.8</v>
      </c>
      <c r="AB226" s="310">
        <f t="shared" si="314"/>
        <v>-824006.91</v>
      </c>
      <c r="AC226" s="323" t="e">
        <f t="shared" ref="AC226:AC227" si="349">-(((P226*$W226)+($X226*12))*((1+$Y226)^AC$1))</f>
        <v>#VALUE!</v>
      </c>
      <c r="AD226" s="323" t="e">
        <f t="shared" ref="AD226:AD227" si="350">-((((Q226-P226)*$W226)+($X226*12))*((1+$Y226)^AD$1))</f>
        <v>#VALUE!</v>
      </c>
      <c r="AE226" s="323" t="e">
        <f t="shared" ref="AE226:AE227" si="351">-((((R226-Q226)*$W226)+($X226*12))*((1+$Y226)^AE$1))</f>
        <v>#VALUE!</v>
      </c>
      <c r="AF226" s="323" t="e">
        <f t="shared" ref="AF226:AF227" si="352">-((((S226-R226)*$W226)+($X226*12))*((1+$Y226)^AF$1))</f>
        <v>#VALUE!</v>
      </c>
      <c r="AG226" s="323" t="e">
        <f t="shared" ref="AG226:AG227" si="353">-((((T226-S226)*$W226)+($X226*12))*((1+$Y226)^AG$1))</f>
        <v>#VALUE!</v>
      </c>
      <c r="AH226" s="323" t="e">
        <f t="shared" ref="AH226:AH227" si="354">-((((U226-T226)*$W226)+($X226*12))*((1+$Y226)^AH$1))</f>
        <v>#VALUE!</v>
      </c>
      <c r="AI226" s="323" t="e">
        <f t="shared" ref="AI226:AI227" si="355">-((((V226-U226)*$W226)+($X226*12))*((1+$Y226)^AI$1))</f>
        <v>#VALUE!</v>
      </c>
      <c r="AJ226" s="324">
        <f t="shared" si="315"/>
        <v>-871716.91008900013</v>
      </c>
      <c r="AK226" s="323" t="e">
        <f t="shared" ref="AK226:AK227" si="356">AC226*(1-$AA226)</f>
        <v>#VALUE!</v>
      </c>
      <c r="AL226" s="323" t="e">
        <f t="shared" ref="AL226:AL227" si="357">AD226*(1-$AA226)</f>
        <v>#VALUE!</v>
      </c>
      <c r="AM226" s="323" t="e">
        <f t="shared" ref="AM226:AM227" si="358">AE226*(1-$AA226)</f>
        <v>#VALUE!</v>
      </c>
      <c r="AN226" s="323" t="e">
        <f t="shared" ref="AN226:AN227" si="359">AF226*(1-$AA226)</f>
        <v>#VALUE!</v>
      </c>
      <c r="AO226" s="323" t="e">
        <f t="shared" ref="AO226:AO227" si="360">AG226*(1-$AA226)</f>
        <v>#VALUE!</v>
      </c>
      <c r="AP226" s="323" t="e">
        <f t="shared" ref="AP226:AP227" si="361">AH226*(1-$AA226)</f>
        <v>#VALUE!</v>
      </c>
      <c r="AQ226" s="323" t="e">
        <f t="shared" ref="AQ226:AQ227" si="362">AI226*(1-$AA226)</f>
        <v>#VALUE!</v>
      </c>
      <c r="AR226" s="325" t="e">
        <f t="shared" si="316"/>
        <v>#VALUE!</v>
      </c>
      <c r="AS226" s="326" t="e">
        <f t="shared" ref="AS226:AS227" si="363">SUM(AC226:AI226)</f>
        <v>#VALUE!</v>
      </c>
      <c r="AT226" s="326" t="e">
        <f t="shared" ref="AT226:AT227" si="364">SUM(AK226:AQ226)</f>
        <v>#VALUE!</v>
      </c>
      <c r="AU226" s="319" t="e">
        <f t="shared" si="317"/>
        <v>#VALUE!</v>
      </c>
      <c r="AV226" s="327" t="e">
        <f t="shared" si="318"/>
        <v>#VALUE!</v>
      </c>
      <c r="AW226" s="315" t="str">
        <f t="shared" si="319"/>
        <v>Confiabilidade em Crescimento</v>
      </c>
      <c r="AX226" s="299" t="e">
        <f>VLOOKUP(D226,#REF!,5,FALSE)</f>
        <v>#REF!</v>
      </c>
      <c r="AY226" s="315"/>
      <c r="AZ226" s="316" t="s">
        <v>1224</v>
      </c>
      <c r="BB226" t="str">
        <f>IFERROR(VLOOKUP(Tabela1[[#This Row],[Denominação]],[10]Planilha1!$A:$B,2,FALSE),"")</f>
        <v/>
      </c>
    </row>
    <row r="227" spans="1:54" ht="15" hidden="1" customHeight="1" x14ac:dyDescent="0.3">
      <c r="A227" s="268">
        <v>226</v>
      </c>
      <c r="B227" s="300" t="s">
        <v>1821</v>
      </c>
      <c r="C227" s="318" t="s">
        <v>1690</v>
      </c>
      <c r="D227" s="315">
        <v>10006938</v>
      </c>
      <c r="E227" s="299" t="s">
        <v>1764</v>
      </c>
      <c r="F227" s="299">
        <v>4531</v>
      </c>
      <c r="G227" s="323">
        <v>900000023662</v>
      </c>
      <c r="H227" s="315">
        <v>2022</v>
      </c>
      <c r="I227" s="329">
        <v>863389.16</v>
      </c>
      <c r="J227" s="329">
        <v>863389.16</v>
      </c>
      <c r="K227" s="326"/>
      <c r="L227" s="319"/>
      <c r="M227" s="320"/>
      <c r="N227" s="320"/>
      <c r="O227" s="321"/>
      <c r="P227" s="271" t="str">
        <f>IFERROR(VLOOKUP(Tabela1[[#This Row],[TAG]],#REF!,14,FALSE),"")</f>
        <v/>
      </c>
      <c r="Q227" s="323" t="e">
        <f t="shared" si="343"/>
        <v>#VALUE!</v>
      </c>
      <c r="R227" s="323" t="e">
        <f t="shared" si="344"/>
        <v>#VALUE!</v>
      </c>
      <c r="S227" s="323" t="e">
        <f t="shared" si="345"/>
        <v>#VALUE!</v>
      </c>
      <c r="T227" s="323" t="e">
        <f t="shared" si="346"/>
        <v>#VALUE!</v>
      </c>
      <c r="U227" s="323" t="e">
        <f t="shared" si="347"/>
        <v>#VALUE!</v>
      </c>
      <c r="V227" s="323" t="e">
        <f t="shared" si="348"/>
        <v>#VALUE!</v>
      </c>
      <c r="W227" s="304"/>
      <c r="X227" s="304"/>
      <c r="Y227" s="322">
        <v>0.1</v>
      </c>
      <c r="Z227" s="322">
        <f>IF(Tabela1[[#This Row],[Ano Aquisição]]=2023,0,IFERROR(VLOOKUP(H227,inflação!$F:$H,3,FALSE),""))</f>
        <v>5.79E-2</v>
      </c>
      <c r="AA227" s="322">
        <v>0.8</v>
      </c>
      <c r="AB227" s="310">
        <f t="shared" si="314"/>
        <v>-863389.16</v>
      </c>
      <c r="AC227" s="323" t="e">
        <f t="shared" si="349"/>
        <v>#VALUE!</v>
      </c>
      <c r="AD227" s="323" t="e">
        <f t="shared" si="350"/>
        <v>#VALUE!</v>
      </c>
      <c r="AE227" s="323" t="e">
        <f t="shared" si="351"/>
        <v>#VALUE!</v>
      </c>
      <c r="AF227" s="323" t="e">
        <f t="shared" si="352"/>
        <v>#VALUE!</v>
      </c>
      <c r="AG227" s="323" t="e">
        <f t="shared" si="353"/>
        <v>#VALUE!</v>
      </c>
      <c r="AH227" s="323" t="e">
        <f t="shared" si="354"/>
        <v>#VALUE!</v>
      </c>
      <c r="AI227" s="323" t="e">
        <f t="shared" si="355"/>
        <v>#VALUE!</v>
      </c>
      <c r="AJ227" s="324">
        <f t="shared" si="315"/>
        <v>-913379.39236400009</v>
      </c>
      <c r="AK227" s="323" t="e">
        <f t="shared" si="356"/>
        <v>#VALUE!</v>
      </c>
      <c r="AL227" s="323" t="e">
        <f t="shared" si="357"/>
        <v>#VALUE!</v>
      </c>
      <c r="AM227" s="323" t="e">
        <f t="shared" si="358"/>
        <v>#VALUE!</v>
      </c>
      <c r="AN227" s="323" t="e">
        <f t="shared" si="359"/>
        <v>#VALUE!</v>
      </c>
      <c r="AO227" s="323" t="e">
        <f t="shared" si="360"/>
        <v>#VALUE!</v>
      </c>
      <c r="AP227" s="323" t="e">
        <f t="shared" si="361"/>
        <v>#VALUE!</v>
      </c>
      <c r="AQ227" s="323" t="e">
        <f t="shared" si="362"/>
        <v>#VALUE!</v>
      </c>
      <c r="AR227" s="325" t="e">
        <f t="shared" si="316"/>
        <v>#VALUE!</v>
      </c>
      <c r="AS227" s="326" t="e">
        <f t="shared" si="363"/>
        <v>#VALUE!</v>
      </c>
      <c r="AT227" s="326" t="e">
        <f t="shared" si="364"/>
        <v>#VALUE!</v>
      </c>
      <c r="AU227" s="319" t="e">
        <f t="shared" si="317"/>
        <v>#VALUE!</v>
      </c>
      <c r="AV227" s="327" t="e">
        <f t="shared" si="318"/>
        <v>#VALUE!</v>
      </c>
      <c r="AW227" s="315" t="str">
        <f t="shared" si="319"/>
        <v>Confiabilidade em Crescimento</v>
      </c>
      <c r="AX227" s="299" t="e">
        <f>VLOOKUP(D227,#REF!,5,FALSE)</f>
        <v>#REF!</v>
      </c>
      <c r="AY227" s="315"/>
      <c r="AZ227" s="316" t="s">
        <v>1224</v>
      </c>
      <c r="BB227" t="str">
        <f>IFERROR(VLOOKUP(Tabela1[[#This Row],[Denominação]],[10]Planilha1!$A:$B,2,FALSE),"")</f>
        <v/>
      </c>
    </row>
    <row r="228" spans="1:54" ht="15" hidden="1" customHeight="1" x14ac:dyDescent="0.3">
      <c r="A228" s="253">
        <v>227</v>
      </c>
      <c r="B228" s="255" t="s">
        <v>1822</v>
      </c>
      <c r="C228" s="211" t="s">
        <v>1691</v>
      </c>
      <c r="D228" s="201">
        <v>10006675</v>
      </c>
      <c r="E228" s="253" t="s">
        <v>1765</v>
      </c>
      <c r="F228" s="253">
        <v>2370</v>
      </c>
      <c r="G228" s="201">
        <v>54874</v>
      </c>
      <c r="H228" s="201">
        <v>2021</v>
      </c>
      <c r="I228" s="216">
        <v>1806141.71</v>
      </c>
      <c r="J228" s="214">
        <v>1577923</v>
      </c>
      <c r="K228" s="170">
        <v>56968.080000000031</v>
      </c>
      <c r="L228" s="207">
        <v>0.72</v>
      </c>
      <c r="M228" s="212">
        <v>4214.5919999999996</v>
      </c>
      <c r="N228" s="212">
        <v>12769</v>
      </c>
      <c r="O228" s="171">
        <v>22</v>
      </c>
      <c r="P228" s="271" t="str">
        <f>IFERROR(VLOOKUP(Tabela1[[#This Row],[TAG]],#REF!,14,FALSE),"")</f>
        <v/>
      </c>
      <c r="Q228" s="204" t="e">
        <f t="shared" ref="Q228:Q232" si="365">P228+P228</f>
        <v>#VALUE!</v>
      </c>
      <c r="R228" s="204" t="e">
        <f t="shared" ref="R228:R232" si="366">Q228+P228</f>
        <v>#VALUE!</v>
      </c>
      <c r="S228" s="204" t="e">
        <f t="shared" ref="S228:S232" si="367">R228+P228</f>
        <v>#VALUE!</v>
      </c>
      <c r="T228" s="204" t="e">
        <f t="shared" ref="T228:T232" si="368">S228+P228</f>
        <v>#VALUE!</v>
      </c>
      <c r="U228" s="204" t="e">
        <f t="shared" ref="U228:U232" si="369">T228+P228</f>
        <v>#VALUE!</v>
      </c>
      <c r="V228" s="204" t="e">
        <f t="shared" ref="V228:V232" si="370">U228+P228</f>
        <v>#VALUE!</v>
      </c>
      <c r="W228" s="218">
        <v>515.83000000000004</v>
      </c>
      <c r="X228" s="218">
        <v>2692.9</v>
      </c>
      <c r="Y228" s="203">
        <v>0.1</v>
      </c>
      <c r="Z228" s="203">
        <f>IF(Tabela1[[#This Row],[Ano Aquisição]]=2023,0,IFERROR(VLOOKUP(H228,inflação!$F:$H,3,FALSE),""))</f>
        <v>0.1585</v>
      </c>
      <c r="AA228" s="203">
        <v>0.8</v>
      </c>
      <c r="AB228" s="202">
        <f t="shared" si="314"/>
        <v>-1806141.71</v>
      </c>
      <c r="AC228" s="204" t="e">
        <f t="shared" ref="AC228:AC232" si="371">-(((P228*$W228)+($X228*12))*((1+$Y228)^AC$1))</f>
        <v>#VALUE!</v>
      </c>
      <c r="AD228" s="204" t="e">
        <f t="shared" ref="AD228:AD232" si="372">-((((Q228-P228)*$W228)+($X228*12))*((1+$Y228)^AD$1))</f>
        <v>#VALUE!</v>
      </c>
      <c r="AE228" s="204" t="e">
        <f t="shared" ref="AE228:AE232" si="373">-((((R228-Q228)*$W228)+($X228*12))*((1+$Y228)^AE$1))</f>
        <v>#VALUE!</v>
      </c>
      <c r="AF228" s="204" t="e">
        <f t="shared" ref="AF228:AF232" si="374">-((((S228-R228)*$W228)+($X228*12))*((1+$Y228)^AF$1))</f>
        <v>#VALUE!</v>
      </c>
      <c r="AG228" s="204" t="e">
        <f t="shared" ref="AG228:AG232" si="375">-((((T228-S228)*$W228)+($X228*12))*((1+$Y228)^AG$1))</f>
        <v>#VALUE!</v>
      </c>
      <c r="AH228" s="204" t="e">
        <f t="shared" ref="AH228:AH232" si="376">-((((U228-T228)*$W228)+($X228*12))*((1+$Y228)^AH$1))</f>
        <v>#VALUE!</v>
      </c>
      <c r="AI228" s="204" t="e">
        <f t="shared" ref="AI228:AI232" si="377">-((((V228-U228)*$W228)+($X228*12))*((1+$Y228)^AI$1))</f>
        <v>#VALUE!</v>
      </c>
      <c r="AJ228" s="205">
        <f t="shared" si="315"/>
        <v>-2092415.1710350001</v>
      </c>
      <c r="AK228" s="204" t="e">
        <f t="shared" ref="AK228:AK232" si="378">AC228*(1-$AA228)</f>
        <v>#VALUE!</v>
      </c>
      <c r="AL228" s="204" t="e">
        <f t="shared" ref="AL228:AL232" si="379">AD228*(1-$AA228)</f>
        <v>#VALUE!</v>
      </c>
      <c r="AM228" s="204" t="e">
        <f t="shared" ref="AM228:AM232" si="380">AE228*(1-$AA228)</f>
        <v>#VALUE!</v>
      </c>
      <c r="AN228" s="204" t="e">
        <f t="shared" ref="AN228:AN232" si="381">AF228*(1-$AA228)</f>
        <v>#VALUE!</v>
      </c>
      <c r="AO228" s="204" t="e">
        <f t="shared" ref="AO228:AO232" si="382">AG228*(1-$AA228)</f>
        <v>#VALUE!</v>
      </c>
      <c r="AP228" s="204" t="e">
        <f t="shared" ref="AP228:AP232" si="383">AH228*(1-$AA228)</f>
        <v>#VALUE!</v>
      </c>
      <c r="AQ228" s="204" t="e">
        <f t="shared" ref="AQ228:AQ232" si="384">AI228*(1-$AA228)</f>
        <v>#VALUE!</v>
      </c>
      <c r="AR228" s="206" t="e">
        <f t="shared" si="316"/>
        <v>#VALUE!</v>
      </c>
      <c r="AS228" s="170" t="e">
        <f t="shared" ref="AS228:AS232" si="385">SUM(AC228:AI228)</f>
        <v>#VALUE!</v>
      </c>
      <c r="AT228" s="170" t="e">
        <f t="shared" ref="AT228:AT232" si="386">SUM(AK228:AQ228)</f>
        <v>#VALUE!</v>
      </c>
      <c r="AU228" s="207" t="e">
        <f t="shared" si="317"/>
        <v>#VALUE!</v>
      </c>
      <c r="AV228" s="208" t="e">
        <f t="shared" si="318"/>
        <v>#VALUE!</v>
      </c>
      <c r="AW228" s="201" t="str">
        <f t="shared" si="319"/>
        <v>Confiabilidade em Crescimento</v>
      </c>
      <c r="AX228" s="253" t="e">
        <f>VLOOKUP(D228,#REF!,5,FALSE)</f>
        <v>#REF!</v>
      </c>
      <c r="AY228" s="201"/>
      <c r="AZ228" s="273" t="s">
        <v>1224</v>
      </c>
      <c r="BB228">
        <f>IFERROR(VLOOKUP(Tabela1[[#This Row],[Denominação]],[10]Planilha1!$A:$B,2,FALSE),"")</f>
        <v>56968.080000000031</v>
      </c>
    </row>
    <row r="229" spans="1:54" ht="15" hidden="1" customHeight="1" x14ac:dyDescent="0.3">
      <c r="A229" s="268">
        <v>228</v>
      </c>
      <c r="B229" s="255" t="s">
        <v>1823</v>
      </c>
      <c r="C229" s="211" t="s">
        <v>1692</v>
      </c>
      <c r="D229" s="201">
        <v>10006676</v>
      </c>
      <c r="E229" s="253" t="s">
        <v>1766</v>
      </c>
      <c r="F229" s="253">
        <v>2370</v>
      </c>
      <c r="G229" s="201">
        <v>54875</v>
      </c>
      <c r="H229" s="201">
        <v>2021</v>
      </c>
      <c r="I229" s="216">
        <v>1625846.51</v>
      </c>
      <c r="J229" s="214">
        <v>1420409</v>
      </c>
      <c r="K229" s="170">
        <v>57090.540000000015</v>
      </c>
      <c r="L229" s="207">
        <v>1.34</v>
      </c>
      <c r="M229" s="212">
        <v>4131.2255999999998</v>
      </c>
      <c r="N229" s="212">
        <v>11045</v>
      </c>
      <c r="O229" s="171">
        <v>16</v>
      </c>
      <c r="P229" s="271" t="str">
        <f>IFERROR(VLOOKUP(Tabela1[[#This Row],[TAG]],#REF!,14,FALSE),"")</f>
        <v/>
      </c>
      <c r="Q229" s="204" t="e">
        <f t="shared" si="365"/>
        <v>#VALUE!</v>
      </c>
      <c r="R229" s="204" t="e">
        <f t="shared" si="366"/>
        <v>#VALUE!</v>
      </c>
      <c r="S229" s="204" t="e">
        <f t="shared" si="367"/>
        <v>#VALUE!</v>
      </c>
      <c r="T229" s="204" t="e">
        <f t="shared" si="368"/>
        <v>#VALUE!</v>
      </c>
      <c r="U229" s="204" t="e">
        <f t="shared" si="369"/>
        <v>#VALUE!</v>
      </c>
      <c r="V229" s="204" t="e">
        <f t="shared" si="370"/>
        <v>#VALUE!</v>
      </c>
      <c r="W229" s="218">
        <v>413.69</v>
      </c>
      <c r="X229" s="218">
        <v>2358.9699999999998</v>
      </c>
      <c r="Y229" s="203">
        <v>0.1</v>
      </c>
      <c r="Z229" s="203">
        <f>IF(Tabela1[[#This Row],[Ano Aquisição]]=2023,0,IFERROR(VLOOKUP(H229,inflação!$F:$H,3,FALSE),""))</f>
        <v>0.1585</v>
      </c>
      <c r="AA229" s="203">
        <v>0.8</v>
      </c>
      <c r="AB229" s="202">
        <f t="shared" si="314"/>
        <v>-1625846.51</v>
      </c>
      <c r="AC229" s="204" t="e">
        <f t="shared" si="371"/>
        <v>#VALUE!</v>
      </c>
      <c r="AD229" s="204" t="e">
        <f t="shared" si="372"/>
        <v>#VALUE!</v>
      </c>
      <c r="AE229" s="204" t="e">
        <f t="shared" si="373"/>
        <v>#VALUE!</v>
      </c>
      <c r="AF229" s="204" t="e">
        <f t="shared" si="374"/>
        <v>#VALUE!</v>
      </c>
      <c r="AG229" s="204" t="e">
        <f t="shared" si="375"/>
        <v>#VALUE!</v>
      </c>
      <c r="AH229" s="204" t="e">
        <f t="shared" si="376"/>
        <v>#VALUE!</v>
      </c>
      <c r="AI229" s="204" t="e">
        <f t="shared" si="377"/>
        <v>#VALUE!</v>
      </c>
      <c r="AJ229" s="205">
        <f t="shared" si="315"/>
        <v>-1883543.1818350002</v>
      </c>
      <c r="AK229" s="204" t="e">
        <f t="shared" si="378"/>
        <v>#VALUE!</v>
      </c>
      <c r="AL229" s="204" t="e">
        <f t="shared" si="379"/>
        <v>#VALUE!</v>
      </c>
      <c r="AM229" s="204" t="e">
        <f t="shared" si="380"/>
        <v>#VALUE!</v>
      </c>
      <c r="AN229" s="204" t="e">
        <f t="shared" si="381"/>
        <v>#VALUE!</v>
      </c>
      <c r="AO229" s="204" t="e">
        <f t="shared" si="382"/>
        <v>#VALUE!</v>
      </c>
      <c r="AP229" s="204" t="e">
        <f t="shared" si="383"/>
        <v>#VALUE!</v>
      </c>
      <c r="AQ229" s="204" t="e">
        <f t="shared" si="384"/>
        <v>#VALUE!</v>
      </c>
      <c r="AR229" s="206" t="e">
        <f t="shared" si="316"/>
        <v>#VALUE!</v>
      </c>
      <c r="AS229" s="170" t="e">
        <f t="shared" si="385"/>
        <v>#VALUE!</v>
      </c>
      <c r="AT229" s="170" t="e">
        <f t="shared" si="386"/>
        <v>#VALUE!</v>
      </c>
      <c r="AU229" s="207" t="e">
        <f t="shared" si="317"/>
        <v>#VALUE!</v>
      </c>
      <c r="AV229" s="208" t="e">
        <f t="shared" si="318"/>
        <v>#VALUE!</v>
      </c>
      <c r="AW229" s="201" t="str">
        <f t="shared" si="319"/>
        <v>Fase de Degradação</v>
      </c>
      <c r="AX229" s="253" t="e">
        <f>VLOOKUP(D229,#REF!,5,FALSE)</f>
        <v>#REF!</v>
      </c>
      <c r="AY229" s="201"/>
      <c r="AZ229" s="273" t="s">
        <v>1224</v>
      </c>
      <c r="BB229">
        <f>IFERROR(VLOOKUP(Tabela1[[#This Row],[Denominação]],[10]Planilha1!$A:$B,2,FALSE),"")</f>
        <v>57090.540000000015</v>
      </c>
    </row>
    <row r="230" spans="1:54" ht="15" hidden="1" customHeight="1" x14ac:dyDescent="0.3">
      <c r="A230" s="253">
        <v>229</v>
      </c>
      <c r="B230" s="255" t="s">
        <v>1824</v>
      </c>
      <c r="C230" s="211" t="s">
        <v>1693</v>
      </c>
      <c r="D230" s="201">
        <v>10006708</v>
      </c>
      <c r="E230" s="253" t="s">
        <v>1767</v>
      </c>
      <c r="F230" s="253">
        <v>2370</v>
      </c>
      <c r="G230" s="201">
        <v>56283</v>
      </c>
      <c r="H230" s="201">
        <v>2022</v>
      </c>
      <c r="I230" s="216">
        <v>1837098.41</v>
      </c>
      <c r="J230" s="214">
        <v>1665204</v>
      </c>
      <c r="K230" s="170">
        <v>34798.700000000004</v>
      </c>
      <c r="L230" s="207">
        <v>0.55000000000000004</v>
      </c>
      <c r="M230" s="212">
        <v>3929.9520000000002</v>
      </c>
      <c r="N230" s="212">
        <v>10440</v>
      </c>
      <c r="O230" s="171">
        <v>31</v>
      </c>
      <c r="P230" s="271" t="str">
        <f>IFERROR(VLOOKUP(Tabela1[[#This Row],[TAG]],#REF!,14,FALSE),"")</f>
        <v/>
      </c>
      <c r="Q230" s="204" t="e">
        <f t="shared" si="365"/>
        <v>#VALUE!</v>
      </c>
      <c r="R230" s="204" t="e">
        <f t="shared" si="366"/>
        <v>#VALUE!</v>
      </c>
      <c r="S230" s="204" t="e">
        <f t="shared" si="367"/>
        <v>#VALUE!</v>
      </c>
      <c r="T230" s="204" t="e">
        <f t="shared" si="368"/>
        <v>#VALUE!</v>
      </c>
      <c r="U230" s="204" t="e">
        <f t="shared" si="369"/>
        <v>#VALUE!</v>
      </c>
      <c r="V230" s="204" t="e">
        <f t="shared" si="370"/>
        <v>#VALUE!</v>
      </c>
      <c r="W230" s="218">
        <v>580.78</v>
      </c>
      <c r="X230" s="218">
        <v>1822.92</v>
      </c>
      <c r="Y230" s="203">
        <v>0.1</v>
      </c>
      <c r="Z230" s="203">
        <f>IF(Tabela1[[#This Row],[Ano Aquisição]]=2023,0,IFERROR(VLOOKUP(H230,inflação!$F:$H,3,FALSE),""))</f>
        <v>5.79E-2</v>
      </c>
      <c r="AA230" s="203">
        <v>0.8</v>
      </c>
      <c r="AB230" s="202">
        <f t="shared" si="314"/>
        <v>-1837098.41</v>
      </c>
      <c r="AC230" s="204" t="e">
        <f t="shared" si="371"/>
        <v>#VALUE!</v>
      </c>
      <c r="AD230" s="204" t="e">
        <f t="shared" si="372"/>
        <v>#VALUE!</v>
      </c>
      <c r="AE230" s="204" t="e">
        <f t="shared" si="373"/>
        <v>#VALUE!</v>
      </c>
      <c r="AF230" s="204" t="e">
        <f t="shared" si="374"/>
        <v>#VALUE!</v>
      </c>
      <c r="AG230" s="204" t="e">
        <f t="shared" si="375"/>
        <v>#VALUE!</v>
      </c>
      <c r="AH230" s="204" t="e">
        <f t="shared" si="376"/>
        <v>#VALUE!</v>
      </c>
      <c r="AI230" s="204" t="e">
        <f t="shared" si="377"/>
        <v>#VALUE!</v>
      </c>
      <c r="AJ230" s="205">
        <f t="shared" si="315"/>
        <v>-1943466.4079390001</v>
      </c>
      <c r="AK230" s="204" t="e">
        <f t="shared" si="378"/>
        <v>#VALUE!</v>
      </c>
      <c r="AL230" s="204" t="e">
        <f t="shared" si="379"/>
        <v>#VALUE!</v>
      </c>
      <c r="AM230" s="204" t="e">
        <f t="shared" si="380"/>
        <v>#VALUE!</v>
      </c>
      <c r="AN230" s="204" t="e">
        <f t="shared" si="381"/>
        <v>#VALUE!</v>
      </c>
      <c r="AO230" s="204" t="e">
        <f t="shared" si="382"/>
        <v>#VALUE!</v>
      </c>
      <c r="AP230" s="204" t="e">
        <f t="shared" si="383"/>
        <v>#VALUE!</v>
      </c>
      <c r="AQ230" s="204" t="e">
        <f t="shared" si="384"/>
        <v>#VALUE!</v>
      </c>
      <c r="AR230" s="206" t="e">
        <f t="shared" si="316"/>
        <v>#VALUE!</v>
      </c>
      <c r="AS230" s="170" t="e">
        <f t="shared" si="385"/>
        <v>#VALUE!</v>
      </c>
      <c r="AT230" s="170" t="e">
        <f t="shared" si="386"/>
        <v>#VALUE!</v>
      </c>
      <c r="AU230" s="207" t="e">
        <f t="shared" si="317"/>
        <v>#VALUE!</v>
      </c>
      <c r="AV230" s="208" t="e">
        <f t="shared" si="318"/>
        <v>#VALUE!</v>
      </c>
      <c r="AW230" s="201" t="str">
        <f t="shared" si="319"/>
        <v>Confiabilidade em Crescimento</v>
      </c>
      <c r="AX230" s="253" t="e">
        <f>VLOOKUP(D230,#REF!,5,FALSE)</f>
        <v>#REF!</v>
      </c>
      <c r="AY230" s="201"/>
      <c r="AZ230" s="273" t="s">
        <v>1224</v>
      </c>
      <c r="BB230">
        <f>IFERROR(VLOOKUP(Tabela1[[#This Row],[Denominação]],[10]Planilha1!$A:$B,2,FALSE),"")</f>
        <v>34798.700000000004</v>
      </c>
    </row>
    <row r="231" spans="1:54" ht="15" hidden="1" customHeight="1" x14ac:dyDescent="0.3">
      <c r="A231" s="268">
        <v>230</v>
      </c>
      <c r="B231" s="255" t="s">
        <v>1825</v>
      </c>
      <c r="C231" s="211" t="s">
        <v>1694</v>
      </c>
      <c r="D231" s="201">
        <v>10006709</v>
      </c>
      <c r="E231" s="253" t="s">
        <v>1768</v>
      </c>
      <c r="F231" s="253">
        <v>2370</v>
      </c>
      <c r="G231" s="201">
        <v>56284</v>
      </c>
      <c r="H231" s="201">
        <v>2022</v>
      </c>
      <c r="I231" s="216">
        <v>1836591.47</v>
      </c>
      <c r="J231" s="214">
        <v>1664745</v>
      </c>
      <c r="K231" s="170">
        <v>16866.750000000004</v>
      </c>
      <c r="L231" s="207">
        <v>0.75</v>
      </c>
      <c r="M231" s="212">
        <v>3806.3087999999998</v>
      </c>
      <c r="N231" s="212">
        <v>10599</v>
      </c>
      <c r="O231" s="171">
        <v>12</v>
      </c>
      <c r="P231" s="271" t="str">
        <f>IFERROR(VLOOKUP(Tabela1[[#This Row],[TAG]],#REF!,14,FALSE),"")</f>
        <v/>
      </c>
      <c r="Q231" s="204" t="e">
        <f t="shared" si="365"/>
        <v>#VALUE!</v>
      </c>
      <c r="R231" s="204" t="e">
        <f t="shared" si="366"/>
        <v>#VALUE!</v>
      </c>
      <c r="S231" s="204" t="e">
        <f t="shared" si="367"/>
        <v>#VALUE!</v>
      </c>
      <c r="T231" s="204" t="e">
        <f t="shared" si="368"/>
        <v>#VALUE!</v>
      </c>
      <c r="U231" s="204" t="e">
        <f t="shared" si="369"/>
        <v>#VALUE!</v>
      </c>
      <c r="V231" s="204" t="e">
        <f t="shared" si="370"/>
        <v>#VALUE!</v>
      </c>
      <c r="W231" s="218">
        <v>714.16</v>
      </c>
      <c r="X231" s="218">
        <v>1280.1400000000001</v>
      </c>
      <c r="Y231" s="203">
        <v>0.1</v>
      </c>
      <c r="Z231" s="203">
        <f>IF(Tabela1[[#This Row],[Ano Aquisição]]=2023,0,IFERROR(VLOOKUP(H231,inflação!$F:$H,3,FALSE),""))</f>
        <v>5.79E-2</v>
      </c>
      <c r="AA231" s="203">
        <v>0.8</v>
      </c>
      <c r="AB231" s="202">
        <f t="shared" si="314"/>
        <v>-1836591.47</v>
      </c>
      <c r="AC231" s="204" t="e">
        <f t="shared" si="371"/>
        <v>#VALUE!</v>
      </c>
      <c r="AD231" s="204" t="e">
        <f t="shared" si="372"/>
        <v>#VALUE!</v>
      </c>
      <c r="AE231" s="204" t="e">
        <f t="shared" si="373"/>
        <v>#VALUE!</v>
      </c>
      <c r="AF231" s="204" t="e">
        <f t="shared" si="374"/>
        <v>#VALUE!</v>
      </c>
      <c r="AG231" s="204" t="e">
        <f t="shared" si="375"/>
        <v>#VALUE!</v>
      </c>
      <c r="AH231" s="204" t="e">
        <f t="shared" si="376"/>
        <v>#VALUE!</v>
      </c>
      <c r="AI231" s="204" t="e">
        <f t="shared" si="377"/>
        <v>#VALUE!</v>
      </c>
      <c r="AJ231" s="205">
        <f t="shared" si="315"/>
        <v>-1942930.1161130001</v>
      </c>
      <c r="AK231" s="204" t="e">
        <f t="shared" si="378"/>
        <v>#VALUE!</v>
      </c>
      <c r="AL231" s="204" t="e">
        <f t="shared" si="379"/>
        <v>#VALUE!</v>
      </c>
      <c r="AM231" s="204" t="e">
        <f t="shared" si="380"/>
        <v>#VALUE!</v>
      </c>
      <c r="AN231" s="204" t="e">
        <f t="shared" si="381"/>
        <v>#VALUE!</v>
      </c>
      <c r="AO231" s="204" t="e">
        <f t="shared" si="382"/>
        <v>#VALUE!</v>
      </c>
      <c r="AP231" s="204" t="e">
        <f t="shared" si="383"/>
        <v>#VALUE!</v>
      </c>
      <c r="AQ231" s="204" t="e">
        <f t="shared" si="384"/>
        <v>#VALUE!</v>
      </c>
      <c r="AR231" s="206" t="e">
        <f t="shared" si="316"/>
        <v>#VALUE!</v>
      </c>
      <c r="AS231" s="170" t="e">
        <f t="shared" si="385"/>
        <v>#VALUE!</v>
      </c>
      <c r="AT231" s="170" t="e">
        <f t="shared" si="386"/>
        <v>#VALUE!</v>
      </c>
      <c r="AU231" s="207" t="e">
        <f t="shared" si="317"/>
        <v>#VALUE!</v>
      </c>
      <c r="AV231" s="208" t="e">
        <f t="shared" si="318"/>
        <v>#VALUE!</v>
      </c>
      <c r="AW231" s="201" t="str">
        <f t="shared" si="319"/>
        <v>Confiabilidade em Crescimento</v>
      </c>
      <c r="AX231" s="253" t="e">
        <f>VLOOKUP(D231,#REF!,5,FALSE)</f>
        <v>#REF!</v>
      </c>
      <c r="AY231" s="201"/>
      <c r="AZ231" s="273" t="s">
        <v>1224</v>
      </c>
      <c r="BB231">
        <f>IFERROR(VLOOKUP(Tabela1[[#This Row],[Denominação]],[10]Planilha1!$A:$B,2,FALSE),"")</f>
        <v>16866.750000000004</v>
      </c>
    </row>
    <row r="232" spans="1:54" ht="15" hidden="1" customHeight="1" x14ac:dyDescent="0.3">
      <c r="A232" s="253">
        <v>231</v>
      </c>
      <c r="B232" s="255" t="s">
        <v>1826</v>
      </c>
      <c r="C232" s="211" t="s">
        <v>1695</v>
      </c>
      <c r="D232" s="201">
        <v>10006710</v>
      </c>
      <c r="E232" s="253" t="s">
        <v>1769</v>
      </c>
      <c r="F232" s="253">
        <v>2370</v>
      </c>
      <c r="G232" s="201">
        <v>56285</v>
      </c>
      <c r="H232" s="201">
        <v>2022</v>
      </c>
      <c r="I232" s="216">
        <v>1836635.53</v>
      </c>
      <c r="J232" s="214">
        <v>1664786</v>
      </c>
      <c r="K232" s="170">
        <v>8844.93</v>
      </c>
      <c r="L232" s="207">
        <v>0.9</v>
      </c>
      <c r="M232" s="212">
        <v>3806.3087999999998</v>
      </c>
      <c r="N232" s="212">
        <v>10246</v>
      </c>
      <c r="O232" s="171">
        <v>9</v>
      </c>
      <c r="P232" s="271" t="str">
        <f>IFERROR(VLOOKUP(Tabela1[[#This Row],[TAG]],#REF!,14,FALSE),"")</f>
        <v/>
      </c>
      <c r="Q232" s="204" t="e">
        <f t="shared" si="365"/>
        <v>#VALUE!</v>
      </c>
      <c r="R232" s="204" t="e">
        <f t="shared" si="366"/>
        <v>#VALUE!</v>
      </c>
      <c r="S232" s="204" t="e">
        <f t="shared" si="367"/>
        <v>#VALUE!</v>
      </c>
      <c r="T232" s="204" t="e">
        <f t="shared" si="368"/>
        <v>#VALUE!</v>
      </c>
      <c r="U232" s="204" t="e">
        <f t="shared" si="369"/>
        <v>#VALUE!</v>
      </c>
      <c r="V232" s="204" t="e">
        <f t="shared" si="370"/>
        <v>#VALUE!</v>
      </c>
      <c r="W232" s="218">
        <v>651.26</v>
      </c>
      <c r="X232" s="218">
        <v>1551.53</v>
      </c>
      <c r="Y232" s="203">
        <v>0.1</v>
      </c>
      <c r="Z232" s="203">
        <f>IF(Tabela1[[#This Row],[Ano Aquisição]]=2023,0,IFERROR(VLOOKUP(H232,inflação!$F:$H,3,FALSE),""))</f>
        <v>5.79E-2</v>
      </c>
      <c r="AA232" s="203">
        <v>0.8</v>
      </c>
      <c r="AB232" s="202">
        <f t="shared" si="314"/>
        <v>-1836635.53</v>
      </c>
      <c r="AC232" s="204" t="e">
        <f t="shared" si="371"/>
        <v>#VALUE!</v>
      </c>
      <c r="AD232" s="204" t="e">
        <f t="shared" si="372"/>
        <v>#VALUE!</v>
      </c>
      <c r="AE232" s="204" t="e">
        <f t="shared" si="373"/>
        <v>#VALUE!</v>
      </c>
      <c r="AF232" s="204" t="e">
        <f t="shared" si="374"/>
        <v>#VALUE!</v>
      </c>
      <c r="AG232" s="204" t="e">
        <f t="shared" si="375"/>
        <v>#VALUE!</v>
      </c>
      <c r="AH232" s="204" t="e">
        <f t="shared" si="376"/>
        <v>#VALUE!</v>
      </c>
      <c r="AI232" s="204" t="e">
        <f t="shared" si="377"/>
        <v>#VALUE!</v>
      </c>
      <c r="AJ232" s="205">
        <f t="shared" si="315"/>
        <v>-1942976.7271870002</v>
      </c>
      <c r="AK232" s="204" t="e">
        <f t="shared" si="378"/>
        <v>#VALUE!</v>
      </c>
      <c r="AL232" s="204" t="e">
        <f t="shared" si="379"/>
        <v>#VALUE!</v>
      </c>
      <c r="AM232" s="204" t="e">
        <f t="shared" si="380"/>
        <v>#VALUE!</v>
      </c>
      <c r="AN232" s="204" t="e">
        <f t="shared" si="381"/>
        <v>#VALUE!</v>
      </c>
      <c r="AO232" s="204" t="e">
        <f t="shared" si="382"/>
        <v>#VALUE!</v>
      </c>
      <c r="AP232" s="204" t="e">
        <f t="shared" si="383"/>
        <v>#VALUE!</v>
      </c>
      <c r="AQ232" s="204" t="e">
        <f t="shared" si="384"/>
        <v>#VALUE!</v>
      </c>
      <c r="AR232" s="206" t="e">
        <f t="shared" si="316"/>
        <v>#VALUE!</v>
      </c>
      <c r="AS232" s="170" t="e">
        <f t="shared" si="385"/>
        <v>#VALUE!</v>
      </c>
      <c r="AT232" s="170" t="e">
        <f t="shared" si="386"/>
        <v>#VALUE!</v>
      </c>
      <c r="AU232" s="207" t="e">
        <f t="shared" si="317"/>
        <v>#VALUE!</v>
      </c>
      <c r="AV232" s="208" t="e">
        <f t="shared" si="318"/>
        <v>#VALUE!</v>
      </c>
      <c r="AW232" s="201" t="str">
        <f t="shared" si="319"/>
        <v>Confiabilidade em Crescimento</v>
      </c>
      <c r="AX232" s="253" t="e">
        <f>VLOOKUP(D232,#REF!,5,FALSE)</f>
        <v>#REF!</v>
      </c>
      <c r="AY232" s="201"/>
      <c r="AZ232" s="273" t="s">
        <v>1224</v>
      </c>
      <c r="BB232">
        <f>IFERROR(VLOOKUP(Tabela1[[#This Row],[Denominação]],[10]Planilha1!$A:$B,2,FALSE),"")</f>
        <v>8844.93</v>
      </c>
    </row>
    <row r="233" spans="1:54" ht="15" hidden="1" customHeight="1" x14ac:dyDescent="0.3">
      <c r="A233" s="268">
        <v>232</v>
      </c>
      <c r="B233" s="300" t="s">
        <v>1827</v>
      </c>
      <c r="C233" s="318" t="s">
        <v>1696</v>
      </c>
      <c r="D233" s="315">
        <v>10006847</v>
      </c>
      <c r="E233" s="299" t="s">
        <v>1770</v>
      </c>
      <c r="F233" s="299">
        <v>2370</v>
      </c>
      <c r="G233" s="323">
        <v>900000023287</v>
      </c>
      <c r="H233" s="315">
        <v>2022</v>
      </c>
      <c r="I233" s="329">
        <f>2887813.28/2</f>
        <v>1443906.64</v>
      </c>
      <c r="J233" s="330">
        <f>2887813.28/2</f>
        <v>1443906.64</v>
      </c>
      <c r="K233" s="326">
        <v>0</v>
      </c>
      <c r="L233" s="319"/>
      <c r="M233" s="320">
        <v>3806.3087999999998</v>
      </c>
      <c r="N233" s="320"/>
      <c r="O233" s="321"/>
      <c r="P233" s="271" t="str">
        <f>IFERROR(VLOOKUP(Tabela1[[#This Row],[TAG]],#REF!,14,FALSE),"")</f>
        <v/>
      </c>
      <c r="Q233" s="323"/>
      <c r="R233" s="323"/>
      <c r="S233" s="323"/>
      <c r="T233" s="323"/>
      <c r="U233" s="323"/>
      <c r="V233" s="323"/>
      <c r="W233" s="304" t="s">
        <v>1666</v>
      </c>
      <c r="X233" s="304"/>
      <c r="Y233" s="322"/>
      <c r="Z233" s="322">
        <f>IF(Tabela1[[#This Row],[Ano Aquisição]]=2023,0,IFERROR(VLOOKUP(H233,inflação!$F:$H,3,FALSE),""))</f>
        <v>5.79E-2</v>
      </c>
      <c r="AA233" s="322"/>
      <c r="AB233" s="310"/>
      <c r="AC233" s="323"/>
      <c r="AD233" s="323"/>
      <c r="AE233" s="323"/>
      <c r="AF233" s="323"/>
      <c r="AG233" s="323"/>
      <c r="AH233" s="323"/>
      <c r="AI233" s="323"/>
      <c r="AJ233" s="324"/>
      <c r="AK233" s="323"/>
      <c r="AL233" s="323"/>
      <c r="AM233" s="323"/>
      <c r="AN233" s="323"/>
      <c r="AO233" s="323"/>
      <c r="AP233" s="323"/>
      <c r="AQ233" s="323"/>
      <c r="AR233" s="325"/>
      <c r="AS233" s="326"/>
      <c r="AT233" s="326"/>
      <c r="AU233" s="319"/>
      <c r="AV233" s="327"/>
      <c r="AW233" s="315"/>
      <c r="AX233" s="299" t="e">
        <f>VLOOKUP(D233,#REF!,5,FALSE)</f>
        <v>#REF!</v>
      </c>
      <c r="AY233" s="315"/>
      <c r="AZ233" s="316" t="s">
        <v>1224</v>
      </c>
      <c r="BB233">
        <f>IFERROR(VLOOKUP(Tabela1[[#This Row],[Denominação]],[10]Planilha1!$A:$B,2,FALSE),"")</f>
        <v>0</v>
      </c>
    </row>
    <row r="234" spans="1:54" ht="15" hidden="1" customHeight="1" x14ac:dyDescent="0.3">
      <c r="A234" s="253">
        <v>233</v>
      </c>
      <c r="B234" s="300" t="s">
        <v>1828</v>
      </c>
      <c r="C234" s="318" t="s">
        <v>1697</v>
      </c>
      <c r="D234" s="315">
        <v>10006848</v>
      </c>
      <c r="E234" s="299" t="s">
        <v>1771</v>
      </c>
      <c r="F234" s="299">
        <v>2370</v>
      </c>
      <c r="G234" s="323">
        <v>900000023287</v>
      </c>
      <c r="H234" s="315">
        <v>2022</v>
      </c>
      <c r="I234" s="329">
        <v>1443906.64</v>
      </c>
      <c r="J234" s="330">
        <v>1443906.64</v>
      </c>
      <c r="K234" s="326">
        <v>2322.6</v>
      </c>
      <c r="L234" s="319"/>
      <c r="M234" s="320">
        <v>3806.3087999999998</v>
      </c>
      <c r="N234" s="320"/>
      <c r="O234" s="321"/>
      <c r="P234" s="271" t="str">
        <f>IFERROR(VLOOKUP(Tabela1[[#This Row],[TAG]],#REF!,14,FALSE),"")</f>
        <v/>
      </c>
      <c r="Q234" s="323"/>
      <c r="R234" s="323"/>
      <c r="S234" s="323"/>
      <c r="T234" s="323"/>
      <c r="U234" s="323"/>
      <c r="V234" s="323"/>
      <c r="W234" s="304" t="s">
        <v>1666</v>
      </c>
      <c r="X234" s="304"/>
      <c r="Y234" s="322"/>
      <c r="Z234" s="322">
        <f>IF(Tabela1[[#This Row],[Ano Aquisição]]=2023,0,IFERROR(VLOOKUP(H234,inflação!$F:$H,3,FALSE),""))</f>
        <v>5.79E-2</v>
      </c>
      <c r="AA234" s="322"/>
      <c r="AB234" s="310"/>
      <c r="AC234" s="323"/>
      <c r="AD234" s="323"/>
      <c r="AE234" s="323"/>
      <c r="AF234" s="323"/>
      <c r="AG234" s="323"/>
      <c r="AH234" s="323"/>
      <c r="AI234" s="323"/>
      <c r="AJ234" s="324"/>
      <c r="AK234" s="323"/>
      <c r="AL234" s="323"/>
      <c r="AM234" s="323"/>
      <c r="AN234" s="323"/>
      <c r="AO234" s="323"/>
      <c r="AP234" s="323"/>
      <c r="AQ234" s="323"/>
      <c r="AR234" s="325"/>
      <c r="AS234" s="326"/>
      <c r="AT234" s="326"/>
      <c r="AU234" s="319"/>
      <c r="AV234" s="327"/>
      <c r="AW234" s="315"/>
      <c r="AX234" s="299" t="e">
        <f>VLOOKUP(D234,#REF!,5,FALSE)</f>
        <v>#REF!</v>
      </c>
      <c r="AY234" s="315"/>
      <c r="AZ234" s="316" t="s">
        <v>1224</v>
      </c>
      <c r="BB234">
        <f>IFERROR(VLOOKUP(Tabela1[[#This Row],[Denominação]],[10]Planilha1!$A:$B,2,FALSE),"")</f>
        <v>2322.6</v>
      </c>
    </row>
    <row r="235" spans="1:54" ht="15" hidden="1" customHeight="1" x14ac:dyDescent="0.3">
      <c r="A235" s="268">
        <v>234</v>
      </c>
      <c r="B235" s="201" t="s">
        <v>992</v>
      </c>
      <c r="C235" s="211" t="s">
        <v>993</v>
      </c>
      <c r="D235" s="201">
        <v>10006814</v>
      </c>
      <c r="E235" s="253" t="s">
        <v>1278</v>
      </c>
      <c r="F235" s="253">
        <v>1075</v>
      </c>
      <c r="G235" s="204">
        <v>57797</v>
      </c>
      <c r="H235" s="201">
        <v>2021</v>
      </c>
      <c r="I235" s="216">
        <v>3402619.03</v>
      </c>
      <c r="J235" s="214">
        <v>3240589</v>
      </c>
      <c r="K235" s="170">
        <v>16964.34</v>
      </c>
      <c r="L235" s="207">
        <v>5.7</v>
      </c>
      <c r="M235" s="212">
        <v>3439</v>
      </c>
      <c r="N235" s="212">
        <v>3221</v>
      </c>
      <c r="O235" s="171">
        <v>7</v>
      </c>
      <c r="P235" s="271" t="str">
        <f>IFERROR(VLOOKUP(Tabela1[[#This Row],[TAG]],#REF!,14,FALSE),"")</f>
        <v/>
      </c>
      <c r="Q235" s="204" t="e">
        <f t="shared" ref="Q235:Q266" si="387">P235+P235</f>
        <v>#VALUE!</v>
      </c>
      <c r="R235" s="204" t="e">
        <f t="shared" ref="R235:R266" si="388">Q235+P235</f>
        <v>#VALUE!</v>
      </c>
      <c r="S235" s="204" t="e">
        <f t="shared" ref="S235:S266" si="389">R235+P235</f>
        <v>#VALUE!</v>
      </c>
      <c r="T235" s="204" t="e">
        <f t="shared" ref="T235:T266" si="390">S235+P235</f>
        <v>#VALUE!</v>
      </c>
      <c r="U235" s="204" t="e">
        <f t="shared" ref="U235:U266" si="391">T235+P235</f>
        <v>#VALUE!</v>
      </c>
      <c r="V235" s="204" t="e">
        <f t="shared" ref="V235:V266" si="392">U235+P235</f>
        <v>#VALUE!</v>
      </c>
      <c r="W235" s="218">
        <v>963.03</v>
      </c>
      <c r="X235" s="170">
        <v>1385.92</v>
      </c>
      <c r="Y235" s="203">
        <v>0.1</v>
      </c>
      <c r="Z235" s="203">
        <f>IF(Tabela1[[#This Row],[Ano Aquisição]]=2023,0,IFERROR(VLOOKUP(H235,inflação!$F:$H,3,FALSE),""))</f>
        <v>0.1585</v>
      </c>
      <c r="AA235" s="203">
        <v>0.8</v>
      </c>
      <c r="AB235" s="202">
        <f t="shared" ref="AB235:AB266" si="393">I235*-1</f>
        <v>-3402619.03</v>
      </c>
      <c r="AC235" s="204" t="e">
        <f t="shared" ref="AC235" si="394">-(((P235*$W235)+($X235*12))*((1+$Y235)^AC$1))</f>
        <v>#VALUE!</v>
      </c>
      <c r="AD235" s="204" t="e">
        <f t="shared" ref="AD235" si="395">-((((Q235-P235)*$W235)+($X235*12))*((1+$Y235)^AD$1))</f>
        <v>#VALUE!</v>
      </c>
      <c r="AE235" s="204" t="e">
        <f t="shared" ref="AE235" si="396">-((((R235-Q235)*$W235)+($X235*12))*((1+$Y235)^AE$1))</f>
        <v>#VALUE!</v>
      </c>
      <c r="AF235" s="204" t="e">
        <f t="shared" ref="AF235" si="397">-((((S235-R235)*$W235)+($X235*12))*((1+$Y235)^AF$1))</f>
        <v>#VALUE!</v>
      </c>
      <c r="AG235" s="204" t="e">
        <f t="shared" ref="AG235" si="398">-((((T235-S235)*$W235)+($X235*12))*((1+$Y235)^AG$1))</f>
        <v>#VALUE!</v>
      </c>
      <c r="AH235" s="204" t="e">
        <f t="shared" ref="AH235" si="399">-((((U235-T235)*$W235)+($X235*12))*((1+$Y235)^AH$1))</f>
        <v>#VALUE!</v>
      </c>
      <c r="AI235" s="204" t="e">
        <f t="shared" ref="AI235" si="400">-((((V235-U235)*$W235)+($X235*12))*((1+$Y235)^AI$1))</f>
        <v>#VALUE!</v>
      </c>
      <c r="AJ235" s="205">
        <f t="shared" ref="AJ235:AJ266" si="401">-(I235*(1+Z235))</f>
        <v>-3941934.146255</v>
      </c>
      <c r="AK235" s="204" t="e">
        <f t="shared" ref="AK235" si="402">AC235*(1-$AA235)</f>
        <v>#VALUE!</v>
      </c>
      <c r="AL235" s="204" t="e">
        <f t="shared" ref="AL235" si="403">AD235*(1-$AA235)</f>
        <v>#VALUE!</v>
      </c>
      <c r="AM235" s="204" t="e">
        <f t="shared" ref="AM235" si="404">AE235*(1-$AA235)</f>
        <v>#VALUE!</v>
      </c>
      <c r="AN235" s="204" t="e">
        <f t="shared" ref="AN235" si="405">AF235*(1-$AA235)</f>
        <v>#VALUE!</v>
      </c>
      <c r="AO235" s="204" t="e">
        <f t="shared" ref="AO235" si="406">AG235*(1-$AA235)</f>
        <v>#VALUE!</v>
      </c>
      <c r="AP235" s="204" t="e">
        <f t="shared" ref="AP235" si="407">AH235*(1-$AA235)</f>
        <v>#VALUE!</v>
      </c>
      <c r="AQ235" s="204" t="e">
        <f t="shared" ref="AQ235" si="408">AI235*(1-$AA235)</f>
        <v>#VALUE!</v>
      </c>
      <c r="AR235" s="206" t="e">
        <f t="shared" ref="AR235:AR266" si="409">(NPV(Y235,AK235,AL235,AM235,AN235,AO235,AP235,AQ235)+(SUM(AJ235,(J235*-1))))-(NPV(Y235,AC235,AD235,AE235,AF235,AG235,AH235,AI235))</f>
        <v>#VALUE!</v>
      </c>
      <c r="AS235" s="170" t="e">
        <f t="shared" ref="AS235" si="410">SUM(AC235:AI235)</f>
        <v>#VALUE!</v>
      </c>
      <c r="AT235" s="170" t="e">
        <f t="shared" ref="AT235" si="411">SUM(AK235:AQ235)</f>
        <v>#VALUE!</v>
      </c>
      <c r="AU235" s="207" t="e">
        <f t="shared" ref="AU235:AU266" si="412">(((AVERAGE(AC235:AI235)/1000)-(AVERAGE(AK235:AQ235)/1000))+(((AJ235/1000)*-1)/7)+((J235/1000)/7))*-1</f>
        <v>#VALUE!</v>
      </c>
      <c r="AV235" s="208" t="e">
        <f t="shared" ref="AV235:AV266" si="413">AU235/(((J235/1000)+((AJ235*-1)/1000)))</f>
        <v>#VALUE!</v>
      </c>
      <c r="AW235" s="201" t="str">
        <f t="shared" ref="AW235:AW266" si="414">IF(L235&gt;1.1,"Fase de Degradação",IF(L235&lt;1,"Confiabilidade em Crescimento","Fase de Vida Útil"))</f>
        <v>Fase de Degradação</v>
      </c>
      <c r="AX235" s="253" t="e">
        <f>VLOOKUP(D235,#REF!,5,FALSE)</f>
        <v>#REF!</v>
      </c>
      <c r="AY235" s="201"/>
      <c r="AZ235" s="273" t="s">
        <v>1224</v>
      </c>
      <c r="BB235">
        <f>IFERROR(VLOOKUP(Tabela1[[#This Row],[Denominação]],[10]Planilha1!$A:$B,2,FALSE),"")</f>
        <v>16964.34</v>
      </c>
    </row>
    <row r="236" spans="1:54" ht="15" hidden="1" customHeight="1" x14ac:dyDescent="0.3">
      <c r="A236" s="253">
        <v>235</v>
      </c>
      <c r="B236" s="201" t="s">
        <v>994</v>
      </c>
      <c r="C236" s="211" t="s">
        <v>995</v>
      </c>
      <c r="D236" s="201">
        <v>10003360</v>
      </c>
      <c r="E236" s="253" t="s">
        <v>1370</v>
      </c>
      <c r="F236" s="253">
        <v>2528</v>
      </c>
      <c r="G236" s="201">
        <v>40295</v>
      </c>
      <c r="H236" s="201">
        <v>2011</v>
      </c>
      <c r="I236" s="216">
        <v>24723.83</v>
      </c>
      <c r="J236" s="214">
        <v>6263</v>
      </c>
      <c r="K236" s="170">
        <v>181581.26000000004</v>
      </c>
      <c r="L236" s="215">
        <v>1.08</v>
      </c>
      <c r="M236" s="320">
        <v>5406</v>
      </c>
      <c r="N236" s="212">
        <v>158864</v>
      </c>
      <c r="O236" s="171">
        <v>180</v>
      </c>
      <c r="P236" s="271" t="str">
        <f>IFERROR(VLOOKUP(Tabela1[[#This Row],[TAG]],#REF!,14,FALSE),"")</f>
        <v/>
      </c>
      <c r="Q236" s="204" t="e">
        <f t="shared" si="387"/>
        <v>#VALUE!</v>
      </c>
      <c r="R236" s="204" t="e">
        <f t="shared" si="388"/>
        <v>#VALUE!</v>
      </c>
      <c r="S236" s="204" t="e">
        <f t="shared" si="389"/>
        <v>#VALUE!</v>
      </c>
      <c r="T236" s="204" t="e">
        <f t="shared" si="390"/>
        <v>#VALUE!</v>
      </c>
      <c r="U236" s="204" t="e">
        <f t="shared" si="391"/>
        <v>#VALUE!</v>
      </c>
      <c r="V236" s="204" t="e">
        <f t="shared" si="392"/>
        <v>#VALUE!</v>
      </c>
      <c r="W236" s="304">
        <v>319.05</v>
      </c>
      <c r="X236" s="304">
        <v>772.07749999999999</v>
      </c>
      <c r="Y236" s="203">
        <v>0.1</v>
      </c>
      <c r="Z236" s="203">
        <f>IF(Tabela1[[#This Row],[Ano Aquisição]]=2023,0,IFERROR(VLOOKUP(H236,inflação!$F:$H,3,FALSE),""))</f>
        <v>0.73</v>
      </c>
      <c r="AA236" s="203">
        <v>0.8</v>
      </c>
      <c r="AB236" s="202">
        <f t="shared" si="393"/>
        <v>-24723.83</v>
      </c>
      <c r="AC236" s="204" t="e">
        <f t="shared" ref="AC236:AC266" si="415">-(((P236*$W236)+($X236*12))*((1+$Y236)^AC$1))</f>
        <v>#VALUE!</v>
      </c>
      <c r="AD236" s="204" t="e">
        <f t="shared" ref="AD236:AD266" si="416">-((((Q236-P236)*$W236)+($X236*12))*((1+$Y236)^AD$1))</f>
        <v>#VALUE!</v>
      </c>
      <c r="AE236" s="204" t="e">
        <f t="shared" ref="AE236:AE266" si="417">-((((R236-Q236)*$W236)+($X236*12))*((1+$Y236)^AE$1))</f>
        <v>#VALUE!</v>
      </c>
      <c r="AF236" s="204" t="e">
        <f t="shared" ref="AF236:AF266" si="418">-((((S236-R236)*$W236)+($X236*12))*((1+$Y236)^AF$1))</f>
        <v>#VALUE!</v>
      </c>
      <c r="AG236" s="204" t="e">
        <f t="shared" ref="AG236:AG266" si="419">-((((T236-S236)*$W236)+($X236*12))*((1+$Y236)^AG$1))</f>
        <v>#VALUE!</v>
      </c>
      <c r="AH236" s="204" t="e">
        <f t="shared" ref="AH236:AH266" si="420">-((((U236-T236)*$W236)+($X236*12))*((1+$Y236)^AH$1))</f>
        <v>#VALUE!</v>
      </c>
      <c r="AI236" s="204" t="e">
        <f t="shared" ref="AI236:AI266" si="421">-((((V236-U236)*$W236)+($X236*12))*((1+$Y236)^AI$1))</f>
        <v>#VALUE!</v>
      </c>
      <c r="AJ236" s="205">
        <f t="shared" si="401"/>
        <v>-42772.225900000005</v>
      </c>
      <c r="AK236" s="204" t="e">
        <f t="shared" ref="AK236:AK266" si="422">AC236*(1-$AA236)</f>
        <v>#VALUE!</v>
      </c>
      <c r="AL236" s="204" t="e">
        <f t="shared" ref="AL236:AL266" si="423">AD236*(1-$AA236)</f>
        <v>#VALUE!</v>
      </c>
      <c r="AM236" s="204" t="e">
        <f t="shared" ref="AM236:AM266" si="424">AE236*(1-$AA236)</f>
        <v>#VALUE!</v>
      </c>
      <c r="AN236" s="204" t="e">
        <f t="shared" ref="AN236:AN266" si="425">AF236*(1-$AA236)</f>
        <v>#VALUE!</v>
      </c>
      <c r="AO236" s="204" t="e">
        <f t="shared" ref="AO236:AO266" si="426">AG236*(1-$AA236)</f>
        <v>#VALUE!</v>
      </c>
      <c r="AP236" s="204" t="e">
        <f t="shared" ref="AP236:AP266" si="427">AH236*(1-$AA236)</f>
        <v>#VALUE!</v>
      </c>
      <c r="AQ236" s="204" t="e">
        <f t="shared" ref="AQ236:AQ266" si="428">AI236*(1-$AA236)</f>
        <v>#VALUE!</v>
      </c>
      <c r="AR236" s="206" t="e">
        <f t="shared" si="409"/>
        <v>#VALUE!</v>
      </c>
      <c r="AS236" s="170" t="e">
        <f t="shared" ref="AS236:AS266" si="429">SUM(AC236:AI236)</f>
        <v>#VALUE!</v>
      </c>
      <c r="AT236" s="170" t="e">
        <f t="shared" ref="AT236:AT266" si="430">SUM(AK236:AQ236)</f>
        <v>#VALUE!</v>
      </c>
      <c r="AU236" s="207" t="e">
        <f t="shared" si="412"/>
        <v>#VALUE!</v>
      </c>
      <c r="AV236" s="208" t="e">
        <f t="shared" si="413"/>
        <v>#VALUE!</v>
      </c>
      <c r="AW236" s="201" t="str">
        <f t="shared" si="414"/>
        <v>Fase de Vida Útil</v>
      </c>
      <c r="AX236" s="253" t="e">
        <f>VLOOKUP(D236,#REF!,5,FALSE)</f>
        <v>#REF!</v>
      </c>
      <c r="AY236" s="201"/>
      <c r="AZ236" s="273" t="s">
        <v>1224</v>
      </c>
      <c r="BB236">
        <f>IFERROR(VLOOKUP(Tabela1[[#This Row],[Denominação]],[10]Planilha1!$A:$B,2,FALSE),"")</f>
        <v>181581.26000000004</v>
      </c>
    </row>
    <row r="237" spans="1:54" ht="15" hidden="1" customHeight="1" x14ac:dyDescent="0.3">
      <c r="A237" s="268">
        <v>236</v>
      </c>
      <c r="B237" s="201" t="s">
        <v>767</v>
      </c>
      <c r="C237" s="211" t="s">
        <v>768</v>
      </c>
      <c r="D237" s="201">
        <v>10004892</v>
      </c>
      <c r="E237" s="253" t="s">
        <v>1371</v>
      </c>
      <c r="F237" s="253">
        <v>4711</v>
      </c>
      <c r="G237" s="201">
        <v>34602</v>
      </c>
      <c r="H237" s="201">
        <v>2006</v>
      </c>
      <c r="I237" s="216">
        <v>414838.51</v>
      </c>
      <c r="J237" s="214">
        <v>0</v>
      </c>
      <c r="K237" s="170">
        <v>428513.9199999994</v>
      </c>
      <c r="L237" s="207">
        <v>0.53</v>
      </c>
      <c r="M237" s="212">
        <v>3374</v>
      </c>
      <c r="N237" s="212">
        <v>137133</v>
      </c>
      <c r="O237" s="171">
        <v>845</v>
      </c>
      <c r="P237" s="271" t="str">
        <f>IFERROR(VLOOKUP(Tabela1[[#This Row],[TAG]],#REF!,14,FALSE),"")</f>
        <v/>
      </c>
      <c r="Q237" s="204" t="e">
        <f t="shared" si="387"/>
        <v>#VALUE!</v>
      </c>
      <c r="R237" s="204" t="e">
        <f t="shared" si="388"/>
        <v>#VALUE!</v>
      </c>
      <c r="S237" s="204" t="e">
        <f t="shared" si="389"/>
        <v>#VALUE!</v>
      </c>
      <c r="T237" s="204" t="e">
        <f t="shared" si="390"/>
        <v>#VALUE!</v>
      </c>
      <c r="U237" s="204" t="e">
        <f t="shared" si="391"/>
        <v>#VALUE!</v>
      </c>
      <c r="V237" s="204" t="e">
        <f t="shared" si="392"/>
        <v>#VALUE!</v>
      </c>
      <c r="W237" s="218">
        <v>500</v>
      </c>
      <c r="X237" s="218">
        <v>4736.8</v>
      </c>
      <c r="Y237" s="203">
        <v>0.1</v>
      </c>
      <c r="Z237" s="203">
        <f>IF(Tabela1[[#This Row],[Ano Aquisição]]=2023,0,IFERROR(VLOOKUP(H237,inflação!$F:$H,3,FALSE),""))</f>
        <v>0.96719999999999995</v>
      </c>
      <c r="AA237" s="203">
        <v>0.8</v>
      </c>
      <c r="AB237" s="202">
        <f t="shared" si="393"/>
        <v>-414838.51</v>
      </c>
      <c r="AC237" s="204" t="e">
        <f t="shared" si="415"/>
        <v>#VALUE!</v>
      </c>
      <c r="AD237" s="204" t="e">
        <f t="shared" si="416"/>
        <v>#VALUE!</v>
      </c>
      <c r="AE237" s="204" t="e">
        <f t="shared" si="417"/>
        <v>#VALUE!</v>
      </c>
      <c r="AF237" s="204" t="e">
        <f t="shared" si="418"/>
        <v>#VALUE!</v>
      </c>
      <c r="AG237" s="204" t="e">
        <f t="shared" si="419"/>
        <v>#VALUE!</v>
      </c>
      <c r="AH237" s="204" t="e">
        <f t="shared" si="420"/>
        <v>#VALUE!</v>
      </c>
      <c r="AI237" s="204" t="e">
        <f t="shared" si="421"/>
        <v>#VALUE!</v>
      </c>
      <c r="AJ237" s="205">
        <f t="shared" si="401"/>
        <v>-816070.316872</v>
      </c>
      <c r="AK237" s="204" t="e">
        <f t="shared" si="422"/>
        <v>#VALUE!</v>
      </c>
      <c r="AL237" s="204" t="e">
        <f t="shared" si="423"/>
        <v>#VALUE!</v>
      </c>
      <c r="AM237" s="204" t="e">
        <f t="shared" si="424"/>
        <v>#VALUE!</v>
      </c>
      <c r="AN237" s="204" t="e">
        <f t="shared" si="425"/>
        <v>#VALUE!</v>
      </c>
      <c r="AO237" s="204" t="e">
        <f t="shared" si="426"/>
        <v>#VALUE!</v>
      </c>
      <c r="AP237" s="204" t="e">
        <f t="shared" si="427"/>
        <v>#VALUE!</v>
      </c>
      <c r="AQ237" s="204" t="e">
        <f t="shared" si="428"/>
        <v>#VALUE!</v>
      </c>
      <c r="AR237" s="206" t="e">
        <f t="shared" si="409"/>
        <v>#VALUE!</v>
      </c>
      <c r="AS237" s="170" t="e">
        <f t="shared" si="429"/>
        <v>#VALUE!</v>
      </c>
      <c r="AT237" s="170" t="e">
        <f t="shared" si="430"/>
        <v>#VALUE!</v>
      </c>
      <c r="AU237" s="207" t="e">
        <f t="shared" si="412"/>
        <v>#VALUE!</v>
      </c>
      <c r="AV237" s="208" t="e">
        <f t="shared" si="413"/>
        <v>#VALUE!</v>
      </c>
      <c r="AW237" s="201" t="str">
        <f t="shared" si="414"/>
        <v>Confiabilidade em Crescimento</v>
      </c>
      <c r="AX237" s="253" t="e">
        <f>VLOOKUP(D237,#REF!,5,FALSE)</f>
        <v>#REF!</v>
      </c>
      <c r="AY237" s="201"/>
      <c r="AZ237" s="273" t="s">
        <v>1224</v>
      </c>
      <c r="BB237">
        <f>IFERROR(VLOOKUP(Tabela1[[#This Row],[Denominação]],[10]Planilha1!$A:$B,2,FALSE),"")</f>
        <v>428513.9199999994</v>
      </c>
    </row>
    <row r="238" spans="1:54" ht="15" hidden="1" customHeight="1" x14ac:dyDescent="0.3">
      <c r="A238" s="253">
        <v>237</v>
      </c>
      <c r="B238" s="201" t="s">
        <v>769</v>
      </c>
      <c r="C238" s="211" t="s">
        <v>770</v>
      </c>
      <c r="D238" s="201">
        <v>10004893</v>
      </c>
      <c r="E238" s="253" t="s">
        <v>1371</v>
      </c>
      <c r="F238" s="253">
        <v>4711</v>
      </c>
      <c r="G238" s="201">
        <v>34601</v>
      </c>
      <c r="H238" s="201">
        <v>2006</v>
      </c>
      <c r="I238" s="216">
        <v>559091.42000000004</v>
      </c>
      <c r="J238" s="214">
        <v>90063</v>
      </c>
      <c r="K238" s="170">
        <v>369900.52999999997</v>
      </c>
      <c r="L238" s="207">
        <v>0.6</v>
      </c>
      <c r="M238" s="212">
        <v>3433</v>
      </c>
      <c r="N238" s="212">
        <v>139633</v>
      </c>
      <c r="O238" s="171">
        <v>936</v>
      </c>
      <c r="P238" s="271" t="str">
        <f>IFERROR(VLOOKUP(Tabela1[[#This Row],[TAG]],#REF!,14,FALSE),"")</f>
        <v/>
      </c>
      <c r="Q238" s="204" t="e">
        <f t="shared" si="387"/>
        <v>#VALUE!</v>
      </c>
      <c r="R238" s="204" t="e">
        <f t="shared" si="388"/>
        <v>#VALUE!</v>
      </c>
      <c r="S238" s="204" t="e">
        <f t="shared" si="389"/>
        <v>#VALUE!</v>
      </c>
      <c r="T238" s="204" t="e">
        <f t="shared" si="390"/>
        <v>#VALUE!</v>
      </c>
      <c r="U238" s="204" t="e">
        <f t="shared" si="391"/>
        <v>#VALUE!</v>
      </c>
      <c r="V238" s="204" t="e">
        <f t="shared" si="392"/>
        <v>#VALUE!</v>
      </c>
      <c r="W238" s="218">
        <v>364.07</v>
      </c>
      <c r="X238" s="218">
        <v>4336.63</v>
      </c>
      <c r="Y238" s="203">
        <v>0.1</v>
      </c>
      <c r="Z238" s="203">
        <f>IF(Tabela1[[#This Row],[Ano Aquisição]]=2023,0,IFERROR(VLOOKUP(H238,inflação!$F:$H,3,FALSE),""))</f>
        <v>0.96719999999999995</v>
      </c>
      <c r="AA238" s="203">
        <v>0.8</v>
      </c>
      <c r="AB238" s="202">
        <f t="shared" si="393"/>
        <v>-559091.42000000004</v>
      </c>
      <c r="AC238" s="204" t="e">
        <f t="shared" si="415"/>
        <v>#VALUE!</v>
      </c>
      <c r="AD238" s="204" t="e">
        <f t="shared" si="416"/>
        <v>#VALUE!</v>
      </c>
      <c r="AE238" s="204" t="e">
        <f t="shared" si="417"/>
        <v>#VALUE!</v>
      </c>
      <c r="AF238" s="204" t="e">
        <f t="shared" si="418"/>
        <v>#VALUE!</v>
      </c>
      <c r="AG238" s="204" t="e">
        <f t="shared" si="419"/>
        <v>#VALUE!</v>
      </c>
      <c r="AH238" s="204" t="e">
        <f t="shared" si="420"/>
        <v>#VALUE!</v>
      </c>
      <c r="AI238" s="204" t="e">
        <f t="shared" si="421"/>
        <v>#VALUE!</v>
      </c>
      <c r="AJ238" s="205">
        <f t="shared" si="401"/>
        <v>-1099844.641424</v>
      </c>
      <c r="AK238" s="204" t="e">
        <f t="shared" si="422"/>
        <v>#VALUE!</v>
      </c>
      <c r="AL238" s="204" t="e">
        <f t="shared" si="423"/>
        <v>#VALUE!</v>
      </c>
      <c r="AM238" s="204" t="e">
        <f t="shared" si="424"/>
        <v>#VALUE!</v>
      </c>
      <c r="AN238" s="204" t="e">
        <f t="shared" si="425"/>
        <v>#VALUE!</v>
      </c>
      <c r="AO238" s="204" t="e">
        <f t="shared" si="426"/>
        <v>#VALUE!</v>
      </c>
      <c r="AP238" s="204" t="e">
        <f t="shared" si="427"/>
        <v>#VALUE!</v>
      </c>
      <c r="AQ238" s="204" t="e">
        <f t="shared" si="428"/>
        <v>#VALUE!</v>
      </c>
      <c r="AR238" s="206" t="e">
        <f t="shared" si="409"/>
        <v>#VALUE!</v>
      </c>
      <c r="AS238" s="170" t="e">
        <f t="shared" si="429"/>
        <v>#VALUE!</v>
      </c>
      <c r="AT238" s="170" t="e">
        <f t="shared" si="430"/>
        <v>#VALUE!</v>
      </c>
      <c r="AU238" s="207" t="e">
        <f t="shared" si="412"/>
        <v>#VALUE!</v>
      </c>
      <c r="AV238" s="208" t="e">
        <f t="shared" si="413"/>
        <v>#VALUE!</v>
      </c>
      <c r="AW238" s="201" t="str">
        <f t="shared" si="414"/>
        <v>Confiabilidade em Crescimento</v>
      </c>
      <c r="AX238" s="253" t="e">
        <f>VLOOKUP(D238,#REF!,5,FALSE)</f>
        <v>#REF!</v>
      </c>
      <c r="AY238" s="201"/>
      <c r="AZ238" s="273" t="s">
        <v>1224</v>
      </c>
      <c r="BB238">
        <f>IFERROR(VLOOKUP(Tabela1[[#This Row],[Denominação]],[10]Planilha1!$A:$B,2,FALSE),"")</f>
        <v>369900.52999999997</v>
      </c>
    </row>
    <row r="239" spans="1:54" ht="15" hidden="1" customHeight="1" x14ac:dyDescent="0.3">
      <c r="A239" s="268">
        <v>238</v>
      </c>
      <c r="B239" s="201" t="s">
        <v>771</v>
      </c>
      <c r="C239" s="211" t="s">
        <v>772</v>
      </c>
      <c r="D239" s="201">
        <v>10004894</v>
      </c>
      <c r="E239" s="253" t="s">
        <v>1372</v>
      </c>
      <c r="F239" s="253">
        <v>4711</v>
      </c>
      <c r="G239" s="201">
        <v>34855</v>
      </c>
      <c r="H239" s="201">
        <v>2007</v>
      </c>
      <c r="I239" s="216">
        <v>472512.87</v>
      </c>
      <c r="J239" s="214">
        <v>0</v>
      </c>
      <c r="K239" s="170">
        <v>863340.91000000073</v>
      </c>
      <c r="L239" s="207">
        <v>0.77</v>
      </c>
      <c r="M239" s="212">
        <v>3671</v>
      </c>
      <c r="N239" s="212">
        <v>139527</v>
      </c>
      <c r="O239" s="171">
        <v>1334</v>
      </c>
      <c r="P239" s="271" t="str">
        <f>IFERROR(VLOOKUP(Tabela1[[#This Row],[TAG]],#REF!,14,FALSE),"")</f>
        <v/>
      </c>
      <c r="Q239" s="204" t="e">
        <f t="shared" si="387"/>
        <v>#VALUE!</v>
      </c>
      <c r="R239" s="204" t="e">
        <f t="shared" si="388"/>
        <v>#VALUE!</v>
      </c>
      <c r="S239" s="204" t="e">
        <f t="shared" si="389"/>
        <v>#VALUE!</v>
      </c>
      <c r="T239" s="204" t="e">
        <f t="shared" si="390"/>
        <v>#VALUE!</v>
      </c>
      <c r="U239" s="204" t="e">
        <f t="shared" si="391"/>
        <v>#VALUE!</v>
      </c>
      <c r="V239" s="204" t="e">
        <f t="shared" si="392"/>
        <v>#VALUE!</v>
      </c>
      <c r="W239" s="218">
        <v>428.32</v>
      </c>
      <c r="X239" s="218">
        <v>4827.08</v>
      </c>
      <c r="Y239" s="203">
        <v>0.1</v>
      </c>
      <c r="Z239" s="203">
        <f>IF(Tabela1[[#This Row],[Ano Aquisição]]=2023,0,IFERROR(VLOOKUP(H239,inflação!$F:$H,3,FALSE),""))</f>
        <v>0.93579999999999997</v>
      </c>
      <c r="AA239" s="203">
        <v>0.8</v>
      </c>
      <c r="AB239" s="202">
        <f t="shared" si="393"/>
        <v>-472512.87</v>
      </c>
      <c r="AC239" s="204" t="e">
        <f t="shared" si="415"/>
        <v>#VALUE!</v>
      </c>
      <c r="AD239" s="204" t="e">
        <f t="shared" si="416"/>
        <v>#VALUE!</v>
      </c>
      <c r="AE239" s="204" t="e">
        <f t="shared" si="417"/>
        <v>#VALUE!</v>
      </c>
      <c r="AF239" s="204" t="e">
        <f t="shared" si="418"/>
        <v>#VALUE!</v>
      </c>
      <c r="AG239" s="204" t="e">
        <f t="shared" si="419"/>
        <v>#VALUE!</v>
      </c>
      <c r="AH239" s="204" t="e">
        <f t="shared" si="420"/>
        <v>#VALUE!</v>
      </c>
      <c r="AI239" s="204" t="e">
        <f t="shared" si="421"/>
        <v>#VALUE!</v>
      </c>
      <c r="AJ239" s="205">
        <f t="shared" si="401"/>
        <v>-914690.41374599992</v>
      </c>
      <c r="AK239" s="204" t="e">
        <f t="shared" si="422"/>
        <v>#VALUE!</v>
      </c>
      <c r="AL239" s="204" t="e">
        <f t="shared" si="423"/>
        <v>#VALUE!</v>
      </c>
      <c r="AM239" s="204" t="e">
        <f t="shared" si="424"/>
        <v>#VALUE!</v>
      </c>
      <c r="AN239" s="204" t="e">
        <f t="shared" si="425"/>
        <v>#VALUE!</v>
      </c>
      <c r="AO239" s="204" t="e">
        <f t="shared" si="426"/>
        <v>#VALUE!</v>
      </c>
      <c r="AP239" s="204" t="e">
        <f t="shared" si="427"/>
        <v>#VALUE!</v>
      </c>
      <c r="AQ239" s="204" t="e">
        <f t="shared" si="428"/>
        <v>#VALUE!</v>
      </c>
      <c r="AR239" s="206" t="e">
        <f t="shared" si="409"/>
        <v>#VALUE!</v>
      </c>
      <c r="AS239" s="170" t="e">
        <f t="shared" si="429"/>
        <v>#VALUE!</v>
      </c>
      <c r="AT239" s="170" t="e">
        <f t="shared" si="430"/>
        <v>#VALUE!</v>
      </c>
      <c r="AU239" s="207" t="e">
        <f t="shared" si="412"/>
        <v>#VALUE!</v>
      </c>
      <c r="AV239" s="208" t="e">
        <f t="shared" si="413"/>
        <v>#VALUE!</v>
      </c>
      <c r="AW239" s="201" t="str">
        <f t="shared" si="414"/>
        <v>Confiabilidade em Crescimento</v>
      </c>
      <c r="AX239" s="253" t="e">
        <f>VLOOKUP(D239,#REF!,5,FALSE)</f>
        <v>#REF!</v>
      </c>
      <c r="AY239" s="201"/>
      <c r="AZ239" s="273" t="s">
        <v>1224</v>
      </c>
      <c r="BB239">
        <f>IFERROR(VLOOKUP(Tabela1[[#This Row],[Denominação]],[10]Planilha1!$A:$B,2,FALSE),"")</f>
        <v>863340.91000000073</v>
      </c>
    </row>
    <row r="240" spans="1:54" ht="15" hidden="1" customHeight="1" x14ac:dyDescent="0.3">
      <c r="A240" s="253">
        <v>239</v>
      </c>
      <c r="B240" s="201" t="s">
        <v>773</v>
      </c>
      <c r="C240" s="211" t="s">
        <v>774</v>
      </c>
      <c r="D240" s="201">
        <v>10004895</v>
      </c>
      <c r="E240" s="253" t="s">
        <v>1372</v>
      </c>
      <c r="F240" s="253">
        <v>4711</v>
      </c>
      <c r="G240" s="201">
        <v>34856</v>
      </c>
      <c r="H240" s="201">
        <v>2007</v>
      </c>
      <c r="I240" s="216">
        <v>471880.22</v>
      </c>
      <c r="J240" s="214">
        <v>0</v>
      </c>
      <c r="K240" s="170">
        <v>644856.67999999889</v>
      </c>
      <c r="L240" s="207">
        <v>0.76</v>
      </c>
      <c r="M240" s="212">
        <v>3637</v>
      </c>
      <c r="N240" s="212">
        <v>139711</v>
      </c>
      <c r="O240" s="171">
        <v>1195</v>
      </c>
      <c r="P240" s="271" t="str">
        <f>IFERROR(VLOOKUP(Tabela1[[#This Row],[TAG]],#REF!,14,FALSE),"")</f>
        <v/>
      </c>
      <c r="Q240" s="204" t="e">
        <f t="shared" si="387"/>
        <v>#VALUE!</v>
      </c>
      <c r="R240" s="204" t="e">
        <f t="shared" si="388"/>
        <v>#VALUE!</v>
      </c>
      <c r="S240" s="204" t="e">
        <f t="shared" si="389"/>
        <v>#VALUE!</v>
      </c>
      <c r="T240" s="204" t="e">
        <f t="shared" si="390"/>
        <v>#VALUE!</v>
      </c>
      <c r="U240" s="204" t="e">
        <f t="shared" si="391"/>
        <v>#VALUE!</v>
      </c>
      <c r="V240" s="204" t="e">
        <f t="shared" si="392"/>
        <v>#VALUE!</v>
      </c>
      <c r="W240" s="218">
        <v>402.4</v>
      </c>
      <c r="X240" s="218">
        <v>4449.42</v>
      </c>
      <c r="Y240" s="203">
        <v>0.1</v>
      </c>
      <c r="Z240" s="203">
        <f>IF(Tabela1[[#This Row],[Ano Aquisição]]=2023,0,IFERROR(VLOOKUP(H240,inflação!$F:$H,3,FALSE),""))</f>
        <v>0.93579999999999997</v>
      </c>
      <c r="AA240" s="203">
        <v>0.8</v>
      </c>
      <c r="AB240" s="202">
        <f t="shared" si="393"/>
        <v>-471880.22</v>
      </c>
      <c r="AC240" s="204" t="e">
        <f t="shared" si="415"/>
        <v>#VALUE!</v>
      </c>
      <c r="AD240" s="204" t="e">
        <f t="shared" si="416"/>
        <v>#VALUE!</v>
      </c>
      <c r="AE240" s="204" t="e">
        <f t="shared" si="417"/>
        <v>#VALUE!</v>
      </c>
      <c r="AF240" s="204" t="e">
        <f t="shared" si="418"/>
        <v>#VALUE!</v>
      </c>
      <c r="AG240" s="204" t="e">
        <f t="shared" si="419"/>
        <v>#VALUE!</v>
      </c>
      <c r="AH240" s="204" t="e">
        <f t="shared" si="420"/>
        <v>#VALUE!</v>
      </c>
      <c r="AI240" s="204" t="e">
        <f t="shared" si="421"/>
        <v>#VALUE!</v>
      </c>
      <c r="AJ240" s="205">
        <f t="shared" si="401"/>
        <v>-913465.72987599997</v>
      </c>
      <c r="AK240" s="204" t="e">
        <f t="shared" si="422"/>
        <v>#VALUE!</v>
      </c>
      <c r="AL240" s="204" t="e">
        <f t="shared" si="423"/>
        <v>#VALUE!</v>
      </c>
      <c r="AM240" s="204" t="e">
        <f t="shared" si="424"/>
        <v>#VALUE!</v>
      </c>
      <c r="AN240" s="204" t="e">
        <f t="shared" si="425"/>
        <v>#VALUE!</v>
      </c>
      <c r="AO240" s="204" t="e">
        <f t="shared" si="426"/>
        <v>#VALUE!</v>
      </c>
      <c r="AP240" s="204" t="e">
        <f t="shared" si="427"/>
        <v>#VALUE!</v>
      </c>
      <c r="AQ240" s="204" t="e">
        <f t="shared" si="428"/>
        <v>#VALUE!</v>
      </c>
      <c r="AR240" s="206" t="e">
        <f t="shared" si="409"/>
        <v>#VALUE!</v>
      </c>
      <c r="AS240" s="170" t="e">
        <f t="shared" si="429"/>
        <v>#VALUE!</v>
      </c>
      <c r="AT240" s="170" t="e">
        <f t="shared" si="430"/>
        <v>#VALUE!</v>
      </c>
      <c r="AU240" s="207" t="e">
        <f t="shared" si="412"/>
        <v>#VALUE!</v>
      </c>
      <c r="AV240" s="208" t="e">
        <f t="shared" si="413"/>
        <v>#VALUE!</v>
      </c>
      <c r="AW240" s="201" t="str">
        <f t="shared" si="414"/>
        <v>Confiabilidade em Crescimento</v>
      </c>
      <c r="AX240" s="253" t="e">
        <f>VLOOKUP(D240,#REF!,5,FALSE)</f>
        <v>#REF!</v>
      </c>
      <c r="AY240" s="201"/>
      <c r="AZ240" s="273" t="s">
        <v>1224</v>
      </c>
      <c r="BB240">
        <f>IFERROR(VLOOKUP(Tabela1[[#This Row],[Denominação]],[10]Planilha1!$A:$B,2,FALSE),"")</f>
        <v>644856.67999999889</v>
      </c>
    </row>
    <row r="241" spans="1:54" ht="15" hidden="1" customHeight="1" x14ac:dyDescent="0.3">
      <c r="A241" s="268">
        <v>240</v>
      </c>
      <c r="B241" s="201" t="s">
        <v>775</v>
      </c>
      <c r="C241" s="211" t="s">
        <v>776</v>
      </c>
      <c r="D241" s="201">
        <v>10004909</v>
      </c>
      <c r="E241" s="253" t="s">
        <v>1373</v>
      </c>
      <c r="F241" s="253">
        <v>4711</v>
      </c>
      <c r="G241" s="201">
        <v>35460</v>
      </c>
      <c r="H241" s="201">
        <v>2008</v>
      </c>
      <c r="I241" s="216">
        <v>625948.68000000005</v>
      </c>
      <c r="J241" s="214">
        <v>0</v>
      </c>
      <c r="K241" s="170">
        <v>671333.19000000029</v>
      </c>
      <c r="L241" s="207">
        <v>0.72</v>
      </c>
      <c r="M241" s="212">
        <v>3987</v>
      </c>
      <c r="N241" s="212">
        <v>138826</v>
      </c>
      <c r="O241" s="171">
        <v>1148</v>
      </c>
      <c r="P241" s="271" t="str">
        <f>IFERROR(VLOOKUP(Tabela1[[#This Row],[TAG]],#REF!,14,FALSE),"")</f>
        <v/>
      </c>
      <c r="Q241" s="204" t="e">
        <f t="shared" si="387"/>
        <v>#VALUE!</v>
      </c>
      <c r="R241" s="204" t="e">
        <f t="shared" si="388"/>
        <v>#VALUE!</v>
      </c>
      <c r="S241" s="204" t="e">
        <f t="shared" si="389"/>
        <v>#VALUE!</v>
      </c>
      <c r="T241" s="204" t="e">
        <f t="shared" si="390"/>
        <v>#VALUE!</v>
      </c>
      <c r="U241" s="204" t="e">
        <f t="shared" si="391"/>
        <v>#VALUE!</v>
      </c>
      <c r="V241" s="204" t="e">
        <f t="shared" si="392"/>
        <v>#VALUE!</v>
      </c>
      <c r="W241" s="218">
        <v>434.15055621182898</v>
      </c>
      <c r="X241" s="218">
        <v>3590.55</v>
      </c>
      <c r="Y241" s="203">
        <v>0.1</v>
      </c>
      <c r="Z241" s="203">
        <f>IF(Tabela1[[#This Row],[Ano Aquisição]]=2023,0,IFERROR(VLOOKUP(H241,inflação!$F:$H,3,FALSE),""))</f>
        <v>0.89119999999999999</v>
      </c>
      <c r="AA241" s="203">
        <v>0.8</v>
      </c>
      <c r="AB241" s="202">
        <f t="shared" si="393"/>
        <v>-625948.68000000005</v>
      </c>
      <c r="AC241" s="204" t="e">
        <f t="shared" si="415"/>
        <v>#VALUE!</v>
      </c>
      <c r="AD241" s="204" t="e">
        <f t="shared" si="416"/>
        <v>#VALUE!</v>
      </c>
      <c r="AE241" s="204" t="e">
        <f t="shared" si="417"/>
        <v>#VALUE!</v>
      </c>
      <c r="AF241" s="204" t="e">
        <f t="shared" si="418"/>
        <v>#VALUE!</v>
      </c>
      <c r="AG241" s="204" t="e">
        <f t="shared" si="419"/>
        <v>#VALUE!</v>
      </c>
      <c r="AH241" s="204" t="e">
        <f t="shared" si="420"/>
        <v>#VALUE!</v>
      </c>
      <c r="AI241" s="204" t="e">
        <f t="shared" si="421"/>
        <v>#VALUE!</v>
      </c>
      <c r="AJ241" s="205">
        <f t="shared" si="401"/>
        <v>-1183794.1436160002</v>
      </c>
      <c r="AK241" s="204" t="e">
        <f t="shared" si="422"/>
        <v>#VALUE!</v>
      </c>
      <c r="AL241" s="204" t="e">
        <f t="shared" si="423"/>
        <v>#VALUE!</v>
      </c>
      <c r="AM241" s="204" t="e">
        <f t="shared" si="424"/>
        <v>#VALUE!</v>
      </c>
      <c r="AN241" s="204" t="e">
        <f t="shared" si="425"/>
        <v>#VALUE!</v>
      </c>
      <c r="AO241" s="204" t="e">
        <f t="shared" si="426"/>
        <v>#VALUE!</v>
      </c>
      <c r="AP241" s="204" t="e">
        <f t="shared" si="427"/>
        <v>#VALUE!</v>
      </c>
      <c r="AQ241" s="204" t="e">
        <f t="shared" si="428"/>
        <v>#VALUE!</v>
      </c>
      <c r="AR241" s="206" t="e">
        <f t="shared" si="409"/>
        <v>#VALUE!</v>
      </c>
      <c r="AS241" s="170" t="e">
        <f t="shared" si="429"/>
        <v>#VALUE!</v>
      </c>
      <c r="AT241" s="170" t="e">
        <f t="shared" si="430"/>
        <v>#VALUE!</v>
      </c>
      <c r="AU241" s="207" t="e">
        <f t="shared" si="412"/>
        <v>#VALUE!</v>
      </c>
      <c r="AV241" s="208" t="e">
        <f t="shared" si="413"/>
        <v>#VALUE!</v>
      </c>
      <c r="AW241" s="201" t="str">
        <f t="shared" si="414"/>
        <v>Confiabilidade em Crescimento</v>
      </c>
      <c r="AX241" s="253" t="e">
        <f>VLOOKUP(D241,#REF!,5,FALSE)</f>
        <v>#REF!</v>
      </c>
      <c r="AY241" s="201"/>
      <c r="AZ241" s="273" t="s">
        <v>1224</v>
      </c>
      <c r="BB241">
        <f>IFERROR(VLOOKUP(Tabela1[[#This Row],[Denominação]],[10]Planilha1!$A:$B,2,FALSE),"")</f>
        <v>671333.19000000029</v>
      </c>
    </row>
    <row r="242" spans="1:54" ht="15" hidden="1" customHeight="1" x14ac:dyDescent="0.3">
      <c r="A242" s="253">
        <v>241</v>
      </c>
      <c r="B242" s="201" t="s">
        <v>777</v>
      </c>
      <c r="C242" s="211" t="s">
        <v>778</v>
      </c>
      <c r="D242" s="201">
        <v>10004910</v>
      </c>
      <c r="E242" s="253" t="s">
        <v>1373</v>
      </c>
      <c r="F242" s="253">
        <v>4711</v>
      </c>
      <c r="G242" s="201">
        <v>35459</v>
      </c>
      <c r="H242" s="201">
        <v>2008</v>
      </c>
      <c r="I242" s="216">
        <v>625917.92000000004</v>
      </c>
      <c r="J242" s="214">
        <v>0</v>
      </c>
      <c r="K242" s="170">
        <v>576218.1100000001</v>
      </c>
      <c r="L242" s="207">
        <v>0.78</v>
      </c>
      <c r="M242" s="212">
        <v>3996</v>
      </c>
      <c r="N242" s="212">
        <v>138882</v>
      </c>
      <c r="O242" s="171">
        <v>992</v>
      </c>
      <c r="P242" s="271" t="str">
        <f>IFERROR(VLOOKUP(Tabela1[[#This Row],[TAG]],#REF!,14,FALSE),"")</f>
        <v/>
      </c>
      <c r="Q242" s="204" t="e">
        <f t="shared" si="387"/>
        <v>#VALUE!</v>
      </c>
      <c r="R242" s="204" t="e">
        <f t="shared" si="388"/>
        <v>#VALUE!</v>
      </c>
      <c r="S242" s="204" t="e">
        <f t="shared" si="389"/>
        <v>#VALUE!</v>
      </c>
      <c r="T242" s="204" t="e">
        <f t="shared" si="390"/>
        <v>#VALUE!</v>
      </c>
      <c r="U242" s="204" t="e">
        <f t="shared" si="391"/>
        <v>#VALUE!</v>
      </c>
      <c r="V242" s="204" t="e">
        <f t="shared" si="392"/>
        <v>#VALUE!</v>
      </c>
      <c r="W242" s="218">
        <v>446.11893935139216</v>
      </c>
      <c r="X242" s="218">
        <v>2672.65</v>
      </c>
      <c r="Y242" s="203">
        <v>0.1</v>
      </c>
      <c r="Z242" s="203">
        <f>IF(Tabela1[[#This Row],[Ano Aquisição]]=2023,0,IFERROR(VLOOKUP(H242,inflação!$F:$H,3,FALSE),""))</f>
        <v>0.89119999999999999</v>
      </c>
      <c r="AA242" s="203">
        <v>0.8</v>
      </c>
      <c r="AB242" s="202">
        <f t="shared" si="393"/>
        <v>-625917.92000000004</v>
      </c>
      <c r="AC242" s="204" t="e">
        <f t="shared" si="415"/>
        <v>#VALUE!</v>
      </c>
      <c r="AD242" s="204" t="e">
        <f t="shared" si="416"/>
        <v>#VALUE!</v>
      </c>
      <c r="AE242" s="204" t="e">
        <f t="shared" si="417"/>
        <v>#VALUE!</v>
      </c>
      <c r="AF242" s="204" t="e">
        <f t="shared" si="418"/>
        <v>#VALUE!</v>
      </c>
      <c r="AG242" s="204" t="e">
        <f t="shared" si="419"/>
        <v>#VALUE!</v>
      </c>
      <c r="AH242" s="204" t="e">
        <f t="shared" si="420"/>
        <v>#VALUE!</v>
      </c>
      <c r="AI242" s="204" t="e">
        <f t="shared" si="421"/>
        <v>#VALUE!</v>
      </c>
      <c r="AJ242" s="205">
        <f t="shared" si="401"/>
        <v>-1183735.970304</v>
      </c>
      <c r="AK242" s="204" t="e">
        <f t="shared" si="422"/>
        <v>#VALUE!</v>
      </c>
      <c r="AL242" s="204" t="e">
        <f t="shared" si="423"/>
        <v>#VALUE!</v>
      </c>
      <c r="AM242" s="204" t="e">
        <f t="shared" si="424"/>
        <v>#VALUE!</v>
      </c>
      <c r="AN242" s="204" t="e">
        <f t="shared" si="425"/>
        <v>#VALUE!</v>
      </c>
      <c r="AO242" s="204" t="e">
        <f t="shared" si="426"/>
        <v>#VALUE!</v>
      </c>
      <c r="AP242" s="204" t="e">
        <f t="shared" si="427"/>
        <v>#VALUE!</v>
      </c>
      <c r="AQ242" s="204" t="e">
        <f t="shared" si="428"/>
        <v>#VALUE!</v>
      </c>
      <c r="AR242" s="206" t="e">
        <f t="shared" si="409"/>
        <v>#VALUE!</v>
      </c>
      <c r="AS242" s="170" t="e">
        <f t="shared" si="429"/>
        <v>#VALUE!</v>
      </c>
      <c r="AT242" s="170" t="e">
        <f t="shared" si="430"/>
        <v>#VALUE!</v>
      </c>
      <c r="AU242" s="207" t="e">
        <f t="shared" si="412"/>
        <v>#VALUE!</v>
      </c>
      <c r="AV242" s="208" t="e">
        <f t="shared" si="413"/>
        <v>#VALUE!</v>
      </c>
      <c r="AW242" s="201" t="str">
        <f t="shared" si="414"/>
        <v>Confiabilidade em Crescimento</v>
      </c>
      <c r="AX242" s="253" t="e">
        <f>VLOOKUP(D242,#REF!,5,FALSE)</f>
        <v>#REF!</v>
      </c>
      <c r="AY242" s="201"/>
      <c r="AZ242" s="273" t="s">
        <v>1224</v>
      </c>
      <c r="BB242">
        <f>IFERROR(VLOOKUP(Tabela1[[#This Row],[Denominação]],[10]Planilha1!$A:$B,2,FALSE),"")</f>
        <v>576218.1100000001</v>
      </c>
    </row>
    <row r="243" spans="1:54" ht="15" hidden="1" customHeight="1" x14ac:dyDescent="0.3">
      <c r="A243" s="268">
        <v>242</v>
      </c>
      <c r="B243" s="201" t="s">
        <v>779</v>
      </c>
      <c r="C243" s="211" t="s">
        <v>780</v>
      </c>
      <c r="D243" s="201">
        <v>10005246</v>
      </c>
      <c r="E243" s="253" t="s">
        <v>1374</v>
      </c>
      <c r="F243" s="253">
        <v>4711</v>
      </c>
      <c r="G243" s="201">
        <v>34862</v>
      </c>
      <c r="H243" s="201">
        <v>2007</v>
      </c>
      <c r="I243" s="216">
        <v>449425.02</v>
      </c>
      <c r="J243" s="214">
        <v>0</v>
      </c>
      <c r="K243" s="170">
        <v>571203.63999999897</v>
      </c>
      <c r="L243" s="207">
        <v>0.92</v>
      </c>
      <c r="M243" s="212">
        <v>3801</v>
      </c>
      <c r="N243" s="212">
        <v>129916</v>
      </c>
      <c r="O243" s="171">
        <v>983</v>
      </c>
      <c r="P243" s="271" t="str">
        <f>IFERROR(VLOOKUP(Tabela1[[#This Row],[TAG]],#REF!,14,FALSE),"")</f>
        <v/>
      </c>
      <c r="Q243" s="204" t="e">
        <f t="shared" si="387"/>
        <v>#VALUE!</v>
      </c>
      <c r="R243" s="204" t="e">
        <f t="shared" si="388"/>
        <v>#VALUE!</v>
      </c>
      <c r="S243" s="204" t="e">
        <f t="shared" si="389"/>
        <v>#VALUE!</v>
      </c>
      <c r="T243" s="204" t="e">
        <f t="shared" si="390"/>
        <v>#VALUE!</v>
      </c>
      <c r="U243" s="204" t="e">
        <f t="shared" si="391"/>
        <v>#VALUE!</v>
      </c>
      <c r="V243" s="204" t="e">
        <f t="shared" si="392"/>
        <v>#VALUE!</v>
      </c>
      <c r="W243" s="218">
        <v>476.65834811239534</v>
      </c>
      <c r="X243" s="218">
        <v>4390.0600000000004</v>
      </c>
      <c r="Y243" s="203">
        <v>0.1</v>
      </c>
      <c r="Z243" s="203">
        <f>IF(Tabela1[[#This Row],[Ano Aquisição]]=2023,0,IFERROR(VLOOKUP(H243,inflação!$F:$H,3,FALSE),""))</f>
        <v>0.93579999999999997</v>
      </c>
      <c r="AA243" s="203">
        <v>0.8</v>
      </c>
      <c r="AB243" s="202">
        <f t="shared" si="393"/>
        <v>-449425.02</v>
      </c>
      <c r="AC243" s="204" t="e">
        <f t="shared" si="415"/>
        <v>#VALUE!</v>
      </c>
      <c r="AD243" s="204" t="e">
        <f t="shared" si="416"/>
        <v>#VALUE!</v>
      </c>
      <c r="AE243" s="204" t="e">
        <f t="shared" si="417"/>
        <v>#VALUE!</v>
      </c>
      <c r="AF243" s="204" t="e">
        <f t="shared" si="418"/>
        <v>#VALUE!</v>
      </c>
      <c r="AG243" s="204" t="e">
        <f t="shared" si="419"/>
        <v>#VALUE!</v>
      </c>
      <c r="AH243" s="204" t="e">
        <f t="shared" si="420"/>
        <v>#VALUE!</v>
      </c>
      <c r="AI243" s="204" t="e">
        <f t="shared" si="421"/>
        <v>#VALUE!</v>
      </c>
      <c r="AJ243" s="205">
        <f t="shared" si="401"/>
        <v>-869996.95371600008</v>
      </c>
      <c r="AK243" s="204" t="e">
        <f t="shared" si="422"/>
        <v>#VALUE!</v>
      </c>
      <c r="AL243" s="204" t="e">
        <f t="shared" si="423"/>
        <v>#VALUE!</v>
      </c>
      <c r="AM243" s="204" t="e">
        <f t="shared" si="424"/>
        <v>#VALUE!</v>
      </c>
      <c r="AN243" s="204" t="e">
        <f t="shared" si="425"/>
        <v>#VALUE!</v>
      </c>
      <c r="AO243" s="204" t="e">
        <f t="shared" si="426"/>
        <v>#VALUE!</v>
      </c>
      <c r="AP243" s="204" t="e">
        <f t="shared" si="427"/>
        <v>#VALUE!</v>
      </c>
      <c r="AQ243" s="204" t="e">
        <f t="shared" si="428"/>
        <v>#VALUE!</v>
      </c>
      <c r="AR243" s="206" t="e">
        <f t="shared" si="409"/>
        <v>#VALUE!</v>
      </c>
      <c r="AS243" s="170" t="e">
        <f t="shared" si="429"/>
        <v>#VALUE!</v>
      </c>
      <c r="AT243" s="170" t="e">
        <f t="shared" si="430"/>
        <v>#VALUE!</v>
      </c>
      <c r="AU243" s="207" t="e">
        <f t="shared" si="412"/>
        <v>#VALUE!</v>
      </c>
      <c r="AV243" s="208" t="e">
        <f t="shared" si="413"/>
        <v>#VALUE!</v>
      </c>
      <c r="AW243" s="201" t="str">
        <f t="shared" si="414"/>
        <v>Confiabilidade em Crescimento</v>
      </c>
      <c r="AX243" s="253" t="e">
        <f>VLOOKUP(D243,#REF!,5,FALSE)</f>
        <v>#REF!</v>
      </c>
      <c r="AY243" s="201"/>
      <c r="AZ243" s="273" t="s">
        <v>1224</v>
      </c>
      <c r="BB243">
        <f>IFERROR(VLOOKUP(Tabela1[[#This Row],[Denominação]],[10]Planilha1!$A:$B,2,FALSE),"")</f>
        <v>571203.63999999897</v>
      </c>
    </row>
    <row r="244" spans="1:54" ht="15" hidden="1" customHeight="1" x14ac:dyDescent="0.3">
      <c r="A244" s="253">
        <v>243</v>
      </c>
      <c r="B244" s="201" t="s">
        <v>781</v>
      </c>
      <c r="C244" s="211" t="s">
        <v>782</v>
      </c>
      <c r="D244" s="201">
        <v>10005247</v>
      </c>
      <c r="E244" s="253" t="s">
        <v>1374</v>
      </c>
      <c r="F244" s="253">
        <v>4711</v>
      </c>
      <c r="G244" s="201">
        <v>34861</v>
      </c>
      <c r="H244" s="201">
        <v>2007</v>
      </c>
      <c r="I244" s="216">
        <v>455646</v>
      </c>
      <c r="J244" s="214">
        <v>0</v>
      </c>
      <c r="K244" s="170">
        <v>561129.83999999973</v>
      </c>
      <c r="L244" s="207">
        <v>0.97</v>
      </c>
      <c r="M244" s="212">
        <v>3961</v>
      </c>
      <c r="N244" s="212">
        <v>130019</v>
      </c>
      <c r="O244" s="171">
        <v>950</v>
      </c>
      <c r="P244" s="271" t="str">
        <f>IFERROR(VLOOKUP(Tabela1[[#This Row],[TAG]],#REF!,14,FALSE),"")</f>
        <v/>
      </c>
      <c r="Q244" s="204" t="e">
        <f t="shared" si="387"/>
        <v>#VALUE!</v>
      </c>
      <c r="R244" s="204" t="e">
        <f t="shared" si="388"/>
        <v>#VALUE!</v>
      </c>
      <c r="S244" s="204" t="e">
        <f t="shared" si="389"/>
        <v>#VALUE!</v>
      </c>
      <c r="T244" s="204" t="e">
        <f t="shared" si="390"/>
        <v>#VALUE!</v>
      </c>
      <c r="U244" s="204" t="e">
        <f t="shared" si="391"/>
        <v>#VALUE!</v>
      </c>
      <c r="V244" s="204" t="e">
        <f t="shared" si="392"/>
        <v>#VALUE!</v>
      </c>
      <c r="W244" s="218">
        <v>435.36746943387561</v>
      </c>
      <c r="X244" s="218">
        <v>3956.48</v>
      </c>
      <c r="Y244" s="203">
        <v>0.1</v>
      </c>
      <c r="Z244" s="203">
        <f>IF(Tabela1[[#This Row],[Ano Aquisição]]=2023,0,IFERROR(VLOOKUP(H244,inflação!$F:$H,3,FALSE),""))</f>
        <v>0.93579999999999997</v>
      </c>
      <c r="AA244" s="203">
        <v>0.8</v>
      </c>
      <c r="AB244" s="202">
        <f t="shared" si="393"/>
        <v>-455646</v>
      </c>
      <c r="AC244" s="204" t="e">
        <f t="shared" si="415"/>
        <v>#VALUE!</v>
      </c>
      <c r="AD244" s="204" t="e">
        <f t="shared" si="416"/>
        <v>#VALUE!</v>
      </c>
      <c r="AE244" s="204" t="e">
        <f t="shared" si="417"/>
        <v>#VALUE!</v>
      </c>
      <c r="AF244" s="204" t="e">
        <f t="shared" si="418"/>
        <v>#VALUE!</v>
      </c>
      <c r="AG244" s="204" t="e">
        <f t="shared" si="419"/>
        <v>#VALUE!</v>
      </c>
      <c r="AH244" s="204" t="e">
        <f t="shared" si="420"/>
        <v>#VALUE!</v>
      </c>
      <c r="AI244" s="204" t="e">
        <f t="shared" si="421"/>
        <v>#VALUE!</v>
      </c>
      <c r="AJ244" s="205">
        <f t="shared" si="401"/>
        <v>-882039.52679999999</v>
      </c>
      <c r="AK244" s="204" t="e">
        <f t="shared" si="422"/>
        <v>#VALUE!</v>
      </c>
      <c r="AL244" s="204" t="e">
        <f t="shared" si="423"/>
        <v>#VALUE!</v>
      </c>
      <c r="AM244" s="204" t="e">
        <f t="shared" si="424"/>
        <v>#VALUE!</v>
      </c>
      <c r="AN244" s="204" t="e">
        <f t="shared" si="425"/>
        <v>#VALUE!</v>
      </c>
      <c r="AO244" s="204" t="e">
        <f t="shared" si="426"/>
        <v>#VALUE!</v>
      </c>
      <c r="AP244" s="204" t="e">
        <f t="shared" si="427"/>
        <v>#VALUE!</v>
      </c>
      <c r="AQ244" s="204" t="e">
        <f t="shared" si="428"/>
        <v>#VALUE!</v>
      </c>
      <c r="AR244" s="206" t="e">
        <f t="shared" si="409"/>
        <v>#VALUE!</v>
      </c>
      <c r="AS244" s="170" t="e">
        <f t="shared" si="429"/>
        <v>#VALUE!</v>
      </c>
      <c r="AT244" s="170" t="e">
        <f t="shared" si="430"/>
        <v>#VALUE!</v>
      </c>
      <c r="AU244" s="207" t="e">
        <f t="shared" si="412"/>
        <v>#VALUE!</v>
      </c>
      <c r="AV244" s="208" t="e">
        <f t="shared" si="413"/>
        <v>#VALUE!</v>
      </c>
      <c r="AW244" s="201" t="str">
        <f t="shared" si="414"/>
        <v>Confiabilidade em Crescimento</v>
      </c>
      <c r="AX244" s="253" t="e">
        <f>VLOOKUP(D244,#REF!,5,FALSE)</f>
        <v>#REF!</v>
      </c>
      <c r="AY244" s="201"/>
      <c r="AZ244" s="273" t="s">
        <v>1224</v>
      </c>
      <c r="BB244">
        <f>IFERROR(VLOOKUP(Tabela1[[#This Row],[Denominação]],[10]Planilha1!$A:$B,2,FALSE),"")</f>
        <v>561129.83999999973</v>
      </c>
    </row>
    <row r="245" spans="1:54" ht="15" hidden="1" customHeight="1" x14ac:dyDescent="0.3">
      <c r="A245" s="268">
        <v>244</v>
      </c>
      <c r="B245" s="201" t="s">
        <v>996</v>
      </c>
      <c r="C245" s="211" t="s">
        <v>997</v>
      </c>
      <c r="D245" s="201">
        <v>10001960</v>
      </c>
      <c r="E245" s="253" t="s">
        <v>1375</v>
      </c>
      <c r="F245" s="253">
        <v>2318</v>
      </c>
      <c r="G245" s="201">
        <v>45754</v>
      </c>
      <c r="H245" s="201">
        <v>2015</v>
      </c>
      <c r="I245" s="216">
        <v>655064.27</v>
      </c>
      <c r="J245" s="214">
        <v>279982</v>
      </c>
      <c r="K245" s="170">
        <v>379749.63000000006</v>
      </c>
      <c r="L245" s="207">
        <v>0.86</v>
      </c>
      <c r="M245" s="212">
        <v>3854</v>
      </c>
      <c r="N245" s="212">
        <v>174491</v>
      </c>
      <c r="O245" s="201">
        <v>121</v>
      </c>
      <c r="P245" s="271" t="str">
        <f>IFERROR(VLOOKUP(Tabela1[[#This Row],[TAG]],#REF!,14,FALSE),"")</f>
        <v/>
      </c>
      <c r="Q245" s="204" t="e">
        <f t="shared" si="387"/>
        <v>#VALUE!</v>
      </c>
      <c r="R245" s="204" t="e">
        <f t="shared" si="388"/>
        <v>#VALUE!</v>
      </c>
      <c r="S245" s="204" t="e">
        <f t="shared" si="389"/>
        <v>#VALUE!</v>
      </c>
      <c r="T245" s="204" t="e">
        <f t="shared" si="390"/>
        <v>#VALUE!</v>
      </c>
      <c r="U245" s="204" t="e">
        <f t="shared" si="391"/>
        <v>#VALUE!</v>
      </c>
      <c r="V245" s="204" t="e">
        <f t="shared" si="392"/>
        <v>#VALUE!</v>
      </c>
      <c r="W245" s="218">
        <v>476.28</v>
      </c>
      <c r="X245" s="218">
        <v>1560.9595833333333</v>
      </c>
      <c r="Y245" s="203">
        <v>0.1</v>
      </c>
      <c r="Z245" s="203">
        <f>IF(Tabela1[[#This Row],[Ano Aquisição]]=2023,0,IFERROR(VLOOKUP(H245,inflação!$F:$H,3,FALSE),""))</f>
        <v>0.4834</v>
      </c>
      <c r="AA245" s="203">
        <v>0.8</v>
      </c>
      <c r="AB245" s="202">
        <f t="shared" si="393"/>
        <v>-655064.27</v>
      </c>
      <c r="AC245" s="204" t="e">
        <f t="shared" si="415"/>
        <v>#VALUE!</v>
      </c>
      <c r="AD245" s="204" t="e">
        <f t="shared" si="416"/>
        <v>#VALUE!</v>
      </c>
      <c r="AE245" s="204" t="e">
        <f t="shared" si="417"/>
        <v>#VALUE!</v>
      </c>
      <c r="AF245" s="204" t="e">
        <f t="shared" si="418"/>
        <v>#VALUE!</v>
      </c>
      <c r="AG245" s="204" t="e">
        <f t="shared" si="419"/>
        <v>#VALUE!</v>
      </c>
      <c r="AH245" s="204" t="e">
        <f t="shared" si="420"/>
        <v>#VALUE!</v>
      </c>
      <c r="AI245" s="204" t="e">
        <f t="shared" si="421"/>
        <v>#VALUE!</v>
      </c>
      <c r="AJ245" s="205">
        <f t="shared" si="401"/>
        <v>-971722.33811800007</v>
      </c>
      <c r="AK245" s="204" t="e">
        <f t="shared" si="422"/>
        <v>#VALUE!</v>
      </c>
      <c r="AL245" s="204" t="e">
        <f t="shared" si="423"/>
        <v>#VALUE!</v>
      </c>
      <c r="AM245" s="204" t="e">
        <f t="shared" si="424"/>
        <v>#VALUE!</v>
      </c>
      <c r="AN245" s="204" t="e">
        <f t="shared" si="425"/>
        <v>#VALUE!</v>
      </c>
      <c r="AO245" s="204" t="e">
        <f t="shared" si="426"/>
        <v>#VALUE!</v>
      </c>
      <c r="AP245" s="204" t="e">
        <f t="shared" si="427"/>
        <v>#VALUE!</v>
      </c>
      <c r="AQ245" s="204" t="e">
        <f t="shared" si="428"/>
        <v>#VALUE!</v>
      </c>
      <c r="AR245" s="206" t="e">
        <f t="shared" si="409"/>
        <v>#VALUE!</v>
      </c>
      <c r="AS245" s="170" t="e">
        <f t="shared" si="429"/>
        <v>#VALUE!</v>
      </c>
      <c r="AT245" s="170" t="e">
        <f t="shared" si="430"/>
        <v>#VALUE!</v>
      </c>
      <c r="AU245" s="207" t="e">
        <f t="shared" si="412"/>
        <v>#VALUE!</v>
      </c>
      <c r="AV245" s="208" t="e">
        <f t="shared" si="413"/>
        <v>#VALUE!</v>
      </c>
      <c r="AW245" s="201" t="str">
        <f t="shared" si="414"/>
        <v>Confiabilidade em Crescimento</v>
      </c>
      <c r="AX245" s="253" t="e">
        <f>VLOOKUP(D245,#REF!,5,FALSE)</f>
        <v>#REF!</v>
      </c>
      <c r="AY245" s="201"/>
      <c r="AZ245" s="273" t="s">
        <v>1224</v>
      </c>
      <c r="BB245">
        <f>IFERROR(VLOOKUP(Tabela1[[#This Row],[Denominação]],[10]Planilha1!$A:$B,2,FALSE),"")</f>
        <v>379749.63000000006</v>
      </c>
    </row>
    <row r="246" spans="1:54" ht="15" hidden="1" customHeight="1" x14ac:dyDescent="0.3">
      <c r="A246" s="253">
        <v>245</v>
      </c>
      <c r="B246" s="201" t="s">
        <v>998</v>
      </c>
      <c r="C246" s="211" t="s">
        <v>999</v>
      </c>
      <c r="D246" s="201">
        <v>10000477</v>
      </c>
      <c r="E246" s="253" t="s">
        <v>1376</v>
      </c>
      <c r="F246" s="253">
        <v>2511</v>
      </c>
      <c r="G246" s="201">
        <v>20353</v>
      </c>
      <c r="H246" s="201">
        <v>2001</v>
      </c>
      <c r="I246" s="216">
        <v>240168.73</v>
      </c>
      <c r="J246" s="214">
        <v>0</v>
      </c>
      <c r="K246" s="170">
        <v>674056.68999999959</v>
      </c>
      <c r="L246" s="215">
        <v>1.1599999999999999</v>
      </c>
      <c r="M246" s="320">
        <v>5020</v>
      </c>
      <c r="N246" s="212">
        <v>196656</v>
      </c>
      <c r="O246" s="171">
        <v>558</v>
      </c>
      <c r="P246" s="271" t="str">
        <f>IFERROR(VLOOKUP(Tabela1[[#This Row],[TAG]],#REF!,14,FALSE),"")</f>
        <v/>
      </c>
      <c r="Q246" s="204" t="e">
        <f t="shared" si="387"/>
        <v>#VALUE!</v>
      </c>
      <c r="R246" s="204" t="e">
        <f t="shared" si="388"/>
        <v>#VALUE!</v>
      </c>
      <c r="S246" s="204" t="e">
        <f t="shared" si="389"/>
        <v>#VALUE!</v>
      </c>
      <c r="T246" s="204" t="e">
        <f t="shared" si="390"/>
        <v>#VALUE!</v>
      </c>
      <c r="U246" s="204" t="e">
        <f t="shared" si="391"/>
        <v>#VALUE!</v>
      </c>
      <c r="V246" s="204" t="e">
        <f t="shared" si="392"/>
        <v>#VALUE!</v>
      </c>
      <c r="W246" s="304">
        <v>634.34</v>
      </c>
      <c r="X246" s="304">
        <v>3291.29</v>
      </c>
      <c r="Y246" s="203">
        <v>0.1</v>
      </c>
      <c r="Z246" s="203">
        <f>IF(Tabela1[[#This Row],[Ano Aquisição]]=2023,0,IFERROR(VLOOKUP(H246,inflação!$F:$H,3,FALSE),""))</f>
        <v>1.3951</v>
      </c>
      <c r="AA246" s="203">
        <v>0.8</v>
      </c>
      <c r="AB246" s="202">
        <f t="shared" si="393"/>
        <v>-240168.73</v>
      </c>
      <c r="AC246" s="204" t="e">
        <f t="shared" si="415"/>
        <v>#VALUE!</v>
      </c>
      <c r="AD246" s="204" t="e">
        <f t="shared" si="416"/>
        <v>#VALUE!</v>
      </c>
      <c r="AE246" s="204" t="e">
        <f t="shared" si="417"/>
        <v>#VALUE!</v>
      </c>
      <c r="AF246" s="204" t="e">
        <f t="shared" si="418"/>
        <v>#VALUE!</v>
      </c>
      <c r="AG246" s="204" t="e">
        <f t="shared" si="419"/>
        <v>#VALUE!</v>
      </c>
      <c r="AH246" s="204" t="e">
        <f t="shared" si="420"/>
        <v>#VALUE!</v>
      </c>
      <c r="AI246" s="204" t="e">
        <f t="shared" si="421"/>
        <v>#VALUE!</v>
      </c>
      <c r="AJ246" s="205">
        <f t="shared" si="401"/>
        <v>-575228.12522300007</v>
      </c>
      <c r="AK246" s="204" t="e">
        <f t="shared" si="422"/>
        <v>#VALUE!</v>
      </c>
      <c r="AL246" s="204" t="e">
        <f t="shared" si="423"/>
        <v>#VALUE!</v>
      </c>
      <c r="AM246" s="204" t="e">
        <f t="shared" si="424"/>
        <v>#VALUE!</v>
      </c>
      <c r="AN246" s="204" t="e">
        <f t="shared" si="425"/>
        <v>#VALUE!</v>
      </c>
      <c r="AO246" s="204" t="e">
        <f t="shared" si="426"/>
        <v>#VALUE!</v>
      </c>
      <c r="AP246" s="204" t="e">
        <f t="shared" si="427"/>
        <v>#VALUE!</v>
      </c>
      <c r="AQ246" s="204" t="e">
        <f t="shared" si="428"/>
        <v>#VALUE!</v>
      </c>
      <c r="AR246" s="206" t="e">
        <f t="shared" si="409"/>
        <v>#VALUE!</v>
      </c>
      <c r="AS246" s="170" t="e">
        <f t="shared" si="429"/>
        <v>#VALUE!</v>
      </c>
      <c r="AT246" s="170" t="e">
        <f t="shared" si="430"/>
        <v>#VALUE!</v>
      </c>
      <c r="AU246" s="207" t="e">
        <f t="shared" si="412"/>
        <v>#VALUE!</v>
      </c>
      <c r="AV246" s="208" t="e">
        <f t="shared" si="413"/>
        <v>#VALUE!</v>
      </c>
      <c r="AW246" s="201" t="str">
        <f t="shared" si="414"/>
        <v>Fase de Degradação</v>
      </c>
      <c r="AX246" s="253" t="e">
        <f>VLOOKUP(D246,#REF!,5,FALSE)</f>
        <v>#REF!</v>
      </c>
      <c r="AY246" s="201"/>
      <c r="AZ246" s="273" t="s">
        <v>1224</v>
      </c>
      <c r="BB246">
        <f>IFERROR(VLOOKUP(Tabela1[[#This Row],[Denominação]],[10]Planilha1!$A:$B,2,FALSE),"")</f>
        <v>674056.68999999959</v>
      </c>
    </row>
    <row r="247" spans="1:54" ht="15" hidden="1" customHeight="1" x14ac:dyDescent="0.3">
      <c r="A247" s="268">
        <v>246</v>
      </c>
      <c r="B247" s="315" t="s">
        <v>1000</v>
      </c>
      <c r="C247" s="318" t="s">
        <v>1001</v>
      </c>
      <c r="D247" s="315">
        <v>10004102</v>
      </c>
      <c r="E247" s="299" t="s">
        <v>1278</v>
      </c>
      <c r="F247" s="299">
        <v>1076</v>
      </c>
      <c r="G247" s="315">
        <v>33855</v>
      </c>
      <c r="H247" s="315">
        <v>2004</v>
      </c>
      <c r="I247" s="329">
        <v>504595.57</v>
      </c>
      <c r="J247" s="330">
        <v>9772</v>
      </c>
      <c r="K247" s="326">
        <v>117079.36</v>
      </c>
      <c r="L247" s="319">
        <v>2.52</v>
      </c>
      <c r="M247" s="320">
        <v>3213</v>
      </c>
      <c r="N247" s="320">
        <v>113031</v>
      </c>
      <c r="O247" s="321">
        <v>125</v>
      </c>
      <c r="P247" s="271" t="str">
        <f>IFERROR(VLOOKUP(Tabela1[[#This Row],[TAG]],#REF!,14,FALSE),"")</f>
        <v/>
      </c>
      <c r="Q247" s="323" t="e">
        <f t="shared" si="387"/>
        <v>#VALUE!</v>
      </c>
      <c r="R247" s="323" t="e">
        <f t="shared" si="388"/>
        <v>#VALUE!</v>
      </c>
      <c r="S247" s="323" t="e">
        <f t="shared" si="389"/>
        <v>#VALUE!</v>
      </c>
      <c r="T247" s="323" t="e">
        <f t="shared" si="390"/>
        <v>#VALUE!</v>
      </c>
      <c r="U247" s="323" t="e">
        <f t="shared" si="391"/>
        <v>#VALUE!</v>
      </c>
      <c r="V247" s="323" t="e">
        <f t="shared" si="392"/>
        <v>#VALUE!</v>
      </c>
      <c r="W247" s="304">
        <v>370.96</v>
      </c>
      <c r="X247" s="326">
        <v>253.36291666666668</v>
      </c>
      <c r="Y247" s="322">
        <v>0.1</v>
      </c>
      <c r="Z247" s="322">
        <f>IF(Tabela1[[#This Row],[Ano Aquisição]]=2023,0,IFERROR(VLOOKUP(H247,inflação!$F:$H,3,FALSE),""))</f>
        <v>1.1001000000000001</v>
      </c>
      <c r="AA247" s="322">
        <v>0.8</v>
      </c>
      <c r="AB247" s="310">
        <f t="shared" si="393"/>
        <v>-504595.57</v>
      </c>
      <c r="AC247" s="323" t="e">
        <f t="shared" si="415"/>
        <v>#VALUE!</v>
      </c>
      <c r="AD247" s="323" t="e">
        <f t="shared" si="416"/>
        <v>#VALUE!</v>
      </c>
      <c r="AE247" s="323" t="e">
        <f t="shared" si="417"/>
        <v>#VALUE!</v>
      </c>
      <c r="AF247" s="323" t="e">
        <f t="shared" si="418"/>
        <v>#VALUE!</v>
      </c>
      <c r="AG247" s="323" t="e">
        <f t="shared" si="419"/>
        <v>#VALUE!</v>
      </c>
      <c r="AH247" s="323" t="e">
        <f t="shared" si="420"/>
        <v>#VALUE!</v>
      </c>
      <c r="AI247" s="323" t="e">
        <f t="shared" si="421"/>
        <v>#VALUE!</v>
      </c>
      <c r="AJ247" s="324">
        <f t="shared" si="401"/>
        <v>-1059701.1565570002</v>
      </c>
      <c r="AK247" s="323" t="e">
        <f t="shared" si="422"/>
        <v>#VALUE!</v>
      </c>
      <c r="AL247" s="323" t="e">
        <f t="shared" si="423"/>
        <v>#VALUE!</v>
      </c>
      <c r="AM247" s="323" t="e">
        <f t="shared" si="424"/>
        <v>#VALUE!</v>
      </c>
      <c r="AN247" s="323" t="e">
        <f t="shared" si="425"/>
        <v>#VALUE!</v>
      </c>
      <c r="AO247" s="323" t="e">
        <f t="shared" si="426"/>
        <v>#VALUE!</v>
      </c>
      <c r="AP247" s="323" t="e">
        <f t="shared" si="427"/>
        <v>#VALUE!</v>
      </c>
      <c r="AQ247" s="323" t="e">
        <f t="shared" si="428"/>
        <v>#VALUE!</v>
      </c>
      <c r="AR247" s="325" t="e">
        <f t="shared" si="409"/>
        <v>#VALUE!</v>
      </c>
      <c r="AS247" s="326" t="e">
        <f t="shared" si="429"/>
        <v>#VALUE!</v>
      </c>
      <c r="AT247" s="326" t="e">
        <f t="shared" si="430"/>
        <v>#VALUE!</v>
      </c>
      <c r="AU247" s="319" t="e">
        <f t="shared" si="412"/>
        <v>#VALUE!</v>
      </c>
      <c r="AV247" s="327" t="e">
        <f t="shared" si="413"/>
        <v>#VALUE!</v>
      </c>
      <c r="AW247" s="315" t="str">
        <f t="shared" si="414"/>
        <v>Fase de Degradação</v>
      </c>
      <c r="AX247" s="299" t="e">
        <f>VLOOKUP(D247,#REF!,5,FALSE)</f>
        <v>#REF!</v>
      </c>
      <c r="AY247" s="315"/>
      <c r="AZ247" s="316" t="s">
        <v>1224</v>
      </c>
      <c r="BB247">
        <f>IFERROR(VLOOKUP(Tabela1[[#This Row],[Denominação]],[10]Planilha1!$A:$B,2,FALSE),"")</f>
        <v>117537.72</v>
      </c>
    </row>
    <row r="248" spans="1:54" ht="15" hidden="1" customHeight="1" x14ac:dyDescent="0.3">
      <c r="A248" s="253">
        <v>247</v>
      </c>
      <c r="B248" s="201" t="s">
        <v>1002</v>
      </c>
      <c r="C248" s="211" t="s">
        <v>1003</v>
      </c>
      <c r="D248" s="201">
        <v>10005913</v>
      </c>
      <c r="E248" s="253" t="s">
        <v>1323</v>
      </c>
      <c r="F248" s="253">
        <v>1076</v>
      </c>
      <c r="G248" s="201">
        <v>40340</v>
      </c>
      <c r="H248" s="201">
        <v>2010</v>
      </c>
      <c r="I248" s="216">
        <v>364311.51</v>
      </c>
      <c r="J248" s="214">
        <v>6978</v>
      </c>
      <c r="K248" s="170">
        <v>428818.41000000015</v>
      </c>
      <c r="L248" s="207">
        <v>1.82</v>
      </c>
      <c r="M248" s="212">
        <v>3213</v>
      </c>
      <c r="N248" s="212">
        <v>98942</v>
      </c>
      <c r="O248" s="171">
        <v>251</v>
      </c>
      <c r="P248" s="271" t="str">
        <f>IFERROR(VLOOKUP(Tabela1[[#This Row],[TAG]],#REF!,14,FALSE),"")</f>
        <v/>
      </c>
      <c r="Q248" s="204" t="e">
        <f t="shared" si="387"/>
        <v>#VALUE!</v>
      </c>
      <c r="R248" s="204" t="e">
        <f t="shared" si="388"/>
        <v>#VALUE!</v>
      </c>
      <c r="S248" s="204" t="e">
        <f t="shared" si="389"/>
        <v>#VALUE!</v>
      </c>
      <c r="T248" s="204" t="e">
        <f t="shared" si="390"/>
        <v>#VALUE!</v>
      </c>
      <c r="U248" s="204" t="e">
        <f t="shared" si="391"/>
        <v>#VALUE!</v>
      </c>
      <c r="V248" s="204" t="e">
        <f t="shared" si="392"/>
        <v>#VALUE!</v>
      </c>
      <c r="W248" s="218">
        <v>587.26</v>
      </c>
      <c r="X248" s="170">
        <v>1954.98</v>
      </c>
      <c r="Y248" s="203">
        <v>0.1</v>
      </c>
      <c r="Z248" s="203">
        <f>IF(Tabela1[[#This Row],[Ano Aquisição]]=2023,0,IFERROR(VLOOKUP(H248,inflação!$F:$H,3,FALSE),""))</f>
        <v>0.78910000000000002</v>
      </c>
      <c r="AA248" s="203">
        <v>0.8</v>
      </c>
      <c r="AB248" s="202">
        <f t="shared" si="393"/>
        <v>-364311.51</v>
      </c>
      <c r="AC248" s="204" t="e">
        <f t="shared" si="415"/>
        <v>#VALUE!</v>
      </c>
      <c r="AD248" s="204" t="e">
        <f t="shared" si="416"/>
        <v>#VALUE!</v>
      </c>
      <c r="AE248" s="204" t="e">
        <f t="shared" si="417"/>
        <v>#VALUE!</v>
      </c>
      <c r="AF248" s="204" t="e">
        <f t="shared" si="418"/>
        <v>#VALUE!</v>
      </c>
      <c r="AG248" s="204" t="e">
        <f t="shared" si="419"/>
        <v>#VALUE!</v>
      </c>
      <c r="AH248" s="204" t="e">
        <f t="shared" si="420"/>
        <v>#VALUE!</v>
      </c>
      <c r="AI248" s="204" t="e">
        <f t="shared" si="421"/>
        <v>#VALUE!</v>
      </c>
      <c r="AJ248" s="205">
        <f t="shared" si="401"/>
        <v>-651789.722541</v>
      </c>
      <c r="AK248" s="204" t="e">
        <f t="shared" si="422"/>
        <v>#VALUE!</v>
      </c>
      <c r="AL248" s="204" t="e">
        <f t="shared" si="423"/>
        <v>#VALUE!</v>
      </c>
      <c r="AM248" s="204" t="e">
        <f t="shared" si="424"/>
        <v>#VALUE!</v>
      </c>
      <c r="AN248" s="204" t="e">
        <f t="shared" si="425"/>
        <v>#VALUE!</v>
      </c>
      <c r="AO248" s="204" t="e">
        <f t="shared" si="426"/>
        <v>#VALUE!</v>
      </c>
      <c r="AP248" s="204" t="e">
        <f t="shared" si="427"/>
        <v>#VALUE!</v>
      </c>
      <c r="AQ248" s="204" t="e">
        <f t="shared" si="428"/>
        <v>#VALUE!</v>
      </c>
      <c r="AR248" s="206" t="e">
        <f t="shared" si="409"/>
        <v>#VALUE!</v>
      </c>
      <c r="AS248" s="170" t="e">
        <f t="shared" si="429"/>
        <v>#VALUE!</v>
      </c>
      <c r="AT248" s="170" t="e">
        <f t="shared" si="430"/>
        <v>#VALUE!</v>
      </c>
      <c r="AU248" s="207" t="e">
        <f t="shared" si="412"/>
        <v>#VALUE!</v>
      </c>
      <c r="AV248" s="208" t="e">
        <f t="shared" si="413"/>
        <v>#VALUE!</v>
      </c>
      <c r="AW248" s="201" t="str">
        <f t="shared" si="414"/>
        <v>Fase de Degradação</v>
      </c>
      <c r="AX248" s="253" t="e">
        <f>VLOOKUP(D248,#REF!,5,FALSE)</f>
        <v>#REF!</v>
      </c>
      <c r="AY248" s="201"/>
      <c r="AZ248" s="273" t="s">
        <v>1224</v>
      </c>
      <c r="BB248">
        <f>IFERROR(VLOOKUP(Tabela1[[#This Row],[Denominação]],[10]Planilha1!$A:$B,2,FALSE),"")</f>
        <v>428818.41000000015</v>
      </c>
    </row>
    <row r="249" spans="1:54" ht="15" hidden="1" customHeight="1" x14ac:dyDescent="0.3">
      <c r="A249" s="268">
        <v>248</v>
      </c>
      <c r="B249" s="201" t="s">
        <v>1004</v>
      </c>
      <c r="C249" s="211" t="s">
        <v>1005</v>
      </c>
      <c r="D249" s="201">
        <v>10005914</v>
      </c>
      <c r="E249" s="253" t="s">
        <v>1323</v>
      </c>
      <c r="F249" s="253">
        <v>1074</v>
      </c>
      <c r="G249" s="201">
        <v>40339</v>
      </c>
      <c r="H249" s="201">
        <v>2011</v>
      </c>
      <c r="I249" s="216">
        <v>105564.78</v>
      </c>
      <c r="J249" s="214">
        <v>1745</v>
      </c>
      <c r="K249" s="170">
        <v>96316.5</v>
      </c>
      <c r="L249" s="207">
        <v>1.67</v>
      </c>
      <c r="M249" s="212">
        <v>4116</v>
      </c>
      <c r="N249" s="212">
        <v>94651</v>
      </c>
      <c r="O249" s="171">
        <v>65</v>
      </c>
      <c r="P249" s="271" t="str">
        <f>IFERROR(VLOOKUP(Tabela1[[#This Row],[TAG]],#REF!,14,FALSE),"")</f>
        <v/>
      </c>
      <c r="Q249" s="204" t="e">
        <f t="shared" si="387"/>
        <v>#VALUE!</v>
      </c>
      <c r="R249" s="204" t="e">
        <f t="shared" si="388"/>
        <v>#VALUE!</v>
      </c>
      <c r="S249" s="204" t="e">
        <f t="shared" si="389"/>
        <v>#VALUE!</v>
      </c>
      <c r="T249" s="204" t="e">
        <f t="shared" si="390"/>
        <v>#VALUE!</v>
      </c>
      <c r="U249" s="204" t="e">
        <f t="shared" si="391"/>
        <v>#VALUE!</v>
      </c>
      <c r="V249" s="204" t="e">
        <f t="shared" si="392"/>
        <v>#VALUE!</v>
      </c>
      <c r="W249" s="218">
        <v>431.64</v>
      </c>
      <c r="X249" s="170">
        <v>761.65638888888907</v>
      </c>
      <c r="Y249" s="203">
        <v>0.1</v>
      </c>
      <c r="Z249" s="203">
        <f>IF(Tabela1[[#This Row],[Ano Aquisição]]=2023,0,IFERROR(VLOOKUP(H249,inflação!$F:$H,3,FALSE),""))</f>
        <v>0.73</v>
      </c>
      <c r="AA249" s="203">
        <v>0.8</v>
      </c>
      <c r="AB249" s="202">
        <f t="shared" si="393"/>
        <v>-105564.78</v>
      </c>
      <c r="AC249" s="204" t="e">
        <f t="shared" si="415"/>
        <v>#VALUE!</v>
      </c>
      <c r="AD249" s="204" t="e">
        <f t="shared" si="416"/>
        <v>#VALUE!</v>
      </c>
      <c r="AE249" s="204" t="e">
        <f t="shared" si="417"/>
        <v>#VALUE!</v>
      </c>
      <c r="AF249" s="204" t="e">
        <f t="shared" si="418"/>
        <v>#VALUE!</v>
      </c>
      <c r="AG249" s="204" t="e">
        <f t="shared" si="419"/>
        <v>#VALUE!</v>
      </c>
      <c r="AH249" s="204" t="e">
        <f t="shared" si="420"/>
        <v>#VALUE!</v>
      </c>
      <c r="AI249" s="204" t="e">
        <f t="shared" si="421"/>
        <v>#VALUE!</v>
      </c>
      <c r="AJ249" s="205">
        <f t="shared" si="401"/>
        <v>-182627.06940000001</v>
      </c>
      <c r="AK249" s="204" t="e">
        <f t="shared" si="422"/>
        <v>#VALUE!</v>
      </c>
      <c r="AL249" s="204" t="e">
        <f t="shared" si="423"/>
        <v>#VALUE!</v>
      </c>
      <c r="AM249" s="204" t="e">
        <f t="shared" si="424"/>
        <v>#VALUE!</v>
      </c>
      <c r="AN249" s="204" t="e">
        <f t="shared" si="425"/>
        <v>#VALUE!</v>
      </c>
      <c r="AO249" s="204" t="e">
        <f t="shared" si="426"/>
        <v>#VALUE!</v>
      </c>
      <c r="AP249" s="204" t="e">
        <f t="shared" si="427"/>
        <v>#VALUE!</v>
      </c>
      <c r="AQ249" s="204" t="e">
        <f t="shared" si="428"/>
        <v>#VALUE!</v>
      </c>
      <c r="AR249" s="206" t="e">
        <f t="shared" si="409"/>
        <v>#VALUE!</v>
      </c>
      <c r="AS249" s="170" t="e">
        <f t="shared" si="429"/>
        <v>#VALUE!</v>
      </c>
      <c r="AT249" s="170" t="e">
        <f t="shared" si="430"/>
        <v>#VALUE!</v>
      </c>
      <c r="AU249" s="207" t="e">
        <f t="shared" si="412"/>
        <v>#VALUE!</v>
      </c>
      <c r="AV249" s="208" t="e">
        <f t="shared" si="413"/>
        <v>#VALUE!</v>
      </c>
      <c r="AW249" s="201" t="str">
        <f t="shared" si="414"/>
        <v>Fase de Degradação</v>
      </c>
      <c r="AX249" s="253" t="e">
        <f>VLOOKUP(D249,#REF!,5,FALSE)</f>
        <v>#REF!</v>
      </c>
      <c r="AY249" s="201"/>
      <c r="AZ249" s="273" t="s">
        <v>1224</v>
      </c>
      <c r="BB249">
        <f>IFERROR(VLOOKUP(Tabela1[[#This Row],[Denominação]],[10]Planilha1!$A:$B,2,FALSE),"")</f>
        <v>96316.5</v>
      </c>
    </row>
    <row r="250" spans="1:54" ht="15" hidden="1" customHeight="1" x14ac:dyDescent="0.3">
      <c r="A250" s="253">
        <v>249</v>
      </c>
      <c r="B250" s="201" t="s">
        <v>1006</v>
      </c>
      <c r="C250" s="211" t="s">
        <v>1007</v>
      </c>
      <c r="D250" s="201">
        <v>10005915</v>
      </c>
      <c r="E250" s="253" t="s">
        <v>1323</v>
      </c>
      <c r="F250" s="253">
        <v>1074</v>
      </c>
      <c r="G250" s="201">
        <v>40337</v>
      </c>
      <c r="H250" s="201">
        <v>2011</v>
      </c>
      <c r="I250" s="216">
        <v>100847.06</v>
      </c>
      <c r="J250" s="214">
        <v>1550</v>
      </c>
      <c r="K250" s="170">
        <v>64714.840000000011</v>
      </c>
      <c r="L250" s="207">
        <v>1.1000000000000001</v>
      </c>
      <c r="M250" s="212">
        <v>4116</v>
      </c>
      <c r="N250" s="212">
        <v>97596</v>
      </c>
      <c r="O250" s="171">
        <v>56</v>
      </c>
      <c r="P250" s="271" t="str">
        <f>IFERROR(VLOOKUP(Tabela1[[#This Row],[TAG]],#REF!,14,FALSE),"")</f>
        <v/>
      </c>
      <c r="Q250" s="204" t="e">
        <f t="shared" si="387"/>
        <v>#VALUE!</v>
      </c>
      <c r="R250" s="204" t="e">
        <f t="shared" si="388"/>
        <v>#VALUE!</v>
      </c>
      <c r="S250" s="204" t="e">
        <f t="shared" si="389"/>
        <v>#VALUE!</v>
      </c>
      <c r="T250" s="204" t="e">
        <f t="shared" si="390"/>
        <v>#VALUE!</v>
      </c>
      <c r="U250" s="204" t="e">
        <f t="shared" si="391"/>
        <v>#VALUE!</v>
      </c>
      <c r="V250" s="204" t="e">
        <f t="shared" si="392"/>
        <v>#VALUE!</v>
      </c>
      <c r="W250" s="218">
        <v>577.15</v>
      </c>
      <c r="X250" s="170">
        <v>271.67249999999996</v>
      </c>
      <c r="Y250" s="203">
        <v>0.1</v>
      </c>
      <c r="Z250" s="203">
        <f>IF(Tabela1[[#This Row],[Ano Aquisição]]=2023,0,IFERROR(VLOOKUP(H250,inflação!$F:$H,3,FALSE),""))</f>
        <v>0.73</v>
      </c>
      <c r="AA250" s="203">
        <v>0.8</v>
      </c>
      <c r="AB250" s="202">
        <f t="shared" si="393"/>
        <v>-100847.06</v>
      </c>
      <c r="AC250" s="204" t="e">
        <f t="shared" si="415"/>
        <v>#VALUE!</v>
      </c>
      <c r="AD250" s="204" t="e">
        <f t="shared" si="416"/>
        <v>#VALUE!</v>
      </c>
      <c r="AE250" s="204" t="e">
        <f t="shared" si="417"/>
        <v>#VALUE!</v>
      </c>
      <c r="AF250" s="204" t="e">
        <f t="shared" si="418"/>
        <v>#VALUE!</v>
      </c>
      <c r="AG250" s="204" t="e">
        <f t="shared" si="419"/>
        <v>#VALUE!</v>
      </c>
      <c r="AH250" s="204" t="e">
        <f t="shared" si="420"/>
        <v>#VALUE!</v>
      </c>
      <c r="AI250" s="204" t="e">
        <f t="shared" si="421"/>
        <v>#VALUE!</v>
      </c>
      <c r="AJ250" s="205">
        <f t="shared" si="401"/>
        <v>-174465.41379999998</v>
      </c>
      <c r="AK250" s="204" t="e">
        <f t="shared" si="422"/>
        <v>#VALUE!</v>
      </c>
      <c r="AL250" s="204" t="e">
        <f t="shared" si="423"/>
        <v>#VALUE!</v>
      </c>
      <c r="AM250" s="204" t="e">
        <f t="shared" si="424"/>
        <v>#VALUE!</v>
      </c>
      <c r="AN250" s="204" t="e">
        <f t="shared" si="425"/>
        <v>#VALUE!</v>
      </c>
      <c r="AO250" s="204" t="e">
        <f t="shared" si="426"/>
        <v>#VALUE!</v>
      </c>
      <c r="AP250" s="204" t="e">
        <f t="shared" si="427"/>
        <v>#VALUE!</v>
      </c>
      <c r="AQ250" s="204" t="e">
        <f t="shared" si="428"/>
        <v>#VALUE!</v>
      </c>
      <c r="AR250" s="206" t="e">
        <f t="shared" si="409"/>
        <v>#VALUE!</v>
      </c>
      <c r="AS250" s="170" t="e">
        <f t="shared" si="429"/>
        <v>#VALUE!</v>
      </c>
      <c r="AT250" s="170" t="e">
        <f t="shared" si="430"/>
        <v>#VALUE!</v>
      </c>
      <c r="AU250" s="207" t="e">
        <f t="shared" si="412"/>
        <v>#VALUE!</v>
      </c>
      <c r="AV250" s="208" t="e">
        <f t="shared" si="413"/>
        <v>#VALUE!</v>
      </c>
      <c r="AW250" s="201" t="str">
        <f t="shared" si="414"/>
        <v>Fase de Vida Útil</v>
      </c>
      <c r="AX250" s="253" t="e">
        <f>VLOOKUP(D250,#REF!,5,FALSE)</f>
        <v>#REF!</v>
      </c>
      <c r="AY250" s="201"/>
      <c r="AZ250" s="273" t="s">
        <v>1224</v>
      </c>
      <c r="BB250">
        <f>IFERROR(VLOOKUP(Tabela1[[#This Row],[Denominação]],[10]Planilha1!$A:$B,2,FALSE),"")</f>
        <v>64714.840000000011</v>
      </c>
    </row>
    <row r="251" spans="1:54" ht="15" hidden="1" customHeight="1" x14ac:dyDescent="0.3">
      <c r="A251" s="268">
        <v>250</v>
      </c>
      <c r="B251" s="201" t="s">
        <v>1008</v>
      </c>
      <c r="C251" s="211" t="s">
        <v>1009</v>
      </c>
      <c r="D251" s="201">
        <v>10005916</v>
      </c>
      <c r="E251" s="253" t="s">
        <v>1323</v>
      </c>
      <c r="F251" s="253">
        <v>1074</v>
      </c>
      <c r="G251" s="201">
        <v>40338</v>
      </c>
      <c r="H251" s="201">
        <v>2011</v>
      </c>
      <c r="I251" s="216">
        <v>110240.93</v>
      </c>
      <c r="J251" s="214">
        <v>1605</v>
      </c>
      <c r="K251" s="170">
        <v>102697.30000000002</v>
      </c>
      <c r="L251" s="207">
        <v>1.31</v>
      </c>
      <c r="M251" s="212">
        <v>4116</v>
      </c>
      <c r="N251" s="212">
        <v>98410</v>
      </c>
      <c r="O251" s="171">
        <v>59</v>
      </c>
      <c r="P251" s="271" t="str">
        <f>IFERROR(VLOOKUP(Tabela1[[#This Row],[TAG]],#REF!,14,FALSE),"")</f>
        <v/>
      </c>
      <c r="Q251" s="204" t="e">
        <f t="shared" si="387"/>
        <v>#VALUE!</v>
      </c>
      <c r="R251" s="204" t="e">
        <f t="shared" si="388"/>
        <v>#VALUE!</v>
      </c>
      <c r="S251" s="204" t="e">
        <f t="shared" si="389"/>
        <v>#VALUE!</v>
      </c>
      <c r="T251" s="204" t="e">
        <f t="shared" si="390"/>
        <v>#VALUE!</v>
      </c>
      <c r="U251" s="204" t="e">
        <f t="shared" si="391"/>
        <v>#VALUE!</v>
      </c>
      <c r="V251" s="204" t="e">
        <f t="shared" si="392"/>
        <v>#VALUE!</v>
      </c>
      <c r="W251" s="218">
        <v>518.16</v>
      </c>
      <c r="X251" s="170">
        <v>783.48</v>
      </c>
      <c r="Y251" s="203">
        <v>0.1</v>
      </c>
      <c r="Z251" s="203">
        <f>IF(Tabela1[[#This Row],[Ano Aquisição]]=2023,0,IFERROR(VLOOKUP(H251,inflação!$F:$H,3,FALSE),""))</f>
        <v>0.73</v>
      </c>
      <c r="AA251" s="203">
        <v>0.8</v>
      </c>
      <c r="AB251" s="202">
        <f t="shared" si="393"/>
        <v>-110240.93</v>
      </c>
      <c r="AC251" s="204" t="e">
        <f t="shared" si="415"/>
        <v>#VALUE!</v>
      </c>
      <c r="AD251" s="204" t="e">
        <f t="shared" si="416"/>
        <v>#VALUE!</v>
      </c>
      <c r="AE251" s="204" t="e">
        <f t="shared" si="417"/>
        <v>#VALUE!</v>
      </c>
      <c r="AF251" s="204" t="e">
        <f t="shared" si="418"/>
        <v>#VALUE!</v>
      </c>
      <c r="AG251" s="204" t="e">
        <f t="shared" si="419"/>
        <v>#VALUE!</v>
      </c>
      <c r="AH251" s="204" t="e">
        <f t="shared" si="420"/>
        <v>#VALUE!</v>
      </c>
      <c r="AI251" s="204" t="e">
        <f t="shared" si="421"/>
        <v>#VALUE!</v>
      </c>
      <c r="AJ251" s="205">
        <f t="shared" si="401"/>
        <v>-190716.80889999997</v>
      </c>
      <c r="AK251" s="204" t="e">
        <f t="shared" si="422"/>
        <v>#VALUE!</v>
      </c>
      <c r="AL251" s="204" t="e">
        <f t="shared" si="423"/>
        <v>#VALUE!</v>
      </c>
      <c r="AM251" s="204" t="e">
        <f t="shared" si="424"/>
        <v>#VALUE!</v>
      </c>
      <c r="AN251" s="204" t="e">
        <f t="shared" si="425"/>
        <v>#VALUE!</v>
      </c>
      <c r="AO251" s="204" t="e">
        <f t="shared" si="426"/>
        <v>#VALUE!</v>
      </c>
      <c r="AP251" s="204" t="e">
        <f t="shared" si="427"/>
        <v>#VALUE!</v>
      </c>
      <c r="AQ251" s="204" t="e">
        <f t="shared" si="428"/>
        <v>#VALUE!</v>
      </c>
      <c r="AR251" s="206" t="e">
        <f t="shared" si="409"/>
        <v>#VALUE!</v>
      </c>
      <c r="AS251" s="170" t="e">
        <f t="shared" si="429"/>
        <v>#VALUE!</v>
      </c>
      <c r="AT251" s="170" t="e">
        <f t="shared" si="430"/>
        <v>#VALUE!</v>
      </c>
      <c r="AU251" s="207" t="e">
        <f t="shared" si="412"/>
        <v>#VALUE!</v>
      </c>
      <c r="AV251" s="208" t="e">
        <f t="shared" si="413"/>
        <v>#VALUE!</v>
      </c>
      <c r="AW251" s="201" t="str">
        <f t="shared" si="414"/>
        <v>Fase de Degradação</v>
      </c>
      <c r="AX251" s="253" t="e">
        <f>VLOOKUP(D251,#REF!,5,FALSE)</f>
        <v>#REF!</v>
      </c>
      <c r="AY251" s="201"/>
      <c r="AZ251" s="273" t="s">
        <v>1224</v>
      </c>
      <c r="BB251">
        <f>IFERROR(VLOOKUP(Tabela1[[#This Row],[Denominação]],[10]Planilha1!$A:$B,2,FALSE),"")</f>
        <v>102697.30000000002</v>
      </c>
    </row>
    <row r="252" spans="1:54" ht="15" hidden="1" customHeight="1" x14ac:dyDescent="0.3">
      <c r="A252" s="253">
        <v>251</v>
      </c>
      <c r="B252" s="201" t="s">
        <v>1010</v>
      </c>
      <c r="C252" s="211" t="s">
        <v>1011</v>
      </c>
      <c r="D252" s="201">
        <v>10005922</v>
      </c>
      <c r="E252" s="253" t="s">
        <v>1278</v>
      </c>
      <c r="F252" s="253">
        <v>1076</v>
      </c>
      <c r="G252" s="201">
        <v>40469</v>
      </c>
      <c r="H252" s="201">
        <v>2010</v>
      </c>
      <c r="I252" s="216">
        <v>655629.48</v>
      </c>
      <c r="J252" s="214">
        <v>22429</v>
      </c>
      <c r="K252" s="170">
        <v>604652.30999999982</v>
      </c>
      <c r="L252" s="207">
        <v>1.74</v>
      </c>
      <c r="M252" s="212">
        <v>4973</v>
      </c>
      <c r="N252" s="212">
        <v>86677</v>
      </c>
      <c r="O252" s="171">
        <v>295</v>
      </c>
      <c r="P252" s="271" t="str">
        <f>IFERROR(VLOOKUP(Tabela1[[#This Row],[TAG]],#REF!,14,FALSE),"")</f>
        <v/>
      </c>
      <c r="Q252" s="204" t="e">
        <f t="shared" si="387"/>
        <v>#VALUE!</v>
      </c>
      <c r="R252" s="204" t="e">
        <f t="shared" si="388"/>
        <v>#VALUE!</v>
      </c>
      <c r="S252" s="204" t="e">
        <f t="shared" si="389"/>
        <v>#VALUE!</v>
      </c>
      <c r="T252" s="204" t="e">
        <f t="shared" si="390"/>
        <v>#VALUE!</v>
      </c>
      <c r="U252" s="204" t="e">
        <f t="shared" si="391"/>
        <v>#VALUE!</v>
      </c>
      <c r="V252" s="204" t="e">
        <f t="shared" si="392"/>
        <v>#VALUE!</v>
      </c>
      <c r="W252" s="218">
        <v>770.8</v>
      </c>
      <c r="X252" s="170">
        <v>3231.51</v>
      </c>
      <c r="Y252" s="203">
        <v>0.1</v>
      </c>
      <c r="Z252" s="203">
        <f>IF(Tabela1[[#This Row],[Ano Aquisição]]=2023,0,IFERROR(VLOOKUP(H252,inflação!$F:$H,3,FALSE),""))</f>
        <v>0.78910000000000002</v>
      </c>
      <c r="AA252" s="203">
        <v>0.8</v>
      </c>
      <c r="AB252" s="202">
        <f t="shared" si="393"/>
        <v>-655629.48</v>
      </c>
      <c r="AC252" s="204" t="e">
        <f t="shared" si="415"/>
        <v>#VALUE!</v>
      </c>
      <c r="AD252" s="204" t="e">
        <f t="shared" si="416"/>
        <v>#VALUE!</v>
      </c>
      <c r="AE252" s="204" t="e">
        <f t="shared" si="417"/>
        <v>#VALUE!</v>
      </c>
      <c r="AF252" s="204" t="e">
        <f t="shared" si="418"/>
        <v>#VALUE!</v>
      </c>
      <c r="AG252" s="204" t="e">
        <f t="shared" si="419"/>
        <v>#VALUE!</v>
      </c>
      <c r="AH252" s="204" t="e">
        <f t="shared" si="420"/>
        <v>#VALUE!</v>
      </c>
      <c r="AI252" s="204" t="e">
        <f t="shared" si="421"/>
        <v>#VALUE!</v>
      </c>
      <c r="AJ252" s="205">
        <f t="shared" si="401"/>
        <v>-1172986.702668</v>
      </c>
      <c r="AK252" s="204" t="e">
        <f t="shared" si="422"/>
        <v>#VALUE!</v>
      </c>
      <c r="AL252" s="204" t="e">
        <f t="shared" si="423"/>
        <v>#VALUE!</v>
      </c>
      <c r="AM252" s="204" t="e">
        <f t="shared" si="424"/>
        <v>#VALUE!</v>
      </c>
      <c r="AN252" s="204" t="e">
        <f t="shared" si="425"/>
        <v>#VALUE!</v>
      </c>
      <c r="AO252" s="204" t="e">
        <f t="shared" si="426"/>
        <v>#VALUE!</v>
      </c>
      <c r="AP252" s="204" t="e">
        <f t="shared" si="427"/>
        <v>#VALUE!</v>
      </c>
      <c r="AQ252" s="204" t="e">
        <f t="shared" si="428"/>
        <v>#VALUE!</v>
      </c>
      <c r="AR252" s="206" t="e">
        <f t="shared" si="409"/>
        <v>#VALUE!</v>
      </c>
      <c r="AS252" s="170" t="e">
        <f t="shared" si="429"/>
        <v>#VALUE!</v>
      </c>
      <c r="AT252" s="170" t="e">
        <f t="shared" si="430"/>
        <v>#VALUE!</v>
      </c>
      <c r="AU252" s="207" t="e">
        <f t="shared" si="412"/>
        <v>#VALUE!</v>
      </c>
      <c r="AV252" s="208" t="e">
        <f t="shared" si="413"/>
        <v>#VALUE!</v>
      </c>
      <c r="AW252" s="201" t="str">
        <f t="shared" si="414"/>
        <v>Fase de Degradação</v>
      </c>
      <c r="AX252" s="253" t="e">
        <f>VLOOKUP(D252,#REF!,5,FALSE)</f>
        <v>#REF!</v>
      </c>
      <c r="AY252" s="201"/>
      <c r="AZ252" s="273" t="s">
        <v>1224</v>
      </c>
      <c r="BB252">
        <f>IFERROR(VLOOKUP(Tabela1[[#This Row],[Denominação]],[10]Planilha1!$A:$B,2,FALSE),"")</f>
        <v>604652.30999999982</v>
      </c>
    </row>
    <row r="253" spans="1:54" ht="15" hidden="1" customHeight="1" x14ac:dyDescent="0.3">
      <c r="A253" s="268">
        <v>252</v>
      </c>
      <c r="B253" s="201" t="s">
        <v>1012</v>
      </c>
      <c r="C253" s="211" t="s">
        <v>1013</v>
      </c>
      <c r="D253" s="201">
        <v>10006566</v>
      </c>
      <c r="E253" s="253" t="s">
        <v>1278</v>
      </c>
      <c r="F253" s="253">
        <v>1076</v>
      </c>
      <c r="G253" s="201">
        <v>48648</v>
      </c>
      <c r="H253" s="201">
        <v>2017</v>
      </c>
      <c r="I253" s="216">
        <v>78950.33</v>
      </c>
      <c r="J253" s="214">
        <v>46658</v>
      </c>
      <c r="K253" s="170">
        <v>79493.459999999977</v>
      </c>
      <c r="L253" s="207">
        <v>1.89</v>
      </c>
      <c r="M253" s="212">
        <v>4116</v>
      </c>
      <c r="N253" s="212">
        <v>38024</v>
      </c>
      <c r="O253" s="171">
        <v>40</v>
      </c>
      <c r="P253" s="271" t="str">
        <f>IFERROR(VLOOKUP(Tabela1[[#This Row],[TAG]],#REF!,14,FALSE),"")</f>
        <v/>
      </c>
      <c r="Q253" s="204" t="e">
        <f t="shared" si="387"/>
        <v>#VALUE!</v>
      </c>
      <c r="R253" s="204" t="e">
        <f t="shared" si="388"/>
        <v>#VALUE!</v>
      </c>
      <c r="S253" s="204" t="e">
        <f t="shared" si="389"/>
        <v>#VALUE!</v>
      </c>
      <c r="T253" s="204" t="e">
        <f t="shared" si="390"/>
        <v>#VALUE!</v>
      </c>
      <c r="U253" s="204" t="e">
        <f t="shared" si="391"/>
        <v>#VALUE!</v>
      </c>
      <c r="V253" s="204" t="e">
        <f t="shared" si="392"/>
        <v>#VALUE!</v>
      </c>
      <c r="W253" s="218">
        <v>731.71</v>
      </c>
      <c r="X253" s="170">
        <v>936.47</v>
      </c>
      <c r="Y253" s="203">
        <v>0.1</v>
      </c>
      <c r="Z253" s="203">
        <f>IF(Tabela1[[#This Row],[Ano Aquisição]]=2023,0,IFERROR(VLOOKUP(H253,inflação!$F:$H,3,FALSE),""))</f>
        <v>0.31379999999999997</v>
      </c>
      <c r="AA253" s="203">
        <v>0.8</v>
      </c>
      <c r="AB253" s="202">
        <f t="shared" si="393"/>
        <v>-78950.33</v>
      </c>
      <c r="AC253" s="204" t="e">
        <f t="shared" si="415"/>
        <v>#VALUE!</v>
      </c>
      <c r="AD253" s="204" t="e">
        <f t="shared" si="416"/>
        <v>#VALUE!</v>
      </c>
      <c r="AE253" s="204" t="e">
        <f t="shared" si="417"/>
        <v>#VALUE!</v>
      </c>
      <c r="AF253" s="204" t="e">
        <f t="shared" si="418"/>
        <v>#VALUE!</v>
      </c>
      <c r="AG253" s="204" t="e">
        <f t="shared" si="419"/>
        <v>#VALUE!</v>
      </c>
      <c r="AH253" s="204" t="e">
        <f t="shared" si="420"/>
        <v>#VALUE!</v>
      </c>
      <c r="AI253" s="204" t="e">
        <f t="shared" si="421"/>
        <v>#VALUE!</v>
      </c>
      <c r="AJ253" s="205">
        <f t="shared" si="401"/>
        <v>-103724.94355400001</v>
      </c>
      <c r="AK253" s="204" t="e">
        <f t="shared" si="422"/>
        <v>#VALUE!</v>
      </c>
      <c r="AL253" s="204" t="e">
        <f t="shared" si="423"/>
        <v>#VALUE!</v>
      </c>
      <c r="AM253" s="204" t="e">
        <f t="shared" si="424"/>
        <v>#VALUE!</v>
      </c>
      <c r="AN253" s="204" t="e">
        <f t="shared" si="425"/>
        <v>#VALUE!</v>
      </c>
      <c r="AO253" s="204" t="e">
        <f t="shared" si="426"/>
        <v>#VALUE!</v>
      </c>
      <c r="AP253" s="204" t="e">
        <f t="shared" si="427"/>
        <v>#VALUE!</v>
      </c>
      <c r="AQ253" s="204" t="e">
        <f t="shared" si="428"/>
        <v>#VALUE!</v>
      </c>
      <c r="AR253" s="206" t="e">
        <f t="shared" si="409"/>
        <v>#VALUE!</v>
      </c>
      <c r="AS253" s="170" t="e">
        <f t="shared" si="429"/>
        <v>#VALUE!</v>
      </c>
      <c r="AT253" s="170" t="e">
        <f t="shared" si="430"/>
        <v>#VALUE!</v>
      </c>
      <c r="AU253" s="207" t="e">
        <f t="shared" si="412"/>
        <v>#VALUE!</v>
      </c>
      <c r="AV253" s="208" t="e">
        <f t="shared" si="413"/>
        <v>#VALUE!</v>
      </c>
      <c r="AW253" s="201" t="str">
        <f t="shared" si="414"/>
        <v>Fase de Degradação</v>
      </c>
      <c r="AX253" s="253" t="e">
        <f>VLOOKUP(D253,#REF!,5,FALSE)</f>
        <v>#REF!</v>
      </c>
      <c r="AY253" s="201"/>
      <c r="AZ253" s="273" t="s">
        <v>1224</v>
      </c>
      <c r="BB253">
        <f>IFERROR(VLOOKUP(Tabela1[[#This Row],[Denominação]],[10]Planilha1!$A:$B,2,FALSE),"")</f>
        <v>79493.459999999977</v>
      </c>
    </row>
    <row r="254" spans="1:54" ht="15" hidden="1" customHeight="1" x14ac:dyDescent="0.3">
      <c r="A254" s="253">
        <v>253</v>
      </c>
      <c r="B254" s="201" t="s">
        <v>1014</v>
      </c>
      <c r="C254" s="211" t="s">
        <v>1015</v>
      </c>
      <c r="D254" s="201">
        <v>20003544</v>
      </c>
      <c r="E254" s="253" t="s">
        <v>1323</v>
      </c>
      <c r="F254" s="253">
        <v>1076</v>
      </c>
      <c r="G254" s="201">
        <v>51342</v>
      </c>
      <c r="H254" s="201">
        <v>2019</v>
      </c>
      <c r="I254" s="216">
        <v>568765.93000000005</v>
      </c>
      <c r="J254" s="214">
        <v>394614</v>
      </c>
      <c r="K254" s="170">
        <v>292818.51999999996</v>
      </c>
      <c r="L254" s="207">
        <v>1.1599999999999999</v>
      </c>
      <c r="M254" s="212">
        <v>4162</v>
      </c>
      <c r="N254" s="212">
        <v>32432</v>
      </c>
      <c r="O254" s="171">
        <v>124</v>
      </c>
      <c r="P254" s="271" t="str">
        <f>IFERROR(VLOOKUP(Tabela1[[#This Row],[TAG]],#REF!,14,FALSE),"")</f>
        <v/>
      </c>
      <c r="Q254" s="204" t="e">
        <f t="shared" si="387"/>
        <v>#VALUE!</v>
      </c>
      <c r="R254" s="204" t="e">
        <f t="shared" si="388"/>
        <v>#VALUE!</v>
      </c>
      <c r="S254" s="204" t="e">
        <f t="shared" si="389"/>
        <v>#VALUE!</v>
      </c>
      <c r="T254" s="204" t="e">
        <f t="shared" si="390"/>
        <v>#VALUE!</v>
      </c>
      <c r="U254" s="204" t="e">
        <f t="shared" si="391"/>
        <v>#VALUE!</v>
      </c>
      <c r="V254" s="204" t="e">
        <f t="shared" si="392"/>
        <v>#VALUE!</v>
      </c>
      <c r="W254" s="218">
        <v>808.68</v>
      </c>
      <c r="X254" s="170">
        <v>1851.96</v>
      </c>
      <c r="Y254" s="203">
        <v>0.1</v>
      </c>
      <c r="Z254" s="203">
        <f>IF(Tabela1[[#This Row],[Ano Aquisição]]=2023,0,IFERROR(VLOOKUP(H254,inflação!$F:$H,3,FALSE),""))</f>
        <v>0.24679999999999999</v>
      </c>
      <c r="AA254" s="203">
        <v>0.8</v>
      </c>
      <c r="AB254" s="202">
        <f t="shared" si="393"/>
        <v>-568765.93000000005</v>
      </c>
      <c r="AC254" s="204" t="e">
        <f t="shared" si="415"/>
        <v>#VALUE!</v>
      </c>
      <c r="AD254" s="204" t="e">
        <f t="shared" si="416"/>
        <v>#VALUE!</v>
      </c>
      <c r="AE254" s="204" t="e">
        <f t="shared" si="417"/>
        <v>#VALUE!</v>
      </c>
      <c r="AF254" s="204" t="e">
        <f t="shared" si="418"/>
        <v>#VALUE!</v>
      </c>
      <c r="AG254" s="204" t="e">
        <f t="shared" si="419"/>
        <v>#VALUE!</v>
      </c>
      <c r="AH254" s="204" t="e">
        <f t="shared" si="420"/>
        <v>#VALUE!</v>
      </c>
      <c r="AI254" s="204" t="e">
        <f t="shared" si="421"/>
        <v>#VALUE!</v>
      </c>
      <c r="AJ254" s="205">
        <f t="shared" si="401"/>
        <v>-709137.36152400007</v>
      </c>
      <c r="AK254" s="204" t="e">
        <f t="shared" si="422"/>
        <v>#VALUE!</v>
      </c>
      <c r="AL254" s="204" t="e">
        <f t="shared" si="423"/>
        <v>#VALUE!</v>
      </c>
      <c r="AM254" s="204" t="e">
        <f t="shared" si="424"/>
        <v>#VALUE!</v>
      </c>
      <c r="AN254" s="204" t="e">
        <f t="shared" si="425"/>
        <v>#VALUE!</v>
      </c>
      <c r="AO254" s="204" t="e">
        <f t="shared" si="426"/>
        <v>#VALUE!</v>
      </c>
      <c r="AP254" s="204" t="e">
        <f t="shared" si="427"/>
        <v>#VALUE!</v>
      </c>
      <c r="AQ254" s="204" t="e">
        <f t="shared" si="428"/>
        <v>#VALUE!</v>
      </c>
      <c r="AR254" s="206" t="e">
        <f t="shared" si="409"/>
        <v>#VALUE!</v>
      </c>
      <c r="AS254" s="170" t="e">
        <f t="shared" si="429"/>
        <v>#VALUE!</v>
      </c>
      <c r="AT254" s="170" t="e">
        <f t="shared" si="430"/>
        <v>#VALUE!</v>
      </c>
      <c r="AU254" s="207" t="e">
        <f t="shared" si="412"/>
        <v>#VALUE!</v>
      </c>
      <c r="AV254" s="208" t="e">
        <f t="shared" si="413"/>
        <v>#VALUE!</v>
      </c>
      <c r="AW254" s="201" t="str">
        <f t="shared" si="414"/>
        <v>Fase de Degradação</v>
      </c>
      <c r="AX254" s="253" t="e">
        <f>VLOOKUP(D254,#REF!,5,FALSE)</f>
        <v>#REF!</v>
      </c>
      <c r="AY254" s="201"/>
      <c r="AZ254" s="273" t="s">
        <v>1224</v>
      </c>
      <c r="BB254">
        <f>IFERROR(VLOOKUP(Tabela1[[#This Row],[Denominação]],[10]Planilha1!$A:$B,2,FALSE),"")</f>
        <v>292818.51999999996</v>
      </c>
    </row>
    <row r="255" spans="1:54" ht="15" hidden="1" customHeight="1" x14ac:dyDescent="0.3">
      <c r="A255" s="268">
        <v>254</v>
      </c>
      <c r="B255" s="201" t="s">
        <v>1016</v>
      </c>
      <c r="C255" s="211" t="s">
        <v>1017</v>
      </c>
      <c r="D255" s="201">
        <v>40000354</v>
      </c>
      <c r="E255" s="253" t="s">
        <v>2055</v>
      </c>
      <c r="F255" s="253">
        <v>4645</v>
      </c>
      <c r="G255" s="201">
        <v>48250</v>
      </c>
      <c r="H255" s="201">
        <v>2017</v>
      </c>
      <c r="I255" s="216">
        <v>99076.44</v>
      </c>
      <c r="J255" s="214">
        <v>34221</v>
      </c>
      <c r="K255" s="170">
        <v>128532.97000000003</v>
      </c>
      <c r="L255" s="207">
        <v>0.99</v>
      </c>
      <c r="M255" s="212">
        <f>10*7*4*12</f>
        <v>3360</v>
      </c>
      <c r="N255" s="212">
        <v>48347</v>
      </c>
      <c r="O255" s="171">
        <v>209</v>
      </c>
      <c r="P255" s="271" t="str">
        <f>IFERROR(VLOOKUP(Tabela1[[#This Row],[TAG]],#REF!,14,FALSE),"")</f>
        <v/>
      </c>
      <c r="Q255" s="204" t="e">
        <f t="shared" si="387"/>
        <v>#VALUE!</v>
      </c>
      <c r="R255" s="204" t="e">
        <f t="shared" si="388"/>
        <v>#VALUE!</v>
      </c>
      <c r="S255" s="204" t="e">
        <f t="shared" si="389"/>
        <v>#VALUE!</v>
      </c>
      <c r="T255" s="204" t="e">
        <f t="shared" si="390"/>
        <v>#VALUE!</v>
      </c>
      <c r="U255" s="204" t="e">
        <f t="shared" si="391"/>
        <v>#VALUE!</v>
      </c>
      <c r="V255" s="204" t="e">
        <f t="shared" si="392"/>
        <v>#VALUE!</v>
      </c>
      <c r="W255" s="218">
        <v>165.58</v>
      </c>
      <c r="X255" s="218">
        <v>1055.4244444444444</v>
      </c>
      <c r="Y255" s="203">
        <v>0.1</v>
      </c>
      <c r="Z255" s="203">
        <f>IF(Tabela1[[#This Row],[Ano Aquisição]]=2023,0,IFERROR(VLOOKUP(H255,inflação!$F:$H,3,FALSE),""))</f>
        <v>0.31379999999999997</v>
      </c>
      <c r="AA255" s="203">
        <v>0.8</v>
      </c>
      <c r="AB255" s="202">
        <f t="shared" si="393"/>
        <v>-99076.44</v>
      </c>
      <c r="AC255" s="204" t="e">
        <f t="shared" si="415"/>
        <v>#VALUE!</v>
      </c>
      <c r="AD255" s="204" t="e">
        <f t="shared" si="416"/>
        <v>#VALUE!</v>
      </c>
      <c r="AE255" s="204" t="e">
        <f t="shared" si="417"/>
        <v>#VALUE!</v>
      </c>
      <c r="AF255" s="204" t="e">
        <f t="shared" si="418"/>
        <v>#VALUE!</v>
      </c>
      <c r="AG255" s="204" t="e">
        <f t="shared" si="419"/>
        <v>#VALUE!</v>
      </c>
      <c r="AH255" s="204" t="e">
        <f t="shared" si="420"/>
        <v>#VALUE!</v>
      </c>
      <c r="AI255" s="204" t="e">
        <f t="shared" si="421"/>
        <v>#VALUE!</v>
      </c>
      <c r="AJ255" s="205">
        <f t="shared" si="401"/>
        <v>-130166.62687200001</v>
      </c>
      <c r="AK255" s="204" t="e">
        <f t="shared" si="422"/>
        <v>#VALUE!</v>
      </c>
      <c r="AL255" s="204" t="e">
        <f t="shared" si="423"/>
        <v>#VALUE!</v>
      </c>
      <c r="AM255" s="204" t="e">
        <f t="shared" si="424"/>
        <v>#VALUE!</v>
      </c>
      <c r="AN255" s="204" t="e">
        <f t="shared" si="425"/>
        <v>#VALUE!</v>
      </c>
      <c r="AO255" s="204" t="e">
        <f t="shared" si="426"/>
        <v>#VALUE!</v>
      </c>
      <c r="AP255" s="204" t="e">
        <f t="shared" si="427"/>
        <v>#VALUE!</v>
      </c>
      <c r="AQ255" s="204" t="e">
        <f t="shared" si="428"/>
        <v>#VALUE!</v>
      </c>
      <c r="AR255" s="206" t="e">
        <f t="shared" si="409"/>
        <v>#VALUE!</v>
      </c>
      <c r="AS255" s="170" t="e">
        <f t="shared" si="429"/>
        <v>#VALUE!</v>
      </c>
      <c r="AT255" s="170" t="e">
        <f t="shared" si="430"/>
        <v>#VALUE!</v>
      </c>
      <c r="AU255" s="207" t="e">
        <f t="shared" si="412"/>
        <v>#VALUE!</v>
      </c>
      <c r="AV255" s="208" t="e">
        <f t="shared" si="413"/>
        <v>#VALUE!</v>
      </c>
      <c r="AW255" s="201" t="str">
        <f t="shared" si="414"/>
        <v>Confiabilidade em Crescimento</v>
      </c>
      <c r="AX255" s="253" t="e">
        <f>VLOOKUP(D255,#REF!,5,FALSE)</f>
        <v>#REF!</v>
      </c>
      <c r="AY255" s="201" t="s">
        <v>1224</v>
      </c>
      <c r="AZ255" s="273" t="s">
        <v>1224</v>
      </c>
      <c r="BB255">
        <f>IFERROR(VLOOKUP(Tabela1[[#This Row],[Denominação]],[10]Planilha1!$A:$B,2,FALSE),"")</f>
        <v>128532.97000000003</v>
      </c>
    </row>
    <row r="256" spans="1:54" ht="15" hidden="1" customHeight="1" x14ac:dyDescent="0.3">
      <c r="A256" s="253">
        <v>255</v>
      </c>
      <c r="B256" s="201" t="s">
        <v>2020</v>
      </c>
      <c r="C256" s="211" t="s">
        <v>1927</v>
      </c>
      <c r="D256" s="201">
        <v>10004266</v>
      </c>
      <c r="E256" s="253" t="s">
        <v>1795</v>
      </c>
      <c r="F256" s="253">
        <v>620</v>
      </c>
      <c r="G256" s="201">
        <v>44180</v>
      </c>
      <c r="H256" s="201">
        <v>2006</v>
      </c>
      <c r="I256" s="216"/>
      <c r="J256" s="214"/>
      <c r="K256" s="170"/>
      <c r="L256" s="207"/>
      <c r="M256" s="212"/>
      <c r="N256" s="212"/>
      <c r="O256" s="171"/>
      <c r="P256" s="271" t="str">
        <f>IFERROR(VLOOKUP(Tabela1[[#This Row],[TAG]],#REF!,14,FALSE),"")</f>
        <v/>
      </c>
      <c r="Q256" s="204" t="e">
        <f t="shared" si="387"/>
        <v>#VALUE!</v>
      </c>
      <c r="R256" s="204" t="e">
        <f t="shared" si="388"/>
        <v>#VALUE!</v>
      </c>
      <c r="S256" s="204" t="e">
        <f t="shared" si="389"/>
        <v>#VALUE!</v>
      </c>
      <c r="T256" s="204" t="e">
        <f t="shared" si="390"/>
        <v>#VALUE!</v>
      </c>
      <c r="U256" s="204" t="e">
        <f t="shared" si="391"/>
        <v>#VALUE!</v>
      </c>
      <c r="V256" s="204" t="e">
        <f t="shared" si="392"/>
        <v>#VALUE!</v>
      </c>
      <c r="W256" s="218"/>
      <c r="X256" s="218"/>
      <c r="Y256" s="203"/>
      <c r="Z256" s="203">
        <f>IF(Tabela1[[#This Row],[Ano Aquisição]]=2023,0,IFERROR(VLOOKUP(H256,inflação!$F:$H,3,FALSE),""))</f>
        <v>0.96719999999999995</v>
      </c>
      <c r="AA256" s="203"/>
      <c r="AB256" s="218">
        <f t="shared" si="393"/>
        <v>0</v>
      </c>
      <c r="AC256" s="204" t="e">
        <f t="shared" si="415"/>
        <v>#VALUE!</v>
      </c>
      <c r="AD256" s="204" t="e">
        <f t="shared" si="416"/>
        <v>#VALUE!</v>
      </c>
      <c r="AE256" s="204" t="e">
        <f t="shared" si="417"/>
        <v>#VALUE!</v>
      </c>
      <c r="AF256" s="204" t="e">
        <f t="shared" si="418"/>
        <v>#VALUE!</v>
      </c>
      <c r="AG256" s="204" t="e">
        <f t="shared" si="419"/>
        <v>#VALUE!</v>
      </c>
      <c r="AH256" s="204" t="e">
        <f t="shared" si="420"/>
        <v>#VALUE!</v>
      </c>
      <c r="AI256" s="204" t="e">
        <f t="shared" si="421"/>
        <v>#VALUE!</v>
      </c>
      <c r="AJ256" s="205">
        <f t="shared" si="401"/>
        <v>0</v>
      </c>
      <c r="AK256" s="204" t="e">
        <f t="shared" si="422"/>
        <v>#VALUE!</v>
      </c>
      <c r="AL256" s="204" t="e">
        <f t="shared" si="423"/>
        <v>#VALUE!</v>
      </c>
      <c r="AM256" s="204" t="e">
        <f t="shared" si="424"/>
        <v>#VALUE!</v>
      </c>
      <c r="AN256" s="204" t="e">
        <f t="shared" si="425"/>
        <v>#VALUE!</v>
      </c>
      <c r="AO256" s="204" t="e">
        <f t="shared" si="426"/>
        <v>#VALUE!</v>
      </c>
      <c r="AP256" s="204" t="e">
        <f t="shared" si="427"/>
        <v>#VALUE!</v>
      </c>
      <c r="AQ256" s="204" t="e">
        <f t="shared" si="428"/>
        <v>#VALUE!</v>
      </c>
      <c r="AR256" s="206" t="e">
        <f t="shared" si="409"/>
        <v>#VALUE!</v>
      </c>
      <c r="AS256" s="170" t="e">
        <f t="shared" si="429"/>
        <v>#VALUE!</v>
      </c>
      <c r="AT256" s="170" t="e">
        <f t="shared" si="430"/>
        <v>#VALUE!</v>
      </c>
      <c r="AU256" s="207" t="e">
        <f t="shared" si="412"/>
        <v>#VALUE!</v>
      </c>
      <c r="AV256" s="208" t="e">
        <f t="shared" si="413"/>
        <v>#VALUE!</v>
      </c>
      <c r="AW256" s="201" t="str">
        <f t="shared" si="414"/>
        <v>Confiabilidade em Crescimento</v>
      </c>
      <c r="AX256" s="253" t="e">
        <f>VLOOKUP(D256,#REF!,5,FALSE)</f>
        <v>#REF!</v>
      </c>
      <c r="AY256" s="201"/>
      <c r="AZ256" s="273"/>
      <c r="BB256" t="str">
        <f>IFERROR(VLOOKUP(Tabela1[[#This Row],[Denominação]],[10]Planilha1!$A:$B,2,FALSE),"")</f>
        <v/>
      </c>
    </row>
    <row r="257" spans="1:54" ht="15" hidden="1" customHeight="1" x14ac:dyDescent="0.3">
      <c r="A257" s="268">
        <v>256</v>
      </c>
      <c r="B257" s="201" t="s">
        <v>2021</v>
      </c>
      <c r="C257" s="211" t="s">
        <v>1965</v>
      </c>
      <c r="D257" s="201">
        <v>10004581</v>
      </c>
      <c r="E257" s="253" t="s">
        <v>2056</v>
      </c>
      <c r="F257" s="253">
        <v>4026</v>
      </c>
      <c r="G257" s="201">
        <v>35889</v>
      </c>
      <c r="H257" s="201">
        <v>2006</v>
      </c>
      <c r="I257" s="216">
        <v>2168.38</v>
      </c>
      <c r="J257" s="214">
        <v>0</v>
      </c>
      <c r="K257" s="170">
        <v>25289.399999999991</v>
      </c>
      <c r="L257" s="207">
        <v>2.0099999999999998</v>
      </c>
      <c r="M257" s="212">
        <v>2994</v>
      </c>
      <c r="N257" s="212">
        <v>114266</v>
      </c>
      <c r="O257" s="171">
        <v>22</v>
      </c>
      <c r="P257" s="271" t="str">
        <f>IFERROR(VLOOKUP(Tabela1[[#This Row],[TAG]],#REF!,14,FALSE),"")</f>
        <v/>
      </c>
      <c r="Q257" s="204" t="e">
        <f t="shared" si="387"/>
        <v>#VALUE!</v>
      </c>
      <c r="R257" s="204" t="e">
        <f t="shared" si="388"/>
        <v>#VALUE!</v>
      </c>
      <c r="S257" s="204" t="e">
        <f t="shared" si="389"/>
        <v>#VALUE!</v>
      </c>
      <c r="T257" s="204" t="e">
        <f t="shared" si="390"/>
        <v>#VALUE!</v>
      </c>
      <c r="U257" s="204" t="e">
        <f t="shared" si="391"/>
        <v>#VALUE!</v>
      </c>
      <c r="V257" s="204" t="e">
        <f t="shared" si="392"/>
        <v>#VALUE!</v>
      </c>
      <c r="W257" s="218">
        <v>369.61</v>
      </c>
      <c r="X257" s="218">
        <v>232.69</v>
      </c>
      <c r="Y257" s="203"/>
      <c r="Z257" s="203">
        <f>IF(Tabela1[[#This Row],[Ano Aquisição]]=2023,0,IFERROR(VLOOKUP(H257,inflação!$F:$H,3,FALSE),""))</f>
        <v>0.96719999999999995</v>
      </c>
      <c r="AA257" s="203"/>
      <c r="AB257" s="218">
        <f t="shared" si="393"/>
        <v>-2168.38</v>
      </c>
      <c r="AC257" s="204" t="e">
        <f t="shared" si="415"/>
        <v>#VALUE!</v>
      </c>
      <c r="AD257" s="204" t="e">
        <f t="shared" si="416"/>
        <v>#VALUE!</v>
      </c>
      <c r="AE257" s="204" t="e">
        <f t="shared" si="417"/>
        <v>#VALUE!</v>
      </c>
      <c r="AF257" s="204" t="e">
        <f t="shared" si="418"/>
        <v>#VALUE!</v>
      </c>
      <c r="AG257" s="204" t="e">
        <f t="shared" si="419"/>
        <v>#VALUE!</v>
      </c>
      <c r="AH257" s="204" t="e">
        <f t="shared" si="420"/>
        <v>#VALUE!</v>
      </c>
      <c r="AI257" s="204" t="e">
        <f t="shared" si="421"/>
        <v>#VALUE!</v>
      </c>
      <c r="AJ257" s="205">
        <f t="shared" si="401"/>
        <v>-4265.6371360000003</v>
      </c>
      <c r="AK257" s="204" t="e">
        <f t="shared" si="422"/>
        <v>#VALUE!</v>
      </c>
      <c r="AL257" s="204" t="e">
        <f t="shared" si="423"/>
        <v>#VALUE!</v>
      </c>
      <c r="AM257" s="204" t="e">
        <f t="shared" si="424"/>
        <v>#VALUE!</v>
      </c>
      <c r="AN257" s="204" t="e">
        <f t="shared" si="425"/>
        <v>#VALUE!</v>
      </c>
      <c r="AO257" s="204" t="e">
        <f t="shared" si="426"/>
        <v>#VALUE!</v>
      </c>
      <c r="AP257" s="204" t="e">
        <f t="shared" si="427"/>
        <v>#VALUE!</v>
      </c>
      <c r="AQ257" s="204" t="e">
        <f t="shared" si="428"/>
        <v>#VALUE!</v>
      </c>
      <c r="AR257" s="206" t="e">
        <f t="shared" si="409"/>
        <v>#VALUE!</v>
      </c>
      <c r="AS257" s="170" t="e">
        <f t="shared" si="429"/>
        <v>#VALUE!</v>
      </c>
      <c r="AT257" s="170" t="e">
        <f t="shared" si="430"/>
        <v>#VALUE!</v>
      </c>
      <c r="AU257" s="207" t="e">
        <f t="shared" si="412"/>
        <v>#VALUE!</v>
      </c>
      <c r="AV257" s="208" t="e">
        <f t="shared" si="413"/>
        <v>#VALUE!</v>
      </c>
      <c r="AW257" s="201" t="str">
        <f t="shared" si="414"/>
        <v>Fase de Degradação</v>
      </c>
      <c r="AX257" s="253" t="e">
        <f>VLOOKUP(D257,#REF!,5,FALSE)</f>
        <v>#REF!</v>
      </c>
      <c r="AY257" s="201"/>
      <c r="AZ257" s="273" t="s">
        <v>1224</v>
      </c>
      <c r="BB257">
        <f>IFERROR(VLOOKUP(Tabela1[[#This Row],[Denominação]],[10]Planilha1!$A:$B,2,FALSE),"")</f>
        <v>25289.399999999991</v>
      </c>
    </row>
    <row r="258" spans="1:54" ht="15" hidden="1" customHeight="1" x14ac:dyDescent="0.3">
      <c r="A258" s="253">
        <v>257</v>
      </c>
      <c r="B258" s="201" t="s">
        <v>2022</v>
      </c>
      <c r="C258" s="211" t="s">
        <v>1968</v>
      </c>
      <c r="D258" s="201">
        <v>10005283</v>
      </c>
      <c r="E258" s="253" t="s">
        <v>2057</v>
      </c>
      <c r="F258" s="253">
        <v>4745</v>
      </c>
      <c r="G258" s="201">
        <v>35070</v>
      </c>
      <c r="H258" s="201">
        <v>2008</v>
      </c>
      <c r="I258" s="216">
        <v>61736.05</v>
      </c>
      <c r="J258" s="214">
        <v>0</v>
      </c>
      <c r="K258" s="170">
        <v>167043.24000000002</v>
      </c>
      <c r="L258" s="207">
        <v>2.5299999999999998</v>
      </c>
      <c r="M258" s="212">
        <v>3000</v>
      </c>
      <c r="N258" s="212">
        <v>119610</v>
      </c>
      <c r="O258" s="171">
        <v>209</v>
      </c>
      <c r="P258" s="271" t="str">
        <f>IFERROR(VLOOKUP(Tabela1[[#This Row],[TAG]],#REF!,14,FALSE),"")</f>
        <v/>
      </c>
      <c r="Q258" s="204" t="e">
        <f t="shared" si="387"/>
        <v>#VALUE!</v>
      </c>
      <c r="R258" s="204" t="e">
        <f t="shared" si="388"/>
        <v>#VALUE!</v>
      </c>
      <c r="S258" s="204" t="e">
        <f t="shared" si="389"/>
        <v>#VALUE!</v>
      </c>
      <c r="T258" s="204" t="e">
        <f t="shared" si="390"/>
        <v>#VALUE!</v>
      </c>
      <c r="U258" s="204" t="e">
        <f t="shared" si="391"/>
        <v>#VALUE!</v>
      </c>
      <c r="V258" s="204" t="e">
        <f t="shared" si="392"/>
        <v>#VALUE!</v>
      </c>
      <c r="W258" s="218">
        <v>258.66999999999985</v>
      </c>
      <c r="X258" s="218">
        <v>258.66999999999985</v>
      </c>
      <c r="Y258" s="203">
        <v>0.1</v>
      </c>
      <c r="Z258" s="203">
        <f>IF(Tabela1[[#This Row],[Ano Aquisição]]=2023,0,IFERROR(VLOOKUP(H258,inflação!$F:$H,3,FALSE),""))</f>
        <v>0.89119999999999999</v>
      </c>
      <c r="AA258" s="203">
        <v>0.8</v>
      </c>
      <c r="AB258" s="218">
        <f t="shared" si="393"/>
        <v>-61736.05</v>
      </c>
      <c r="AC258" s="204" t="e">
        <f t="shared" si="415"/>
        <v>#VALUE!</v>
      </c>
      <c r="AD258" s="204" t="e">
        <f t="shared" si="416"/>
        <v>#VALUE!</v>
      </c>
      <c r="AE258" s="204" t="e">
        <f t="shared" si="417"/>
        <v>#VALUE!</v>
      </c>
      <c r="AF258" s="204" t="e">
        <f t="shared" si="418"/>
        <v>#VALUE!</v>
      </c>
      <c r="AG258" s="204" t="e">
        <f t="shared" si="419"/>
        <v>#VALUE!</v>
      </c>
      <c r="AH258" s="204" t="e">
        <f t="shared" si="420"/>
        <v>#VALUE!</v>
      </c>
      <c r="AI258" s="204" t="e">
        <f t="shared" si="421"/>
        <v>#VALUE!</v>
      </c>
      <c r="AJ258" s="205">
        <f t="shared" si="401"/>
        <v>-116755.21776</v>
      </c>
      <c r="AK258" s="204" t="e">
        <f t="shared" si="422"/>
        <v>#VALUE!</v>
      </c>
      <c r="AL258" s="204" t="e">
        <f t="shared" si="423"/>
        <v>#VALUE!</v>
      </c>
      <c r="AM258" s="204" t="e">
        <f t="shared" si="424"/>
        <v>#VALUE!</v>
      </c>
      <c r="AN258" s="204" t="e">
        <f t="shared" si="425"/>
        <v>#VALUE!</v>
      </c>
      <c r="AO258" s="204" t="e">
        <f t="shared" si="426"/>
        <v>#VALUE!</v>
      </c>
      <c r="AP258" s="204" t="e">
        <f t="shared" si="427"/>
        <v>#VALUE!</v>
      </c>
      <c r="AQ258" s="204" t="e">
        <f t="shared" si="428"/>
        <v>#VALUE!</v>
      </c>
      <c r="AR258" s="206" t="e">
        <f t="shared" si="409"/>
        <v>#VALUE!</v>
      </c>
      <c r="AS258" s="170" t="e">
        <f t="shared" si="429"/>
        <v>#VALUE!</v>
      </c>
      <c r="AT258" s="170" t="e">
        <f t="shared" si="430"/>
        <v>#VALUE!</v>
      </c>
      <c r="AU258" s="207" t="e">
        <f t="shared" si="412"/>
        <v>#VALUE!</v>
      </c>
      <c r="AV258" s="208" t="e">
        <f t="shared" si="413"/>
        <v>#VALUE!</v>
      </c>
      <c r="AW258" s="201" t="str">
        <f t="shared" si="414"/>
        <v>Fase de Degradação</v>
      </c>
      <c r="AX258" s="253" t="e">
        <f>VLOOKUP(D258,#REF!,5,FALSE)</f>
        <v>#REF!</v>
      </c>
      <c r="AY258" s="201"/>
      <c r="AZ258" s="273" t="s">
        <v>1224</v>
      </c>
      <c r="BB258">
        <f>IFERROR(VLOOKUP(Tabela1[[#This Row],[Denominação]],[10]Planilha1!$A:$B,2,FALSE),"")</f>
        <v>167043.24000000002</v>
      </c>
    </row>
    <row r="259" spans="1:54" ht="15" hidden="1" customHeight="1" x14ac:dyDescent="0.3">
      <c r="A259" s="268">
        <v>258</v>
      </c>
      <c r="B259" s="201" t="s">
        <v>2023</v>
      </c>
      <c r="C259" s="211" t="s">
        <v>1928</v>
      </c>
      <c r="D259" s="201">
        <v>20000319</v>
      </c>
      <c r="E259" s="253" t="s">
        <v>1795</v>
      </c>
      <c r="F259" s="253">
        <v>620</v>
      </c>
      <c r="G259" s="201">
        <v>36300</v>
      </c>
      <c r="H259" s="201">
        <v>2011</v>
      </c>
      <c r="I259" s="216"/>
      <c r="J259" s="214"/>
      <c r="K259" s="170"/>
      <c r="L259" s="207"/>
      <c r="M259" s="212"/>
      <c r="N259" s="212"/>
      <c r="O259" s="171"/>
      <c r="P259" s="271" t="str">
        <f>IFERROR(VLOOKUP(Tabela1[[#This Row],[TAG]],#REF!,14,FALSE),"")</f>
        <v/>
      </c>
      <c r="Q259" s="204" t="e">
        <f t="shared" si="387"/>
        <v>#VALUE!</v>
      </c>
      <c r="R259" s="204" t="e">
        <f t="shared" si="388"/>
        <v>#VALUE!</v>
      </c>
      <c r="S259" s="204" t="e">
        <f t="shared" si="389"/>
        <v>#VALUE!</v>
      </c>
      <c r="T259" s="204" t="e">
        <f t="shared" si="390"/>
        <v>#VALUE!</v>
      </c>
      <c r="U259" s="204" t="e">
        <f t="shared" si="391"/>
        <v>#VALUE!</v>
      </c>
      <c r="V259" s="204" t="e">
        <f t="shared" si="392"/>
        <v>#VALUE!</v>
      </c>
      <c r="W259" s="218"/>
      <c r="X259" s="218"/>
      <c r="Y259" s="203"/>
      <c r="Z259" s="203">
        <f>IF(Tabela1[[#This Row],[Ano Aquisição]]=2023,0,IFERROR(VLOOKUP(H259,inflação!$F:$H,3,FALSE),""))</f>
        <v>0.73</v>
      </c>
      <c r="AA259" s="203"/>
      <c r="AB259" s="218">
        <f t="shared" si="393"/>
        <v>0</v>
      </c>
      <c r="AC259" s="204" t="e">
        <f t="shared" si="415"/>
        <v>#VALUE!</v>
      </c>
      <c r="AD259" s="204" t="e">
        <f t="shared" si="416"/>
        <v>#VALUE!</v>
      </c>
      <c r="AE259" s="204" t="e">
        <f t="shared" si="417"/>
        <v>#VALUE!</v>
      </c>
      <c r="AF259" s="204" t="e">
        <f t="shared" si="418"/>
        <v>#VALUE!</v>
      </c>
      <c r="AG259" s="204" t="e">
        <f t="shared" si="419"/>
        <v>#VALUE!</v>
      </c>
      <c r="AH259" s="204" t="e">
        <f t="shared" si="420"/>
        <v>#VALUE!</v>
      </c>
      <c r="AI259" s="204" t="e">
        <f t="shared" si="421"/>
        <v>#VALUE!</v>
      </c>
      <c r="AJ259" s="205">
        <f t="shared" si="401"/>
        <v>0</v>
      </c>
      <c r="AK259" s="204" t="e">
        <f t="shared" si="422"/>
        <v>#VALUE!</v>
      </c>
      <c r="AL259" s="204" t="e">
        <f t="shared" si="423"/>
        <v>#VALUE!</v>
      </c>
      <c r="AM259" s="204" t="e">
        <f t="shared" si="424"/>
        <v>#VALUE!</v>
      </c>
      <c r="AN259" s="204" t="e">
        <f t="shared" si="425"/>
        <v>#VALUE!</v>
      </c>
      <c r="AO259" s="204" t="e">
        <f t="shared" si="426"/>
        <v>#VALUE!</v>
      </c>
      <c r="AP259" s="204" t="e">
        <f t="shared" si="427"/>
        <v>#VALUE!</v>
      </c>
      <c r="AQ259" s="204" t="e">
        <f t="shared" si="428"/>
        <v>#VALUE!</v>
      </c>
      <c r="AR259" s="206" t="e">
        <f t="shared" si="409"/>
        <v>#VALUE!</v>
      </c>
      <c r="AS259" s="170" t="e">
        <f t="shared" si="429"/>
        <v>#VALUE!</v>
      </c>
      <c r="AT259" s="170" t="e">
        <f t="shared" si="430"/>
        <v>#VALUE!</v>
      </c>
      <c r="AU259" s="207" t="e">
        <f t="shared" si="412"/>
        <v>#VALUE!</v>
      </c>
      <c r="AV259" s="208" t="e">
        <f t="shared" si="413"/>
        <v>#VALUE!</v>
      </c>
      <c r="AW259" s="201" t="str">
        <f t="shared" si="414"/>
        <v>Confiabilidade em Crescimento</v>
      </c>
      <c r="AX259" s="253" t="e">
        <f>VLOOKUP(D259,#REF!,5,FALSE)</f>
        <v>#REF!</v>
      </c>
      <c r="AY259" s="201"/>
      <c r="AZ259" s="273"/>
      <c r="BB259" t="str">
        <f>IFERROR(VLOOKUP(Tabela1[[#This Row],[Denominação]],[10]Planilha1!$A:$B,2,FALSE),"")</f>
        <v/>
      </c>
    </row>
    <row r="260" spans="1:54" ht="15" hidden="1" customHeight="1" x14ac:dyDescent="0.3">
      <c r="A260" s="253">
        <v>259</v>
      </c>
      <c r="B260" s="201" t="s">
        <v>1969</v>
      </c>
      <c r="C260" s="211" t="s">
        <v>1929</v>
      </c>
      <c r="D260" s="201">
        <v>20000323</v>
      </c>
      <c r="E260" s="253" t="s">
        <v>1795</v>
      </c>
      <c r="F260" s="253">
        <v>620</v>
      </c>
      <c r="G260" s="201">
        <v>40729</v>
      </c>
      <c r="H260" s="201">
        <v>2011</v>
      </c>
      <c r="I260" s="216"/>
      <c r="J260" s="214"/>
      <c r="K260" s="170"/>
      <c r="L260" s="207"/>
      <c r="M260" s="212"/>
      <c r="N260" s="212"/>
      <c r="O260" s="171"/>
      <c r="P260" s="271" t="str">
        <f>IFERROR(VLOOKUP(Tabela1[[#This Row],[TAG]],#REF!,14,FALSE),"")</f>
        <v/>
      </c>
      <c r="Q260" s="204" t="e">
        <f t="shared" si="387"/>
        <v>#VALUE!</v>
      </c>
      <c r="R260" s="204" t="e">
        <f t="shared" si="388"/>
        <v>#VALUE!</v>
      </c>
      <c r="S260" s="204" t="e">
        <f t="shared" si="389"/>
        <v>#VALUE!</v>
      </c>
      <c r="T260" s="204" t="e">
        <f t="shared" si="390"/>
        <v>#VALUE!</v>
      </c>
      <c r="U260" s="204" t="e">
        <f t="shared" si="391"/>
        <v>#VALUE!</v>
      </c>
      <c r="V260" s="204" t="e">
        <f t="shared" si="392"/>
        <v>#VALUE!</v>
      </c>
      <c r="W260" s="218"/>
      <c r="X260" s="218"/>
      <c r="Y260" s="203"/>
      <c r="Z260" s="203">
        <f>IF(Tabela1[[#This Row],[Ano Aquisição]]=2023,0,IFERROR(VLOOKUP(H260,inflação!$F:$H,3,FALSE),""))</f>
        <v>0.73</v>
      </c>
      <c r="AA260" s="203"/>
      <c r="AB260" s="218">
        <f t="shared" si="393"/>
        <v>0</v>
      </c>
      <c r="AC260" s="204" t="e">
        <f t="shared" si="415"/>
        <v>#VALUE!</v>
      </c>
      <c r="AD260" s="204" t="e">
        <f t="shared" si="416"/>
        <v>#VALUE!</v>
      </c>
      <c r="AE260" s="204" t="e">
        <f t="shared" si="417"/>
        <v>#VALUE!</v>
      </c>
      <c r="AF260" s="204" t="e">
        <f t="shared" si="418"/>
        <v>#VALUE!</v>
      </c>
      <c r="AG260" s="204" t="e">
        <f t="shared" si="419"/>
        <v>#VALUE!</v>
      </c>
      <c r="AH260" s="204" t="e">
        <f t="shared" si="420"/>
        <v>#VALUE!</v>
      </c>
      <c r="AI260" s="204" t="e">
        <f t="shared" si="421"/>
        <v>#VALUE!</v>
      </c>
      <c r="AJ260" s="205">
        <f t="shared" si="401"/>
        <v>0</v>
      </c>
      <c r="AK260" s="204" t="e">
        <f t="shared" si="422"/>
        <v>#VALUE!</v>
      </c>
      <c r="AL260" s="204" t="e">
        <f t="shared" si="423"/>
        <v>#VALUE!</v>
      </c>
      <c r="AM260" s="204" t="e">
        <f t="shared" si="424"/>
        <v>#VALUE!</v>
      </c>
      <c r="AN260" s="204" t="e">
        <f t="shared" si="425"/>
        <v>#VALUE!</v>
      </c>
      <c r="AO260" s="204" t="e">
        <f t="shared" si="426"/>
        <v>#VALUE!</v>
      </c>
      <c r="AP260" s="204" t="e">
        <f t="shared" si="427"/>
        <v>#VALUE!</v>
      </c>
      <c r="AQ260" s="204" t="e">
        <f t="shared" si="428"/>
        <v>#VALUE!</v>
      </c>
      <c r="AR260" s="206" t="e">
        <f t="shared" si="409"/>
        <v>#VALUE!</v>
      </c>
      <c r="AS260" s="170" t="e">
        <f t="shared" si="429"/>
        <v>#VALUE!</v>
      </c>
      <c r="AT260" s="170" t="e">
        <f t="shared" si="430"/>
        <v>#VALUE!</v>
      </c>
      <c r="AU260" s="207" t="e">
        <f t="shared" si="412"/>
        <v>#VALUE!</v>
      </c>
      <c r="AV260" s="208" t="e">
        <f t="shared" si="413"/>
        <v>#VALUE!</v>
      </c>
      <c r="AW260" s="201" t="str">
        <f t="shared" si="414"/>
        <v>Confiabilidade em Crescimento</v>
      </c>
      <c r="AX260" s="253" t="e">
        <f>VLOOKUP(D260,#REF!,5,FALSE)</f>
        <v>#REF!</v>
      </c>
      <c r="AY260" s="201"/>
      <c r="AZ260" s="273"/>
      <c r="BB260" t="str">
        <f>IFERROR(VLOOKUP(Tabela1[[#This Row],[Denominação]],[10]Planilha1!$A:$B,2,FALSE),"")</f>
        <v/>
      </c>
    </row>
    <row r="261" spans="1:54" ht="15" hidden="1" customHeight="1" x14ac:dyDescent="0.3">
      <c r="A261" s="268">
        <v>260</v>
      </c>
      <c r="B261" s="201" t="s">
        <v>1970</v>
      </c>
      <c r="C261" s="211" t="s">
        <v>1930</v>
      </c>
      <c r="D261" s="201">
        <v>20000948</v>
      </c>
      <c r="E261" s="253" t="s">
        <v>1795</v>
      </c>
      <c r="F261" s="253">
        <v>620</v>
      </c>
      <c r="G261" s="201">
        <v>41487</v>
      </c>
      <c r="H261" s="201">
        <v>2012</v>
      </c>
      <c r="I261" s="216"/>
      <c r="J261" s="214"/>
      <c r="K261" s="170"/>
      <c r="L261" s="207"/>
      <c r="M261" s="212"/>
      <c r="N261" s="212"/>
      <c r="O261" s="171"/>
      <c r="P261" s="271" t="str">
        <f>IFERROR(VLOOKUP(Tabela1[[#This Row],[TAG]],#REF!,14,FALSE),"")</f>
        <v/>
      </c>
      <c r="Q261" s="204" t="e">
        <f t="shared" si="387"/>
        <v>#VALUE!</v>
      </c>
      <c r="R261" s="204" t="e">
        <f t="shared" si="388"/>
        <v>#VALUE!</v>
      </c>
      <c r="S261" s="204" t="e">
        <f t="shared" si="389"/>
        <v>#VALUE!</v>
      </c>
      <c r="T261" s="204" t="e">
        <f t="shared" si="390"/>
        <v>#VALUE!</v>
      </c>
      <c r="U261" s="204" t="e">
        <f t="shared" si="391"/>
        <v>#VALUE!</v>
      </c>
      <c r="V261" s="204" t="e">
        <f t="shared" si="392"/>
        <v>#VALUE!</v>
      </c>
      <c r="W261" s="218"/>
      <c r="X261" s="218"/>
      <c r="Y261" s="203"/>
      <c r="Z261" s="203">
        <f>IF(Tabela1[[#This Row],[Ano Aquisição]]=2023,0,IFERROR(VLOOKUP(H261,inflação!$F:$H,3,FALSE),""))</f>
        <v>0.66500000000000004</v>
      </c>
      <c r="AA261" s="203"/>
      <c r="AB261" s="218">
        <f t="shared" si="393"/>
        <v>0</v>
      </c>
      <c r="AC261" s="204" t="e">
        <f t="shared" si="415"/>
        <v>#VALUE!</v>
      </c>
      <c r="AD261" s="204" t="e">
        <f t="shared" si="416"/>
        <v>#VALUE!</v>
      </c>
      <c r="AE261" s="204" t="e">
        <f t="shared" si="417"/>
        <v>#VALUE!</v>
      </c>
      <c r="AF261" s="204" t="e">
        <f t="shared" si="418"/>
        <v>#VALUE!</v>
      </c>
      <c r="AG261" s="204" t="e">
        <f t="shared" si="419"/>
        <v>#VALUE!</v>
      </c>
      <c r="AH261" s="204" t="e">
        <f t="shared" si="420"/>
        <v>#VALUE!</v>
      </c>
      <c r="AI261" s="204" t="e">
        <f t="shared" si="421"/>
        <v>#VALUE!</v>
      </c>
      <c r="AJ261" s="205">
        <f t="shared" si="401"/>
        <v>0</v>
      </c>
      <c r="AK261" s="204" t="e">
        <f t="shared" si="422"/>
        <v>#VALUE!</v>
      </c>
      <c r="AL261" s="204" t="e">
        <f t="shared" si="423"/>
        <v>#VALUE!</v>
      </c>
      <c r="AM261" s="204" t="e">
        <f t="shared" si="424"/>
        <v>#VALUE!</v>
      </c>
      <c r="AN261" s="204" t="e">
        <f t="shared" si="425"/>
        <v>#VALUE!</v>
      </c>
      <c r="AO261" s="204" t="e">
        <f t="shared" si="426"/>
        <v>#VALUE!</v>
      </c>
      <c r="AP261" s="204" t="e">
        <f t="shared" si="427"/>
        <v>#VALUE!</v>
      </c>
      <c r="AQ261" s="204" t="e">
        <f t="shared" si="428"/>
        <v>#VALUE!</v>
      </c>
      <c r="AR261" s="206" t="e">
        <f t="shared" si="409"/>
        <v>#VALUE!</v>
      </c>
      <c r="AS261" s="170" t="e">
        <f t="shared" si="429"/>
        <v>#VALUE!</v>
      </c>
      <c r="AT261" s="170" t="e">
        <f t="shared" si="430"/>
        <v>#VALUE!</v>
      </c>
      <c r="AU261" s="207" t="e">
        <f t="shared" si="412"/>
        <v>#VALUE!</v>
      </c>
      <c r="AV261" s="208" t="e">
        <f t="shared" si="413"/>
        <v>#VALUE!</v>
      </c>
      <c r="AW261" s="201" t="str">
        <f t="shared" si="414"/>
        <v>Confiabilidade em Crescimento</v>
      </c>
      <c r="AX261" s="253" t="e">
        <f>VLOOKUP(D261,#REF!,5,FALSE)</f>
        <v>#REF!</v>
      </c>
      <c r="AY261" s="201"/>
      <c r="AZ261" s="273"/>
      <c r="BB261" t="str">
        <f>IFERROR(VLOOKUP(Tabela1[[#This Row],[Denominação]],[10]Planilha1!$A:$B,2,FALSE),"")</f>
        <v/>
      </c>
    </row>
    <row r="262" spans="1:54" ht="15" hidden="1" customHeight="1" x14ac:dyDescent="0.3">
      <c r="A262" s="253">
        <v>261</v>
      </c>
      <c r="B262" s="201" t="s">
        <v>2024</v>
      </c>
      <c r="C262" s="211" t="s">
        <v>1931</v>
      </c>
      <c r="D262" s="201">
        <v>20000955</v>
      </c>
      <c r="E262" s="253" t="s">
        <v>1795</v>
      </c>
      <c r="F262" s="253">
        <v>620</v>
      </c>
      <c r="G262" s="201">
        <v>42489</v>
      </c>
      <c r="H262" s="201">
        <v>2012</v>
      </c>
      <c r="I262" s="216"/>
      <c r="J262" s="214"/>
      <c r="K262" s="170"/>
      <c r="L262" s="207"/>
      <c r="M262" s="212"/>
      <c r="N262" s="212"/>
      <c r="O262" s="171"/>
      <c r="P262" s="271" t="str">
        <f>IFERROR(VLOOKUP(Tabela1[[#This Row],[TAG]],#REF!,14,FALSE),"")</f>
        <v/>
      </c>
      <c r="Q262" s="204" t="e">
        <f t="shared" si="387"/>
        <v>#VALUE!</v>
      </c>
      <c r="R262" s="204" t="e">
        <f t="shared" si="388"/>
        <v>#VALUE!</v>
      </c>
      <c r="S262" s="204" t="e">
        <f t="shared" si="389"/>
        <v>#VALUE!</v>
      </c>
      <c r="T262" s="204" t="e">
        <f t="shared" si="390"/>
        <v>#VALUE!</v>
      </c>
      <c r="U262" s="204" t="e">
        <f t="shared" si="391"/>
        <v>#VALUE!</v>
      </c>
      <c r="V262" s="204" t="e">
        <f t="shared" si="392"/>
        <v>#VALUE!</v>
      </c>
      <c r="W262" s="218"/>
      <c r="X262" s="218"/>
      <c r="Y262" s="203"/>
      <c r="Z262" s="203">
        <f>IF(Tabela1[[#This Row],[Ano Aquisição]]=2023,0,IFERROR(VLOOKUP(H262,inflação!$F:$H,3,FALSE),""))</f>
        <v>0.66500000000000004</v>
      </c>
      <c r="AA262" s="203"/>
      <c r="AB262" s="218">
        <f t="shared" si="393"/>
        <v>0</v>
      </c>
      <c r="AC262" s="204" t="e">
        <f t="shared" si="415"/>
        <v>#VALUE!</v>
      </c>
      <c r="AD262" s="204" t="e">
        <f t="shared" si="416"/>
        <v>#VALUE!</v>
      </c>
      <c r="AE262" s="204" t="e">
        <f t="shared" si="417"/>
        <v>#VALUE!</v>
      </c>
      <c r="AF262" s="204" t="e">
        <f t="shared" si="418"/>
        <v>#VALUE!</v>
      </c>
      <c r="AG262" s="204" t="e">
        <f t="shared" si="419"/>
        <v>#VALUE!</v>
      </c>
      <c r="AH262" s="204" t="e">
        <f t="shared" si="420"/>
        <v>#VALUE!</v>
      </c>
      <c r="AI262" s="204" t="e">
        <f t="shared" si="421"/>
        <v>#VALUE!</v>
      </c>
      <c r="AJ262" s="205">
        <f t="shared" si="401"/>
        <v>0</v>
      </c>
      <c r="AK262" s="204" t="e">
        <f t="shared" si="422"/>
        <v>#VALUE!</v>
      </c>
      <c r="AL262" s="204" t="e">
        <f t="shared" si="423"/>
        <v>#VALUE!</v>
      </c>
      <c r="AM262" s="204" t="e">
        <f t="shared" si="424"/>
        <v>#VALUE!</v>
      </c>
      <c r="AN262" s="204" t="e">
        <f t="shared" si="425"/>
        <v>#VALUE!</v>
      </c>
      <c r="AO262" s="204" t="e">
        <f t="shared" si="426"/>
        <v>#VALUE!</v>
      </c>
      <c r="AP262" s="204" t="e">
        <f t="shared" si="427"/>
        <v>#VALUE!</v>
      </c>
      <c r="AQ262" s="204" t="e">
        <f t="shared" si="428"/>
        <v>#VALUE!</v>
      </c>
      <c r="AR262" s="206" t="e">
        <f t="shared" si="409"/>
        <v>#VALUE!</v>
      </c>
      <c r="AS262" s="170" t="e">
        <f t="shared" si="429"/>
        <v>#VALUE!</v>
      </c>
      <c r="AT262" s="170" t="e">
        <f t="shared" si="430"/>
        <v>#VALUE!</v>
      </c>
      <c r="AU262" s="207" t="e">
        <f t="shared" si="412"/>
        <v>#VALUE!</v>
      </c>
      <c r="AV262" s="208" t="e">
        <f t="shared" si="413"/>
        <v>#VALUE!</v>
      </c>
      <c r="AW262" s="201" t="str">
        <f t="shared" si="414"/>
        <v>Confiabilidade em Crescimento</v>
      </c>
      <c r="AX262" s="253" t="e">
        <f>VLOOKUP(D262,#REF!,5,FALSE)</f>
        <v>#REF!</v>
      </c>
      <c r="AY262" s="201"/>
      <c r="AZ262" s="273"/>
      <c r="BB262" t="str">
        <f>IFERROR(VLOOKUP(Tabela1[[#This Row],[Denominação]],[10]Planilha1!$A:$B,2,FALSE),"")</f>
        <v/>
      </c>
    </row>
    <row r="263" spans="1:54" ht="15" hidden="1" customHeight="1" x14ac:dyDescent="0.3">
      <c r="A263" s="268">
        <v>262</v>
      </c>
      <c r="B263" s="201" t="s">
        <v>1971</v>
      </c>
      <c r="C263" s="211" t="s">
        <v>1925</v>
      </c>
      <c r="D263" s="201">
        <v>20001402</v>
      </c>
      <c r="E263" s="253" t="s">
        <v>2058</v>
      </c>
      <c r="F263" s="253">
        <v>28</v>
      </c>
      <c r="G263" s="201">
        <v>36389</v>
      </c>
      <c r="H263" s="201">
        <v>2012</v>
      </c>
      <c r="I263" s="216"/>
      <c r="J263" s="214"/>
      <c r="K263" s="170"/>
      <c r="L263" s="207"/>
      <c r="M263" s="212"/>
      <c r="N263" s="212"/>
      <c r="O263" s="171"/>
      <c r="P263" s="271" t="str">
        <f>IFERROR(VLOOKUP(Tabela1[[#This Row],[TAG]],#REF!,14,FALSE),"")</f>
        <v/>
      </c>
      <c r="Q263" s="204" t="e">
        <f t="shared" si="387"/>
        <v>#VALUE!</v>
      </c>
      <c r="R263" s="204" t="e">
        <f t="shared" si="388"/>
        <v>#VALUE!</v>
      </c>
      <c r="S263" s="204" t="e">
        <f t="shared" si="389"/>
        <v>#VALUE!</v>
      </c>
      <c r="T263" s="204" t="e">
        <f t="shared" si="390"/>
        <v>#VALUE!</v>
      </c>
      <c r="U263" s="204" t="e">
        <f t="shared" si="391"/>
        <v>#VALUE!</v>
      </c>
      <c r="V263" s="204" t="e">
        <f t="shared" si="392"/>
        <v>#VALUE!</v>
      </c>
      <c r="W263" s="218"/>
      <c r="X263" s="218"/>
      <c r="Y263" s="203"/>
      <c r="Z263" s="203">
        <f>IF(Tabela1[[#This Row],[Ano Aquisição]]=2023,0,IFERROR(VLOOKUP(H263,inflação!$F:$H,3,FALSE),""))</f>
        <v>0.66500000000000004</v>
      </c>
      <c r="AA263" s="203"/>
      <c r="AB263" s="218">
        <f t="shared" si="393"/>
        <v>0</v>
      </c>
      <c r="AC263" s="204" t="e">
        <f t="shared" si="415"/>
        <v>#VALUE!</v>
      </c>
      <c r="AD263" s="204" t="e">
        <f t="shared" si="416"/>
        <v>#VALUE!</v>
      </c>
      <c r="AE263" s="204" t="e">
        <f t="shared" si="417"/>
        <v>#VALUE!</v>
      </c>
      <c r="AF263" s="204" t="e">
        <f t="shared" si="418"/>
        <v>#VALUE!</v>
      </c>
      <c r="AG263" s="204" t="e">
        <f t="shared" si="419"/>
        <v>#VALUE!</v>
      </c>
      <c r="AH263" s="204" t="e">
        <f t="shared" si="420"/>
        <v>#VALUE!</v>
      </c>
      <c r="AI263" s="204" t="e">
        <f t="shared" si="421"/>
        <v>#VALUE!</v>
      </c>
      <c r="AJ263" s="205">
        <f t="shared" si="401"/>
        <v>0</v>
      </c>
      <c r="AK263" s="204" t="e">
        <f t="shared" si="422"/>
        <v>#VALUE!</v>
      </c>
      <c r="AL263" s="204" t="e">
        <f t="shared" si="423"/>
        <v>#VALUE!</v>
      </c>
      <c r="AM263" s="204" t="e">
        <f t="shared" si="424"/>
        <v>#VALUE!</v>
      </c>
      <c r="AN263" s="204" t="e">
        <f t="shared" si="425"/>
        <v>#VALUE!</v>
      </c>
      <c r="AO263" s="204" t="e">
        <f t="shared" si="426"/>
        <v>#VALUE!</v>
      </c>
      <c r="AP263" s="204" t="e">
        <f t="shared" si="427"/>
        <v>#VALUE!</v>
      </c>
      <c r="AQ263" s="204" t="e">
        <f t="shared" si="428"/>
        <v>#VALUE!</v>
      </c>
      <c r="AR263" s="206" t="e">
        <f t="shared" si="409"/>
        <v>#VALUE!</v>
      </c>
      <c r="AS263" s="170" t="e">
        <f t="shared" si="429"/>
        <v>#VALUE!</v>
      </c>
      <c r="AT263" s="170" t="e">
        <f t="shared" si="430"/>
        <v>#VALUE!</v>
      </c>
      <c r="AU263" s="207" t="e">
        <f t="shared" si="412"/>
        <v>#VALUE!</v>
      </c>
      <c r="AV263" s="208" t="e">
        <f t="shared" si="413"/>
        <v>#VALUE!</v>
      </c>
      <c r="AW263" s="201" t="str">
        <f t="shared" si="414"/>
        <v>Confiabilidade em Crescimento</v>
      </c>
      <c r="AX263" s="253" t="e">
        <f>VLOOKUP(D263,#REF!,5,FALSE)</f>
        <v>#REF!</v>
      </c>
      <c r="AY263" s="201"/>
      <c r="AZ263" s="273"/>
      <c r="BB263" t="str">
        <f>IFERROR(VLOOKUP(Tabela1[[#This Row],[Denominação]],[10]Planilha1!$A:$B,2,FALSE),"")</f>
        <v/>
      </c>
    </row>
    <row r="264" spans="1:54" ht="15" hidden="1" customHeight="1" x14ac:dyDescent="0.3">
      <c r="A264" s="253">
        <v>263</v>
      </c>
      <c r="B264" s="201" t="s">
        <v>2025</v>
      </c>
      <c r="C264" s="211" t="s">
        <v>1932</v>
      </c>
      <c r="D264" s="201">
        <v>20001448</v>
      </c>
      <c r="E264" s="253" t="s">
        <v>1795</v>
      </c>
      <c r="F264" s="253">
        <v>620</v>
      </c>
      <c r="G264" s="201">
        <v>42314</v>
      </c>
      <c r="H264" s="201">
        <v>2013</v>
      </c>
      <c r="I264" s="216"/>
      <c r="J264" s="214"/>
      <c r="K264" s="170"/>
      <c r="L264" s="207"/>
      <c r="M264" s="212"/>
      <c r="N264" s="212"/>
      <c r="O264" s="171"/>
      <c r="P264" s="271" t="str">
        <f>IFERROR(VLOOKUP(Tabela1[[#This Row],[TAG]],#REF!,14,FALSE),"")</f>
        <v/>
      </c>
      <c r="Q264" s="204" t="e">
        <f t="shared" si="387"/>
        <v>#VALUE!</v>
      </c>
      <c r="R264" s="204" t="e">
        <f t="shared" si="388"/>
        <v>#VALUE!</v>
      </c>
      <c r="S264" s="204" t="e">
        <f t="shared" si="389"/>
        <v>#VALUE!</v>
      </c>
      <c r="T264" s="204" t="e">
        <f t="shared" si="390"/>
        <v>#VALUE!</v>
      </c>
      <c r="U264" s="204" t="e">
        <f t="shared" si="391"/>
        <v>#VALUE!</v>
      </c>
      <c r="V264" s="204" t="e">
        <f t="shared" si="392"/>
        <v>#VALUE!</v>
      </c>
      <c r="W264" s="218"/>
      <c r="X264" s="218"/>
      <c r="Y264" s="203"/>
      <c r="Z264" s="203">
        <f>IF(Tabela1[[#This Row],[Ano Aquisição]]=2023,0,IFERROR(VLOOKUP(H264,inflação!$F:$H,3,FALSE),""))</f>
        <v>0.60660000000000003</v>
      </c>
      <c r="AA264" s="203"/>
      <c r="AB264" s="218">
        <f t="shared" si="393"/>
        <v>0</v>
      </c>
      <c r="AC264" s="204" t="e">
        <f t="shared" si="415"/>
        <v>#VALUE!</v>
      </c>
      <c r="AD264" s="204" t="e">
        <f t="shared" si="416"/>
        <v>#VALUE!</v>
      </c>
      <c r="AE264" s="204" t="e">
        <f t="shared" si="417"/>
        <v>#VALUE!</v>
      </c>
      <c r="AF264" s="204" t="e">
        <f t="shared" si="418"/>
        <v>#VALUE!</v>
      </c>
      <c r="AG264" s="204" t="e">
        <f t="shared" si="419"/>
        <v>#VALUE!</v>
      </c>
      <c r="AH264" s="204" t="e">
        <f t="shared" si="420"/>
        <v>#VALUE!</v>
      </c>
      <c r="AI264" s="204" t="e">
        <f t="shared" si="421"/>
        <v>#VALUE!</v>
      </c>
      <c r="AJ264" s="205">
        <f t="shared" si="401"/>
        <v>0</v>
      </c>
      <c r="AK264" s="204" t="e">
        <f t="shared" si="422"/>
        <v>#VALUE!</v>
      </c>
      <c r="AL264" s="204" t="e">
        <f t="shared" si="423"/>
        <v>#VALUE!</v>
      </c>
      <c r="AM264" s="204" t="e">
        <f t="shared" si="424"/>
        <v>#VALUE!</v>
      </c>
      <c r="AN264" s="204" t="e">
        <f t="shared" si="425"/>
        <v>#VALUE!</v>
      </c>
      <c r="AO264" s="204" t="e">
        <f t="shared" si="426"/>
        <v>#VALUE!</v>
      </c>
      <c r="AP264" s="204" t="e">
        <f t="shared" si="427"/>
        <v>#VALUE!</v>
      </c>
      <c r="AQ264" s="204" t="e">
        <f t="shared" si="428"/>
        <v>#VALUE!</v>
      </c>
      <c r="AR264" s="206" t="e">
        <f t="shared" si="409"/>
        <v>#VALUE!</v>
      </c>
      <c r="AS264" s="170" t="e">
        <f t="shared" si="429"/>
        <v>#VALUE!</v>
      </c>
      <c r="AT264" s="170" t="e">
        <f t="shared" si="430"/>
        <v>#VALUE!</v>
      </c>
      <c r="AU264" s="207" t="e">
        <f t="shared" si="412"/>
        <v>#VALUE!</v>
      </c>
      <c r="AV264" s="208" t="e">
        <f t="shared" si="413"/>
        <v>#VALUE!</v>
      </c>
      <c r="AW264" s="201" t="str">
        <f t="shared" si="414"/>
        <v>Confiabilidade em Crescimento</v>
      </c>
      <c r="AX264" s="253" t="e">
        <f>VLOOKUP(D264,#REF!,5,FALSE)</f>
        <v>#REF!</v>
      </c>
      <c r="AY264" s="201"/>
      <c r="AZ264" s="273"/>
      <c r="BB264" t="str">
        <f>IFERROR(VLOOKUP(Tabela1[[#This Row],[Denominação]],[10]Planilha1!$A:$B,2,FALSE),"")</f>
        <v/>
      </c>
    </row>
    <row r="265" spans="1:54" ht="15" hidden="1" customHeight="1" x14ac:dyDescent="0.3">
      <c r="A265" s="268">
        <v>264</v>
      </c>
      <c r="B265" s="201" t="s">
        <v>2026</v>
      </c>
      <c r="C265" s="211" t="s">
        <v>1933</v>
      </c>
      <c r="D265" s="201">
        <v>20001464</v>
      </c>
      <c r="E265" s="253" t="s">
        <v>1795</v>
      </c>
      <c r="F265" s="253">
        <v>620</v>
      </c>
      <c r="G265" s="201">
        <v>41499</v>
      </c>
      <c r="H265" s="201">
        <v>2013</v>
      </c>
      <c r="I265" s="216"/>
      <c r="J265" s="214"/>
      <c r="K265" s="170"/>
      <c r="L265" s="207"/>
      <c r="M265" s="212"/>
      <c r="N265" s="212"/>
      <c r="O265" s="171"/>
      <c r="P265" s="271" t="str">
        <f>IFERROR(VLOOKUP(Tabela1[[#This Row],[TAG]],#REF!,14,FALSE),"")</f>
        <v/>
      </c>
      <c r="Q265" s="204" t="e">
        <f t="shared" si="387"/>
        <v>#VALUE!</v>
      </c>
      <c r="R265" s="204" t="e">
        <f t="shared" si="388"/>
        <v>#VALUE!</v>
      </c>
      <c r="S265" s="204" t="e">
        <f t="shared" si="389"/>
        <v>#VALUE!</v>
      </c>
      <c r="T265" s="204" t="e">
        <f t="shared" si="390"/>
        <v>#VALUE!</v>
      </c>
      <c r="U265" s="204" t="e">
        <f t="shared" si="391"/>
        <v>#VALUE!</v>
      </c>
      <c r="V265" s="204" t="e">
        <f t="shared" si="392"/>
        <v>#VALUE!</v>
      </c>
      <c r="W265" s="218"/>
      <c r="X265" s="218"/>
      <c r="Y265" s="203"/>
      <c r="Z265" s="203">
        <f>IF(Tabela1[[#This Row],[Ano Aquisição]]=2023,0,IFERROR(VLOOKUP(H265,inflação!$F:$H,3,FALSE),""))</f>
        <v>0.60660000000000003</v>
      </c>
      <c r="AA265" s="203"/>
      <c r="AB265" s="218">
        <f t="shared" si="393"/>
        <v>0</v>
      </c>
      <c r="AC265" s="204" t="e">
        <f t="shared" si="415"/>
        <v>#VALUE!</v>
      </c>
      <c r="AD265" s="204" t="e">
        <f t="shared" si="416"/>
        <v>#VALUE!</v>
      </c>
      <c r="AE265" s="204" t="e">
        <f t="shared" si="417"/>
        <v>#VALUE!</v>
      </c>
      <c r="AF265" s="204" t="e">
        <f t="shared" si="418"/>
        <v>#VALUE!</v>
      </c>
      <c r="AG265" s="204" t="e">
        <f t="shared" si="419"/>
        <v>#VALUE!</v>
      </c>
      <c r="AH265" s="204" t="e">
        <f t="shared" si="420"/>
        <v>#VALUE!</v>
      </c>
      <c r="AI265" s="204" t="e">
        <f t="shared" si="421"/>
        <v>#VALUE!</v>
      </c>
      <c r="AJ265" s="205">
        <f t="shared" si="401"/>
        <v>0</v>
      </c>
      <c r="AK265" s="204" t="e">
        <f t="shared" si="422"/>
        <v>#VALUE!</v>
      </c>
      <c r="AL265" s="204" t="e">
        <f t="shared" si="423"/>
        <v>#VALUE!</v>
      </c>
      <c r="AM265" s="204" t="e">
        <f t="shared" si="424"/>
        <v>#VALUE!</v>
      </c>
      <c r="AN265" s="204" t="e">
        <f t="shared" si="425"/>
        <v>#VALUE!</v>
      </c>
      <c r="AO265" s="204" t="e">
        <f t="shared" si="426"/>
        <v>#VALUE!</v>
      </c>
      <c r="AP265" s="204" t="e">
        <f t="shared" si="427"/>
        <v>#VALUE!</v>
      </c>
      <c r="AQ265" s="204" t="e">
        <f t="shared" si="428"/>
        <v>#VALUE!</v>
      </c>
      <c r="AR265" s="206" t="e">
        <f t="shared" si="409"/>
        <v>#VALUE!</v>
      </c>
      <c r="AS265" s="170" t="e">
        <f t="shared" si="429"/>
        <v>#VALUE!</v>
      </c>
      <c r="AT265" s="170" t="e">
        <f t="shared" si="430"/>
        <v>#VALUE!</v>
      </c>
      <c r="AU265" s="207" t="e">
        <f t="shared" si="412"/>
        <v>#VALUE!</v>
      </c>
      <c r="AV265" s="208" t="e">
        <f t="shared" si="413"/>
        <v>#VALUE!</v>
      </c>
      <c r="AW265" s="201" t="str">
        <f t="shared" si="414"/>
        <v>Confiabilidade em Crescimento</v>
      </c>
      <c r="AX265" s="253" t="e">
        <f>VLOOKUP(D265,#REF!,5,FALSE)</f>
        <v>#REF!</v>
      </c>
      <c r="AY265" s="201"/>
      <c r="AZ265" s="273"/>
      <c r="BB265" t="str">
        <f>IFERROR(VLOOKUP(Tabela1[[#This Row],[Denominação]],[10]Planilha1!$A:$B,2,FALSE),"")</f>
        <v/>
      </c>
    </row>
    <row r="266" spans="1:54" ht="15" hidden="1" customHeight="1" x14ac:dyDescent="0.3">
      <c r="A266" s="253">
        <v>265</v>
      </c>
      <c r="B266" s="201" t="s">
        <v>1972</v>
      </c>
      <c r="C266" s="211" t="s">
        <v>1934</v>
      </c>
      <c r="D266" s="201">
        <v>40000005</v>
      </c>
      <c r="E266" s="253" t="s">
        <v>1795</v>
      </c>
      <c r="F266" s="253">
        <v>620</v>
      </c>
      <c r="G266" s="201">
        <v>43999</v>
      </c>
      <c r="H266" s="201">
        <v>2014</v>
      </c>
      <c r="I266" s="216"/>
      <c r="J266" s="214"/>
      <c r="K266" s="170"/>
      <c r="L266" s="207"/>
      <c r="M266" s="212"/>
      <c r="N266" s="212"/>
      <c r="O266" s="171"/>
      <c r="P266" s="271" t="str">
        <f>IFERROR(VLOOKUP(Tabela1[[#This Row],[TAG]],#REF!,14,FALSE),"")</f>
        <v/>
      </c>
      <c r="Q266" s="204" t="e">
        <f t="shared" si="387"/>
        <v>#VALUE!</v>
      </c>
      <c r="R266" s="204" t="e">
        <f t="shared" si="388"/>
        <v>#VALUE!</v>
      </c>
      <c r="S266" s="204" t="e">
        <f t="shared" si="389"/>
        <v>#VALUE!</v>
      </c>
      <c r="T266" s="204" t="e">
        <f t="shared" si="390"/>
        <v>#VALUE!</v>
      </c>
      <c r="U266" s="204" t="e">
        <f t="shared" si="391"/>
        <v>#VALUE!</v>
      </c>
      <c r="V266" s="204" t="e">
        <f t="shared" si="392"/>
        <v>#VALUE!</v>
      </c>
      <c r="W266" s="218"/>
      <c r="X266" s="218"/>
      <c r="Y266" s="203"/>
      <c r="Z266" s="203">
        <f>IF(Tabela1[[#This Row],[Ano Aquisição]]=2023,0,IFERROR(VLOOKUP(H266,inflação!$F:$H,3,FALSE),""))</f>
        <v>0.54749999999999999</v>
      </c>
      <c r="AA266" s="203"/>
      <c r="AB266" s="218">
        <f t="shared" si="393"/>
        <v>0</v>
      </c>
      <c r="AC266" s="204" t="e">
        <f t="shared" si="415"/>
        <v>#VALUE!</v>
      </c>
      <c r="AD266" s="204" t="e">
        <f t="shared" si="416"/>
        <v>#VALUE!</v>
      </c>
      <c r="AE266" s="204" t="e">
        <f t="shared" si="417"/>
        <v>#VALUE!</v>
      </c>
      <c r="AF266" s="204" t="e">
        <f t="shared" si="418"/>
        <v>#VALUE!</v>
      </c>
      <c r="AG266" s="204" t="e">
        <f t="shared" si="419"/>
        <v>#VALUE!</v>
      </c>
      <c r="AH266" s="204" t="e">
        <f t="shared" si="420"/>
        <v>#VALUE!</v>
      </c>
      <c r="AI266" s="204" t="e">
        <f t="shared" si="421"/>
        <v>#VALUE!</v>
      </c>
      <c r="AJ266" s="205">
        <f t="shared" si="401"/>
        <v>0</v>
      </c>
      <c r="AK266" s="204" t="e">
        <f t="shared" si="422"/>
        <v>#VALUE!</v>
      </c>
      <c r="AL266" s="204" t="e">
        <f t="shared" si="423"/>
        <v>#VALUE!</v>
      </c>
      <c r="AM266" s="204" t="e">
        <f t="shared" si="424"/>
        <v>#VALUE!</v>
      </c>
      <c r="AN266" s="204" t="e">
        <f t="shared" si="425"/>
        <v>#VALUE!</v>
      </c>
      <c r="AO266" s="204" t="e">
        <f t="shared" si="426"/>
        <v>#VALUE!</v>
      </c>
      <c r="AP266" s="204" t="e">
        <f t="shared" si="427"/>
        <v>#VALUE!</v>
      </c>
      <c r="AQ266" s="204" t="e">
        <f t="shared" si="428"/>
        <v>#VALUE!</v>
      </c>
      <c r="AR266" s="206" t="e">
        <f t="shared" si="409"/>
        <v>#VALUE!</v>
      </c>
      <c r="AS266" s="170" t="e">
        <f t="shared" si="429"/>
        <v>#VALUE!</v>
      </c>
      <c r="AT266" s="170" t="e">
        <f t="shared" si="430"/>
        <v>#VALUE!</v>
      </c>
      <c r="AU266" s="207" t="e">
        <f t="shared" si="412"/>
        <v>#VALUE!</v>
      </c>
      <c r="AV266" s="208" t="e">
        <f t="shared" si="413"/>
        <v>#VALUE!</v>
      </c>
      <c r="AW266" s="201" t="str">
        <f t="shared" si="414"/>
        <v>Confiabilidade em Crescimento</v>
      </c>
      <c r="AX266" s="253" t="e">
        <f>VLOOKUP(D266,#REF!,5,FALSE)</f>
        <v>#REF!</v>
      </c>
      <c r="AY266" s="201"/>
      <c r="AZ266" s="273"/>
      <c r="BB266" t="str">
        <f>IFERROR(VLOOKUP(Tabela1[[#This Row],[Denominação]],[10]Planilha1!$A:$B,2,FALSE),"")</f>
        <v/>
      </c>
    </row>
    <row r="267" spans="1:54" ht="15" hidden="1" customHeight="1" x14ac:dyDescent="0.3">
      <c r="A267" s="268">
        <v>266</v>
      </c>
      <c r="B267" s="201" t="s">
        <v>2027</v>
      </c>
      <c r="C267" s="211" t="s">
        <v>1953</v>
      </c>
      <c r="D267" s="201">
        <v>40000015</v>
      </c>
      <c r="E267" s="253" t="s">
        <v>1796</v>
      </c>
      <c r="F267" s="253">
        <v>681</v>
      </c>
      <c r="G267" s="201">
        <v>45109</v>
      </c>
      <c r="H267" s="201">
        <v>2014</v>
      </c>
      <c r="I267" s="216"/>
      <c r="J267" s="214"/>
      <c r="K267" s="170"/>
      <c r="L267" s="207"/>
      <c r="M267" s="212"/>
      <c r="N267" s="212"/>
      <c r="O267" s="171"/>
      <c r="P267" s="271" t="str">
        <f>IFERROR(VLOOKUP(Tabela1[[#This Row],[TAG]],#REF!,14,FALSE),"")</f>
        <v/>
      </c>
      <c r="Q267" s="204" t="e">
        <f t="shared" ref="Q267:Q297" si="431">P267+P267</f>
        <v>#VALUE!</v>
      </c>
      <c r="R267" s="204" t="e">
        <f t="shared" ref="R267:R297" si="432">Q267+P267</f>
        <v>#VALUE!</v>
      </c>
      <c r="S267" s="204" t="e">
        <f t="shared" ref="S267:S297" si="433">R267+P267</f>
        <v>#VALUE!</v>
      </c>
      <c r="T267" s="204" t="e">
        <f t="shared" ref="T267:T297" si="434">S267+P267</f>
        <v>#VALUE!</v>
      </c>
      <c r="U267" s="204" t="e">
        <f t="shared" ref="U267:U297" si="435">T267+P267</f>
        <v>#VALUE!</v>
      </c>
      <c r="V267" s="204" t="e">
        <f t="shared" ref="V267:V297" si="436">U267+P267</f>
        <v>#VALUE!</v>
      </c>
      <c r="W267" s="218"/>
      <c r="X267" s="218"/>
      <c r="Y267" s="203"/>
      <c r="Z267" s="203">
        <f>IF(Tabela1[[#This Row],[Ano Aquisição]]=2023,0,IFERROR(VLOOKUP(H267,inflação!$F:$H,3,FALSE),""))</f>
        <v>0.54749999999999999</v>
      </c>
      <c r="AA267" s="203"/>
      <c r="AB267" s="218">
        <f t="shared" ref="AB267:AB297" si="437">I267*-1</f>
        <v>0</v>
      </c>
      <c r="AC267" s="204" t="e">
        <f t="shared" ref="AC267:AC297" si="438">-(((P267*$W267)+($X267*12))*((1+$Y267)^AC$1))</f>
        <v>#VALUE!</v>
      </c>
      <c r="AD267" s="204" t="e">
        <f t="shared" ref="AD267:AD297" si="439">-((((Q267-P267)*$W267)+($X267*12))*((1+$Y267)^AD$1))</f>
        <v>#VALUE!</v>
      </c>
      <c r="AE267" s="204" t="e">
        <f t="shared" ref="AE267:AE297" si="440">-((((R267-Q267)*$W267)+($X267*12))*((1+$Y267)^AE$1))</f>
        <v>#VALUE!</v>
      </c>
      <c r="AF267" s="204" t="e">
        <f t="shared" ref="AF267:AF297" si="441">-((((S267-R267)*$W267)+($X267*12))*((1+$Y267)^AF$1))</f>
        <v>#VALUE!</v>
      </c>
      <c r="AG267" s="204" t="e">
        <f t="shared" ref="AG267:AG297" si="442">-((((T267-S267)*$W267)+($X267*12))*((1+$Y267)^AG$1))</f>
        <v>#VALUE!</v>
      </c>
      <c r="AH267" s="204" t="e">
        <f t="shared" ref="AH267:AH297" si="443">-((((U267-T267)*$W267)+($X267*12))*((1+$Y267)^AH$1))</f>
        <v>#VALUE!</v>
      </c>
      <c r="AI267" s="204" t="e">
        <f t="shared" ref="AI267:AI297" si="444">-((((V267-U267)*$W267)+($X267*12))*((1+$Y267)^AI$1))</f>
        <v>#VALUE!</v>
      </c>
      <c r="AJ267" s="205">
        <f t="shared" ref="AJ267:AJ297" si="445">-(I267*(1+Z267))</f>
        <v>0</v>
      </c>
      <c r="AK267" s="204" t="e">
        <f t="shared" ref="AK267:AK297" si="446">AC267*(1-$AA267)</f>
        <v>#VALUE!</v>
      </c>
      <c r="AL267" s="204" t="e">
        <f t="shared" ref="AL267:AL297" si="447">AD267*(1-$AA267)</f>
        <v>#VALUE!</v>
      </c>
      <c r="AM267" s="204" t="e">
        <f t="shared" ref="AM267:AM297" si="448">AE267*(1-$AA267)</f>
        <v>#VALUE!</v>
      </c>
      <c r="AN267" s="204" t="e">
        <f t="shared" ref="AN267:AN297" si="449">AF267*(1-$AA267)</f>
        <v>#VALUE!</v>
      </c>
      <c r="AO267" s="204" t="e">
        <f t="shared" ref="AO267:AO297" si="450">AG267*(1-$AA267)</f>
        <v>#VALUE!</v>
      </c>
      <c r="AP267" s="204" t="e">
        <f t="shared" ref="AP267:AP297" si="451">AH267*(1-$AA267)</f>
        <v>#VALUE!</v>
      </c>
      <c r="AQ267" s="204" t="e">
        <f t="shared" ref="AQ267:AQ297" si="452">AI267*(1-$AA267)</f>
        <v>#VALUE!</v>
      </c>
      <c r="AR267" s="206" t="e">
        <f t="shared" ref="AR267:AR298" si="453">(NPV(Y267,AK267,AL267,AM267,AN267,AO267,AP267,AQ267)+(SUM(AJ267,(J267*-1))))-(NPV(Y267,AC267,AD267,AE267,AF267,AG267,AH267,AI267))</f>
        <v>#VALUE!</v>
      </c>
      <c r="AS267" s="170" t="e">
        <f t="shared" ref="AS267:AS297" si="454">SUM(AC267:AI267)</f>
        <v>#VALUE!</v>
      </c>
      <c r="AT267" s="170" t="e">
        <f t="shared" ref="AT267:AT297" si="455">SUM(AK267:AQ267)</f>
        <v>#VALUE!</v>
      </c>
      <c r="AU267" s="207" t="e">
        <f t="shared" ref="AU267:AU297" si="456">(((AVERAGE(AC267:AI267)/1000)-(AVERAGE(AK267:AQ267)/1000))+(((AJ267/1000)*-1)/7)+((J267/1000)/7))*-1</f>
        <v>#VALUE!</v>
      </c>
      <c r="AV267" s="208" t="e">
        <f t="shared" ref="AV267:AV298" si="457">AU267/(((J267/1000)+((AJ267*-1)/1000)))</f>
        <v>#VALUE!</v>
      </c>
      <c r="AW267" s="201" t="str">
        <f t="shared" ref="AW267:AW297" si="458">IF(L267&gt;1.1,"Fase de Degradação",IF(L267&lt;1,"Confiabilidade em Crescimento","Fase de Vida Útil"))</f>
        <v>Confiabilidade em Crescimento</v>
      </c>
      <c r="AX267" s="253" t="e">
        <f>VLOOKUP(D267,#REF!,5,FALSE)</f>
        <v>#REF!</v>
      </c>
      <c r="AY267" s="201"/>
      <c r="AZ267" s="273"/>
      <c r="BB267" t="str">
        <f>IFERROR(VLOOKUP(Tabela1[[#This Row],[Denominação]],[10]Planilha1!$A:$B,2,FALSE),"")</f>
        <v/>
      </c>
    </row>
    <row r="268" spans="1:54" ht="15" hidden="1" customHeight="1" x14ac:dyDescent="0.3">
      <c r="A268" s="253">
        <v>267</v>
      </c>
      <c r="B268" s="201" t="s">
        <v>1999</v>
      </c>
      <c r="C268" s="211" t="s">
        <v>1935</v>
      </c>
      <c r="D268" s="201">
        <v>40000309</v>
      </c>
      <c r="E268" s="253" t="s">
        <v>1795</v>
      </c>
      <c r="F268" s="253">
        <v>620</v>
      </c>
      <c r="G268" s="201">
        <v>47281</v>
      </c>
      <c r="H268" s="201">
        <v>2016</v>
      </c>
      <c r="I268" s="216"/>
      <c r="J268" s="214"/>
      <c r="K268" s="170"/>
      <c r="L268" s="207"/>
      <c r="M268" s="212"/>
      <c r="N268" s="212"/>
      <c r="O268" s="171"/>
      <c r="P268" s="271" t="str">
        <f>IFERROR(VLOOKUP(Tabela1[[#This Row],[TAG]],#REF!,14,FALSE),"")</f>
        <v/>
      </c>
      <c r="Q268" s="204" t="e">
        <f t="shared" si="431"/>
        <v>#VALUE!</v>
      </c>
      <c r="R268" s="204" t="e">
        <f t="shared" si="432"/>
        <v>#VALUE!</v>
      </c>
      <c r="S268" s="204" t="e">
        <f t="shared" si="433"/>
        <v>#VALUE!</v>
      </c>
      <c r="T268" s="204" t="e">
        <f t="shared" si="434"/>
        <v>#VALUE!</v>
      </c>
      <c r="U268" s="204" t="e">
        <f t="shared" si="435"/>
        <v>#VALUE!</v>
      </c>
      <c r="V268" s="204" t="e">
        <f t="shared" si="436"/>
        <v>#VALUE!</v>
      </c>
      <c r="W268" s="218"/>
      <c r="X268" s="218"/>
      <c r="Y268" s="203"/>
      <c r="Z268" s="203">
        <f>IF(Tabela1[[#This Row],[Ano Aquisição]]=2023,0,IFERROR(VLOOKUP(H268,inflação!$F:$H,3,FALSE),""))</f>
        <v>0.37669999999999998</v>
      </c>
      <c r="AA268" s="203"/>
      <c r="AB268" s="218">
        <f t="shared" si="437"/>
        <v>0</v>
      </c>
      <c r="AC268" s="204" t="e">
        <f t="shared" si="438"/>
        <v>#VALUE!</v>
      </c>
      <c r="AD268" s="204" t="e">
        <f t="shared" si="439"/>
        <v>#VALUE!</v>
      </c>
      <c r="AE268" s="204" t="e">
        <f t="shared" si="440"/>
        <v>#VALUE!</v>
      </c>
      <c r="AF268" s="204" t="e">
        <f t="shared" si="441"/>
        <v>#VALUE!</v>
      </c>
      <c r="AG268" s="204" t="e">
        <f t="shared" si="442"/>
        <v>#VALUE!</v>
      </c>
      <c r="AH268" s="204" t="e">
        <f t="shared" si="443"/>
        <v>#VALUE!</v>
      </c>
      <c r="AI268" s="204" t="e">
        <f t="shared" si="444"/>
        <v>#VALUE!</v>
      </c>
      <c r="AJ268" s="205">
        <f t="shared" si="445"/>
        <v>0</v>
      </c>
      <c r="AK268" s="204" t="e">
        <f t="shared" si="446"/>
        <v>#VALUE!</v>
      </c>
      <c r="AL268" s="204" t="e">
        <f t="shared" si="447"/>
        <v>#VALUE!</v>
      </c>
      <c r="AM268" s="204" t="e">
        <f t="shared" si="448"/>
        <v>#VALUE!</v>
      </c>
      <c r="AN268" s="204" t="e">
        <f t="shared" si="449"/>
        <v>#VALUE!</v>
      </c>
      <c r="AO268" s="204" t="e">
        <f t="shared" si="450"/>
        <v>#VALUE!</v>
      </c>
      <c r="AP268" s="204" t="e">
        <f t="shared" si="451"/>
        <v>#VALUE!</v>
      </c>
      <c r="AQ268" s="204" t="e">
        <f t="shared" si="452"/>
        <v>#VALUE!</v>
      </c>
      <c r="AR268" s="206" t="e">
        <f t="shared" si="453"/>
        <v>#VALUE!</v>
      </c>
      <c r="AS268" s="170" t="e">
        <f t="shared" si="454"/>
        <v>#VALUE!</v>
      </c>
      <c r="AT268" s="170" t="e">
        <f t="shared" si="455"/>
        <v>#VALUE!</v>
      </c>
      <c r="AU268" s="207" t="e">
        <f t="shared" si="456"/>
        <v>#VALUE!</v>
      </c>
      <c r="AV268" s="208" t="e">
        <f t="shared" si="457"/>
        <v>#VALUE!</v>
      </c>
      <c r="AW268" s="201" t="str">
        <f t="shared" si="458"/>
        <v>Confiabilidade em Crescimento</v>
      </c>
      <c r="AX268" s="253" t="e">
        <f>VLOOKUP(D268,#REF!,5,FALSE)</f>
        <v>#REF!</v>
      </c>
      <c r="AY268" s="201"/>
      <c r="AZ268" s="273"/>
      <c r="BB268" t="str">
        <f>IFERROR(VLOOKUP(Tabela1[[#This Row],[Denominação]],[10]Planilha1!$A:$B,2,FALSE),"")</f>
        <v/>
      </c>
    </row>
    <row r="269" spans="1:54" ht="15" hidden="1" customHeight="1" x14ac:dyDescent="0.3">
      <c r="A269" s="268">
        <v>268</v>
      </c>
      <c r="B269" s="201" t="s">
        <v>2028</v>
      </c>
      <c r="C269" s="211" t="s">
        <v>1936</v>
      </c>
      <c r="D269" s="201">
        <v>40000197</v>
      </c>
      <c r="E269" s="253" t="s">
        <v>1795</v>
      </c>
      <c r="F269" s="253">
        <v>620</v>
      </c>
      <c r="G269" s="201">
        <v>45111</v>
      </c>
      <c r="H269" s="201">
        <v>2015</v>
      </c>
      <c r="I269" s="216"/>
      <c r="J269" s="214"/>
      <c r="K269" s="170"/>
      <c r="L269" s="207"/>
      <c r="M269" s="212"/>
      <c r="N269" s="212"/>
      <c r="O269" s="171"/>
      <c r="P269" s="271" t="str">
        <f>IFERROR(VLOOKUP(Tabela1[[#This Row],[TAG]],#REF!,14,FALSE),"")</f>
        <v/>
      </c>
      <c r="Q269" s="204" t="e">
        <f t="shared" si="431"/>
        <v>#VALUE!</v>
      </c>
      <c r="R269" s="204" t="e">
        <f t="shared" si="432"/>
        <v>#VALUE!</v>
      </c>
      <c r="S269" s="204" t="e">
        <f t="shared" si="433"/>
        <v>#VALUE!</v>
      </c>
      <c r="T269" s="204" t="e">
        <f t="shared" si="434"/>
        <v>#VALUE!</v>
      </c>
      <c r="U269" s="204" t="e">
        <f t="shared" si="435"/>
        <v>#VALUE!</v>
      </c>
      <c r="V269" s="204" t="e">
        <f t="shared" si="436"/>
        <v>#VALUE!</v>
      </c>
      <c r="W269" s="218"/>
      <c r="X269" s="218"/>
      <c r="Y269" s="203"/>
      <c r="Z269" s="203">
        <f>IF(Tabela1[[#This Row],[Ano Aquisição]]=2023,0,IFERROR(VLOOKUP(H269,inflação!$F:$H,3,FALSE),""))</f>
        <v>0.4834</v>
      </c>
      <c r="AA269" s="203"/>
      <c r="AB269" s="218">
        <f t="shared" si="437"/>
        <v>0</v>
      </c>
      <c r="AC269" s="204" t="e">
        <f t="shared" si="438"/>
        <v>#VALUE!</v>
      </c>
      <c r="AD269" s="204" t="e">
        <f t="shared" si="439"/>
        <v>#VALUE!</v>
      </c>
      <c r="AE269" s="204" t="e">
        <f t="shared" si="440"/>
        <v>#VALUE!</v>
      </c>
      <c r="AF269" s="204" t="e">
        <f t="shared" si="441"/>
        <v>#VALUE!</v>
      </c>
      <c r="AG269" s="204" t="e">
        <f t="shared" si="442"/>
        <v>#VALUE!</v>
      </c>
      <c r="AH269" s="204" t="e">
        <f t="shared" si="443"/>
        <v>#VALUE!</v>
      </c>
      <c r="AI269" s="204" t="e">
        <f t="shared" si="444"/>
        <v>#VALUE!</v>
      </c>
      <c r="AJ269" s="205">
        <f t="shared" si="445"/>
        <v>0</v>
      </c>
      <c r="AK269" s="204" t="e">
        <f t="shared" si="446"/>
        <v>#VALUE!</v>
      </c>
      <c r="AL269" s="204" t="e">
        <f t="shared" si="447"/>
        <v>#VALUE!</v>
      </c>
      <c r="AM269" s="204" t="e">
        <f t="shared" si="448"/>
        <v>#VALUE!</v>
      </c>
      <c r="AN269" s="204" t="e">
        <f t="shared" si="449"/>
        <v>#VALUE!</v>
      </c>
      <c r="AO269" s="204" t="e">
        <f t="shared" si="450"/>
        <v>#VALUE!</v>
      </c>
      <c r="AP269" s="204" t="e">
        <f t="shared" si="451"/>
        <v>#VALUE!</v>
      </c>
      <c r="AQ269" s="204" t="e">
        <f t="shared" si="452"/>
        <v>#VALUE!</v>
      </c>
      <c r="AR269" s="206" t="e">
        <f t="shared" si="453"/>
        <v>#VALUE!</v>
      </c>
      <c r="AS269" s="170" t="e">
        <f t="shared" si="454"/>
        <v>#VALUE!</v>
      </c>
      <c r="AT269" s="170" t="e">
        <f t="shared" si="455"/>
        <v>#VALUE!</v>
      </c>
      <c r="AU269" s="207" t="e">
        <f t="shared" si="456"/>
        <v>#VALUE!</v>
      </c>
      <c r="AV269" s="208" t="e">
        <f t="shared" si="457"/>
        <v>#VALUE!</v>
      </c>
      <c r="AW269" s="201" t="str">
        <f t="shared" si="458"/>
        <v>Confiabilidade em Crescimento</v>
      </c>
      <c r="AX269" s="253" t="e">
        <f>VLOOKUP(D269,#REF!,5,FALSE)</f>
        <v>#REF!</v>
      </c>
      <c r="AY269" s="201"/>
      <c r="AZ269" s="273"/>
      <c r="BB269" t="str">
        <f>IFERROR(VLOOKUP(Tabela1[[#This Row],[Denominação]],[10]Planilha1!$A:$B,2,FALSE),"")</f>
        <v/>
      </c>
    </row>
    <row r="270" spans="1:54" ht="15" hidden="1" customHeight="1" x14ac:dyDescent="0.3">
      <c r="A270" s="253">
        <v>269</v>
      </c>
      <c r="B270" s="201" t="s">
        <v>2029</v>
      </c>
      <c r="C270" s="211" t="s">
        <v>1937</v>
      </c>
      <c r="D270" s="201">
        <v>40000203</v>
      </c>
      <c r="E270" s="253" t="s">
        <v>1795</v>
      </c>
      <c r="F270" s="253">
        <v>620</v>
      </c>
      <c r="G270" s="201">
        <v>45457</v>
      </c>
      <c r="H270" s="201">
        <v>2015</v>
      </c>
      <c r="I270" s="216"/>
      <c r="J270" s="214"/>
      <c r="K270" s="170"/>
      <c r="L270" s="207"/>
      <c r="M270" s="212"/>
      <c r="N270" s="212"/>
      <c r="O270" s="171"/>
      <c r="P270" s="271" t="str">
        <f>IFERROR(VLOOKUP(Tabela1[[#This Row],[TAG]],#REF!,14,FALSE),"")</f>
        <v/>
      </c>
      <c r="Q270" s="204" t="e">
        <f t="shared" si="431"/>
        <v>#VALUE!</v>
      </c>
      <c r="R270" s="204" t="e">
        <f t="shared" si="432"/>
        <v>#VALUE!</v>
      </c>
      <c r="S270" s="204" t="e">
        <f t="shared" si="433"/>
        <v>#VALUE!</v>
      </c>
      <c r="T270" s="204" t="e">
        <f t="shared" si="434"/>
        <v>#VALUE!</v>
      </c>
      <c r="U270" s="204" t="e">
        <f t="shared" si="435"/>
        <v>#VALUE!</v>
      </c>
      <c r="V270" s="204" t="e">
        <f t="shared" si="436"/>
        <v>#VALUE!</v>
      </c>
      <c r="W270" s="218"/>
      <c r="X270" s="218"/>
      <c r="Y270" s="203"/>
      <c r="Z270" s="203">
        <f>IF(Tabela1[[#This Row],[Ano Aquisição]]=2023,0,IFERROR(VLOOKUP(H270,inflação!$F:$H,3,FALSE),""))</f>
        <v>0.4834</v>
      </c>
      <c r="AA270" s="203"/>
      <c r="AB270" s="218">
        <f t="shared" si="437"/>
        <v>0</v>
      </c>
      <c r="AC270" s="204" t="e">
        <f t="shared" si="438"/>
        <v>#VALUE!</v>
      </c>
      <c r="AD270" s="204" t="e">
        <f t="shared" si="439"/>
        <v>#VALUE!</v>
      </c>
      <c r="AE270" s="204" t="e">
        <f t="shared" si="440"/>
        <v>#VALUE!</v>
      </c>
      <c r="AF270" s="204" t="e">
        <f t="shared" si="441"/>
        <v>#VALUE!</v>
      </c>
      <c r="AG270" s="204" t="e">
        <f t="shared" si="442"/>
        <v>#VALUE!</v>
      </c>
      <c r="AH270" s="204" t="e">
        <f t="shared" si="443"/>
        <v>#VALUE!</v>
      </c>
      <c r="AI270" s="204" t="e">
        <f t="shared" si="444"/>
        <v>#VALUE!</v>
      </c>
      <c r="AJ270" s="205">
        <f t="shared" si="445"/>
        <v>0</v>
      </c>
      <c r="AK270" s="204" t="e">
        <f t="shared" si="446"/>
        <v>#VALUE!</v>
      </c>
      <c r="AL270" s="204" t="e">
        <f t="shared" si="447"/>
        <v>#VALUE!</v>
      </c>
      <c r="AM270" s="204" t="e">
        <f t="shared" si="448"/>
        <v>#VALUE!</v>
      </c>
      <c r="AN270" s="204" t="e">
        <f t="shared" si="449"/>
        <v>#VALUE!</v>
      </c>
      <c r="AO270" s="204" t="e">
        <f t="shared" si="450"/>
        <v>#VALUE!</v>
      </c>
      <c r="AP270" s="204" t="e">
        <f t="shared" si="451"/>
        <v>#VALUE!</v>
      </c>
      <c r="AQ270" s="204" t="e">
        <f t="shared" si="452"/>
        <v>#VALUE!</v>
      </c>
      <c r="AR270" s="206" t="e">
        <f t="shared" si="453"/>
        <v>#VALUE!</v>
      </c>
      <c r="AS270" s="170" t="e">
        <f t="shared" si="454"/>
        <v>#VALUE!</v>
      </c>
      <c r="AT270" s="170" t="e">
        <f t="shared" si="455"/>
        <v>#VALUE!</v>
      </c>
      <c r="AU270" s="207" t="e">
        <f t="shared" si="456"/>
        <v>#VALUE!</v>
      </c>
      <c r="AV270" s="208" t="e">
        <f t="shared" si="457"/>
        <v>#VALUE!</v>
      </c>
      <c r="AW270" s="201" t="str">
        <f t="shared" si="458"/>
        <v>Confiabilidade em Crescimento</v>
      </c>
      <c r="AX270" s="253" t="e">
        <f>VLOOKUP(D270,#REF!,5,FALSE)</f>
        <v>#REF!</v>
      </c>
      <c r="AY270" s="201"/>
      <c r="AZ270" s="273"/>
      <c r="BB270">
        <f>IFERROR(VLOOKUP(Tabela1[[#This Row],[Denominação]],[10]Planilha1!$A:$B,2,FALSE),"")</f>
        <v>45614.619999999995</v>
      </c>
    </row>
    <row r="271" spans="1:54" ht="15" hidden="1" customHeight="1" x14ac:dyDescent="0.3">
      <c r="A271" s="268">
        <v>270</v>
      </c>
      <c r="B271" s="201" t="s">
        <v>2030</v>
      </c>
      <c r="C271" s="211" t="s">
        <v>1938</v>
      </c>
      <c r="D271" s="201">
        <v>40000238</v>
      </c>
      <c r="E271" s="253" t="s">
        <v>1795</v>
      </c>
      <c r="F271" s="253">
        <v>620</v>
      </c>
      <c r="G271" s="201">
        <v>46142</v>
      </c>
      <c r="H271" s="201">
        <v>2015</v>
      </c>
      <c r="I271" s="216"/>
      <c r="J271" s="214"/>
      <c r="K271" s="170"/>
      <c r="L271" s="207"/>
      <c r="M271" s="212"/>
      <c r="N271" s="212"/>
      <c r="O271" s="171"/>
      <c r="P271" s="271" t="str">
        <f>IFERROR(VLOOKUP(Tabela1[[#This Row],[TAG]],#REF!,14,FALSE),"")</f>
        <v/>
      </c>
      <c r="Q271" s="204" t="e">
        <f t="shared" si="431"/>
        <v>#VALUE!</v>
      </c>
      <c r="R271" s="204" t="e">
        <f t="shared" si="432"/>
        <v>#VALUE!</v>
      </c>
      <c r="S271" s="204" t="e">
        <f t="shared" si="433"/>
        <v>#VALUE!</v>
      </c>
      <c r="T271" s="204" t="e">
        <f t="shared" si="434"/>
        <v>#VALUE!</v>
      </c>
      <c r="U271" s="204" t="e">
        <f t="shared" si="435"/>
        <v>#VALUE!</v>
      </c>
      <c r="V271" s="204" t="e">
        <f t="shared" si="436"/>
        <v>#VALUE!</v>
      </c>
      <c r="W271" s="218"/>
      <c r="X271" s="218"/>
      <c r="Y271" s="203"/>
      <c r="Z271" s="203">
        <f>IF(Tabela1[[#This Row],[Ano Aquisição]]=2023,0,IFERROR(VLOOKUP(H271,inflação!$F:$H,3,FALSE),""))</f>
        <v>0.4834</v>
      </c>
      <c r="AA271" s="203"/>
      <c r="AB271" s="218">
        <f t="shared" si="437"/>
        <v>0</v>
      </c>
      <c r="AC271" s="204" t="e">
        <f t="shared" si="438"/>
        <v>#VALUE!</v>
      </c>
      <c r="AD271" s="204" t="e">
        <f t="shared" si="439"/>
        <v>#VALUE!</v>
      </c>
      <c r="AE271" s="204" t="e">
        <f t="shared" si="440"/>
        <v>#VALUE!</v>
      </c>
      <c r="AF271" s="204" t="e">
        <f t="shared" si="441"/>
        <v>#VALUE!</v>
      </c>
      <c r="AG271" s="204" t="e">
        <f t="shared" si="442"/>
        <v>#VALUE!</v>
      </c>
      <c r="AH271" s="204" t="e">
        <f t="shared" si="443"/>
        <v>#VALUE!</v>
      </c>
      <c r="AI271" s="204" t="e">
        <f t="shared" si="444"/>
        <v>#VALUE!</v>
      </c>
      <c r="AJ271" s="205">
        <f t="shared" si="445"/>
        <v>0</v>
      </c>
      <c r="AK271" s="204" t="e">
        <f t="shared" si="446"/>
        <v>#VALUE!</v>
      </c>
      <c r="AL271" s="204" t="e">
        <f t="shared" si="447"/>
        <v>#VALUE!</v>
      </c>
      <c r="AM271" s="204" t="e">
        <f t="shared" si="448"/>
        <v>#VALUE!</v>
      </c>
      <c r="AN271" s="204" t="e">
        <f t="shared" si="449"/>
        <v>#VALUE!</v>
      </c>
      <c r="AO271" s="204" t="e">
        <f t="shared" si="450"/>
        <v>#VALUE!</v>
      </c>
      <c r="AP271" s="204" t="e">
        <f t="shared" si="451"/>
        <v>#VALUE!</v>
      </c>
      <c r="AQ271" s="204" t="e">
        <f t="shared" si="452"/>
        <v>#VALUE!</v>
      </c>
      <c r="AR271" s="206" t="e">
        <f t="shared" si="453"/>
        <v>#VALUE!</v>
      </c>
      <c r="AS271" s="170" t="e">
        <f t="shared" si="454"/>
        <v>#VALUE!</v>
      </c>
      <c r="AT271" s="170" t="e">
        <f t="shared" si="455"/>
        <v>#VALUE!</v>
      </c>
      <c r="AU271" s="207" t="e">
        <f t="shared" si="456"/>
        <v>#VALUE!</v>
      </c>
      <c r="AV271" s="208" t="e">
        <f t="shared" si="457"/>
        <v>#VALUE!</v>
      </c>
      <c r="AW271" s="201" t="str">
        <f t="shared" si="458"/>
        <v>Confiabilidade em Crescimento</v>
      </c>
      <c r="AX271" s="253" t="e">
        <f>VLOOKUP(D271,#REF!,5,FALSE)</f>
        <v>#REF!</v>
      </c>
      <c r="AY271" s="201"/>
      <c r="AZ271" s="273"/>
      <c r="BB271" t="str">
        <f>IFERROR(VLOOKUP(Tabela1[[#This Row],[Denominação]],[10]Planilha1!$A:$B,2,FALSE),"")</f>
        <v/>
      </c>
    </row>
    <row r="272" spans="1:54" ht="15" hidden="1" customHeight="1" x14ac:dyDescent="0.3">
      <c r="A272" s="253">
        <v>271</v>
      </c>
      <c r="B272" s="201" t="s">
        <v>1973</v>
      </c>
      <c r="C272" s="211" t="s">
        <v>1939</v>
      </c>
      <c r="D272" s="201">
        <v>40000357</v>
      </c>
      <c r="E272" s="253" t="s">
        <v>1795</v>
      </c>
      <c r="F272" s="253">
        <v>620</v>
      </c>
      <c r="G272" s="201">
        <v>48191</v>
      </c>
      <c r="H272" s="201">
        <v>2017</v>
      </c>
      <c r="I272" s="216"/>
      <c r="J272" s="214"/>
      <c r="K272" s="170"/>
      <c r="L272" s="207"/>
      <c r="M272" s="212"/>
      <c r="N272" s="212"/>
      <c r="O272" s="171"/>
      <c r="P272" s="271" t="str">
        <f>IFERROR(VLOOKUP(Tabela1[[#This Row],[TAG]],#REF!,14,FALSE),"")</f>
        <v/>
      </c>
      <c r="Q272" s="204" t="e">
        <f t="shared" si="431"/>
        <v>#VALUE!</v>
      </c>
      <c r="R272" s="204" t="e">
        <f t="shared" si="432"/>
        <v>#VALUE!</v>
      </c>
      <c r="S272" s="204" t="e">
        <f t="shared" si="433"/>
        <v>#VALUE!</v>
      </c>
      <c r="T272" s="204" t="e">
        <f t="shared" si="434"/>
        <v>#VALUE!</v>
      </c>
      <c r="U272" s="204" t="e">
        <f t="shared" si="435"/>
        <v>#VALUE!</v>
      </c>
      <c r="V272" s="204" t="e">
        <f t="shared" si="436"/>
        <v>#VALUE!</v>
      </c>
      <c r="W272" s="218"/>
      <c r="X272" s="218"/>
      <c r="Y272" s="203"/>
      <c r="Z272" s="203">
        <f>IF(Tabela1[[#This Row],[Ano Aquisição]]=2023,0,IFERROR(VLOOKUP(H272,inflação!$F:$H,3,FALSE),""))</f>
        <v>0.31379999999999997</v>
      </c>
      <c r="AA272" s="203"/>
      <c r="AB272" s="218">
        <f t="shared" si="437"/>
        <v>0</v>
      </c>
      <c r="AC272" s="204" t="e">
        <f t="shared" si="438"/>
        <v>#VALUE!</v>
      </c>
      <c r="AD272" s="204" t="e">
        <f t="shared" si="439"/>
        <v>#VALUE!</v>
      </c>
      <c r="AE272" s="204" t="e">
        <f t="shared" si="440"/>
        <v>#VALUE!</v>
      </c>
      <c r="AF272" s="204" t="e">
        <f t="shared" si="441"/>
        <v>#VALUE!</v>
      </c>
      <c r="AG272" s="204" t="e">
        <f t="shared" si="442"/>
        <v>#VALUE!</v>
      </c>
      <c r="AH272" s="204" t="e">
        <f t="shared" si="443"/>
        <v>#VALUE!</v>
      </c>
      <c r="AI272" s="204" t="e">
        <f t="shared" si="444"/>
        <v>#VALUE!</v>
      </c>
      <c r="AJ272" s="205">
        <f t="shared" si="445"/>
        <v>0</v>
      </c>
      <c r="AK272" s="204" t="e">
        <f t="shared" si="446"/>
        <v>#VALUE!</v>
      </c>
      <c r="AL272" s="204" t="e">
        <f t="shared" si="447"/>
        <v>#VALUE!</v>
      </c>
      <c r="AM272" s="204" t="e">
        <f t="shared" si="448"/>
        <v>#VALUE!</v>
      </c>
      <c r="AN272" s="204" t="e">
        <f t="shared" si="449"/>
        <v>#VALUE!</v>
      </c>
      <c r="AO272" s="204" t="e">
        <f t="shared" si="450"/>
        <v>#VALUE!</v>
      </c>
      <c r="AP272" s="204" t="e">
        <f t="shared" si="451"/>
        <v>#VALUE!</v>
      </c>
      <c r="AQ272" s="204" t="e">
        <f t="shared" si="452"/>
        <v>#VALUE!</v>
      </c>
      <c r="AR272" s="206" t="e">
        <f t="shared" si="453"/>
        <v>#VALUE!</v>
      </c>
      <c r="AS272" s="170" t="e">
        <f t="shared" si="454"/>
        <v>#VALUE!</v>
      </c>
      <c r="AT272" s="170" t="e">
        <f t="shared" si="455"/>
        <v>#VALUE!</v>
      </c>
      <c r="AU272" s="207" t="e">
        <f t="shared" si="456"/>
        <v>#VALUE!</v>
      </c>
      <c r="AV272" s="208" t="e">
        <f t="shared" si="457"/>
        <v>#VALUE!</v>
      </c>
      <c r="AW272" s="201" t="str">
        <f t="shared" si="458"/>
        <v>Confiabilidade em Crescimento</v>
      </c>
      <c r="AX272" s="253" t="e">
        <f>VLOOKUP(D272,#REF!,5,FALSE)</f>
        <v>#REF!</v>
      </c>
      <c r="AY272" s="201"/>
      <c r="AZ272" s="273"/>
      <c r="BB272" t="str">
        <f>IFERROR(VLOOKUP(Tabela1[[#This Row],[Denominação]],[10]Planilha1!$A:$B,2,FALSE),"")</f>
        <v/>
      </c>
    </row>
    <row r="273" spans="1:54" ht="15" hidden="1" customHeight="1" x14ac:dyDescent="0.3">
      <c r="A273" s="268">
        <v>272</v>
      </c>
      <c r="B273" s="201" t="s">
        <v>1974</v>
      </c>
      <c r="C273" s="211" t="s">
        <v>1940</v>
      </c>
      <c r="D273" s="201">
        <v>40000358</v>
      </c>
      <c r="E273" s="253" t="s">
        <v>1795</v>
      </c>
      <c r="F273" s="253">
        <v>620</v>
      </c>
      <c r="G273" s="201">
        <v>48190</v>
      </c>
      <c r="H273" s="201">
        <v>2017</v>
      </c>
      <c r="I273" s="216"/>
      <c r="J273" s="214"/>
      <c r="K273" s="170"/>
      <c r="L273" s="207"/>
      <c r="M273" s="212"/>
      <c r="N273" s="212"/>
      <c r="O273" s="171"/>
      <c r="P273" s="271" t="str">
        <f>IFERROR(VLOOKUP(Tabela1[[#This Row],[TAG]],#REF!,14,FALSE),"")</f>
        <v/>
      </c>
      <c r="Q273" s="204" t="e">
        <f t="shared" si="431"/>
        <v>#VALUE!</v>
      </c>
      <c r="R273" s="204" t="e">
        <f t="shared" si="432"/>
        <v>#VALUE!</v>
      </c>
      <c r="S273" s="204" t="e">
        <f t="shared" si="433"/>
        <v>#VALUE!</v>
      </c>
      <c r="T273" s="204" t="e">
        <f t="shared" si="434"/>
        <v>#VALUE!</v>
      </c>
      <c r="U273" s="204" t="e">
        <f t="shared" si="435"/>
        <v>#VALUE!</v>
      </c>
      <c r="V273" s="204" t="e">
        <f t="shared" si="436"/>
        <v>#VALUE!</v>
      </c>
      <c r="W273" s="218"/>
      <c r="X273" s="218"/>
      <c r="Y273" s="203"/>
      <c r="Z273" s="203">
        <f>IF(Tabela1[[#This Row],[Ano Aquisição]]=2023,0,IFERROR(VLOOKUP(H273,inflação!$F:$H,3,FALSE),""))</f>
        <v>0.31379999999999997</v>
      </c>
      <c r="AA273" s="203"/>
      <c r="AB273" s="218">
        <f t="shared" si="437"/>
        <v>0</v>
      </c>
      <c r="AC273" s="204" t="e">
        <f t="shared" si="438"/>
        <v>#VALUE!</v>
      </c>
      <c r="AD273" s="204" t="e">
        <f t="shared" si="439"/>
        <v>#VALUE!</v>
      </c>
      <c r="AE273" s="204" t="e">
        <f t="shared" si="440"/>
        <v>#VALUE!</v>
      </c>
      <c r="AF273" s="204" t="e">
        <f t="shared" si="441"/>
        <v>#VALUE!</v>
      </c>
      <c r="AG273" s="204" t="e">
        <f t="shared" si="442"/>
        <v>#VALUE!</v>
      </c>
      <c r="AH273" s="204" t="e">
        <f t="shared" si="443"/>
        <v>#VALUE!</v>
      </c>
      <c r="AI273" s="204" t="e">
        <f t="shared" si="444"/>
        <v>#VALUE!</v>
      </c>
      <c r="AJ273" s="205">
        <f t="shared" si="445"/>
        <v>0</v>
      </c>
      <c r="AK273" s="204" t="e">
        <f t="shared" si="446"/>
        <v>#VALUE!</v>
      </c>
      <c r="AL273" s="204" t="e">
        <f t="shared" si="447"/>
        <v>#VALUE!</v>
      </c>
      <c r="AM273" s="204" t="e">
        <f t="shared" si="448"/>
        <v>#VALUE!</v>
      </c>
      <c r="AN273" s="204" t="e">
        <f t="shared" si="449"/>
        <v>#VALUE!</v>
      </c>
      <c r="AO273" s="204" t="e">
        <f t="shared" si="450"/>
        <v>#VALUE!</v>
      </c>
      <c r="AP273" s="204" t="e">
        <f t="shared" si="451"/>
        <v>#VALUE!</v>
      </c>
      <c r="AQ273" s="204" t="e">
        <f t="shared" si="452"/>
        <v>#VALUE!</v>
      </c>
      <c r="AR273" s="206" t="e">
        <f t="shared" si="453"/>
        <v>#VALUE!</v>
      </c>
      <c r="AS273" s="170" t="e">
        <f t="shared" si="454"/>
        <v>#VALUE!</v>
      </c>
      <c r="AT273" s="170" t="e">
        <f t="shared" si="455"/>
        <v>#VALUE!</v>
      </c>
      <c r="AU273" s="207" t="e">
        <f t="shared" si="456"/>
        <v>#VALUE!</v>
      </c>
      <c r="AV273" s="208" t="e">
        <f t="shared" si="457"/>
        <v>#VALUE!</v>
      </c>
      <c r="AW273" s="201" t="str">
        <f t="shared" si="458"/>
        <v>Confiabilidade em Crescimento</v>
      </c>
      <c r="AX273" s="253" t="e">
        <f>VLOOKUP(D273,#REF!,5,FALSE)</f>
        <v>#REF!</v>
      </c>
      <c r="AY273" s="201"/>
      <c r="AZ273" s="273"/>
      <c r="BB273" t="str">
        <f>IFERROR(VLOOKUP(Tabela1[[#This Row],[Denominação]],[10]Planilha1!$A:$B,2,FALSE),"")</f>
        <v/>
      </c>
    </row>
    <row r="274" spans="1:54" ht="15" hidden="1" customHeight="1" x14ac:dyDescent="0.3">
      <c r="A274" s="253">
        <v>273</v>
      </c>
      <c r="B274" s="201" t="s">
        <v>1975</v>
      </c>
      <c r="C274" s="211" t="s">
        <v>1941</v>
      </c>
      <c r="D274" s="201">
        <v>40000359</v>
      </c>
      <c r="E274" s="253" t="s">
        <v>1795</v>
      </c>
      <c r="F274" s="253">
        <v>620</v>
      </c>
      <c r="G274" s="201">
        <v>48189</v>
      </c>
      <c r="H274" s="201">
        <v>2017</v>
      </c>
      <c r="I274" s="216"/>
      <c r="J274" s="214"/>
      <c r="K274" s="170"/>
      <c r="L274" s="207"/>
      <c r="M274" s="212"/>
      <c r="N274" s="212"/>
      <c r="O274" s="171"/>
      <c r="P274" s="271" t="str">
        <f>IFERROR(VLOOKUP(Tabela1[[#This Row],[TAG]],#REF!,14,FALSE),"")</f>
        <v/>
      </c>
      <c r="Q274" s="204" t="e">
        <f t="shared" si="431"/>
        <v>#VALUE!</v>
      </c>
      <c r="R274" s="204" t="e">
        <f t="shared" si="432"/>
        <v>#VALUE!</v>
      </c>
      <c r="S274" s="204" t="e">
        <f t="shared" si="433"/>
        <v>#VALUE!</v>
      </c>
      <c r="T274" s="204" t="e">
        <f t="shared" si="434"/>
        <v>#VALUE!</v>
      </c>
      <c r="U274" s="204" t="e">
        <f t="shared" si="435"/>
        <v>#VALUE!</v>
      </c>
      <c r="V274" s="204" t="e">
        <f t="shared" si="436"/>
        <v>#VALUE!</v>
      </c>
      <c r="W274" s="218"/>
      <c r="X274" s="218"/>
      <c r="Y274" s="203"/>
      <c r="Z274" s="203">
        <f>IF(Tabela1[[#This Row],[Ano Aquisição]]=2023,0,IFERROR(VLOOKUP(H274,inflação!$F:$H,3,FALSE),""))</f>
        <v>0.31379999999999997</v>
      </c>
      <c r="AA274" s="203"/>
      <c r="AB274" s="218">
        <f t="shared" si="437"/>
        <v>0</v>
      </c>
      <c r="AC274" s="204" t="e">
        <f t="shared" si="438"/>
        <v>#VALUE!</v>
      </c>
      <c r="AD274" s="204" t="e">
        <f t="shared" si="439"/>
        <v>#VALUE!</v>
      </c>
      <c r="AE274" s="204" t="e">
        <f t="shared" si="440"/>
        <v>#VALUE!</v>
      </c>
      <c r="AF274" s="204" t="e">
        <f t="shared" si="441"/>
        <v>#VALUE!</v>
      </c>
      <c r="AG274" s="204" t="e">
        <f t="shared" si="442"/>
        <v>#VALUE!</v>
      </c>
      <c r="AH274" s="204" t="e">
        <f t="shared" si="443"/>
        <v>#VALUE!</v>
      </c>
      <c r="AI274" s="204" t="e">
        <f t="shared" si="444"/>
        <v>#VALUE!</v>
      </c>
      <c r="AJ274" s="205">
        <f t="shared" si="445"/>
        <v>0</v>
      </c>
      <c r="AK274" s="204" t="e">
        <f t="shared" si="446"/>
        <v>#VALUE!</v>
      </c>
      <c r="AL274" s="204" t="e">
        <f t="shared" si="447"/>
        <v>#VALUE!</v>
      </c>
      <c r="AM274" s="204" t="e">
        <f t="shared" si="448"/>
        <v>#VALUE!</v>
      </c>
      <c r="AN274" s="204" t="e">
        <f t="shared" si="449"/>
        <v>#VALUE!</v>
      </c>
      <c r="AO274" s="204" t="e">
        <f t="shared" si="450"/>
        <v>#VALUE!</v>
      </c>
      <c r="AP274" s="204" t="e">
        <f t="shared" si="451"/>
        <v>#VALUE!</v>
      </c>
      <c r="AQ274" s="204" t="e">
        <f t="shared" si="452"/>
        <v>#VALUE!</v>
      </c>
      <c r="AR274" s="206" t="e">
        <f t="shared" si="453"/>
        <v>#VALUE!</v>
      </c>
      <c r="AS274" s="170" t="e">
        <f t="shared" si="454"/>
        <v>#VALUE!</v>
      </c>
      <c r="AT274" s="170" t="e">
        <f t="shared" si="455"/>
        <v>#VALUE!</v>
      </c>
      <c r="AU274" s="207" t="e">
        <f t="shared" si="456"/>
        <v>#VALUE!</v>
      </c>
      <c r="AV274" s="208" t="e">
        <f t="shared" si="457"/>
        <v>#VALUE!</v>
      </c>
      <c r="AW274" s="201" t="str">
        <f t="shared" si="458"/>
        <v>Confiabilidade em Crescimento</v>
      </c>
      <c r="AX274" s="253" t="e">
        <f>VLOOKUP(D274,#REF!,5,FALSE)</f>
        <v>#REF!</v>
      </c>
      <c r="AY274" s="201"/>
      <c r="AZ274" s="273"/>
      <c r="BB274" t="str">
        <f>IFERROR(VLOOKUP(Tabela1[[#This Row],[Denominação]],[10]Planilha1!$A:$B,2,FALSE),"")</f>
        <v/>
      </c>
    </row>
    <row r="275" spans="1:54" ht="15" hidden="1" customHeight="1" x14ac:dyDescent="0.3">
      <c r="A275" s="268">
        <v>274</v>
      </c>
      <c r="B275" s="201" t="s">
        <v>1976</v>
      </c>
      <c r="C275" s="211" t="s">
        <v>1942</v>
      </c>
      <c r="D275" s="201">
        <v>40000406</v>
      </c>
      <c r="E275" s="253" t="s">
        <v>1795</v>
      </c>
      <c r="F275" s="253">
        <v>620</v>
      </c>
      <c r="G275" s="201">
        <v>49685</v>
      </c>
      <c r="H275" s="201">
        <v>2018</v>
      </c>
      <c r="I275" s="216"/>
      <c r="J275" s="214"/>
      <c r="K275" s="170"/>
      <c r="L275" s="207"/>
      <c r="M275" s="212"/>
      <c r="N275" s="212"/>
      <c r="O275" s="171"/>
      <c r="P275" s="271" t="str">
        <f>IFERROR(VLOOKUP(Tabela1[[#This Row],[TAG]],#REF!,14,FALSE),"")</f>
        <v/>
      </c>
      <c r="Q275" s="204" t="e">
        <f t="shared" si="431"/>
        <v>#VALUE!</v>
      </c>
      <c r="R275" s="204" t="e">
        <f t="shared" si="432"/>
        <v>#VALUE!</v>
      </c>
      <c r="S275" s="204" t="e">
        <f t="shared" si="433"/>
        <v>#VALUE!</v>
      </c>
      <c r="T275" s="204" t="e">
        <f t="shared" si="434"/>
        <v>#VALUE!</v>
      </c>
      <c r="U275" s="204" t="e">
        <f t="shared" si="435"/>
        <v>#VALUE!</v>
      </c>
      <c r="V275" s="204" t="e">
        <f t="shared" si="436"/>
        <v>#VALUE!</v>
      </c>
      <c r="W275" s="218"/>
      <c r="X275" s="218"/>
      <c r="Y275" s="203"/>
      <c r="Z275" s="203">
        <f>IF(Tabela1[[#This Row],[Ano Aquisição]]=2023,0,IFERROR(VLOOKUP(H275,inflação!$F:$H,3,FALSE),""))</f>
        <v>0.2843</v>
      </c>
      <c r="AA275" s="203"/>
      <c r="AB275" s="218">
        <f t="shared" si="437"/>
        <v>0</v>
      </c>
      <c r="AC275" s="204" t="e">
        <f t="shared" si="438"/>
        <v>#VALUE!</v>
      </c>
      <c r="AD275" s="204" t="e">
        <f t="shared" si="439"/>
        <v>#VALUE!</v>
      </c>
      <c r="AE275" s="204" t="e">
        <f t="shared" si="440"/>
        <v>#VALUE!</v>
      </c>
      <c r="AF275" s="204" t="e">
        <f t="shared" si="441"/>
        <v>#VALUE!</v>
      </c>
      <c r="AG275" s="204" t="e">
        <f t="shared" si="442"/>
        <v>#VALUE!</v>
      </c>
      <c r="AH275" s="204" t="e">
        <f t="shared" si="443"/>
        <v>#VALUE!</v>
      </c>
      <c r="AI275" s="204" t="e">
        <f t="shared" si="444"/>
        <v>#VALUE!</v>
      </c>
      <c r="AJ275" s="205">
        <f t="shared" si="445"/>
        <v>0</v>
      </c>
      <c r="AK275" s="204" t="e">
        <f t="shared" si="446"/>
        <v>#VALUE!</v>
      </c>
      <c r="AL275" s="204" t="e">
        <f t="shared" si="447"/>
        <v>#VALUE!</v>
      </c>
      <c r="AM275" s="204" t="e">
        <f t="shared" si="448"/>
        <v>#VALUE!</v>
      </c>
      <c r="AN275" s="204" t="e">
        <f t="shared" si="449"/>
        <v>#VALUE!</v>
      </c>
      <c r="AO275" s="204" t="e">
        <f t="shared" si="450"/>
        <v>#VALUE!</v>
      </c>
      <c r="AP275" s="204" t="e">
        <f t="shared" si="451"/>
        <v>#VALUE!</v>
      </c>
      <c r="AQ275" s="204" t="e">
        <f t="shared" si="452"/>
        <v>#VALUE!</v>
      </c>
      <c r="AR275" s="206" t="e">
        <f t="shared" si="453"/>
        <v>#VALUE!</v>
      </c>
      <c r="AS275" s="170" t="e">
        <f t="shared" si="454"/>
        <v>#VALUE!</v>
      </c>
      <c r="AT275" s="170" t="e">
        <f t="shared" si="455"/>
        <v>#VALUE!</v>
      </c>
      <c r="AU275" s="207" t="e">
        <f t="shared" si="456"/>
        <v>#VALUE!</v>
      </c>
      <c r="AV275" s="208" t="e">
        <f t="shared" si="457"/>
        <v>#VALUE!</v>
      </c>
      <c r="AW275" s="201" t="str">
        <f t="shared" si="458"/>
        <v>Confiabilidade em Crescimento</v>
      </c>
      <c r="AX275" s="253" t="e">
        <f>VLOOKUP(D275,#REF!,5,FALSE)</f>
        <v>#REF!</v>
      </c>
      <c r="AY275" s="201"/>
      <c r="AZ275" s="273"/>
      <c r="BB275" t="str">
        <f>IFERROR(VLOOKUP(Tabela1[[#This Row],[Denominação]],[10]Planilha1!$A:$B,2,FALSE),"")</f>
        <v/>
      </c>
    </row>
    <row r="276" spans="1:54" ht="15" hidden="1" customHeight="1" x14ac:dyDescent="0.3">
      <c r="A276" s="253">
        <v>275</v>
      </c>
      <c r="B276" s="201" t="s">
        <v>1977</v>
      </c>
      <c r="C276" s="211" t="s">
        <v>1943</v>
      </c>
      <c r="D276" s="201">
        <v>40000407</v>
      </c>
      <c r="E276" s="253" t="s">
        <v>1795</v>
      </c>
      <c r="F276" s="253">
        <v>620</v>
      </c>
      <c r="G276" s="201">
        <v>49686</v>
      </c>
      <c r="H276" s="201">
        <v>2018</v>
      </c>
      <c r="I276" s="216"/>
      <c r="J276" s="214"/>
      <c r="K276" s="170"/>
      <c r="L276" s="207"/>
      <c r="M276" s="212"/>
      <c r="N276" s="212"/>
      <c r="O276" s="171"/>
      <c r="P276" s="271" t="str">
        <f>IFERROR(VLOOKUP(Tabela1[[#This Row],[TAG]],#REF!,14,FALSE),"")</f>
        <v/>
      </c>
      <c r="Q276" s="204" t="e">
        <f t="shared" si="431"/>
        <v>#VALUE!</v>
      </c>
      <c r="R276" s="204" t="e">
        <f t="shared" si="432"/>
        <v>#VALUE!</v>
      </c>
      <c r="S276" s="204" t="e">
        <f t="shared" si="433"/>
        <v>#VALUE!</v>
      </c>
      <c r="T276" s="204" t="e">
        <f t="shared" si="434"/>
        <v>#VALUE!</v>
      </c>
      <c r="U276" s="204" t="e">
        <f t="shared" si="435"/>
        <v>#VALUE!</v>
      </c>
      <c r="V276" s="204" t="e">
        <f t="shared" si="436"/>
        <v>#VALUE!</v>
      </c>
      <c r="W276" s="218"/>
      <c r="X276" s="218"/>
      <c r="Y276" s="203"/>
      <c r="Z276" s="203">
        <f>IF(Tabela1[[#This Row],[Ano Aquisição]]=2023,0,IFERROR(VLOOKUP(H276,inflação!$F:$H,3,FALSE),""))</f>
        <v>0.2843</v>
      </c>
      <c r="AA276" s="203"/>
      <c r="AB276" s="218">
        <f t="shared" si="437"/>
        <v>0</v>
      </c>
      <c r="AC276" s="204" t="e">
        <f t="shared" si="438"/>
        <v>#VALUE!</v>
      </c>
      <c r="AD276" s="204" t="e">
        <f t="shared" si="439"/>
        <v>#VALUE!</v>
      </c>
      <c r="AE276" s="204" t="e">
        <f t="shared" si="440"/>
        <v>#VALUE!</v>
      </c>
      <c r="AF276" s="204" t="e">
        <f t="shared" si="441"/>
        <v>#VALUE!</v>
      </c>
      <c r="AG276" s="204" t="e">
        <f t="shared" si="442"/>
        <v>#VALUE!</v>
      </c>
      <c r="AH276" s="204" t="e">
        <f t="shared" si="443"/>
        <v>#VALUE!</v>
      </c>
      <c r="AI276" s="204" t="e">
        <f t="shared" si="444"/>
        <v>#VALUE!</v>
      </c>
      <c r="AJ276" s="205">
        <f t="shared" si="445"/>
        <v>0</v>
      </c>
      <c r="AK276" s="204" t="e">
        <f t="shared" si="446"/>
        <v>#VALUE!</v>
      </c>
      <c r="AL276" s="204" t="e">
        <f t="shared" si="447"/>
        <v>#VALUE!</v>
      </c>
      <c r="AM276" s="204" t="e">
        <f t="shared" si="448"/>
        <v>#VALUE!</v>
      </c>
      <c r="AN276" s="204" t="e">
        <f t="shared" si="449"/>
        <v>#VALUE!</v>
      </c>
      <c r="AO276" s="204" t="e">
        <f t="shared" si="450"/>
        <v>#VALUE!</v>
      </c>
      <c r="AP276" s="204" t="e">
        <f t="shared" si="451"/>
        <v>#VALUE!</v>
      </c>
      <c r="AQ276" s="204" t="e">
        <f t="shared" si="452"/>
        <v>#VALUE!</v>
      </c>
      <c r="AR276" s="206" t="e">
        <f t="shared" si="453"/>
        <v>#VALUE!</v>
      </c>
      <c r="AS276" s="170" t="e">
        <f t="shared" si="454"/>
        <v>#VALUE!</v>
      </c>
      <c r="AT276" s="170" t="e">
        <f t="shared" si="455"/>
        <v>#VALUE!</v>
      </c>
      <c r="AU276" s="207" t="e">
        <f t="shared" si="456"/>
        <v>#VALUE!</v>
      </c>
      <c r="AV276" s="208" t="e">
        <f t="shared" si="457"/>
        <v>#VALUE!</v>
      </c>
      <c r="AW276" s="201" t="str">
        <f t="shared" si="458"/>
        <v>Confiabilidade em Crescimento</v>
      </c>
      <c r="AX276" s="253" t="e">
        <f>VLOOKUP(D276,#REF!,5,FALSE)</f>
        <v>#REF!</v>
      </c>
      <c r="AY276" s="201"/>
      <c r="AZ276" s="273"/>
      <c r="BB276" t="str">
        <f>IFERROR(VLOOKUP(Tabela1[[#This Row],[Denominação]],[10]Planilha1!$A:$B,2,FALSE),"")</f>
        <v/>
      </c>
    </row>
    <row r="277" spans="1:54" ht="15" hidden="1" customHeight="1" x14ac:dyDescent="0.3">
      <c r="A277" s="268">
        <v>276</v>
      </c>
      <c r="B277" s="201" t="s">
        <v>1978</v>
      </c>
      <c r="C277" s="211" t="s">
        <v>1954</v>
      </c>
      <c r="D277" s="201">
        <v>40000412</v>
      </c>
      <c r="E277" s="253" t="s">
        <v>1796</v>
      </c>
      <c r="F277" s="253">
        <v>681</v>
      </c>
      <c r="G277" s="201">
        <v>49681</v>
      </c>
      <c r="H277" s="201">
        <v>2018</v>
      </c>
      <c r="I277" s="216"/>
      <c r="J277" s="214"/>
      <c r="K277" s="170"/>
      <c r="L277" s="207"/>
      <c r="M277" s="212"/>
      <c r="N277" s="212"/>
      <c r="O277" s="171"/>
      <c r="P277" s="271" t="str">
        <f>IFERROR(VLOOKUP(Tabela1[[#This Row],[TAG]],#REF!,14,FALSE),"")</f>
        <v/>
      </c>
      <c r="Q277" s="204" t="e">
        <f t="shared" si="431"/>
        <v>#VALUE!</v>
      </c>
      <c r="R277" s="204" t="e">
        <f t="shared" si="432"/>
        <v>#VALUE!</v>
      </c>
      <c r="S277" s="204" t="e">
        <f t="shared" si="433"/>
        <v>#VALUE!</v>
      </c>
      <c r="T277" s="204" t="e">
        <f t="shared" si="434"/>
        <v>#VALUE!</v>
      </c>
      <c r="U277" s="204" t="e">
        <f t="shared" si="435"/>
        <v>#VALUE!</v>
      </c>
      <c r="V277" s="204" t="e">
        <f t="shared" si="436"/>
        <v>#VALUE!</v>
      </c>
      <c r="W277" s="218"/>
      <c r="X277" s="218"/>
      <c r="Y277" s="203"/>
      <c r="Z277" s="203">
        <f>IF(Tabela1[[#This Row],[Ano Aquisição]]=2023,0,IFERROR(VLOOKUP(H277,inflação!$F:$H,3,FALSE),""))</f>
        <v>0.2843</v>
      </c>
      <c r="AA277" s="203"/>
      <c r="AB277" s="218">
        <f t="shared" si="437"/>
        <v>0</v>
      </c>
      <c r="AC277" s="204" t="e">
        <f t="shared" si="438"/>
        <v>#VALUE!</v>
      </c>
      <c r="AD277" s="204" t="e">
        <f t="shared" si="439"/>
        <v>#VALUE!</v>
      </c>
      <c r="AE277" s="204" t="e">
        <f t="shared" si="440"/>
        <v>#VALUE!</v>
      </c>
      <c r="AF277" s="204" t="e">
        <f t="shared" si="441"/>
        <v>#VALUE!</v>
      </c>
      <c r="AG277" s="204" t="e">
        <f t="shared" si="442"/>
        <v>#VALUE!</v>
      </c>
      <c r="AH277" s="204" t="e">
        <f t="shared" si="443"/>
        <v>#VALUE!</v>
      </c>
      <c r="AI277" s="204" t="e">
        <f t="shared" si="444"/>
        <v>#VALUE!</v>
      </c>
      <c r="AJ277" s="205">
        <f t="shared" si="445"/>
        <v>0</v>
      </c>
      <c r="AK277" s="204" t="e">
        <f t="shared" si="446"/>
        <v>#VALUE!</v>
      </c>
      <c r="AL277" s="204" t="e">
        <f t="shared" si="447"/>
        <v>#VALUE!</v>
      </c>
      <c r="AM277" s="204" t="e">
        <f t="shared" si="448"/>
        <v>#VALUE!</v>
      </c>
      <c r="AN277" s="204" t="e">
        <f t="shared" si="449"/>
        <v>#VALUE!</v>
      </c>
      <c r="AO277" s="204" t="e">
        <f t="shared" si="450"/>
        <v>#VALUE!</v>
      </c>
      <c r="AP277" s="204" t="e">
        <f t="shared" si="451"/>
        <v>#VALUE!</v>
      </c>
      <c r="AQ277" s="204" t="e">
        <f t="shared" si="452"/>
        <v>#VALUE!</v>
      </c>
      <c r="AR277" s="206" t="e">
        <f t="shared" si="453"/>
        <v>#VALUE!</v>
      </c>
      <c r="AS277" s="170" t="e">
        <f t="shared" si="454"/>
        <v>#VALUE!</v>
      </c>
      <c r="AT277" s="170" t="e">
        <f t="shared" si="455"/>
        <v>#VALUE!</v>
      </c>
      <c r="AU277" s="207" t="e">
        <f t="shared" si="456"/>
        <v>#VALUE!</v>
      </c>
      <c r="AV277" s="208" t="e">
        <f t="shared" si="457"/>
        <v>#VALUE!</v>
      </c>
      <c r="AW277" s="201" t="str">
        <f t="shared" si="458"/>
        <v>Confiabilidade em Crescimento</v>
      </c>
      <c r="AX277" s="253" t="e">
        <f>VLOOKUP(D277,#REF!,5,FALSE)</f>
        <v>#REF!</v>
      </c>
      <c r="AY277" s="201"/>
      <c r="AZ277" s="273"/>
      <c r="BB277" t="str">
        <f>IFERROR(VLOOKUP(Tabela1[[#This Row],[Denominação]],[10]Planilha1!$A:$B,2,FALSE),"")</f>
        <v/>
      </c>
    </row>
    <row r="278" spans="1:54" ht="15" hidden="1" customHeight="1" x14ac:dyDescent="0.3">
      <c r="A278" s="253">
        <v>277</v>
      </c>
      <c r="B278" s="201" t="s">
        <v>1979</v>
      </c>
      <c r="C278" s="211" t="s">
        <v>1955</v>
      </c>
      <c r="D278" s="201">
        <v>40000413</v>
      </c>
      <c r="E278" s="253" t="s">
        <v>1796</v>
      </c>
      <c r="F278" s="253">
        <v>681</v>
      </c>
      <c r="G278" s="201">
        <v>49682</v>
      </c>
      <c r="H278" s="201">
        <v>2018</v>
      </c>
      <c r="I278" s="216"/>
      <c r="J278" s="214"/>
      <c r="K278" s="170"/>
      <c r="L278" s="207"/>
      <c r="M278" s="212"/>
      <c r="N278" s="212"/>
      <c r="O278" s="171"/>
      <c r="P278" s="271" t="str">
        <f>IFERROR(VLOOKUP(Tabela1[[#This Row],[TAG]],#REF!,14,FALSE),"")</f>
        <v/>
      </c>
      <c r="Q278" s="204" t="e">
        <f t="shared" si="431"/>
        <v>#VALUE!</v>
      </c>
      <c r="R278" s="204" t="e">
        <f t="shared" si="432"/>
        <v>#VALUE!</v>
      </c>
      <c r="S278" s="204" t="e">
        <f t="shared" si="433"/>
        <v>#VALUE!</v>
      </c>
      <c r="T278" s="204" t="e">
        <f t="shared" si="434"/>
        <v>#VALUE!</v>
      </c>
      <c r="U278" s="204" t="e">
        <f t="shared" si="435"/>
        <v>#VALUE!</v>
      </c>
      <c r="V278" s="204" t="e">
        <f t="shared" si="436"/>
        <v>#VALUE!</v>
      </c>
      <c r="W278" s="218"/>
      <c r="X278" s="218"/>
      <c r="Y278" s="203"/>
      <c r="Z278" s="203">
        <f>IF(Tabela1[[#This Row],[Ano Aquisição]]=2023,0,IFERROR(VLOOKUP(H278,inflação!$F:$H,3,FALSE),""))</f>
        <v>0.2843</v>
      </c>
      <c r="AA278" s="203"/>
      <c r="AB278" s="218">
        <f t="shared" si="437"/>
        <v>0</v>
      </c>
      <c r="AC278" s="204" t="e">
        <f t="shared" si="438"/>
        <v>#VALUE!</v>
      </c>
      <c r="AD278" s="204" t="e">
        <f t="shared" si="439"/>
        <v>#VALUE!</v>
      </c>
      <c r="AE278" s="204" t="e">
        <f t="shared" si="440"/>
        <v>#VALUE!</v>
      </c>
      <c r="AF278" s="204" t="e">
        <f t="shared" si="441"/>
        <v>#VALUE!</v>
      </c>
      <c r="AG278" s="204" t="e">
        <f t="shared" si="442"/>
        <v>#VALUE!</v>
      </c>
      <c r="AH278" s="204" t="e">
        <f t="shared" si="443"/>
        <v>#VALUE!</v>
      </c>
      <c r="AI278" s="204" t="e">
        <f t="shared" si="444"/>
        <v>#VALUE!</v>
      </c>
      <c r="AJ278" s="205">
        <f t="shared" si="445"/>
        <v>0</v>
      </c>
      <c r="AK278" s="204" t="e">
        <f t="shared" si="446"/>
        <v>#VALUE!</v>
      </c>
      <c r="AL278" s="204" t="e">
        <f t="shared" si="447"/>
        <v>#VALUE!</v>
      </c>
      <c r="AM278" s="204" t="e">
        <f t="shared" si="448"/>
        <v>#VALUE!</v>
      </c>
      <c r="AN278" s="204" t="e">
        <f t="shared" si="449"/>
        <v>#VALUE!</v>
      </c>
      <c r="AO278" s="204" t="e">
        <f t="shared" si="450"/>
        <v>#VALUE!</v>
      </c>
      <c r="AP278" s="204" t="e">
        <f t="shared" si="451"/>
        <v>#VALUE!</v>
      </c>
      <c r="AQ278" s="204" t="e">
        <f t="shared" si="452"/>
        <v>#VALUE!</v>
      </c>
      <c r="AR278" s="206" t="e">
        <f t="shared" si="453"/>
        <v>#VALUE!</v>
      </c>
      <c r="AS278" s="170" t="e">
        <f t="shared" si="454"/>
        <v>#VALUE!</v>
      </c>
      <c r="AT278" s="170" t="e">
        <f t="shared" si="455"/>
        <v>#VALUE!</v>
      </c>
      <c r="AU278" s="207" t="e">
        <f t="shared" si="456"/>
        <v>#VALUE!</v>
      </c>
      <c r="AV278" s="208" t="e">
        <f t="shared" si="457"/>
        <v>#VALUE!</v>
      </c>
      <c r="AW278" s="201" t="str">
        <f t="shared" si="458"/>
        <v>Confiabilidade em Crescimento</v>
      </c>
      <c r="AX278" s="253" t="e">
        <f>VLOOKUP(D278,#REF!,5,FALSE)</f>
        <v>#REF!</v>
      </c>
      <c r="AY278" s="201"/>
      <c r="AZ278" s="273"/>
      <c r="BB278" t="str">
        <f>IFERROR(VLOOKUP(Tabela1[[#This Row],[Denominação]],[10]Planilha1!$A:$B,2,FALSE),"")</f>
        <v/>
      </c>
    </row>
    <row r="279" spans="1:54" ht="15" hidden="1" customHeight="1" x14ac:dyDescent="0.3">
      <c r="A279" s="268">
        <v>278</v>
      </c>
      <c r="B279" s="201" t="s">
        <v>1980</v>
      </c>
      <c r="C279" s="211" t="s">
        <v>1944</v>
      </c>
      <c r="D279" s="201">
        <v>40000414</v>
      </c>
      <c r="E279" s="253" t="s">
        <v>1795</v>
      </c>
      <c r="F279" s="253">
        <v>620</v>
      </c>
      <c r="G279" s="201">
        <v>49684</v>
      </c>
      <c r="H279" s="201">
        <v>2018</v>
      </c>
      <c r="I279" s="216"/>
      <c r="J279" s="214"/>
      <c r="K279" s="170"/>
      <c r="L279" s="207"/>
      <c r="M279" s="212"/>
      <c r="N279" s="212"/>
      <c r="O279" s="171"/>
      <c r="P279" s="271" t="str">
        <f>IFERROR(VLOOKUP(Tabela1[[#This Row],[TAG]],#REF!,14,FALSE),"")</f>
        <v/>
      </c>
      <c r="Q279" s="204" t="e">
        <f t="shared" si="431"/>
        <v>#VALUE!</v>
      </c>
      <c r="R279" s="204" t="e">
        <f t="shared" si="432"/>
        <v>#VALUE!</v>
      </c>
      <c r="S279" s="204" t="e">
        <f t="shared" si="433"/>
        <v>#VALUE!</v>
      </c>
      <c r="T279" s="204" t="e">
        <f t="shared" si="434"/>
        <v>#VALUE!</v>
      </c>
      <c r="U279" s="204" t="e">
        <f t="shared" si="435"/>
        <v>#VALUE!</v>
      </c>
      <c r="V279" s="204" t="e">
        <f t="shared" si="436"/>
        <v>#VALUE!</v>
      </c>
      <c r="W279" s="218"/>
      <c r="X279" s="218"/>
      <c r="Y279" s="203"/>
      <c r="Z279" s="203">
        <f>IF(Tabela1[[#This Row],[Ano Aquisição]]=2023,0,IFERROR(VLOOKUP(H279,inflação!$F:$H,3,FALSE),""))</f>
        <v>0.2843</v>
      </c>
      <c r="AA279" s="203"/>
      <c r="AB279" s="218">
        <f t="shared" si="437"/>
        <v>0</v>
      </c>
      <c r="AC279" s="204" t="e">
        <f t="shared" si="438"/>
        <v>#VALUE!</v>
      </c>
      <c r="AD279" s="204" t="e">
        <f t="shared" si="439"/>
        <v>#VALUE!</v>
      </c>
      <c r="AE279" s="204" t="e">
        <f t="shared" si="440"/>
        <v>#VALUE!</v>
      </c>
      <c r="AF279" s="204" t="e">
        <f t="shared" si="441"/>
        <v>#VALUE!</v>
      </c>
      <c r="AG279" s="204" t="e">
        <f t="shared" si="442"/>
        <v>#VALUE!</v>
      </c>
      <c r="AH279" s="204" t="e">
        <f t="shared" si="443"/>
        <v>#VALUE!</v>
      </c>
      <c r="AI279" s="204" t="e">
        <f t="shared" si="444"/>
        <v>#VALUE!</v>
      </c>
      <c r="AJ279" s="205">
        <f t="shared" si="445"/>
        <v>0</v>
      </c>
      <c r="AK279" s="204" t="e">
        <f t="shared" si="446"/>
        <v>#VALUE!</v>
      </c>
      <c r="AL279" s="204" t="e">
        <f t="shared" si="447"/>
        <v>#VALUE!</v>
      </c>
      <c r="AM279" s="204" t="e">
        <f t="shared" si="448"/>
        <v>#VALUE!</v>
      </c>
      <c r="AN279" s="204" t="e">
        <f t="shared" si="449"/>
        <v>#VALUE!</v>
      </c>
      <c r="AO279" s="204" t="e">
        <f t="shared" si="450"/>
        <v>#VALUE!</v>
      </c>
      <c r="AP279" s="204" t="e">
        <f t="shared" si="451"/>
        <v>#VALUE!</v>
      </c>
      <c r="AQ279" s="204" t="e">
        <f t="shared" si="452"/>
        <v>#VALUE!</v>
      </c>
      <c r="AR279" s="206" t="e">
        <f t="shared" si="453"/>
        <v>#VALUE!</v>
      </c>
      <c r="AS279" s="170" t="e">
        <f t="shared" si="454"/>
        <v>#VALUE!</v>
      </c>
      <c r="AT279" s="170" t="e">
        <f t="shared" si="455"/>
        <v>#VALUE!</v>
      </c>
      <c r="AU279" s="207" t="e">
        <f t="shared" si="456"/>
        <v>#VALUE!</v>
      </c>
      <c r="AV279" s="208" t="e">
        <f t="shared" si="457"/>
        <v>#VALUE!</v>
      </c>
      <c r="AW279" s="201" t="str">
        <f t="shared" si="458"/>
        <v>Confiabilidade em Crescimento</v>
      </c>
      <c r="AX279" s="253" t="e">
        <f>VLOOKUP(D279,#REF!,5,FALSE)</f>
        <v>#REF!</v>
      </c>
      <c r="AY279" s="201"/>
      <c r="AZ279" s="273"/>
      <c r="BB279" t="str">
        <f>IFERROR(VLOOKUP(Tabela1[[#This Row],[Denominação]],[10]Planilha1!$A:$B,2,FALSE),"")</f>
        <v/>
      </c>
    </row>
    <row r="280" spans="1:54" ht="15" hidden="1" customHeight="1" x14ac:dyDescent="0.3">
      <c r="A280" s="253">
        <v>279</v>
      </c>
      <c r="B280" s="315" t="s">
        <v>1981</v>
      </c>
      <c r="C280" s="318" t="s">
        <v>1964</v>
      </c>
      <c r="D280" s="315">
        <v>40000426</v>
      </c>
      <c r="E280" s="299" t="s">
        <v>2059</v>
      </c>
      <c r="F280" s="299">
        <v>2111</v>
      </c>
      <c r="G280" s="315">
        <v>50326</v>
      </c>
      <c r="H280" s="315">
        <v>2018</v>
      </c>
      <c r="I280" s="329"/>
      <c r="J280" s="330"/>
      <c r="K280" s="326"/>
      <c r="L280" s="319"/>
      <c r="M280" s="320"/>
      <c r="N280" s="320"/>
      <c r="O280" s="321"/>
      <c r="P280" s="271" t="str">
        <f>IFERROR(VLOOKUP(Tabela1[[#This Row],[TAG]],#REF!,14,FALSE),"")</f>
        <v/>
      </c>
      <c r="Q280" s="323" t="e">
        <f t="shared" si="431"/>
        <v>#VALUE!</v>
      </c>
      <c r="R280" s="323" t="e">
        <f t="shared" si="432"/>
        <v>#VALUE!</v>
      </c>
      <c r="S280" s="323" t="e">
        <f t="shared" si="433"/>
        <v>#VALUE!</v>
      </c>
      <c r="T280" s="323" t="e">
        <f t="shared" si="434"/>
        <v>#VALUE!</v>
      </c>
      <c r="U280" s="323" t="e">
        <f t="shared" si="435"/>
        <v>#VALUE!</v>
      </c>
      <c r="V280" s="323" t="e">
        <f t="shared" si="436"/>
        <v>#VALUE!</v>
      </c>
      <c r="W280" s="304"/>
      <c r="X280" s="304"/>
      <c r="Y280" s="322"/>
      <c r="Z280" s="322">
        <f>IF(Tabela1[[#This Row],[Ano Aquisição]]=2023,0,IFERROR(VLOOKUP(H280,inflação!$F:$H,3,FALSE),""))</f>
        <v>0.2843</v>
      </c>
      <c r="AA280" s="322"/>
      <c r="AB280" s="304">
        <f t="shared" si="437"/>
        <v>0</v>
      </c>
      <c r="AC280" s="323" t="e">
        <f t="shared" si="438"/>
        <v>#VALUE!</v>
      </c>
      <c r="AD280" s="323" t="e">
        <f t="shared" si="439"/>
        <v>#VALUE!</v>
      </c>
      <c r="AE280" s="323" t="e">
        <f t="shared" si="440"/>
        <v>#VALUE!</v>
      </c>
      <c r="AF280" s="323" t="e">
        <f t="shared" si="441"/>
        <v>#VALUE!</v>
      </c>
      <c r="AG280" s="323" t="e">
        <f t="shared" si="442"/>
        <v>#VALUE!</v>
      </c>
      <c r="AH280" s="323" t="e">
        <f t="shared" si="443"/>
        <v>#VALUE!</v>
      </c>
      <c r="AI280" s="323" t="e">
        <f t="shared" si="444"/>
        <v>#VALUE!</v>
      </c>
      <c r="AJ280" s="324">
        <f t="shared" si="445"/>
        <v>0</v>
      </c>
      <c r="AK280" s="323" t="e">
        <f t="shared" si="446"/>
        <v>#VALUE!</v>
      </c>
      <c r="AL280" s="323" t="e">
        <f t="shared" si="447"/>
        <v>#VALUE!</v>
      </c>
      <c r="AM280" s="323" t="e">
        <f t="shared" si="448"/>
        <v>#VALUE!</v>
      </c>
      <c r="AN280" s="323" t="e">
        <f t="shared" si="449"/>
        <v>#VALUE!</v>
      </c>
      <c r="AO280" s="323" t="e">
        <f t="shared" si="450"/>
        <v>#VALUE!</v>
      </c>
      <c r="AP280" s="323" t="e">
        <f t="shared" si="451"/>
        <v>#VALUE!</v>
      </c>
      <c r="AQ280" s="323" t="e">
        <f t="shared" si="452"/>
        <v>#VALUE!</v>
      </c>
      <c r="AR280" s="325" t="e">
        <f t="shared" si="453"/>
        <v>#VALUE!</v>
      </c>
      <c r="AS280" s="326" t="e">
        <f t="shared" si="454"/>
        <v>#VALUE!</v>
      </c>
      <c r="AT280" s="326" t="e">
        <f t="shared" si="455"/>
        <v>#VALUE!</v>
      </c>
      <c r="AU280" s="319" t="e">
        <f t="shared" si="456"/>
        <v>#VALUE!</v>
      </c>
      <c r="AV280" s="327" t="e">
        <f t="shared" si="457"/>
        <v>#VALUE!</v>
      </c>
      <c r="AW280" s="315" t="str">
        <f t="shared" si="458"/>
        <v>Confiabilidade em Crescimento</v>
      </c>
      <c r="AX280" s="299" t="e">
        <f>VLOOKUP(D280,#REF!,5,FALSE)</f>
        <v>#REF!</v>
      </c>
      <c r="AY280" s="315"/>
      <c r="AZ280" s="316" t="s">
        <v>1224</v>
      </c>
      <c r="BB280" t="str">
        <f>IFERROR(VLOOKUP(Tabela1[[#This Row],[Denominação]],[10]Planilha1!$A:$B,2,FALSE),"")</f>
        <v/>
      </c>
    </row>
    <row r="281" spans="1:54" ht="15" hidden="1" customHeight="1" x14ac:dyDescent="0.3">
      <c r="A281" s="268">
        <v>280</v>
      </c>
      <c r="B281" s="201" t="s">
        <v>1018</v>
      </c>
      <c r="C281" s="211" t="s">
        <v>1019</v>
      </c>
      <c r="D281" s="201">
        <v>40000435</v>
      </c>
      <c r="E281" s="253" t="s">
        <v>2055</v>
      </c>
      <c r="F281" s="253">
        <v>4645</v>
      </c>
      <c r="G281" s="201">
        <v>50773</v>
      </c>
      <c r="H281" s="201">
        <v>2019</v>
      </c>
      <c r="I281" s="216">
        <v>158315.25</v>
      </c>
      <c r="J281" s="214">
        <v>91377</v>
      </c>
      <c r="K281" s="170">
        <v>59038.079999999987</v>
      </c>
      <c r="L281" s="207">
        <v>1.48</v>
      </c>
      <c r="M281" s="212">
        <f>10*7*4*12</f>
        <v>3360</v>
      </c>
      <c r="N281" s="212">
        <v>36668</v>
      </c>
      <c r="O281" s="171">
        <v>81</v>
      </c>
      <c r="P281" s="271" t="str">
        <f>IFERROR(VLOOKUP(Tabela1[[#This Row],[TAG]],#REF!,14,FALSE),"")</f>
        <v/>
      </c>
      <c r="Q281" s="204" t="e">
        <f t="shared" si="431"/>
        <v>#VALUE!</v>
      </c>
      <c r="R281" s="204" t="e">
        <f t="shared" si="432"/>
        <v>#VALUE!</v>
      </c>
      <c r="S281" s="204" t="e">
        <f t="shared" si="433"/>
        <v>#VALUE!</v>
      </c>
      <c r="T281" s="204" t="e">
        <f t="shared" si="434"/>
        <v>#VALUE!</v>
      </c>
      <c r="U281" s="204" t="e">
        <f t="shared" si="435"/>
        <v>#VALUE!</v>
      </c>
      <c r="V281" s="204" t="e">
        <f t="shared" si="436"/>
        <v>#VALUE!</v>
      </c>
      <c r="W281" s="218">
        <v>189.92170212765956</v>
      </c>
      <c r="X281" s="218">
        <v>319.06805555555553</v>
      </c>
      <c r="Y281" s="203">
        <v>0.1</v>
      </c>
      <c r="Z281" s="203">
        <f>IF(Tabela1[[#This Row],[Ano Aquisição]]=2023,0,IFERROR(VLOOKUP(H281,inflação!$F:$H,3,FALSE),""))</f>
        <v>0.24679999999999999</v>
      </c>
      <c r="AA281" s="203">
        <v>0.8</v>
      </c>
      <c r="AB281" s="202">
        <f t="shared" si="437"/>
        <v>-158315.25</v>
      </c>
      <c r="AC281" s="204" t="e">
        <f t="shared" si="438"/>
        <v>#VALUE!</v>
      </c>
      <c r="AD281" s="204" t="e">
        <f t="shared" si="439"/>
        <v>#VALUE!</v>
      </c>
      <c r="AE281" s="204" t="e">
        <f t="shared" si="440"/>
        <v>#VALUE!</v>
      </c>
      <c r="AF281" s="204" t="e">
        <f t="shared" si="441"/>
        <v>#VALUE!</v>
      </c>
      <c r="AG281" s="204" t="e">
        <f t="shared" si="442"/>
        <v>#VALUE!</v>
      </c>
      <c r="AH281" s="204" t="e">
        <f t="shared" si="443"/>
        <v>#VALUE!</v>
      </c>
      <c r="AI281" s="204" t="e">
        <f t="shared" si="444"/>
        <v>#VALUE!</v>
      </c>
      <c r="AJ281" s="205">
        <f t="shared" si="445"/>
        <v>-197387.45369999998</v>
      </c>
      <c r="AK281" s="204" t="e">
        <f t="shared" si="446"/>
        <v>#VALUE!</v>
      </c>
      <c r="AL281" s="204" t="e">
        <f t="shared" si="447"/>
        <v>#VALUE!</v>
      </c>
      <c r="AM281" s="204" t="e">
        <f t="shared" si="448"/>
        <v>#VALUE!</v>
      </c>
      <c r="AN281" s="204" t="e">
        <f t="shared" si="449"/>
        <v>#VALUE!</v>
      </c>
      <c r="AO281" s="204" t="e">
        <f t="shared" si="450"/>
        <v>#VALUE!</v>
      </c>
      <c r="AP281" s="204" t="e">
        <f t="shared" si="451"/>
        <v>#VALUE!</v>
      </c>
      <c r="AQ281" s="204" t="e">
        <f t="shared" si="452"/>
        <v>#VALUE!</v>
      </c>
      <c r="AR281" s="206" t="e">
        <f t="shared" si="453"/>
        <v>#VALUE!</v>
      </c>
      <c r="AS281" s="170" t="e">
        <f t="shared" si="454"/>
        <v>#VALUE!</v>
      </c>
      <c r="AT281" s="170" t="e">
        <f t="shared" si="455"/>
        <v>#VALUE!</v>
      </c>
      <c r="AU281" s="207" t="e">
        <f t="shared" si="456"/>
        <v>#VALUE!</v>
      </c>
      <c r="AV281" s="208" t="e">
        <f t="shared" si="457"/>
        <v>#VALUE!</v>
      </c>
      <c r="AW281" s="201" t="str">
        <f t="shared" si="458"/>
        <v>Fase de Degradação</v>
      </c>
      <c r="AX281" s="253" t="e">
        <f>VLOOKUP(D281,#REF!,5,FALSE)</f>
        <v>#REF!</v>
      </c>
      <c r="AY281" s="201" t="s">
        <v>1224</v>
      </c>
      <c r="AZ281" s="273" t="s">
        <v>1224</v>
      </c>
      <c r="BB281">
        <f>IFERROR(VLOOKUP(Tabela1[[#This Row],[Denominação]],[10]Planilha1!$A:$B,2,FALSE),"")</f>
        <v>59038.079999999987</v>
      </c>
    </row>
    <row r="282" spans="1:54" ht="15" hidden="1" customHeight="1" x14ac:dyDescent="0.3">
      <c r="A282" s="253">
        <v>281</v>
      </c>
      <c r="B282" s="201" t="s">
        <v>1982</v>
      </c>
      <c r="C282" s="211" t="s">
        <v>1956</v>
      </c>
      <c r="D282" s="201">
        <v>40000437</v>
      </c>
      <c r="E282" s="253" t="s">
        <v>1796</v>
      </c>
      <c r="F282" s="253">
        <v>681</v>
      </c>
      <c r="G282" s="201">
        <v>51395</v>
      </c>
      <c r="H282" s="201">
        <v>2019</v>
      </c>
      <c r="I282" s="216"/>
      <c r="J282" s="214"/>
      <c r="K282" s="170"/>
      <c r="L282" s="207"/>
      <c r="M282" s="212"/>
      <c r="N282" s="212"/>
      <c r="O282" s="171"/>
      <c r="P282" s="271" t="str">
        <f>IFERROR(VLOOKUP(Tabela1[[#This Row],[TAG]],#REF!,14,FALSE),"")</f>
        <v/>
      </c>
      <c r="Q282" s="204" t="e">
        <f t="shared" si="431"/>
        <v>#VALUE!</v>
      </c>
      <c r="R282" s="204" t="e">
        <f t="shared" si="432"/>
        <v>#VALUE!</v>
      </c>
      <c r="S282" s="204" t="e">
        <f t="shared" si="433"/>
        <v>#VALUE!</v>
      </c>
      <c r="T282" s="204" t="e">
        <f t="shared" si="434"/>
        <v>#VALUE!</v>
      </c>
      <c r="U282" s="204" t="e">
        <f t="shared" si="435"/>
        <v>#VALUE!</v>
      </c>
      <c r="V282" s="204" t="e">
        <f t="shared" si="436"/>
        <v>#VALUE!</v>
      </c>
      <c r="W282" s="218"/>
      <c r="X282" s="218"/>
      <c r="Y282" s="203"/>
      <c r="Z282" s="203">
        <f>IF(Tabela1[[#This Row],[Ano Aquisição]]=2023,0,IFERROR(VLOOKUP(H282,inflação!$F:$H,3,FALSE),""))</f>
        <v>0.24679999999999999</v>
      </c>
      <c r="AA282" s="203"/>
      <c r="AB282" s="218">
        <f t="shared" si="437"/>
        <v>0</v>
      </c>
      <c r="AC282" s="204" t="e">
        <f t="shared" si="438"/>
        <v>#VALUE!</v>
      </c>
      <c r="AD282" s="204" t="e">
        <f t="shared" si="439"/>
        <v>#VALUE!</v>
      </c>
      <c r="AE282" s="204" t="e">
        <f t="shared" si="440"/>
        <v>#VALUE!</v>
      </c>
      <c r="AF282" s="204" t="e">
        <f t="shared" si="441"/>
        <v>#VALUE!</v>
      </c>
      <c r="AG282" s="204" t="e">
        <f t="shared" si="442"/>
        <v>#VALUE!</v>
      </c>
      <c r="AH282" s="204" t="e">
        <f t="shared" si="443"/>
        <v>#VALUE!</v>
      </c>
      <c r="AI282" s="204" t="e">
        <f t="shared" si="444"/>
        <v>#VALUE!</v>
      </c>
      <c r="AJ282" s="205">
        <f t="shared" si="445"/>
        <v>0</v>
      </c>
      <c r="AK282" s="204" t="e">
        <f t="shared" si="446"/>
        <v>#VALUE!</v>
      </c>
      <c r="AL282" s="204" t="e">
        <f t="shared" si="447"/>
        <v>#VALUE!</v>
      </c>
      <c r="AM282" s="204" t="e">
        <f t="shared" si="448"/>
        <v>#VALUE!</v>
      </c>
      <c r="AN282" s="204" t="e">
        <f t="shared" si="449"/>
        <v>#VALUE!</v>
      </c>
      <c r="AO282" s="204" t="e">
        <f t="shared" si="450"/>
        <v>#VALUE!</v>
      </c>
      <c r="AP282" s="204" t="e">
        <f t="shared" si="451"/>
        <v>#VALUE!</v>
      </c>
      <c r="AQ282" s="204" t="e">
        <f t="shared" si="452"/>
        <v>#VALUE!</v>
      </c>
      <c r="AR282" s="206" t="e">
        <f t="shared" si="453"/>
        <v>#VALUE!</v>
      </c>
      <c r="AS282" s="170" t="e">
        <f t="shared" si="454"/>
        <v>#VALUE!</v>
      </c>
      <c r="AT282" s="170" t="e">
        <f t="shared" si="455"/>
        <v>#VALUE!</v>
      </c>
      <c r="AU282" s="207" t="e">
        <f t="shared" si="456"/>
        <v>#VALUE!</v>
      </c>
      <c r="AV282" s="208" t="e">
        <f t="shared" si="457"/>
        <v>#VALUE!</v>
      </c>
      <c r="AW282" s="201" t="str">
        <f t="shared" si="458"/>
        <v>Confiabilidade em Crescimento</v>
      </c>
      <c r="AX282" s="253" t="e">
        <f>VLOOKUP(D282,#REF!,5,FALSE)</f>
        <v>#REF!</v>
      </c>
      <c r="AY282" s="201"/>
      <c r="AZ282" s="273"/>
      <c r="BB282" t="str">
        <f>IFERROR(VLOOKUP(Tabela1[[#This Row],[Denominação]],[10]Planilha1!$A:$B,2,FALSE),"")</f>
        <v/>
      </c>
    </row>
    <row r="283" spans="1:54" ht="15" hidden="1" customHeight="1" x14ac:dyDescent="0.3">
      <c r="A283" s="268">
        <v>282</v>
      </c>
      <c r="B283" s="201" t="s">
        <v>1983</v>
      </c>
      <c r="C283" s="211" t="s">
        <v>1957</v>
      </c>
      <c r="D283" s="201">
        <v>40000438</v>
      </c>
      <c r="E283" s="253" t="s">
        <v>1796</v>
      </c>
      <c r="F283" s="253">
        <v>681</v>
      </c>
      <c r="G283" s="201">
        <v>51396</v>
      </c>
      <c r="H283" s="201">
        <v>2019</v>
      </c>
      <c r="I283" s="216"/>
      <c r="J283" s="214"/>
      <c r="K283" s="170"/>
      <c r="L283" s="207"/>
      <c r="M283" s="212"/>
      <c r="N283" s="212"/>
      <c r="O283" s="171"/>
      <c r="P283" s="271" t="str">
        <f>IFERROR(VLOOKUP(Tabela1[[#This Row],[TAG]],#REF!,14,FALSE),"")</f>
        <v/>
      </c>
      <c r="Q283" s="204" t="e">
        <f t="shared" si="431"/>
        <v>#VALUE!</v>
      </c>
      <c r="R283" s="204" t="e">
        <f t="shared" si="432"/>
        <v>#VALUE!</v>
      </c>
      <c r="S283" s="204" t="e">
        <f t="shared" si="433"/>
        <v>#VALUE!</v>
      </c>
      <c r="T283" s="204" t="e">
        <f t="shared" si="434"/>
        <v>#VALUE!</v>
      </c>
      <c r="U283" s="204" t="e">
        <f t="shared" si="435"/>
        <v>#VALUE!</v>
      </c>
      <c r="V283" s="204" t="e">
        <f t="shared" si="436"/>
        <v>#VALUE!</v>
      </c>
      <c r="W283" s="218"/>
      <c r="X283" s="218"/>
      <c r="Y283" s="203"/>
      <c r="Z283" s="203">
        <f>IF(Tabela1[[#This Row],[Ano Aquisição]]=2023,0,IFERROR(VLOOKUP(H283,inflação!$F:$H,3,FALSE),""))</f>
        <v>0.24679999999999999</v>
      </c>
      <c r="AA283" s="203"/>
      <c r="AB283" s="218">
        <f t="shared" si="437"/>
        <v>0</v>
      </c>
      <c r="AC283" s="204" t="e">
        <f t="shared" si="438"/>
        <v>#VALUE!</v>
      </c>
      <c r="AD283" s="204" t="e">
        <f t="shared" si="439"/>
        <v>#VALUE!</v>
      </c>
      <c r="AE283" s="204" t="e">
        <f t="shared" si="440"/>
        <v>#VALUE!</v>
      </c>
      <c r="AF283" s="204" t="e">
        <f t="shared" si="441"/>
        <v>#VALUE!</v>
      </c>
      <c r="AG283" s="204" t="e">
        <f t="shared" si="442"/>
        <v>#VALUE!</v>
      </c>
      <c r="AH283" s="204" t="e">
        <f t="shared" si="443"/>
        <v>#VALUE!</v>
      </c>
      <c r="AI283" s="204" t="e">
        <f t="shared" si="444"/>
        <v>#VALUE!</v>
      </c>
      <c r="AJ283" s="205">
        <f t="shared" si="445"/>
        <v>0</v>
      </c>
      <c r="AK283" s="204" t="e">
        <f t="shared" si="446"/>
        <v>#VALUE!</v>
      </c>
      <c r="AL283" s="204" t="e">
        <f t="shared" si="447"/>
        <v>#VALUE!</v>
      </c>
      <c r="AM283" s="204" t="e">
        <f t="shared" si="448"/>
        <v>#VALUE!</v>
      </c>
      <c r="AN283" s="204" t="e">
        <f t="shared" si="449"/>
        <v>#VALUE!</v>
      </c>
      <c r="AO283" s="204" t="e">
        <f t="shared" si="450"/>
        <v>#VALUE!</v>
      </c>
      <c r="AP283" s="204" t="e">
        <f t="shared" si="451"/>
        <v>#VALUE!</v>
      </c>
      <c r="AQ283" s="204" t="e">
        <f t="shared" si="452"/>
        <v>#VALUE!</v>
      </c>
      <c r="AR283" s="206" t="e">
        <f t="shared" si="453"/>
        <v>#VALUE!</v>
      </c>
      <c r="AS283" s="170" t="e">
        <f t="shared" si="454"/>
        <v>#VALUE!</v>
      </c>
      <c r="AT283" s="170" t="e">
        <f t="shared" si="455"/>
        <v>#VALUE!</v>
      </c>
      <c r="AU283" s="207" t="e">
        <f t="shared" si="456"/>
        <v>#VALUE!</v>
      </c>
      <c r="AV283" s="208" t="e">
        <f t="shared" si="457"/>
        <v>#VALUE!</v>
      </c>
      <c r="AW283" s="201" t="str">
        <f t="shared" si="458"/>
        <v>Confiabilidade em Crescimento</v>
      </c>
      <c r="AX283" s="253" t="e">
        <f>VLOOKUP(D283,#REF!,5,FALSE)</f>
        <v>#REF!</v>
      </c>
      <c r="AY283" s="201"/>
      <c r="AZ283" s="273"/>
      <c r="BB283" t="str">
        <f>IFERROR(VLOOKUP(Tabela1[[#This Row],[Denominação]],[10]Planilha1!$A:$B,2,FALSE),"")</f>
        <v/>
      </c>
    </row>
    <row r="284" spans="1:54" ht="15" hidden="1" customHeight="1" x14ac:dyDescent="0.3">
      <c r="A284" s="253">
        <v>283</v>
      </c>
      <c r="B284" s="201" t="s">
        <v>1984</v>
      </c>
      <c r="C284" s="211" t="s">
        <v>1958</v>
      </c>
      <c r="D284" s="201">
        <v>40000440</v>
      </c>
      <c r="E284" s="253" t="s">
        <v>1796</v>
      </c>
      <c r="F284" s="253">
        <v>681</v>
      </c>
      <c r="G284" s="201">
        <v>51364</v>
      </c>
      <c r="H284" s="201">
        <v>2019</v>
      </c>
      <c r="I284" s="216"/>
      <c r="J284" s="214"/>
      <c r="K284" s="170"/>
      <c r="L284" s="207"/>
      <c r="M284" s="212"/>
      <c r="N284" s="212"/>
      <c r="O284" s="171"/>
      <c r="P284" s="271" t="str">
        <f>IFERROR(VLOOKUP(Tabela1[[#This Row],[TAG]],#REF!,14,FALSE),"")</f>
        <v/>
      </c>
      <c r="Q284" s="204" t="e">
        <f t="shared" si="431"/>
        <v>#VALUE!</v>
      </c>
      <c r="R284" s="204" t="e">
        <f t="shared" si="432"/>
        <v>#VALUE!</v>
      </c>
      <c r="S284" s="204" t="e">
        <f t="shared" si="433"/>
        <v>#VALUE!</v>
      </c>
      <c r="T284" s="204" t="e">
        <f t="shared" si="434"/>
        <v>#VALUE!</v>
      </c>
      <c r="U284" s="204" t="e">
        <f t="shared" si="435"/>
        <v>#VALUE!</v>
      </c>
      <c r="V284" s="204" t="e">
        <f t="shared" si="436"/>
        <v>#VALUE!</v>
      </c>
      <c r="W284" s="218"/>
      <c r="X284" s="218"/>
      <c r="Y284" s="203"/>
      <c r="Z284" s="203">
        <f>IF(Tabela1[[#This Row],[Ano Aquisição]]=2023,0,IFERROR(VLOOKUP(H284,inflação!$F:$H,3,FALSE),""))</f>
        <v>0.24679999999999999</v>
      </c>
      <c r="AA284" s="203"/>
      <c r="AB284" s="218">
        <f t="shared" si="437"/>
        <v>0</v>
      </c>
      <c r="AC284" s="204" t="e">
        <f t="shared" si="438"/>
        <v>#VALUE!</v>
      </c>
      <c r="AD284" s="204" t="e">
        <f t="shared" si="439"/>
        <v>#VALUE!</v>
      </c>
      <c r="AE284" s="204" t="e">
        <f t="shared" si="440"/>
        <v>#VALUE!</v>
      </c>
      <c r="AF284" s="204" t="e">
        <f t="shared" si="441"/>
        <v>#VALUE!</v>
      </c>
      <c r="AG284" s="204" t="e">
        <f t="shared" si="442"/>
        <v>#VALUE!</v>
      </c>
      <c r="AH284" s="204" t="e">
        <f t="shared" si="443"/>
        <v>#VALUE!</v>
      </c>
      <c r="AI284" s="204" t="e">
        <f t="shared" si="444"/>
        <v>#VALUE!</v>
      </c>
      <c r="AJ284" s="205">
        <f t="shared" si="445"/>
        <v>0</v>
      </c>
      <c r="AK284" s="204" t="e">
        <f t="shared" si="446"/>
        <v>#VALUE!</v>
      </c>
      <c r="AL284" s="204" t="e">
        <f t="shared" si="447"/>
        <v>#VALUE!</v>
      </c>
      <c r="AM284" s="204" t="e">
        <f t="shared" si="448"/>
        <v>#VALUE!</v>
      </c>
      <c r="AN284" s="204" t="e">
        <f t="shared" si="449"/>
        <v>#VALUE!</v>
      </c>
      <c r="AO284" s="204" t="e">
        <f t="shared" si="450"/>
        <v>#VALUE!</v>
      </c>
      <c r="AP284" s="204" t="e">
        <f t="shared" si="451"/>
        <v>#VALUE!</v>
      </c>
      <c r="AQ284" s="204" t="e">
        <f t="shared" si="452"/>
        <v>#VALUE!</v>
      </c>
      <c r="AR284" s="206" t="e">
        <f t="shared" si="453"/>
        <v>#VALUE!</v>
      </c>
      <c r="AS284" s="170" t="e">
        <f t="shared" si="454"/>
        <v>#VALUE!</v>
      </c>
      <c r="AT284" s="170" t="e">
        <f t="shared" si="455"/>
        <v>#VALUE!</v>
      </c>
      <c r="AU284" s="207" t="e">
        <f t="shared" si="456"/>
        <v>#VALUE!</v>
      </c>
      <c r="AV284" s="208" t="e">
        <f t="shared" si="457"/>
        <v>#VALUE!</v>
      </c>
      <c r="AW284" s="201" t="str">
        <f t="shared" si="458"/>
        <v>Confiabilidade em Crescimento</v>
      </c>
      <c r="AX284" s="253" t="e">
        <f>VLOOKUP(D284,#REF!,5,FALSE)</f>
        <v>#REF!</v>
      </c>
      <c r="AY284" s="201"/>
      <c r="AZ284" s="273"/>
      <c r="BB284" t="str">
        <f>IFERROR(VLOOKUP(Tabela1[[#This Row],[Denominação]],[10]Planilha1!$A:$B,2,FALSE),"")</f>
        <v/>
      </c>
    </row>
    <row r="285" spans="1:54" ht="15" hidden="1" customHeight="1" x14ac:dyDescent="0.3">
      <c r="A285" s="268">
        <v>284</v>
      </c>
      <c r="B285" s="201" t="s">
        <v>1985</v>
      </c>
      <c r="C285" s="211" t="s">
        <v>1959</v>
      </c>
      <c r="D285" s="201">
        <v>40000441</v>
      </c>
      <c r="E285" s="253" t="s">
        <v>1796</v>
      </c>
      <c r="F285" s="253">
        <v>681</v>
      </c>
      <c r="G285" s="201">
        <v>51363</v>
      </c>
      <c r="H285" s="201">
        <v>2019</v>
      </c>
      <c r="I285" s="216"/>
      <c r="J285" s="214"/>
      <c r="K285" s="170"/>
      <c r="L285" s="207"/>
      <c r="M285" s="212"/>
      <c r="N285" s="212"/>
      <c r="O285" s="171"/>
      <c r="P285" s="271" t="str">
        <f>IFERROR(VLOOKUP(Tabela1[[#This Row],[TAG]],#REF!,14,FALSE),"")</f>
        <v/>
      </c>
      <c r="Q285" s="204" t="e">
        <f t="shared" si="431"/>
        <v>#VALUE!</v>
      </c>
      <c r="R285" s="204" t="e">
        <f t="shared" si="432"/>
        <v>#VALUE!</v>
      </c>
      <c r="S285" s="204" t="e">
        <f t="shared" si="433"/>
        <v>#VALUE!</v>
      </c>
      <c r="T285" s="204" t="e">
        <f t="shared" si="434"/>
        <v>#VALUE!</v>
      </c>
      <c r="U285" s="204" t="e">
        <f t="shared" si="435"/>
        <v>#VALUE!</v>
      </c>
      <c r="V285" s="204" t="e">
        <f t="shared" si="436"/>
        <v>#VALUE!</v>
      </c>
      <c r="W285" s="218"/>
      <c r="X285" s="218"/>
      <c r="Y285" s="203"/>
      <c r="Z285" s="203">
        <f>IF(Tabela1[[#This Row],[Ano Aquisição]]=2023,0,IFERROR(VLOOKUP(H285,inflação!$F:$H,3,FALSE),""))</f>
        <v>0.24679999999999999</v>
      </c>
      <c r="AA285" s="203"/>
      <c r="AB285" s="218">
        <f t="shared" si="437"/>
        <v>0</v>
      </c>
      <c r="AC285" s="204" t="e">
        <f t="shared" si="438"/>
        <v>#VALUE!</v>
      </c>
      <c r="AD285" s="204" t="e">
        <f t="shared" si="439"/>
        <v>#VALUE!</v>
      </c>
      <c r="AE285" s="204" t="e">
        <f t="shared" si="440"/>
        <v>#VALUE!</v>
      </c>
      <c r="AF285" s="204" t="e">
        <f t="shared" si="441"/>
        <v>#VALUE!</v>
      </c>
      <c r="AG285" s="204" t="e">
        <f t="shared" si="442"/>
        <v>#VALUE!</v>
      </c>
      <c r="AH285" s="204" t="e">
        <f t="shared" si="443"/>
        <v>#VALUE!</v>
      </c>
      <c r="AI285" s="204" t="e">
        <f t="shared" si="444"/>
        <v>#VALUE!</v>
      </c>
      <c r="AJ285" s="205">
        <f t="shared" si="445"/>
        <v>0</v>
      </c>
      <c r="AK285" s="204" t="e">
        <f t="shared" si="446"/>
        <v>#VALUE!</v>
      </c>
      <c r="AL285" s="204" t="e">
        <f t="shared" si="447"/>
        <v>#VALUE!</v>
      </c>
      <c r="AM285" s="204" t="e">
        <f t="shared" si="448"/>
        <v>#VALUE!</v>
      </c>
      <c r="AN285" s="204" t="e">
        <f t="shared" si="449"/>
        <v>#VALUE!</v>
      </c>
      <c r="AO285" s="204" t="e">
        <f t="shared" si="450"/>
        <v>#VALUE!</v>
      </c>
      <c r="AP285" s="204" t="e">
        <f t="shared" si="451"/>
        <v>#VALUE!</v>
      </c>
      <c r="AQ285" s="204" t="e">
        <f t="shared" si="452"/>
        <v>#VALUE!</v>
      </c>
      <c r="AR285" s="206" t="e">
        <f t="shared" si="453"/>
        <v>#VALUE!</v>
      </c>
      <c r="AS285" s="170" t="e">
        <f t="shared" si="454"/>
        <v>#VALUE!</v>
      </c>
      <c r="AT285" s="170" t="e">
        <f t="shared" si="455"/>
        <v>#VALUE!</v>
      </c>
      <c r="AU285" s="207" t="e">
        <f t="shared" si="456"/>
        <v>#VALUE!</v>
      </c>
      <c r="AV285" s="208" t="e">
        <f t="shared" si="457"/>
        <v>#VALUE!</v>
      </c>
      <c r="AW285" s="201" t="str">
        <f t="shared" si="458"/>
        <v>Confiabilidade em Crescimento</v>
      </c>
      <c r="AX285" s="253" t="e">
        <f>VLOOKUP(D285,#REF!,5,FALSE)</f>
        <v>#REF!</v>
      </c>
      <c r="AY285" s="201"/>
      <c r="AZ285" s="273"/>
      <c r="BB285" t="str">
        <f>IFERROR(VLOOKUP(Tabela1[[#This Row],[Denominação]],[10]Planilha1!$A:$B,2,FALSE),"")</f>
        <v/>
      </c>
    </row>
    <row r="286" spans="1:54" ht="15" hidden="1" customHeight="1" x14ac:dyDescent="0.3">
      <c r="A286" s="253">
        <v>285</v>
      </c>
      <c r="B286" s="201" t="s">
        <v>1986</v>
      </c>
      <c r="C286" s="211" t="s">
        <v>1945</v>
      </c>
      <c r="D286" s="201">
        <v>40000448</v>
      </c>
      <c r="E286" s="253" t="s">
        <v>1795</v>
      </c>
      <c r="F286" s="253">
        <v>620</v>
      </c>
      <c r="G286" s="201">
        <v>51362</v>
      </c>
      <c r="H286" s="201">
        <v>2019</v>
      </c>
      <c r="I286" s="216"/>
      <c r="J286" s="214"/>
      <c r="K286" s="170"/>
      <c r="L286" s="207"/>
      <c r="M286" s="212"/>
      <c r="N286" s="212"/>
      <c r="O286" s="171"/>
      <c r="P286" s="271" t="str">
        <f>IFERROR(VLOOKUP(Tabela1[[#This Row],[TAG]],#REF!,14,FALSE),"")</f>
        <v/>
      </c>
      <c r="Q286" s="204" t="e">
        <f t="shared" si="431"/>
        <v>#VALUE!</v>
      </c>
      <c r="R286" s="204" t="e">
        <f t="shared" si="432"/>
        <v>#VALUE!</v>
      </c>
      <c r="S286" s="204" t="e">
        <f t="shared" si="433"/>
        <v>#VALUE!</v>
      </c>
      <c r="T286" s="204" t="e">
        <f t="shared" si="434"/>
        <v>#VALUE!</v>
      </c>
      <c r="U286" s="204" t="e">
        <f t="shared" si="435"/>
        <v>#VALUE!</v>
      </c>
      <c r="V286" s="204" t="e">
        <f t="shared" si="436"/>
        <v>#VALUE!</v>
      </c>
      <c r="W286" s="218"/>
      <c r="X286" s="218"/>
      <c r="Y286" s="203"/>
      <c r="Z286" s="203">
        <f>IF(Tabela1[[#This Row],[Ano Aquisição]]=2023,0,IFERROR(VLOOKUP(H286,inflação!$F:$H,3,FALSE),""))</f>
        <v>0.24679999999999999</v>
      </c>
      <c r="AA286" s="203"/>
      <c r="AB286" s="218">
        <f t="shared" si="437"/>
        <v>0</v>
      </c>
      <c r="AC286" s="204" t="e">
        <f t="shared" si="438"/>
        <v>#VALUE!</v>
      </c>
      <c r="AD286" s="204" t="e">
        <f t="shared" si="439"/>
        <v>#VALUE!</v>
      </c>
      <c r="AE286" s="204" t="e">
        <f t="shared" si="440"/>
        <v>#VALUE!</v>
      </c>
      <c r="AF286" s="204" t="e">
        <f t="shared" si="441"/>
        <v>#VALUE!</v>
      </c>
      <c r="AG286" s="204" t="e">
        <f t="shared" si="442"/>
        <v>#VALUE!</v>
      </c>
      <c r="AH286" s="204" t="e">
        <f t="shared" si="443"/>
        <v>#VALUE!</v>
      </c>
      <c r="AI286" s="204" t="e">
        <f t="shared" si="444"/>
        <v>#VALUE!</v>
      </c>
      <c r="AJ286" s="205">
        <f t="shared" si="445"/>
        <v>0</v>
      </c>
      <c r="AK286" s="204" t="e">
        <f t="shared" si="446"/>
        <v>#VALUE!</v>
      </c>
      <c r="AL286" s="204" t="e">
        <f t="shared" si="447"/>
        <v>#VALUE!</v>
      </c>
      <c r="AM286" s="204" t="e">
        <f t="shared" si="448"/>
        <v>#VALUE!</v>
      </c>
      <c r="AN286" s="204" t="e">
        <f t="shared" si="449"/>
        <v>#VALUE!</v>
      </c>
      <c r="AO286" s="204" t="e">
        <f t="shared" si="450"/>
        <v>#VALUE!</v>
      </c>
      <c r="AP286" s="204" t="e">
        <f t="shared" si="451"/>
        <v>#VALUE!</v>
      </c>
      <c r="AQ286" s="204" t="e">
        <f t="shared" si="452"/>
        <v>#VALUE!</v>
      </c>
      <c r="AR286" s="206" t="e">
        <f t="shared" si="453"/>
        <v>#VALUE!</v>
      </c>
      <c r="AS286" s="170" t="e">
        <f t="shared" si="454"/>
        <v>#VALUE!</v>
      </c>
      <c r="AT286" s="170" t="e">
        <f t="shared" si="455"/>
        <v>#VALUE!</v>
      </c>
      <c r="AU286" s="207" t="e">
        <f t="shared" si="456"/>
        <v>#VALUE!</v>
      </c>
      <c r="AV286" s="208" t="e">
        <f t="shared" si="457"/>
        <v>#VALUE!</v>
      </c>
      <c r="AW286" s="201" t="str">
        <f t="shared" si="458"/>
        <v>Confiabilidade em Crescimento</v>
      </c>
      <c r="AX286" s="253" t="e">
        <f>VLOOKUP(D286,#REF!,5,FALSE)</f>
        <v>#REF!</v>
      </c>
      <c r="AY286" s="201"/>
      <c r="AZ286" s="273"/>
      <c r="BB286" t="str">
        <f>IFERROR(VLOOKUP(Tabela1[[#This Row],[Denominação]],[10]Planilha1!$A:$B,2,FALSE),"")</f>
        <v/>
      </c>
    </row>
    <row r="287" spans="1:54" ht="15" hidden="1" customHeight="1" x14ac:dyDescent="0.3">
      <c r="A287" s="268">
        <v>286</v>
      </c>
      <c r="B287" s="201" t="s">
        <v>1987</v>
      </c>
      <c r="C287" s="211" t="s">
        <v>1946</v>
      </c>
      <c r="D287" s="201">
        <v>40000453</v>
      </c>
      <c r="E287" s="253" t="s">
        <v>1795</v>
      </c>
      <c r="F287" s="253">
        <v>620</v>
      </c>
      <c r="G287" s="201">
        <v>51433</v>
      </c>
      <c r="H287" s="201">
        <v>2019</v>
      </c>
      <c r="I287" s="216"/>
      <c r="J287" s="214"/>
      <c r="K287" s="170"/>
      <c r="L287" s="207"/>
      <c r="M287" s="212"/>
      <c r="N287" s="212"/>
      <c r="O287" s="171"/>
      <c r="P287" s="271" t="str">
        <f>IFERROR(VLOOKUP(Tabela1[[#This Row],[TAG]],#REF!,14,FALSE),"")</f>
        <v/>
      </c>
      <c r="Q287" s="204" t="e">
        <f t="shared" si="431"/>
        <v>#VALUE!</v>
      </c>
      <c r="R287" s="204" t="e">
        <f t="shared" si="432"/>
        <v>#VALUE!</v>
      </c>
      <c r="S287" s="204" t="e">
        <f t="shared" si="433"/>
        <v>#VALUE!</v>
      </c>
      <c r="T287" s="204" t="e">
        <f t="shared" si="434"/>
        <v>#VALUE!</v>
      </c>
      <c r="U287" s="204" t="e">
        <f t="shared" si="435"/>
        <v>#VALUE!</v>
      </c>
      <c r="V287" s="204" t="e">
        <f t="shared" si="436"/>
        <v>#VALUE!</v>
      </c>
      <c r="W287" s="218"/>
      <c r="X287" s="218"/>
      <c r="Y287" s="203"/>
      <c r="Z287" s="203">
        <f>IF(Tabela1[[#This Row],[Ano Aquisição]]=2023,0,IFERROR(VLOOKUP(H287,inflação!$F:$H,3,FALSE),""))</f>
        <v>0.24679999999999999</v>
      </c>
      <c r="AA287" s="203"/>
      <c r="AB287" s="218">
        <f t="shared" si="437"/>
        <v>0</v>
      </c>
      <c r="AC287" s="204" t="e">
        <f t="shared" si="438"/>
        <v>#VALUE!</v>
      </c>
      <c r="AD287" s="204" t="e">
        <f t="shared" si="439"/>
        <v>#VALUE!</v>
      </c>
      <c r="AE287" s="204" t="e">
        <f t="shared" si="440"/>
        <v>#VALUE!</v>
      </c>
      <c r="AF287" s="204" t="e">
        <f t="shared" si="441"/>
        <v>#VALUE!</v>
      </c>
      <c r="AG287" s="204" t="e">
        <f t="shared" si="442"/>
        <v>#VALUE!</v>
      </c>
      <c r="AH287" s="204" t="e">
        <f t="shared" si="443"/>
        <v>#VALUE!</v>
      </c>
      <c r="AI287" s="204" t="e">
        <f t="shared" si="444"/>
        <v>#VALUE!</v>
      </c>
      <c r="AJ287" s="205">
        <f t="shared" si="445"/>
        <v>0</v>
      </c>
      <c r="AK287" s="204" t="e">
        <f t="shared" si="446"/>
        <v>#VALUE!</v>
      </c>
      <c r="AL287" s="204" t="e">
        <f t="shared" si="447"/>
        <v>#VALUE!</v>
      </c>
      <c r="AM287" s="204" t="e">
        <f t="shared" si="448"/>
        <v>#VALUE!</v>
      </c>
      <c r="AN287" s="204" t="e">
        <f t="shared" si="449"/>
        <v>#VALUE!</v>
      </c>
      <c r="AO287" s="204" t="e">
        <f t="shared" si="450"/>
        <v>#VALUE!</v>
      </c>
      <c r="AP287" s="204" t="e">
        <f t="shared" si="451"/>
        <v>#VALUE!</v>
      </c>
      <c r="AQ287" s="204" t="e">
        <f t="shared" si="452"/>
        <v>#VALUE!</v>
      </c>
      <c r="AR287" s="206" t="e">
        <f t="shared" si="453"/>
        <v>#VALUE!</v>
      </c>
      <c r="AS287" s="170" t="e">
        <f t="shared" si="454"/>
        <v>#VALUE!</v>
      </c>
      <c r="AT287" s="170" t="e">
        <f t="shared" si="455"/>
        <v>#VALUE!</v>
      </c>
      <c r="AU287" s="207" t="e">
        <f t="shared" si="456"/>
        <v>#VALUE!</v>
      </c>
      <c r="AV287" s="208" t="e">
        <f t="shared" si="457"/>
        <v>#VALUE!</v>
      </c>
      <c r="AW287" s="201" t="str">
        <f t="shared" si="458"/>
        <v>Confiabilidade em Crescimento</v>
      </c>
      <c r="AX287" s="253" t="e">
        <f>VLOOKUP(D287,#REF!,5,FALSE)</f>
        <v>#REF!</v>
      </c>
      <c r="AY287" s="201"/>
      <c r="AZ287" s="273"/>
      <c r="BB287" t="str">
        <f>IFERROR(VLOOKUP(Tabela1[[#This Row],[Denominação]],[10]Planilha1!$A:$B,2,FALSE),"")</f>
        <v/>
      </c>
    </row>
    <row r="288" spans="1:54" ht="15" hidden="1" customHeight="1" x14ac:dyDescent="0.3">
      <c r="A288" s="253">
        <v>287</v>
      </c>
      <c r="B288" s="201" t="s">
        <v>1988</v>
      </c>
      <c r="C288" s="211" t="s">
        <v>1947</v>
      </c>
      <c r="D288" s="201">
        <v>40000454</v>
      </c>
      <c r="E288" s="253" t="s">
        <v>1795</v>
      </c>
      <c r="F288" s="253">
        <v>620</v>
      </c>
      <c r="G288" s="201">
        <v>51435</v>
      </c>
      <c r="H288" s="201">
        <v>2019</v>
      </c>
      <c r="I288" s="216"/>
      <c r="J288" s="214"/>
      <c r="K288" s="170"/>
      <c r="L288" s="207"/>
      <c r="M288" s="212"/>
      <c r="N288" s="212"/>
      <c r="O288" s="171"/>
      <c r="P288" s="271" t="str">
        <f>IFERROR(VLOOKUP(Tabela1[[#This Row],[TAG]],#REF!,14,FALSE),"")</f>
        <v/>
      </c>
      <c r="Q288" s="204" t="e">
        <f t="shared" si="431"/>
        <v>#VALUE!</v>
      </c>
      <c r="R288" s="204" t="e">
        <f t="shared" si="432"/>
        <v>#VALUE!</v>
      </c>
      <c r="S288" s="204" t="e">
        <f t="shared" si="433"/>
        <v>#VALUE!</v>
      </c>
      <c r="T288" s="204" t="e">
        <f t="shared" si="434"/>
        <v>#VALUE!</v>
      </c>
      <c r="U288" s="204" t="e">
        <f t="shared" si="435"/>
        <v>#VALUE!</v>
      </c>
      <c r="V288" s="204" t="e">
        <f t="shared" si="436"/>
        <v>#VALUE!</v>
      </c>
      <c r="W288" s="218"/>
      <c r="X288" s="218"/>
      <c r="Y288" s="203"/>
      <c r="Z288" s="203">
        <f>IF(Tabela1[[#This Row],[Ano Aquisição]]=2023,0,IFERROR(VLOOKUP(H288,inflação!$F:$H,3,FALSE),""))</f>
        <v>0.24679999999999999</v>
      </c>
      <c r="AA288" s="203"/>
      <c r="AB288" s="218">
        <f t="shared" si="437"/>
        <v>0</v>
      </c>
      <c r="AC288" s="204" t="e">
        <f t="shared" si="438"/>
        <v>#VALUE!</v>
      </c>
      <c r="AD288" s="204" t="e">
        <f t="shared" si="439"/>
        <v>#VALUE!</v>
      </c>
      <c r="AE288" s="204" t="e">
        <f t="shared" si="440"/>
        <v>#VALUE!</v>
      </c>
      <c r="AF288" s="204" t="e">
        <f t="shared" si="441"/>
        <v>#VALUE!</v>
      </c>
      <c r="AG288" s="204" t="e">
        <f t="shared" si="442"/>
        <v>#VALUE!</v>
      </c>
      <c r="AH288" s="204" t="e">
        <f t="shared" si="443"/>
        <v>#VALUE!</v>
      </c>
      <c r="AI288" s="204" t="e">
        <f t="shared" si="444"/>
        <v>#VALUE!</v>
      </c>
      <c r="AJ288" s="205">
        <f t="shared" si="445"/>
        <v>0</v>
      </c>
      <c r="AK288" s="204" t="e">
        <f t="shared" si="446"/>
        <v>#VALUE!</v>
      </c>
      <c r="AL288" s="204" t="e">
        <f t="shared" si="447"/>
        <v>#VALUE!</v>
      </c>
      <c r="AM288" s="204" t="e">
        <f t="shared" si="448"/>
        <v>#VALUE!</v>
      </c>
      <c r="AN288" s="204" t="e">
        <f t="shared" si="449"/>
        <v>#VALUE!</v>
      </c>
      <c r="AO288" s="204" t="e">
        <f t="shared" si="450"/>
        <v>#VALUE!</v>
      </c>
      <c r="AP288" s="204" t="e">
        <f t="shared" si="451"/>
        <v>#VALUE!</v>
      </c>
      <c r="AQ288" s="204" t="e">
        <f t="shared" si="452"/>
        <v>#VALUE!</v>
      </c>
      <c r="AR288" s="206" t="e">
        <f t="shared" si="453"/>
        <v>#VALUE!</v>
      </c>
      <c r="AS288" s="170" t="e">
        <f t="shared" si="454"/>
        <v>#VALUE!</v>
      </c>
      <c r="AT288" s="170" t="e">
        <f t="shared" si="455"/>
        <v>#VALUE!</v>
      </c>
      <c r="AU288" s="207" t="e">
        <f t="shared" si="456"/>
        <v>#VALUE!</v>
      </c>
      <c r="AV288" s="208" t="e">
        <f t="shared" si="457"/>
        <v>#VALUE!</v>
      </c>
      <c r="AW288" s="201" t="str">
        <f t="shared" si="458"/>
        <v>Confiabilidade em Crescimento</v>
      </c>
      <c r="AX288" s="253" t="e">
        <f>VLOOKUP(D288,#REF!,5,FALSE)</f>
        <v>#REF!</v>
      </c>
      <c r="AY288" s="201"/>
      <c r="AZ288" s="273"/>
      <c r="BB288" t="str">
        <f>IFERROR(VLOOKUP(Tabela1[[#This Row],[Denominação]],[10]Planilha1!$A:$B,2,FALSE),"")</f>
        <v/>
      </c>
    </row>
    <row r="289" spans="1:54" ht="15" hidden="1" customHeight="1" x14ac:dyDescent="0.3">
      <c r="A289" s="268">
        <v>288</v>
      </c>
      <c r="B289" s="201" t="s">
        <v>1989</v>
      </c>
      <c r="C289" s="211" t="s">
        <v>1948</v>
      </c>
      <c r="D289" s="201">
        <v>40000455</v>
      </c>
      <c r="E289" s="253" t="s">
        <v>1795</v>
      </c>
      <c r="F289" s="253">
        <v>620</v>
      </c>
      <c r="G289" s="201">
        <v>51434</v>
      </c>
      <c r="H289" s="201">
        <v>2019</v>
      </c>
      <c r="I289" s="216"/>
      <c r="J289" s="214"/>
      <c r="K289" s="170"/>
      <c r="L289" s="207"/>
      <c r="M289" s="212"/>
      <c r="N289" s="212"/>
      <c r="O289" s="171"/>
      <c r="P289" s="271" t="str">
        <f>IFERROR(VLOOKUP(Tabela1[[#This Row],[TAG]],#REF!,14,FALSE),"")</f>
        <v/>
      </c>
      <c r="Q289" s="204" t="e">
        <f t="shared" si="431"/>
        <v>#VALUE!</v>
      </c>
      <c r="R289" s="204" t="e">
        <f t="shared" si="432"/>
        <v>#VALUE!</v>
      </c>
      <c r="S289" s="204" t="e">
        <f t="shared" si="433"/>
        <v>#VALUE!</v>
      </c>
      <c r="T289" s="204" t="e">
        <f t="shared" si="434"/>
        <v>#VALUE!</v>
      </c>
      <c r="U289" s="204" t="e">
        <f t="shared" si="435"/>
        <v>#VALUE!</v>
      </c>
      <c r="V289" s="204" t="e">
        <f t="shared" si="436"/>
        <v>#VALUE!</v>
      </c>
      <c r="W289" s="218"/>
      <c r="X289" s="218"/>
      <c r="Y289" s="203"/>
      <c r="Z289" s="203">
        <f>IF(Tabela1[[#This Row],[Ano Aquisição]]=2023,0,IFERROR(VLOOKUP(H289,inflação!$F:$H,3,FALSE),""))</f>
        <v>0.24679999999999999</v>
      </c>
      <c r="AA289" s="203"/>
      <c r="AB289" s="218">
        <f t="shared" si="437"/>
        <v>0</v>
      </c>
      <c r="AC289" s="204" t="e">
        <f t="shared" si="438"/>
        <v>#VALUE!</v>
      </c>
      <c r="AD289" s="204" t="e">
        <f t="shared" si="439"/>
        <v>#VALUE!</v>
      </c>
      <c r="AE289" s="204" t="e">
        <f t="shared" si="440"/>
        <v>#VALUE!</v>
      </c>
      <c r="AF289" s="204" t="e">
        <f t="shared" si="441"/>
        <v>#VALUE!</v>
      </c>
      <c r="AG289" s="204" t="e">
        <f t="shared" si="442"/>
        <v>#VALUE!</v>
      </c>
      <c r="AH289" s="204" t="e">
        <f t="shared" si="443"/>
        <v>#VALUE!</v>
      </c>
      <c r="AI289" s="204" t="e">
        <f t="shared" si="444"/>
        <v>#VALUE!</v>
      </c>
      <c r="AJ289" s="205">
        <f t="shared" si="445"/>
        <v>0</v>
      </c>
      <c r="AK289" s="204" t="e">
        <f t="shared" si="446"/>
        <v>#VALUE!</v>
      </c>
      <c r="AL289" s="204" t="e">
        <f t="shared" si="447"/>
        <v>#VALUE!</v>
      </c>
      <c r="AM289" s="204" t="e">
        <f t="shared" si="448"/>
        <v>#VALUE!</v>
      </c>
      <c r="AN289" s="204" t="e">
        <f t="shared" si="449"/>
        <v>#VALUE!</v>
      </c>
      <c r="AO289" s="204" t="e">
        <f t="shared" si="450"/>
        <v>#VALUE!</v>
      </c>
      <c r="AP289" s="204" t="e">
        <f t="shared" si="451"/>
        <v>#VALUE!</v>
      </c>
      <c r="AQ289" s="204" t="e">
        <f t="shared" si="452"/>
        <v>#VALUE!</v>
      </c>
      <c r="AR289" s="206" t="e">
        <f t="shared" si="453"/>
        <v>#VALUE!</v>
      </c>
      <c r="AS289" s="170" t="e">
        <f t="shared" si="454"/>
        <v>#VALUE!</v>
      </c>
      <c r="AT289" s="170" t="e">
        <f t="shared" si="455"/>
        <v>#VALUE!</v>
      </c>
      <c r="AU289" s="207" t="e">
        <f t="shared" si="456"/>
        <v>#VALUE!</v>
      </c>
      <c r="AV289" s="208" t="e">
        <f t="shared" si="457"/>
        <v>#VALUE!</v>
      </c>
      <c r="AW289" s="201" t="str">
        <f t="shared" si="458"/>
        <v>Confiabilidade em Crescimento</v>
      </c>
      <c r="AX289" s="253" t="e">
        <f>VLOOKUP(D289,#REF!,5,FALSE)</f>
        <v>#REF!</v>
      </c>
      <c r="AY289" s="201"/>
      <c r="AZ289" s="273"/>
      <c r="BB289" t="str">
        <f>IFERROR(VLOOKUP(Tabela1[[#This Row],[Denominação]],[10]Planilha1!$A:$B,2,FALSE),"")</f>
        <v/>
      </c>
    </row>
    <row r="290" spans="1:54" ht="15" hidden="1" customHeight="1" x14ac:dyDescent="0.3">
      <c r="A290" s="253">
        <v>289</v>
      </c>
      <c r="B290" s="201" t="s">
        <v>1990</v>
      </c>
      <c r="C290" s="211" t="s">
        <v>1926</v>
      </c>
      <c r="D290" s="201">
        <v>40000456</v>
      </c>
      <c r="E290" s="253" t="s">
        <v>2058</v>
      </c>
      <c r="F290" s="253">
        <v>28</v>
      </c>
      <c r="G290" s="201">
        <v>51416</v>
      </c>
      <c r="H290" s="201">
        <v>2019</v>
      </c>
      <c r="I290" s="216"/>
      <c r="J290" s="214"/>
      <c r="K290" s="170"/>
      <c r="L290" s="207"/>
      <c r="M290" s="212"/>
      <c r="N290" s="212"/>
      <c r="O290" s="171"/>
      <c r="P290" s="271" t="str">
        <f>IFERROR(VLOOKUP(Tabela1[[#This Row],[TAG]],#REF!,14,FALSE),"")</f>
        <v/>
      </c>
      <c r="Q290" s="204" t="e">
        <f t="shared" si="431"/>
        <v>#VALUE!</v>
      </c>
      <c r="R290" s="204" t="e">
        <f t="shared" si="432"/>
        <v>#VALUE!</v>
      </c>
      <c r="S290" s="204" t="e">
        <f t="shared" si="433"/>
        <v>#VALUE!</v>
      </c>
      <c r="T290" s="204" t="e">
        <f t="shared" si="434"/>
        <v>#VALUE!</v>
      </c>
      <c r="U290" s="204" t="e">
        <f t="shared" si="435"/>
        <v>#VALUE!</v>
      </c>
      <c r="V290" s="204" t="e">
        <f t="shared" si="436"/>
        <v>#VALUE!</v>
      </c>
      <c r="W290" s="218"/>
      <c r="X290" s="218"/>
      <c r="Y290" s="203"/>
      <c r="Z290" s="203">
        <f>IF(Tabela1[[#This Row],[Ano Aquisição]]=2023,0,IFERROR(VLOOKUP(H290,inflação!$F:$H,3,FALSE),""))</f>
        <v>0.24679999999999999</v>
      </c>
      <c r="AA290" s="203"/>
      <c r="AB290" s="218">
        <f t="shared" si="437"/>
        <v>0</v>
      </c>
      <c r="AC290" s="204" t="e">
        <f t="shared" si="438"/>
        <v>#VALUE!</v>
      </c>
      <c r="AD290" s="204" t="e">
        <f t="shared" si="439"/>
        <v>#VALUE!</v>
      </c>
      <c r="AE290" s="204" t="e">
        <f t="shared" si="440"/>
        <v>#VALUE!</v>
      </c>
      <c r="AF290" s="204" t="e">
        <f t="shared" si="441"/>
        <v>#VALUE!</v>
      </c>
      <c r="AG290" s="204" t="e">
        <f t="shared" si="442"/>
        <v>#VALUE!</v>
      </c>
      <c r="AH290" s="204" t="e">
        <f t="shared" si="443"/>
        <v>#VALUE!</v>
      </c>
      <c r="AI290" s="204" t="e">
        <f t="shared" si="444"/>
        <v>#VALUE!</v>
      </c>
      <c r="AJ290" s="205">
        <f t="shared" si="445"/>
        <v>0</v>
      </c>
      <c r="AK290" s="204" t="e">
        <f t="shared" si="446"/>
        <v>#VALUE!</v>
      </c>
      <c r="AL290" s="204" t="e">
        <f t="shared" si="447"/>
        <v>#VALUE!</v>
      </c>
      <c r="AM290" s="204" t="e">
        <f t="shared" si="448"/>
        <v>#VALUE!</v>
      </c>
      <c r="AN290" s="204" t="e">
        <f t="shared" si="449"/>
        <v>#VALUE!</v>
      </c>
      <c r="AO290" s="204" t="e">
        <f t="shared" si="450"/>
        <v>#VALUE!</v>
      </c>
      <c r="AP290" s="204" t="e">
        <f t="shared" si="451"/>
        <v>#VALUE!</v>
      </c>
      <c r="AQ290" s="204" t="e">
        <f t="shared" si="452"/>
        <v>#VALUE!</v>
      </c>
      <c r="AR290" s="206" t="e">
        <f t="shared" si="453"/>
        <v>#VALUE!</v>
      </c>
      <c r="AS290" s="170" t="e">
        <f t="shared" si="454"/>
        <v>#VALUE!</v>
      </c>
      <c r="AT290" s="170" t="e">
        <f t="shared" si="455"/>
        <v>#VALUE!</v>
      </c>
      <c r="AU290" s="207" t="e">
        <f t="shared" si="456"/>
        <v>#VALUE!</v>
      </c>
      <c r="AV290" s="208" t="e">
        <f t="shared" si="457"/>
        <v>#VALUE!</v>
      </c>
      <c r="AW290" s="201" t="str">
        <f t="shared" si="458"/>
        <v>Confiabilidade em Crescimento</v>
      </c>
      <c r="AX290" s="253" t="e">
        <f>VLOOKUP(D290,#REF!,5,FALSE)</f>
        <v>#REF!</v>
      </c>
      <c r="AY290" s="201"/>
      <c r="AZ290" s="273"/>
      <c r="BB290" t="str">
        <f>IFERROR(VLOOKUP(Tabela1[[#This Row],[Denominação]],[10]Planilha1!$A:$B,2,FALSE),"")</f>
        <v/>
      </c>
    </row>
    <row r="291" spans="1:54" ht="15" hidden="1" customHeight="1" x14ac:dyDescent="0.3">
      <c r="A291" s="268">
        <v>290</v>
      </c>
      <c r="B291" s="201" t="s">
        <v>1991</v>
      </c>
      <c r="C291" s="211" t="s">
        <v>1960</v>
      </c>
      <c r="D291" s="201">
        <v>40000457</v>
      </c>
      <c r="E291" s="253" t="s">
        <v>1796</v>
      </c>
      <c r="F291" s="253">
        <v>681</v>
      </c>
      <c r="G291" s="201">
        <v>51432</v>
      </c>
      <c r="H291" s="201">
        <v>2019</v>
      </c>
      <c r="I291" s="216"/>
      <c r="J291" s="214"/>
      <c r="K291" s="170"/>
      <c r="L291" s="207"/>
      <c r="M291" s="212"/>
      <c r="N291" s="212"/>
      <c r="O291" s="171"/>
      <c r="P291" s="271" t="str">
        <f>IFERROR(VLOOKUP(Tabela1[[#This Row],[TAG]],#REF!,14,FALSE),"")</f>
        <v/>
      </c>
      <c r="Q291" s="204" t="e">
        <f t="shared" si="431"/>
        <v>#VALUE!</v>
      </c>
      <c r="R291" s="204" t="e">
        <f t="shared" si="432"/>
        <v>#VALUE!</v>
      </c>
      <c r="S291" s="204" t="e">
        <f t="shared" si="433"/>
        <v>#VALUE!</v>
      </c>
      <c r="T291" s="204" t="e">
        <f t="shared" si="434"/>
        <v>#VALUE!</v>
      </c>
      <c r="U291" s="204" t="e">
        <f t="shared" si="435"/>
        <v>#VALUE!</v>
      </c>
      <c r="V291" s="204" t="e">
        <f t="shared" si="436"/>
        <v>#VALUE!</v>
      </c>
      <c r="W291" s="218"/>
      <c r="X291" s="218"/>
      <c r="Y291" s="203"/>
      <c r="Z291" s="203">
        <f>IF(Tabela1[[#This Row],[Ano Aquisição]]=2023,0,IFERROR(VLOOKUP(H291,inflação!$F:$H,3,FALSE),""))</f>
        <v>0.24679999999999999</v>
      </c>
      <c r="AA291" s="203"/>
      <c r="AB291" s="218">
        <f t="shared" si="437"/>
        <v>0</v>
      </c>
      <c r="AC291" s="204" t="e">
        <f t="shared" si="438"/>
        <v>#VALUE!</v>
      </c>
      <c r="AD291" s="204" t="e">
        <f t="shared" si="439"/>
        <v>#VALUE!</v>
      </c>
      <c r="AE291" s="204" t="e">
        <f t="shared" si="440"/>
        <v>#VALUE!</v>
      </c>
      <c r="AF291" s="204" t="e">
        <f t="shared" si="441"/>
        <v>#VALUE!</v>
      </c>
      <c r="AG291" s="204" t="e">
        <f t="shared" si="442"/>
        <v>#VALUE!</v>
      </c>
      <c r="AH291" s="204" t="e">
        <f t="shared" si="443"/>
        <v>#VALUE!</v>
      </c>
      <c r="AI291" s="204" t="e">
        <f t="shared" si="444"/>
        <v>#VALUE!</v>
      </c>
      <c r="AJ291" s="205">
        <f t="shared" si="445"/>
        <v>0</v>
      </c>
      <c r="AK291" s="204" t="e">
        <f t="shared" si="446"/>
        <v>#VALUE!</v>
      </c>
      <c r="AL291" s="204" t="e">
        <f t="shared" si="447"/>
        <v>#VALUE!</v>
      </c>
      <c r="AM291" s="204" t="e">
        <f t="shared" si="448"/>
        <v>#VALUE!</v>
      </c>
      <c r="AN291" s="204" t="e">
        <f t="shared" si="449"/>
        <v>#VALUE!</v>
      </c>
      <c r="AO291" s="204" t="e">
        <f t="shared" si="450"/>
        <v>#VALUE!</v>
      </c>
      <c r="AP291" s="204" t="e">
        <f t="shared" si="451"/>
        <v>#VALUE!</v>
      </c>
      <c r="AQ291" s="204" t="e">
        <f t="shared" si="452"/>
        <v>#VALUE!</v>
      </c>
      <c r="AR291" s="206" t="e">
        <f t="shared" si="453"/>
        <v>#VALUE!</v>
      </c>
      <c r="AS291" s="170" t="e">
        <f t="shared" si="454"/>
        <v>#VALUE!</v>
      </c>
      <c r="AT291" s="170" t="e">
        <f t="shared" si="455"/>
        <v>#VALUE!</v>
      </c>
      <c r="AU291" s="207" t="e">
        <f t="shared" si="456"/>
        <v>#VALUE!</v>
      </c>
      <c r="AV291" s="208" t="e">
        <f t="shared" si="457"/>
        <v>#VALUE!</v>
      </c>
      <c r="AW291" s="201" t="str">
        <f t="shared" si="458"/>
        <v>Confiabilidade em Crescimento</v>
      </c>
      <c r="AX291" s="253" t="e">
        <f>VLOOKUP(D291,#REF!,5,FALSE)</f>
        <v>#REF!</v>
      </c>
      <c r="AY291" s="201"/>
      <c r="AZ291" s="273"/>
      <c r="BB291" t="str">
        <f>IFERROR(VLOOKUP(Tabela1[[#This Row],[Denominação]],[10]Planilha1!$A:$B,2,FALSE),"")</f>
        <v/>
      </c>
    </row>
    <row r="292" spans="1:54" ht="15" hidden="1" customHeight="1" x14ac:dyDescent="0.3">
      <c r="A292" s="253">
        <v>291</v>
      </c>
      <c r="B292" s="201" t="s">
        <v>1992</v>
      </c>
      <c r="C292" s="211" t="s">
        <v>1949</v>
      </c>
      <c r="D292" s="201">
        <v>40000475</v>
      </c>
      <c r="E292" s="253" t="s">
        <v>1795</v>
      </c>
      <c r="F292" s="253">
        <v>620</v>
      </c>
      <c r="G292" s="201">
        <v>51913</v>
      </c>
      <c r="H292" s="201">
        <v>2019</v>
      </c>
      <c r="I292" s="216"/>
      <c r="J292" s="214"/>
      <c r="K292" s="170"/>
      <c r="L292" s="207"/>
      <c r="M292" s="212"/>
      <c r="N292" s="212"/>
      <c r="O292" s="171"/>
      <c r="P292" s="271" t="str">
        <f>IFERROR(VLOOKUP(Tabela1[[#This Row],[TAG]],#REF!,14,FALSE),"")</f>
        <v/>
      </c>
      <c r="Q292" s="204" t="e">
        <f t="shared" si="431"/>
        <v>#VALUE!</v>
      </c>
      <c r="R292" s="204" t="e">
        <f t="shared" si="432"/>
        <v>#VALUE!</v>
      </c>
      <c r="S292" s="204" t="e">
        <f t="shared" si="433"/>
        <v>#VALUE!</v>
      </c>
      <c r="T292" s="204" t="e">
        <f t="shared" si="434"/>
        <v>#VALUE!</v>
      </c>
      <c r="U292" s="204" t="e">
        <f t="shared" si="435"/>
        <v>#VALUE!</v>
      </c>
      <c r="V292" s="204" t="e">
        <f t="shared" si="436"/>
        <v>#VALUE!</v>
      </c>
      <c r="W292" s="218"/>
      <c r="X292" s="218"/>
      <c r="Y292" s="203"/>
      <c r="Z292" s="203">
        <f>IF(Tabela1[[#This Row],[Ano Aquisição]]=2023,0,IFERROR(VLOOKUP(H292,inflação!$F:$H,3,FALSE),""))</f>
        <v>0.24679999999999999</v>
      </c>
      <c r="AA292" s="203"/>
      <c r="AB292" s="218">
        <f t="shared" si="437"/>
        <v>0</v>
      </c>
      <c r="AC292" s="204" t="e">
        <f t="shared" si="438"/>
        <v>#VALUE!</v>
      </c>
      <c r="AD292" s="204" t="e">
        <f t="shared" si="439"/>
        <v>#VALUE!</v>
      </c>
      <c r="AE292" s="204" t="e">
        <f t="shared" si="440"/>
        <v>#VALUE!</v>
      </c>
      <c r="AF292" s="204" t="e">
        <f t="shared" si="441"/>
        <v>#VALUE!</v>
      </c>
      <c r="AG292" s="204" t="e">
        <f t="shared" si="442"/>
        <v>#VALUE!</v>
      </c>
      <c r="AH292" s="204" t="e">
        <f t="shared" si="443"/>
        <v>#VALUE!</v>
      </c>
      <c r="AI292" s="204" t="e">
        <f t="shared" si="444"/>
        <v>#VALUE!</v>
      </c>
      <c r="AJ292" s="205">
        <f t="shared" si="445"/>
        <v>0</v>
      </c>
      <c r="AK292" s="204" t="e">
        <f t="shared" si="446"/>
        <v>#VALUE!</v>
      </c>
      <c r="AL292" s="204" t="e">
        <f t="shared" si="447"/>
        <v>#VALUE!</v>
      </c>
      <c r="AM292" s="204" t="e">
        <f t="shared" si="448"/>
        <v>#VALUE!</v>
      </c>
      <c r="AN292" s="204" t="e">
        <f t="shared" si="449"/>
        <v>#VALUE!</v>
      </c>
      <c r="AO292" s="204" t="e">
        <f t="shared" si="450"/>
        <v>#VALUE!</v>
      </c>
      <c r="AP292" s="204" t="e">
        <f t="shared" si="451"/>
        <v>#VALUE!</v>
      </c>
      <c r="AQ292" s="204" t="e">
        <f t="shared" si="452"/>
        <v>#VALUE!</v>
      </c>
      <c r="AR292" s="206" t="e">
        <f t="shared" si="453"/>
        <v>#VALUE!</v>
      </c>
      <c r="AS292" s="170" t="e">
        <f t="shared" si="454"/>
        <v>#VALUE!</v>
      </c>
      <c r="AT292" s="170" t="e">
        <f t="shared" si="455"/>
        <v>#VALUE!</v>
      </c>
      <c r="AU292" s="207" t="e">
        <f t="shared" si="456"/>
        <v>#VALUE!</v>
      </c>
      <c r="AV292" s="208" t="e">
        <f t="shared" si="457"/>
        <v>#VALUE!</v>
      </c>
      <c r="AW292" s="201" t="str">
        <f t="shared" si="458"/>
        <v>Confiabilidade em Crescimento</v>
      </c>
      <c r="AX292" s="253" t="e">
        <f>VLOOKUP(D292,#REF!,5,FALSE)</f>
        <v>#REF!</v>
      </c>
      <c r="AY292" s="201"/>
      <c r="AZ292" s="273"/>
      <c r="BB292" t="str">
        <f>IFERROR(VLOOKUP(Tabela1[[#This Row],[Denominação]],[10]Planilha1!$A:$B,2,FALSE),"")</f>
        <v/>
      </c>
    </row>
    <row r="293" spans="1:54" ht="15" hidden="1" customHeight="1" x14ac:dyDescent="0.3">
      <c r="A293" s="268">
        <v>292</v>
      </c>
      <c r="B293" s="201" t="s">
        <v>1020</v>
      </c>
      <c r="C293" s="211" t="s">
        <v>1021</v>
      </c>
      <c r="D293" s="201">
        <v>40000480</v>
      </c>
      <c r="E293" s="253" t="s">
        <v>2055</v>
      </c>
      <c r="F293" s="253">
        <v>4645</v>
      </c>
      <c r="G293" s="201">
        <v>52191</v>
      </c>
      <c r="H293" s="201">
        <v>2020</v>
      </c>
      <c r="I293" s="216">
        <v>124237.58</v>
      </c>
      <c r="J293" s="214">
        <v>80237</v>
      </c>
      <c r="K293" s="170">
        <v>40968.550000000003</v>
      </c>
      <c r="L293" s="207">
        <v>1.21</v>
      </c>
      <c r="M293" s="212">
        <f>10*7*4*12</f>
        <v>3360</v>
      </c>
      <c r="N293" s="212">
        <v>26085</v>
      </c>
      <c r="O293" s="171">
        <v>84</v>
      </c>
      <c r="P293" s="271" t="str">
        <f>IFERROR(VLOOKUP(Tabela1[[#This Row],[TAG]],#REF!,14,FALSE),"")</f>
        <v/>
      </c>
      <c r="Q293" s="204" t="e">
        <f>P293+P293</f>
        <v>#VALUE!</v>
      </c>
      <c r="R293" s="204" t="e">
        <f t="shared" si="432"/>
        <v>#VALUE!</v>
      </c>
      <c r="S293" s="204" t="e">
        <f t="shared" si="433"/>
        <v>#VALUE!</v>
      </c>
      <c r="T293" s="204" t="e">
        <f t="shared" si="434"/>
        <v>#VALUE!</v>
      </c>
      <c r="U293" s="204" t="e">
        <f t="shared" si="435"/>
        <v>#VALUE!</v>
      </c>
      <c r="V293" s="204" t="e">
        <f t="shared" si="436"/>
        <v>#VALUE!</v>
      </c>
      <c r="W293" s="218">
        <v>289.26</v>
      </c>
      <c r="X293" s="218">
        <v>792.02249999999992</v>
      </c>
      <c r="Y293" s="203">
        <v>0.1</v>
      </c>
      <c r="Z293" s="203">
        <f>IF(Tabela1[[#This Row],[Ano Aquisição]]=2023,0,IFERROR(VLOOKUP(H293,inflação!$F:$H,3,FALSE),""))</f>
        <v>0.20369999999999999</v>
      </c>
      <c r="AA293" s="203">
        <v>0.8</v>
      </c>
      <c r="AB293" s="202">
        <f t="shared" si="437"/>
        <v>-124237.58</v>
      </c>
      <c r="AC293" s="204" t="e">
        <f t="shared" si="438"/>
        <v>#VALUE!</v>
      </c>
      <c r="AD293" s="204" t="e">
        <f t="shared" si="439"/>
        <v>#VALUE!</v>
      </c>
      <c r="AE293" s="204" t="e">
        <f t="shared" si="440"/>
        <v>#VALUE!</v>
      </c>
      <c r="AF293" s="204" t="e">
        <f t="shared" si="441"/>
        <v>#VALUE!</v>
      </c>
      <c r="AG293" s="204" t="e">
        <f t="shared" si="442"/>
        <v>#VALUE!</v>
      </c>
      <c r="AH293" s="204" t="e">
        <f t="shared" si="443"/>
        <v>#VALUE!</v>
      </c>
      <c r="AI293" s="204" t="e">
        <f t="shared" si="444"/>
        <v>#VALUE!</v>
      </c>
      <c r="AJ293" s="205">
        <f t="shared" si="445"/>
        <v>-149544.775046</v>
      </c>
      <c r="AK293" s="204" t="e">
        <f t="shared" si="446"/>
        <v>#VALUE!</v>
      </c>
      <c r="AL293" s="204" t="e">
        <f t="shared" si="447"/>
        <v>#VALUE!</v>
      </c>
      <c r="AM293" s="204" t="e">
        <f t="shared" si="448"/>
        <v>#VALUE!</v>
      </c>
      <c r="AN293" s="204" t="e">
        <f t="shared" si="449"/>
        <v>#VALUE!</v>
      </c>
      <c r="AO293" s="204" t="e">
        <f t="shared" si="450"/>
        <v>#VALUE!</v>
      </c>
      <c r="AP293" s="204" t="e">
        <f t="shared" si="451"/>
        <v>#VALUE!</v>
      </c>
      <c r="AQ293" s="204" t="e">
        <f t="shared" si="452"/>
        <v>#VALUE!</v>
      </c>
      <c r="AR293" s="206" t="e">
        <f t="shared" si="453"/>
        <v>#VALUE!</v>
      </c>
      <c r="AS293" s="170" t="e">
        <f t="shared" si="454"/>
        <v>#VALUE!</v>
      </c>
      <c r="AT293" s="170" t="e">
        <f t="shared" si="455"/>
        <v>#VALUE!</v>
      </c>
      <c r="AU293" s="207" t="e">
        <f t="shared" si="456"/>
        <v>#VALUE!</v>
      </c>
      <c r="AV293" s="208" t="e">
        <f t="shared" si="457"/>
        <v>#VALUE!</v>
      </c>
      <c r="AW293" s="201" t="str">
        <f t="shared" si="458"/>
        <v>Fase de Degradação</v>
      </c>
      <c r="AX293" s="253" t="e">
        <f>VLOOKUP(D293,#REF!,5,FALSE)</f>
        <v>#REF!</v>
      </c>
      <c r="AY293" s="201" t="s">
        <v>1224</v>
      </c>
      <c r="AZ293" s="273" t="s">
        <v>1224</v>
      </c>
      <c r="BB293">
        <f>IFERROR(VLOOKUP(Tabela1[[#This Row],[Denominação]],[10]Planilha1!$A:$B,2,FALSE),"")</f>
        <v>40968.550000000003</v>
      </c>
    </row>
    <row r="294" spans="1:54" ht="15" hidden="1" customHeight="1" x14ac:dyDescent="0.3">
      <c r="A294" s="253">
        <v>293</v>
      </c>
      <c r="B294" s="315" t="s">
        <v>1993</v>
      </c>
      <c r="C294" s="318" t="s">
        <v>1966</v>
      </c>
      <c r="D294" s="315">
        <v>40000482</v>
      </c>
      <c r="E294" s="299"/>
      <c r="F294" s="299">
        <v>4026</v>
      </c>
      <c r="G294" s="315">
        <v>51441</v>
      </c>
      <c r="H294" s="315">
        <v>2020</v>
      </c>
      <c r="I294" s="329">
        <v>5222.41</v>
      </c>
      <c r="J294" s="330">
        <v>3415</v>
      </c>
      <c r="K294" s="326"/>
      <c r="L294" s="319"/>
      <c r="M294" s="320">
        <v>2994</v>
      </c>
      <c r="N294" s="320"/>
      <c r="O294" s="321"/>
      <c r="P294" s="271" t="str">
        <f>IFERROR(VLOOKUP(Tabela1[[#This Row],[TAG]],#REF!,14,FALSE),"")</f>
        <v/>
      </c>
      <c r="Q294" s="323" t="e">
        <f t="shared" si="431"/>
        <v>#VALUE!</v>
      </c>
      <c r="R294" s="323" t="e">
        <f t="shared" si="432"/>
        <v>#VALUE!</v>
      </c>
      <c r="S294" s="323" t="e">
        <f t="shared" si="433"/>
        <v>#VALUE!</v>
      </c>
      <c r="T294" s="323" t="e">
        <f t="shared" si="434"/>
        <v>#VALUE!</v>
      </c>
      <c r="U294" s="323" t="e">
        <f t="shared" si="435"/>
        <v>#VALUE!</v>
      </c>
      <c r="V294" s="323" t="e">
        <f t="shared" si="436"/>
        <v>#VALUE!</v>
      </c>
      <c r="W294" s="304"/>
      <c r="X294" s="304"/>
      <c r="Y294" s="322"/>
      <c r="Z294" s="322">
        <f>IF(Tabela1[[#This Row],[Ano Aquisição]]=2023,0,IFERROR(VLOOKUP(H294,inflação!$F:$H,3,FALSE),""))</f>
        <v>0.20369999999999999</v>
      </c>
      <c r="AA294" s="322"/>
      <c r="AB294" s="304">
        <f t="shared" si="437"/>
        <v>-5222.41</v>
      </c>
      <c r="AC294" s="323" t="e">
        <f t="shared" ref="AC294" si="459">-(((P294*$W294)+($X294*12))*((1+$Y294)^AC$1))</f>
        <v>#VALUE!</v>
      </c>
      <c r="AD294" s="323" t="e">
        <f t="shared" ref="AD294" si="460">-((((Q294-P294)*$W294)+($X294*12))*((1+$Y294)^AD$1))</f>
        <v>#VALUE!</v>
      </c>
      <c r="AE294" s="323" t="e">
        <f t="shared" ref="AE294" si="461">-((((R294-Q294)*$W294)+($X294*12))*((1+$Y294)^AE$1))</f>
        <v>#VALUE!</v>
      </c>
      <c r="AF294" s="323" t="e">
        <f t="shared" ref="AF294" si="462">-((((S294-R294)*$W294)+($X294*12))*((1+$Y294)^AF$1))</f>
        <v>#VALUE!</v>
      </c>
      <c r="AG294" s="323" t="e">
        <f t="shared" ref="AG294" si="463">-((((T294-S294)*$W294)+($X294*12))*((1+$Y294)^AG$1))</f>
        <v>#VALUE!</v>
      </c>
      <c r="AH294" s="323" t="e">
        <f t="shared" ref="AH294" si="464">-((((U294-T294)*$W294)+($X294*12))*((1+$Y294)^AH$1))</f>
        <v>#VALUE!</v>
      </c>
      <c r="AI294" s="323" t="e">
        <f t="shared" ref="AI294" si="465">-((((V294-U294)*$W294)+($X294*12))*((1+$Y294)^AI$1))</f>
        <v>#VALUE!</v>
      </c>
      <c r="AJ294" s="324">
        <f t="shared" si="445"/>
        <v>-6286.2149169999993</v>
      </c>
      <c r="AK294" s="323" t="e">
        <f t="shared" ref="AK294" si="466">AC294*(1-$AA294)</f>
        <v>#VALUE!</v>
      </c>
      <c r="AL294" s="323" t="e">
        <f t="shared" ref="AL294" si="467">AD294*(1-$AA294)</f>
        <v>#VALUE!</v>
      </c>
      <c r="AM294" s="323" t="e">
        <f t="shared" ref="AM294" si="468">AE294*(1-$AA294)</f>
        <v>#VALUE!</v>
      </c>
      <c r="AN294" s="323" t="e">
        <f t="shared" ref="AN294" si="469">AF294*(1-$AA294)</f>
        <v>#VALUE!</v>
      </c>
      <c r="AO294" s="323" t="e">
        <f t="shared" ref="AO294" si="470">AG294*(1-$AA294)</f>
        <v>#VALUE!</v>
      </c>
      <c r="AP294" s="323" t="e">
        <f t="shared" ref="AP294" si="471">AH294*(1-$AA294)</f>
        <v>#VALUE!</v>
      </c>
      <c r="AQ294" s="323" t="e">
        <f t="shared" ref="AQ294" si="472">AI294*(1-$AA294)</f>
        <v>#VALUE!</v>
      </c>
      <c r="AR294" s="325" t="e">
        <f t="shared" si="453"/>
        <v>#VALUE!</v>
      </c>
      <c r="AS294" s="326" t="e">
        <f t="shared" ref="AS294" si="473">SUM(AC294:AI294)</f>
        <v>#VALUE!</v>
      </c>
      <c r="AT294" s="326" t="e">
        <f t="shared" ref="AT294" si="474">SUM(AK294:AQ294)</f>
        <v>#VALUE!</v>
      </c>
      <c r="AU294" s="319" t="e">
        <f t="shared" si="456"/>
        <v>#VALUE!</v>
      </c>
      <c r="AV294" s="327" t="e">
        <f t="shared" si="457"/>
        <v>#VALUE!</v>
      </c>
      <c r="AW294" s="315" t="str">
        <f t="shared" si="458"/>
        <v>Confiabilidade em Crescimento</v>
      </c>
      <c r="AX294" s="299" t="e">
        <f>VLOOKUP(D294,#REF!,5,FALSE)</f>
        <v>#REF!</v>
      </c>
      <c r="AY294" s="315"/>
      <c r="AZ294" s="316" t="s">
        <v>1224</v>
      </c>
      <c r="BB294" t="str">
        <f>IFERROR(VLOOKUP(Tabela1[[#This Row],[Denominação]],[10]Planilha1!$A:$B,2,FALSE),"")</f>
        <v/>
      </c>
    </row>
    <row r="295" spans="1:54" ht="15" hidden="1" customHeight="1" x14ac:dyDescent="0.3">
      <c r="A295" s="268">
        <v>294</v>
      </c>
      <c r="B295" s="201" t="s">
        <v>1994</v>
      </c>
      <c r="C295" s="211" t="s">
        <v>1950</v>
      </c>
      <c r="D295" s="201">
        <v>40000519</v>
      </c>
      <c r="E295" s="253" t="s">
        <v>1795</v>
      </c>
      <c r="F295" s="253">
        <v>620</v>
      </c>
      <c r="G295" s="201">
        <v>52916</v>
      </c>
      <c r="H295" s="201">
        <v>2020</v>
      </c>
      <c r="I295" s="216"/>
      <c r="J295" s="214"/>
      <c r="K295" s="170"/>
      <c r="L295" s="207"/>
      <c r="M295" s="212"/>
      <c r="N295" s="212"/>
      <c r="O295" s="171"/>
      <c r="P295" s="271" t="str">
        <f>IFERROR(VLOOKUP(Tabela1[[#This Row],[TAG]],#REF!,14,FALSE),"")</f>
        <v/>
      </c>
      <c r="Q295" s="204" t="e">
        <f t="shared" si="431"/>
        <v>#VALUE!</v>
      </c>
      <c r="R295" s="204" t="e">
        <f t="shared" si="432"/>
        <v>#VALUE!</v>
      </c>
      <c r="S295" s="204" t="e">
        <f t="shared" si="433"/>
        <v>#VALUE!</v>
      </c>
      <c r="T295" s="204" t="e">
        <f t="shared" si="434"/>
        <v>#VALUE!</v>
      </c>
      <c r="U295" s="204" t="e">
        <f t="shared" si="435"/>
        <v>#VALUE!</v>
      </c>
      <c r="V295" s="204" t="e">
        <f t="shared" si="436"/>
        <v>#VALUE!</v>
      </c>
      <c r="W295" s="218"/>
      <c r="X295" s="218"/>
      <c r="Y295" s="203"/>
      <c r="Z295" s="203">
        <f>IF(Tabela1[[#This Row],[Ano Aquisição]]=2023,0,IFERROR(VLOOKUP(H295,inflação!$F:$H,3,FALSE),""))</f>
        <v>0.20369999999999999</v>
      </c>
      <c r="AA295" s="203"/>
      <c r="AB295" s="218">
        <f t="shared" si="437"/>
        <v>0</v>
      </c>
      <c r="AC295" s="204" t="e">
        <f t="shared" si="438"/>
        <v>#VALUE!</v>
      </c>
      <c r="AD295" s="204" t="e">
        <f t="shared" si="439"/>
        <v>#VALUE!</v>
      </c>
      <c r="AE295" s="204" t="e">
        <f t="shared" si="440"/>
        <v>#VALUE!</v>
      </c>
      <c r="AF295" s="204" t="e">
        <f t="shared" si="441"/>
        <v>#VALUE!</v>
      </c>
      <c r="AG295" s="204" t="e">
        <f t="shared" si="442"/>
        <v>#VALUE!</v>
      </c>
      <c r="AH295" s="204" t="e">
        <f t="shared" si="443"/>
        <v>#VALUE!</v>
      </c>
      <c r="AI295" s="204" t="e">
        <f t="shared" si="444"/>
        <v>#VALUE!</v>
      </c>
      <c r="AJ295" s="205">
        <f t="shared" si="445"/>
        <v>0</v>
      </c>
      <c r="AK295" s="204" t="e">
        <f t="shared" si="446"/>
        <v>#VALUE!</v>
      </c>
      <c r="AL295" s="204" t="e">
        <f t="shared" si="447"/>
        <v>#VALUE!</v>
      </c>
      <c r="AM295" s="204" t="e">
        <f t="shared" si="448"/>
        <v>#VALUE!</v>
      </c>
      <c r="AN295" s="204" t="e">
        <f t="shared" si="449"/>
        <v>#VALUE!</v>
      </c>
      <c r="AO295" s="204" t="e">
        <f t="shared" si="450"/>
        <v>#VALUE!</v>
      </c>
      <c r="AP295" s="204" t="e">
        <f t="shared" si="451"/>
        <v>#VALUE!</v>
      </c>
      <c r="AQ295" s="204" t="e">
        <f t="shared" si="452"/>
        <v>#VALUE!</v>
      </c>
      <c r="AR295" s="206" t="e">
        <f t="shared" si="453"/>
        <v>#VALUE!</v>
      </c>
      <c r="AS295" s="170" t="e">
        <f t="shared" si="454"/>
        <v>#VALUE!</v>
      </c>
      <c r="AT295" s="170" t="e">
        <f t="shared" si="455"/>
        <v>#VALUE!</v>
      </c>
      <c r="AU295" s="207" t="e">
        <f t="shared" si="456"/>
        <v>#VALUE!</v>
      </c>
      <c r="AV295" s="208" t="e">
        <f t="shared" si="457"/>
        <v>#VALUE!</v>
      </c>
      <c r="AW295" s="201" t="str">
        <f t="shared" si="458"/>
        <v>Confiabilidade em Crescimento</v>
      </c>
      <c r="AX295" s="253" t="e">
        <f>VLOOKUP(D295,#REF!,5,FALSE)</f>
        <v>#REF!</v>
      </c>
      <c r="AY295" s="201"/>
      <c r="AZ295" s="273"/>
      <c r="BB295" t="str">
        <f>IFERROR(VLOOKUP(Tabela1[[#This Row],[Denominação]],[10]Planilha1!$A:$B,2,FALSE),"")</f>
        <v/>
      </c>
    </row>
    <row r="296" spans="1:54" ht="15" hidden="1" customHeight="1" x14ac:dyDescent="0.3">
      <c r="A296" s="253">
        <v>295</v>
      </c>
      <c r="B296" s="201" t="s">
        <v>1995</v>
      </c>
      <c r="C296" s="211" t="s">
        <v>1961</v>
      </c>
      <c r="D296" s="201">
        <v>40000542</v>
      </c>
      <c r="E296" s="253" t="s">
        <v>1796</v>
      </c>
      <c r="F296" s="253">
        <v>681</v>
      </c>
      <c r="G296" s="201">
        <v>51419</v>
      </c>
      <c r="H296" s="201">
        <v>2020</v>
      </c>
      <c r="I296" s="216"/>
      <c r="J296" s="214"/>
      <c r="K296" s="170"/>
      <c r="L296" s="207"/>
      <c r="M296" s="212"/>
      <c r="N296" s="212"/>
      <c r="O296" s="171"/>
      <c r="P296" s="271" t="str">
        <f>IFERROR(VLOOKUP(Tabela1[[#This Row],[TAG]],#REF!,14,FALSE),"")</f>
        <v/>
      </c>
      <c r="Q296" s="204" t="e">
        <f t="shared" si="431"/>
        <v>#VALUE!</v>
      </c>
      <c r="R296" s="204" t="e">
        <f t="shared" si="432"/>
        <v>#VALUE!</v>
      </c>
      <c r="S296" s="204" t="e">
        <f t="shared" si="433"/>
        <v>#VALUE!</v>
      </c>
      <c r="T296" s="204" t="e">
        <f t="shared" si="434"/>
        <v>#VALUE!</v>
      </c>
      <c r="U296" s="204" t="e">
        <f t="shared" si="435"/>
        <v>#VALUE!</v>
      </c>
      <c r="V296" s="204" t="e">
        <f t="shared" si="436"/>
        <v>#VALUE!</v>
      </c>
      <c r="W296" s="218"/>
      <c r="X296" s="218"/>
      <c r="Y296" s="203"/>
      <c r="Z296" s="203">
        <f>IF(Tabela1[[#This Row],[Ano Aquisição]]=2023,0,IFERROR(VLOOKUP(H296,inflação!$F:$H,3,FALSE),""))</f>
        <v>0.20369999999999999</v>
      </c>
      <c r="AA296" s="203"/>
      <c r="AB296" s="218">
        <f t="shared" si="437"/>
        <v>0</v>
      </c>
      <c r="AC296" s="204" t="e">
        <f t="shared" si="438"/>
        <v>#VALUE!</v>
      </c>
      <c r="AD296" s="204" t="e">
        <f t="shared" si="439"/>
        <v>#VALUE!</v>
      </c>
      <c r="AE296" s="204" t="e">
        <f t="shared" si="440"/>
        <v>#VALUE!</v>
      </c>
      <c r="AF296" s="204" t="e">
        <f t="shared" si="441"/>
        <v>#VALUE!</v>
      </c>
      <c r="AG296" s="204" t="e">
        <f t="shared" si="442"/>
        <v>#VALUE!</v>
      </c>
      <c r="AH296" s="204" t="e">
        <f t="shared" si="443"/>
        <v>#VALUE!</v>
      </c>
      <c r="AI296" s="204" t="e">
        <f t="shared" si="444"/>
        <v>#VALUE!</v>
      </c>
      <c r="AJ296" s="205">
        <f t="shared" si="445"/>
        <v>0</v>
      </c>
      <c r="AK296" s="204" t="e">
        <f t="shared" si="446"/>
        <v>#VALUE!</v>
      </c>
      <c r="AL296" s="204" t="e">
        <f t="shared" si="447"/>
        <v>#VALUE!</v>
      </c>
      <c r="AM296" s="204" t="e">
        <f t="shared" si="448"/>
        <v>#VALUE!</v>
      </c>
      <c r="AN296" s="204" t="e">
        <f t="shared" si="449"/>
        <v>#VALUE!</v>
      </c>
      <c r="AO296" s="204" t="e">
        <f t="shared" si="450"/>
        <v>#VALUE!</v>
      </c>
      <c r="AP296" s="204" t="e">
        <f t="shared" si="451"/>
        <v>#VALUE!</v>
      </c>
      <c r="AQ296" s="204" t="e">
        <f t="shared" si="452"/>
        <v>#VALUE!</v>
      </c>
      <c r="AR296" s="206" t="e">
        <f t="shared" si="453"/>
        <v>#VALUE!</v>
      </c>
      <c r="AS296" s="170" t="e">
        <f t="shared" si="454"/>
        <v>#VALUE!</v>
      </c>
      <c r="AT296" s="170" t="e">
        <f t="shared" si="455"/>
        <v>#VALUE!</v>
      </c>
      <c r="AU296" s="207" t="e">
        <f t="shared" si="456"/>
        <v>#VALUE!</v>
      </c>
      <c r="AV296" s="208" t="e">
        <f t="shared" si="457"/>
        <v>#VALUE!</v>
      </c>
      <c r="AW296" s="201" t="str">
        <f t="shared" si="458"/>
        <v>Confiabilidade em Crescimento</v>
      </c>
      <c r="AX296" s="253" t="e">
        <f>VLOOKUP(D296,#REF!,5,FALSE)</f>
        <v>#REF!</v>
      </c>
      <c r="AY296" s="201"/>
      <c r="AZ296" s="273"/>
      <c r="BB296" t="str">
        <f>IFERROR(VLOOKUP(Tabela1[[#This Row],[Denominação]],[10]Planilha1!$A:$B,2,FALSE),"")</f>
        <v/>
      </c>
    </row>
    <row r="297" spans="1:54" ht="15" hidden="1" customHeight="1" x14ac:dyDescent="0.3">
      <c r="A297" s="268">
        <v>296</v>
      </c>
      <c r="B297" s="201" t="s">
        <v>1996</v>
      </c>
      <c r="C297" s="211" t="s">
        <v>1951</v>
      </c>
      <c r="D297" s="201">
        <v>40000543</v>
      </c>
      <c r="E297" s="253" t="s">
        <v>1795</v>
      </c>
      <c r="F297" s="253">
        <v>620</v>
      </c>
      <c r="G297" s="201">
        <v>54870</v>
      </c>
      <c r="H297" s="201">
        <v>2021</v>
      </c>
      <c r="I297" s="216"/>
      <c r="J297" s="214"/>
      <c r="K297" s="170"/>
      <c r="L297" s="207"/>
      <c r="M297" s="212"/>
      <c r="N297" s="212"/>
      <c r="O297" s="171"/>
      <c r="P297" s="271" t="str">
        <f>IFERROR(VLOOKUP(Tabela1[[#This Row],[TAG]],#REF!,14,FALSE),"")</f>
        <v/>
      </c>
      <c r="Q297" s="204" t="e">
        <f t="shared" si="431"/>
        <v>#VALUE!</v>
      </c>
      <c r="R297" s="204" t="e">
        <f t="shared" si="432"/>
        <v>#VALUE!</v>
      </c>
      <c r="S297" s="204" t="e">
        <f t="shared" si="433"/>
        <v>#VALUE!</v>
      </c>
      <c r="T297" s="204" t="e">
        <f t="shared" si="434"/>
        <v>#VALUE!</v>
      </c>
      <c r="U297" s="204" t="e">
        <f t="shared" si="435"/>
        <v>#VALUE!</v>
      </c>
      <c r="V297" s="204" t="e">
        <f t="shared" si="436"/>
        <v>#VALUE!</v>
      </c>
      <c r="W297" s="218"/>
      <c r="X297" s="218"/>
      <c r="Y297" s="203"/>
      <c r="Z297" s="203">
        <f>IF(Tabela1[[#This Row],[Ano Aquisição]]=2023,0,IFERROR(VLOOKUP(H297,inflação!$F:$H,3,FALSE),""))</f>
        <v>0.1585</v>
      </c>
      <c r="AA297" s="203"/>
      <c r="AB297" s="218">
        <f t="shared" si="437"/>
        <v>0</v>
      </c>
      <c r="AC297" s="204" t="e">
        <f t="shared" si="438"/>
        <v>#VALUE!</v>
      </c>
      <c r="AD297" s="204" t="e">
        <f t="shared" si="439"/>
        <v>#VALUE!</v>
      </c>
      <c r="AE297" s="204" t="e">
        <f t="shared" si="440"/>
        <v>#VALUE!</v>
      </c>
      <c r="AF297" s="204" t="e">
        <f t="shared" si="441"/>
        <v>#VALUE!</v>
      </c>
      <c r="AG297" s="204" t="e">
        <f t="shared" si="442"/>
        <v>#VALUE!</v>
      </c>
      <c r="AH297" s="204" t="e">
        <f t="shared" si="443"/>
        <v>#VALUE!</v>
      </c>
      <c r="AI297" s="204" t="e">
        <f t="shared" si="444"/>
        <v>#VALUE!</v>
      </c>
      <c r="AJ297" s="205">
        <f t="shared" si="445"/>
        <v>0</v>
      </c>
      <c r="AK297" s="204" t="e">
        <f t="shared" si="446"/>
        <v>#VALUE!</v>
      </c>
      <c r="AL297" s="204" t="e">
        <f t="shared" si="447"/>
        <v>#VALUE!</v>
      </c>
      <c r="AM297" s="204" t="e">
        <f t="shared" si="448"/>
        <v>#VALUE!</v>
      </c>
      <c r="AN297" s="204" t="e">
        <f t="shared" si="449"/>
        <v>#VALUE!</v>
      </c>
      <c r="AO297" s="204" t="e">
        <f t="shared" si="450"/>
        <v>#VALUE!</v>
      </c>
      <c r="AP297" s="204" t="e">
        <f t="shared" si="451"/>
        <v>#VALUE!</v>
      </c>
      <c r="AQ297" s="204" t="e">
        <f t="shared" si="452"/>
        <v>#VALUE!</v>
      </c>
      <c r="AR297" s="206" t="e">
        <f t="shared" si="453"/>
        <v>#VALUE!</v>
      </c>
      <c r="AS297" s="170" t="e">
        <f t="shared" si="454"/>
        <v>#VALUE!</v>
      </c>
      <c r="AT297" s="170" t="e">
        <f t="shared" si="455"/>
        <v>#VALUE!</v>
      </c>
      <c r="AU297" s="207" t="e">
        <f t="shared" si="456"/>
        <v>#VALUE!</v>
      </c>
      <c r="AV297" s="208" t="e">
        <f t="shared" si="457"/>
        <v>#VALUE!</v>
      </c>
      <c r="AW297" s="201" t="str">
        <f t="shared" si="458"/>
        <v>Confiabilidade em Crescimento</v>
      </c>
      <c r="AX297" s="253" t="e">
        <f>VLOOKUP(D297,#REF!,5,FALSE)</f>
        <v>#REF!</v>
      </c>
      <c r="AY297" s="201"/>
      <c r="AZ297" s="273"/>
      <c r="BB297" t="str">
        <f>IFERROR(VLOOKUP(Tabela1[[#This Row],[Denominação]],[10]Planilha1!$A:$B,2,FALSE),"")</f>
        <v/>
      </c>
    </row>
    <row r="298" spans="1:54" ht="15" hidden="1" customHeight="1" x14ac:dyDescent="0.3">
      <c r="A298" s="253">
        <v>297</v>
      </c>
      <c r="B298" s="201" t="s">
        <v>1829</v>
      </c>
      <c r="C298" s="211" t="s">
        <v>1698</v>
      </c>
      <c r="D298" s="201">
        <v>40000547</v>
      </c>
      <c r="E298" s="253" t="s">
        <v>2058</v>
      </c>
      <c r="F298" s="253">
        <v>28</v>
      </c>
      <c r="G298" s="201">
        <v>55250</v>
      </c>
      <c r="H298" s="201">
        <v>2021</v>
      </c>
      <c r="I298" s="216">
        <v>232654.66</v>
      </c>
      <c r="J298" s="214">
        <v>204679</v>
      </c>
      <c r="K298" s="170">
        <v>32008.04</v>
      </c>
      <c r="L298" s="207"/>
      <c r="M298" s="212"/>
      <c r="N298" s="212"/>
      <c r="O298" s="171"/>
      <c r="P298" s="271" t="str">
        <f>IFERROR(VLOOKUP(Tabela1[[#This Row],[TAG]],#REF!,14,FALSE),"")</f>
        <v/>
      </c>
      <c r="Q298" s="204"/>
      <c r="R298" s="204"/>
      <c r="S298" s="204"/>
      <c r="T298" s="204"/>
      <c r="U298" s="204"/>
      <c r="V298" s="204"/>
      <c r="W298" s="218"/>
      <c r="X298" s="218"/>
      <c r="Y298" s="203"/>
      <c r="Z298" s="203">
        <f>IF(Tabela1[[#This Row],[Ano Aquisição]]=2023,0,IFERROR(VLOOKUP(H298,inflação!$F:$H,3,FALSE),""))</f>
        <v>0.1585</v>
      </c>
      <c r="AA298" s="203"/>
      <c r="AB298" s="202"/>
      <c r="AC298" s="204"/>
      <c r="AD298" s="204"/>
      <c r="AE298" s="204"/>
      <c r="AF298" s="204"/>
      <c r="AG298" s="204"/>
      <c r="AH298" s="204"/>
      <c r="AI298" s="204"/>
      <c r="AJ298" s="205"/>
      <c r="AK298" s="204"/>
      <c r="AL298" s="204"/>
      <c r="AM298" s="204"/>
      <c r="AN298" s="204"/>
      <c r="AO298" s="204"/>
      <c r="AP298" s="204"/>
      <c r="AQ298" s="204"/>
      <c r="AR298" s="206"/>
      <c r="AS298" s="170"/>
      <c r="AT298" s="170"/>
      <c r="AU298" s="207"/>
      <c r="AV298" s="208"/>
      <c r="AW298" s="201"/>
      <c r="AX298" s="253" t="e">
        <f>VLOOKUP(D298,#REF!,5,FALSE)</f>
        <v>#REF!</v>
      </c>
      <c r="AY298" s="201"/>
      <c r="AZ298" s="273"/>
      <c r="BB298">
        <f>IFERROR(VLOOKUP(Tabela1[[#This Row],[Denominação]],[10]Planilha1!$A:$B,2,FALSE),"")</f>
        <v>32008.04</v>
      </c>
    </row>
    <row r="299" spans="1:54" ht="15" hidden="1" customHeight="1" x14ac:dyDescent="0.3">
      <c r="A299" s="268">
        <v>298</v>
      </c>
      <c r="B299" s="201" t="s">
        <v>2031</v>
      </c>
      <c r="C299" s="211" t="s">
        <v>1962</v>
      </c>
      <c r="D299" s="201">
        <v>40000550</v>
      </c>
      <c r="E299" s="253" t="s">
        <v>1796</v>
      </c>
      <c r="F299" s="253">
        <v>681</v>
      </c>
      <c r="G299" s="201">
        <v>55251</v>
      </c>
      <c r="H299" s="201">
        <v>2021</v>
      </c>
      <c r="I299" s="216"/>
      <c r="J299" s="214"/>
      <c r="K299" s="170"/>
      <c r="L299" s="207"/>
      <c r="M299" s="212"/>
      <c r="N299" s="212"/>
      <c r="O299" s="171"/>
      <c r="P299" s="271" t="str">
        <f>IFERROR(VLOOKUP(Tabela1[[#This Row],[TAG]],#REF!,14,FALSE),"")</f>
        <v/>
      </c>
      <c r="Q299" s="204" t="e">
        <f>P299+P299</f>
        <v>#VALUE!</v>
      </c>
      <c r="R299" s="204" t="e">
        <f>Q299+P299</f>
        <v>#VALUE!</v>
      </c>
      <c r="S299" s="204" t="e">
        <f>R299+P299</f>
        <v>#VALUE!</v>
      </c>
      <c r="T299" s="204" t="e">
        <f>S299+P299</f>
        <v>#VALUE!</v>
      </c>
      <c r="U299" s="204" t="e">
        <f>T299+P299</f>
        <v>#VALUE!</v>
      </c>
      <c r="V299" s="204" t="e">
        <f>U299+P299</f>
        <v>#VALUE!</v>
      </c>
      <c r="W299" s="218"/>
      <c r="X299" s="218"/>
      <c r="Y299" s="203"/>
      <c r="Z299" s="203">
        <f>IF(Tabela1[[#This Row],[Ano Aquisição]]=2023,0,IFERROR(VLOOKUP(H299,inflação!$F:$H,3,FALSE),""))</f>
        <v>0.1585</v>
      </c>
      <c r="AA299" s="203"/>
      <c r="AB299" s="218">
        <f>I299*-1</f>
        <v>0</v>
      </c>
      <c r="AC299" s="204" t="e">
        <f>-(((P299*$W299)+($X299*12))*((1+$Y299)^AC$1))</f>
        <v>#VALUE!</v>
      </c>
      <c r="AD299" s="204" t="e">
        <f t="shared" ref="AD299:AI301" si="475">-((((Q299-P299)*$W299)+($X299*12))*((1+$Y299)^AD$1))</f>
        <v>#VALUE!</v>
      </c>
      <c r="AE299" s="204" t="e">
        <f t="shared" si="475"/>
        <v>#VALUE!</v>
      </c>
      <c r="AF299" s="204" t="e">
        <f t="shared" si="475"/>
        <v>#VALUE!</v>
      </c>
      <c r="AG299" s="204" t="e">
        <f t="shared" si="475"/>
        <v>#VALUE!</v>
      </c>
      <c r="AH299" s="204" t="e">
        <f t="shared" si="475"/>
        <v>#VALUE!</v>
      </c>
      <c r="AI299" s="204" t="e">
        <f t="shared" si="475"/>
        <v>#VALUE!</v>
      </c>
      <c r="AJ299" s="205">
        <f>-(I299*(1+Z299))</f>
        <v>0</v>
      </c>
      <c r="AK299" s="204" t="e">
        <f t="shared" ref="AK299:AQ301" si="476">AC299*(1-$AA299)</f>
        <v>#VALUE!</v>
      </c>
      <c r="AL299" s="204" t="e">
        <f t="shared" si="476"/>
        <v>#VALUE!</v>
      </c>
      <c r="AM299" s="204" t="e">
        <f t="shared" si="476"/>
        <v>#VALUE!</v>
      </c>
      <c r="AN299" s="204" t="e">
        <f t="shared" si="476"/>
        <v>#VALUE!</v>
      </c>
      <c r="AO299" s="204" t="e">
        <f t="shared" si="476"/>
        <v>#VALUE!</v>
      </c>
      <c r="AP299" s="204" t="e">
        <f t="shared" si="476"/>
        <v>#VALUE!</v>
      </c>
      <c r="AQ299" s="204" t="e">
        <f t="shared" si="476"/>
        <v>#VALUE!</v>
      </c>
      <c r="AR299" s="206" t="e">
        <f>(NPV(Y299,AK299,AL299,AM299,AN299,AO299,AP299,AQ299)+(SUM(AJ299,(J299*-1))))-(NPV(Y299,AC299,AD299,AE299,AF299,AG299,AH299,AI299))</f>
        <v>#VALUE!</v>
      </c>
      <c r="AS299" s="170" t="e">
        <f>SUM(AC299:AI299)</f>
        <v>#VALUE!</v>
      </c>
      <c r="AT299" s="170" t="e">
        <f>SUM(AK299:AQ299)</f>
        <v>#VALUE!</v>
      </c>
      <c r="AU299" s="207" t="e">
        <f>(((AVERAGE(AC299:AI299)/1000)-(AVERAGE(AK299:AQ299)/1000))+(((AJ299/1000)*-1)/7)+((J299/1000)/7))*-1</f>
        <v>#VALUE!</v>
      </c>
      <c r="AV299" s="208" t="e">
        <f>AU299/(((J299/1000)+((AJ299*-1)/1000)))</f>
        <v>#VALUE!</v>
      </c>
      <c r="AW299" s="201" t="str">
        <f>IF(L299&gt;1.1,"Fase de Degradação",IF(L299&lt;1,"Confiabilidade em Crescimento","Fase de Vida Útil"))</f>
        <v>Confiabilidade em Crescimento</v>
      </c>
      <c r="AX299" s="253" t="e">
        <f>VLOOKUP(D299,#REF!,5,FALSE)</f>
        <v>#REF!</v>
      </c>
      <c r="AY299" s="201"/>
      <c r="AZ299" s="273"/>
      <c r="BB299" t="str">
        <f>IFERROR(VLOOKUP(Tabela1[[#This Row],[Denominação]],[10]Planilha1!$A:$B,2,FALSE),"")</f>
        <v/>
      </c>
    </row>
    <row r="300" spans="1:54" ht="15" hidden="1" customHeight="1" x14ac:dyDescent="0.3">
      <c r="A300" s="253">
        <v>299</v>
      </c>
      <c r="B300" s="201" t="s">
        <v>2032</v>
      </c>
      <c r="C300" s="211" t="s">
        <v>1963</v>
      </c>
      <c r="D300" s="201">
        <v>40000551</v>
      </c>
      <c r="E300" s="253" t="s">
        <v>1796</v>
      </c>
      <c r="F300" s="253">
        <v>681</v>
      </c>
      <c r="G300" s="201">
        <v>55252</v>
      </c>
      <c r="H300" s="201">
        <v>2021</v>
      </c>
      <c r="I300" s="216"/>
      <c r="J300" s="214"/>
      <c r="K300" s="170"/>
      <c r="L300" s="207"/>
      <c r="M300" s="212"/>
      <c r="N300" s="212"/>
      <c r="O300" s="171"/>
      <c r="P300" s="271" t="str">
        <f>IFERROR(VLOOKUP(Tabela1[[#This Row],[TAG]],#REF!,14,FALSE),"")</f>
        <v/>
      </c>
      <c r="Q300" s="204" t="e">
        <f>P300+P300</f>
        <v>#VALUE!</v>
      </c>
      <c r="R300" s="204" t="e">
        <f>Q300+P300</f>
        <v>#VALUE!</v>
      </c>
      <c r="S300" s="204" t="e">
        <f>R300+P300</f>
        <v>#VALUE!</v>
      </c>
      <c r="T300" s="204" t="e">
        <f>S300+P300</f>
        <v>#VALUE!</v>
      </c>
      <c r="U300" s="204" t="e">
        <f>T300+P300</f>
        <v>#VALUE!</v>
      </c>
      <c r="V300" s="204" t="e">
        <f>U300+P300</f>
        <v>#VALUE!</v>
      </c>
      <c r="W300" s="218"/>
      <c r="X300" s="218"/>
      <c r="Y300" s="203"/>
      <c r="Z300" s="203">
        <f>IF(Tabela1[[#This Row],[Ano Aquisição]]=2023,0,IFERROR(VLOOKUP(H300,inflação!$F:$H,3,FALSE),""))</f>
        <v>0.1585</v>
      </c>
      <c r="AA300" s="203"/>
      <c r="AB300" s="218">
        <f>I300*-1</f>
        <v>0</v>
      </c>
      <c r="AC300" s="204" t="e">
        <f>-(((P300*$W300)+($X300*12))*((1+$Y300)^AC$1))</f>
        <v>#VALUE!</v>
      </c>
      <c r="AD300" s="204" t="e">
        <f t="shared" si="475"/>
        <v>#VALUE!</v>
      </c>
      <c r="AE300" s="204" t="e">
        <f t="shared" si="475"/>
        <v>#VALUE!</v>
      </c>
      <c r="AF300" s="204" t="e">
        <f t="shared" si="475"/>
        <v>#VALUE!</v>
      </c>
      <c r="AG300" s="204" t="e">
        <f t="shared" si="475"/>
        <v>#VALUE!</v>
      </c>
      <c r="AH300" s="204" t="e">
        <f t="shared" si="475"/>
        <v>#VALUE!</v>
      </c>
      <c r="AI300" s="204" t="e">
        <f t="shared" si="475"/>
        <v>#VALUE!</v>
      </c>
      <c r="AJ300" s="205">
        <f>-(I300*(1+Z300))</f>
        <v>0</v>
      </c>
      <c r="AK300" s="204" t="e">
        <f t="shared" si="476"/>
        <v>#VALUE!</v>
      </c>
      <c r="AL300" s="204" t="e">
        <f t="shared" si="476"/>
        <v>#VALUE!</v>
      </c>
      <c r="AM300" s="204" t="e">
        <f t="shared" si="476"/>
        <v>#VALUE!</v>
      </c>
      <c r="AN300" s="204" t="e">
        <f t="shared" si="476"/>
        <v>#VALUE!</v>
      </c>
      <c r="AO300" s="204" t="e">
        <f t="shared" si="476"/>
        <v>#VALUE!</v>
      </c>
      <c r="AP300" s="204" t="e">
        <f t="shared" si="476"/>
        <v>#VALUE!</v>
      </c>
      <c r="AQ300" s="204" t="e">
        <f t="shared" si="476"/>
        <v>#VALUE!</v>
      </c>
      <c r="AR300" s="206" t="e">
        <f>(NPV(Y300,AK300,AL300,AM300,AN300,AO300,AP300,AQ300)+(SUM(AJ300,(J300*-1))))-(NPV(Y300,AC300,AD300,AE300,AF300,AG300,AH300,AI300))</f>
        <v>#VALUE!</v>
      </c>
      <c r="AS300" s="170" t="e">
        <f>SUM(AC300:AI300)</f>
        <v>#VALUE!</v>
      </c>
      <c r="AT300" s="170" t="e">
        <f>SUM(AK300:AQ300)</f>
        <v>#VALUE!</v>
      </c>
      <c r="AU300" s="207" t="e">
        <f>(((AVERAGE(AC300:AI300)/1000)-(AVERAGE(AK300:AQ300)/1000))+(((AJ300/1000)*-1)/7)+((J300/1000)/7))*-1</f>
        <v>#VALUE!</v>
      </c>
      <c r="AV300" s="208" t="e">
        <f>AU300/(((J300/1000)+((AJ300*-1)/1000)))</f>
        <v>#VALUE!</v>
      </c>
      <c r="AW300" s="201" t="str">
        <f>IF(L300&gt;1.1,"Fase de Degradação",IF(L300&lt;1,"Confiabilidade em Crescimento","Fase de Vida Útil"))</f>
        <v>Confiabilidade em Crescimento</v>
      </c>
      <c r="AX300" s="253" t="e">
        <f>VLOOKUP(D300,#REF!,5,FALSE)</f>
        <v>#REF!</v>
      </c>
      <c r="AY300" s="201"/>
      <c r="AZ300" s="273"/>
      <c r="BB300" t="str">
        <f>IFERROR(VLOOKUP(Tabela1[[#This Row],[Denominação]],[10]Planilha1!$A:$B,2,FALSE),"")</f>
        <v/>
      </c>
    </row>
    <row r="301" spans="1:54" ht="15" hidden="1" customHeight="1" x14ac:dyDescent="0.3">
      <c r="A301" s="268">
        <v>300</v>
      </c>
      <c r="B301" s="201" t="s">
        <v>1997</v>
      </c>
      <c r="C301" s="211" t="s">
        <v>1952</v>
      </c>
      <c r="D301" s="201">
        <v>40000555</v>
      </c>
      <c r="E301" s="253" t="s">
        <v>1795</v>
      </c>
      <c r="F301" s="253">
        <v>620</v>
      </c>
      <c r="G301" s="201">
        <v>56270</v>
      </c>
      <c r="H301" s="201">
        <v>2022</v>
      </c>
      <c r="I301" s="216"/>
      <c r="J301" s="214"/>
      <c r="K301" s="170"/>
      <c r="L301" s="207"/>
      <c r="M301" s="212"/>
      <c r="N301" s="212"/>
      <c r="O301" s="171"/>
      <c r="P301" s="271" t="str">
        <f>IFERROR(VLOOKUP(Tabela1[[#This Row],[TAG]],#REF!,14,FALSE),"")</f>
        <v/>
      </c>
      <c r="Q301" s="204" t="e">
        <f>P301+P301</f>
        <v>#VALUE!</v>
      </c>
      <c r="R301" s="204" t="e">
        <f>Q301+P301</f>
        <v>#VALUE!</v>
      </c>
      <c r="S301" s="204" t="e">
        <f>R301+P301</f>
        <v>#VALUE!</v>
      </c>
      <c r="T301" s="204" t="e">
        <f>S301+P301</f>
        <v>#VALUE!</v>
      </c>
      <c r="U301" s="204" t="e">
        <f>T301+P301</f>
        <v>#VALUE!</v>
      </c>
      <c r="V301" s="204" t="e">
        <f>U301+P301</f>
        <v>#VALUE!</v>
      </c>
      <c r="W301" s="218"/>
      <c r="X301" s="218"/>
      <c r="Y301" s="203"/>
      <c r="Z301" s="203">
        <f>IF(Tabela1[[#This Row],[Ano Aquisição]]=2023,0,IFERROR(VLOOKUP(H301,inflação!$F:$H,3,FALSE),""))</f>
        <v>5.79E-2</v>
      </c>
      <c r="AA301" s="203"/>
      <c r="AB301" s="218">
        <f>I301*-1</f>
        <v>0</v>
      </c>
      <c r="AC301" s="204" t="e">
        <f>-(((P301*$W301)+($X301*12))*((1+$Y301)^AC$1))</f>
        <v>#VALUE!</v>
      </c>
      <c r="AD301" s="204" t="e">
        <f t="shared" si="475"/>
        <v>#VALUE!</v>
      </c>
      <c r="AE301" s="204" t="e">
        <f t="shared" si="475"/>
        <v>#VALUE!</v>
      </c>
      <c r="AF301" s="204" t="e">
        <f t="shared" si="475"/>
        <v>#VALUE!</v>
      </c>
      <c r="AG301" s="204" t="e">
        <f t="shared" si="475"/>
        <v>#VALUE!</v>
      </c>
      <c r="AH301" s="204" t="e">
        <f t="shared" si="475"/>
        <v>#VALUE!</v>
      </c>
      <c r="AI301" s="204" t="e">
        <f t="shared" si="475"/>
        <v>#VALUE!</v>
      </c>
      <c r="AJ301" s="205">
        <f>-(I301*(1+Z301))</f>
        <v>0</v>
      </c>
      <c r="AK301" s="204" t="e">
        <f t="shared" si="476"/>
        <v>#VALUE!</v>
      </c>
      <c r="AL301" s="204" t="e">
        <f t="shared" si="476"/>
        <v>#VALUE!</v>
      </c>
      <c r="AM301" s="204" t="e">
        <f t="shared" si="476"/>
        <v>#VALUE!</v>
      </c>
      <c r="AN301" s="204" t="e">
        <f t="shared" si="476"/>
        <v>#VALUE!</v>
      </c>
      <c r="AO301" s="204" t="e">
        <f t="shared" si="476"/>
        <v>#VALUE!</v>
      </c>
      <c r="AP301" s="204" t="e">
        <f t="shared" si="476"/>
        <v>#VALUE!</v>
      </c>
      <c r="AQ301" s="204" t="e">
        <f t="shared" si="476"/>
        <v>#VALUE!</v>
      </c>
      <c r="AR301" s="206" t="e">
        <f>(NPV(Y301,AK301,AL301,AM301,AN301,AO301,AP301,AQ301)+(SUM(AJ301,(J301*-1))))-(NPV(Y301,AC301,AD301,AE301,AF301,AG301,AH301,AI301))</f>
        <v>#VALUE!</v>
      </c>
      <c r="AS301" s="170" t="e">
        <f>SUM(AC301:AI301)</f>
        <v>#VALUE!</v>
      </c>
      <c r="AT301" s="170" t="e">
        <f>SUM(AK301:AQ301)</f>
        <v>#VALUE!</v>
      </c>
      <c r="AU301" s="207" t="e">
        <f>(((AVERAGE(AC301:AI301)/1000)-(AVERAGE(AK301:AQ301)/1000))+(((AJ301/1000)*-1)/7)+((J301/1000)/7))*-1</f>
        <v>#VALUE!</v>
      </c>
      <c r="AV301" s="208" t="e">
        <f>AU301/(((J301/1000)+((AJ301*-1)/1000)))</f>
        <v>#VALUE!</v>
      </c>
      <c r="AW301" s="201" t="str">
        <f>IF(L301&gt;1.1,"Fase de Degradação",IF(L301&lt;1,"Confiabilidade em Crescimento","Fase de Vida Útil"))</f>
        <v>Confiabilidade em Crescimento</v>
      </c>
      <c r="AX301" s="253" t="e">
        <f>VLOOKUP(D301,#REF!,5,FALSE)</f>
        <v>#REF!</v>
      </c>
      <c r="AY301" s="201"/>
      <c r="AZ301" s="273"/>
      <c r="BB301" t="str">
        <f>IFERROR(VLOOKUP(Tabela1[[#This Row],[Denominação]],[10]Planilha1!$A:$B,2,FALSE),"")</f>
        <v/>
      </c>
    </row>
    <row r="302" spans="1:54" ht="15" hidden="1" customHeight="1" x14ac:dyDescent="0.3">
      <c r="A302" s="253">
        <v>301</v>
      </c>
      <c r="B302" s="201" t="s">
        <v>1830</v>
      </c>
      <c r="C302" s="211" t="s">
        <v>1699</v>
      </c>
      <c r="D302" s="201">
        <v>40000576</v>
      </c>
      <c r="E302" s="253" t="s">
        <v>2058</v>
      </c>
      <c r="F302" s="253">
        <v>28</v>
      </c>
      <c r="G302" s="201">
        <v>56404</v>
      </c>
      <c r="H302" s="201">
        <v>2022</v>
      </c>
      <c r="I302" s="216">
        <v>199361.58</v>
      </c>
      <c r="J302" s="214">
        <v>179425</v>
      </c>
      <c r="K302" s="170">
        <v>8190</v>
      </c>
      <c r="L302" s="207"/>
      <c r="M302" s="212"/>
      <c r="N302" s="212"/>
      <c r="O302" s="171"/>
      <c r="P302" s="271" t="str">
        <f>IFERROR(VLOOKUP(Tabela1[[#This Row],[TAG]],#REF!,14,FALSE),"")</f>
        <v/>
      </c>
      <c r="Q302" s="204"/>
      <c r="R302" s="204"/>
      <c r="S302" s="204"/>
      <c r="T302" s="204"/>
      <c r="U302" s="204"/>
      <c r="V302" s="204"/>
      <c r="W302" s="218"/>
      <c r="X302" s="218"/>
      <c r="Y302" s="203"/>
      <c r="Z302" s="203">
        <f>IF(Tabela1[[#This Row],[Ano Aquisição]]=2023,0,IFERROR(VLOOKUP(H302,inflação!$F:$H,3,FALSE),""))</f>
        <v>5.79E-2</v>
      </c>
      <c r="AA302" s="203"/>
      <c r="AB302" s="202"/>
      <c r="AC302" s="204"/>
      <c r="AD302" s="204"/>
      <c r="AE302" s="204"/>
      <c r="AF302" s="204"/>
      <c r="AG302" s="204"/>
      <c r="AH302" s="204"/>
      <c r="AI302" s="204"/>
      <c r="AJ302" s="205"/>
      <c r="AK302" s="204"/>
      <c r="AL302" s="204"/>
      <c r="AM302" s="204"/>
      <c r="AN302" s="204"/>
      <c r="AO302" s="204"/>
      <c r="AP302" s="204"/>
      <c r="AQ302" s="204"/>
      <c r="AR302" s="206"/>
      <c r="AS302" s="170"/>
      <c r="AT302" s="170"/>
      <c r="AU302" s="207"/>
      <c r="AV302" s="208"/>
      <c r="AW302" s="201"/>
      <c r="AX302" s="253" t="e">
        <f>VLOOKUP(D302,#REF!,5,FALSE)</f>
        <v>#REF!</v>
      </c>
      <c r="AY302" s="201"/>
      <c r="AZ302" s="273"/>
      <c r="BB302">
        <f>IFERROR(VLOOKUP(Tabela1[[#This Row],[Denominação]],[10]Planilha1!$A:$B,2,FALSE),"")</f>
        <v>8190</v>
      </c>
    </row>
    <row r="303" spans="1:54" ht="15" hidden="1" customHeight="1" x14ac:dyDescent="0.3">
      <c r="A303" s="268">
        <v>302</v>
      </c>
      <c r="B303" s="315" t="s">
        <v>1998</v>
      </c>
      <c r="C303" s="318" t="s">
        <v>1967</v>
      </c>
      <c r="D303" s="315">
        <v>40000578</v>
      </c>
      <c r="E303" s="299" t="s">
        <v>2055</v>
      </c>
      <c r="F303" s="299">
        <v>4645</v>
      </c>
      <c r="G303" s="315">
        <v>56670</v>
      </c>
      <c r="H303" s="315">
        <v>2022</v>
      </c>
      <c r="I303" s="329">
        <v>71399.89</v>
      </c>
      <c r="J303" s="330">
        <v>63665</v>
      </c>
      <c r="K303" s="326"/>
      <c r="L303" s="319"/>
      <c r="M303" s="320"/>
      <c r="N303" s="320"/>
      <c r="O303" s="321"/>
      <c r="P303" s="271" t="str">
        <f>IFERROR(VLOOKUP(Tabela1[[#This Row],[TAG]],#REF!,14,FALSE),"")</f>
        <v/>
      </c>
      <c r="Q303" s="323" t="e">
        <f t="shared" ref="Q303:Q318" si="477">P303+P303</f>
        <v>#VALUE!</v>
      </c>
      <c r="R303" s="323" t="e">
        <f t="shared" ref="R303:R318" si="478">Q303+P303</f>
        <v>#VALUE!</v>
      </c>
      <c r="S303" s="323" t="e">
        <f t="shared" ref="S303:S318" si="479">R303+P303</f>
        <v>#VALUE!</v>
      </c>
      <c r="T303" s="323" t="e">
        <f t="shared" ref="T303:T318" si="480">S303+P303</f>
        <v>#VALUE!</v>
      </c>
      <c r="U303" s="323" t="e">
        <f t="shared" ref="U303:U318" si="481">T303+P303</f>
        <v>#VALUE!</v>
      </c>
      <c r="V303" s="323" t="e">
        <f t="shared" ref="V303:V318" si="482">U303+P303</f>
        <v>#VALUE!</v>
      </c>
      <c r="W303" s="304"/>
      <c r="X303" s="304"/>
      <c r="Y303" s="322"/>
      <c r="Z303" s="322">
        <f>IF(Tabela1[[#This Row],[Ano Aquisição]]=2023,0,IFERROR(VLOOKUP(H303,inflação!$F:$H,3,FALSE),""))</f>
        <v>5.79E-2</v>
      </c>
      <c r="AA303" s="322"/>
      <c r="AB303" s="304">
        <f t="shared" ref="AB303:AB342" si="483">I303*-1</f>
        <v>-71399.89</v>
      </c>
      <c r="AC303" s="323" t="e">
        <f t="shared" ref="AC303:AC318" si="484">-(((P303*$W303)+($X303*12))*((1+$Y303)^AC$1))</f>
        <v>#VALUE!</v>
      </c>
      <c r="AD303" s="323" t="e">
        <f t="shared" ref="AD303:AD318" si="485">-((((Q303-P303)*$W303)+($X303*12))*((1+$Y303)^AD$1))</f>
        <v>#VALUE!</v>
      </c>
      <c r="AE303" s="323" t="e">
        <f t="shared" ref="AE303:AE318" si="486">-((((R303-Q303)*$W303)+($X303*12))*((1+$Y303)^AE$1))</f>
        <v>#VALUE!</v>
      </c>
      <c r="AF303" s="323" t="e">
        <f t="shared" ref="AF303:AF318" si="487">-((((S303-R303)*$W303)+($X303*12))*((1+$Y303)^AF$1))</f>
        <v>#VALUE!</v>
      </c>
      <c r="AG303" s="323" t="e">
        <f t="shared" ref="AG303:AG318" si="488">-((((T303-S303)*$W303)+($X303*12))*((1+$Y303)^AG$1))</f>
        <v>#VALUE!</v>
      </c>
      <c r="AH303" s="323" t="e">
        <f t="shared" ref="AH303:AH318" si="489">-((((U303-T303)*$W303)+($X303*12))*((1+$Y303)^AH$1))</f>
        <v>#VALUE!</v>
      </c>
      <c r="AI303" s="323" t="e">
        <f t="shared" ref="AI303:AI318" si="490">-((((V303-U303)*$W303)+($X303*12))*((1+$Y303)^AI$1))</f>
        <v>#VALUE!</v>
      </c>
      <c r="AJ303" s="324">
        <f t="shared" ref="AJ303:AJ342" si="491">-(I303*(1+Z303))</f>
        <v>-75533.943631000002</v>
      </c>
      <c r="AK303" s="323" t="e">
        <f t="shared" ref="AK303:AK318" si="492">AC303*(1-$AA303)</f>
        <v>#VALUE!</v>
      </c>
      <c r="AL303" s="323" t="e">
        <f t="shared" ref="AL303:AL318" si="493">AD303*(1-$AA303)</f>
        <v>#VALUE!</v>
      </c>
      <c r="AM303" s="323" t="e">
        <f t="shared" ref="AM303:AM318" si="494">AE303*(1-$AA303)</f>
        <v>#VALUE!</v>
      </c>
      <c r="AN303" s="323" t="e">
        <f t="shared" ref="AN303:AN318" si="495">AF303*(1-$AA303)</f>
        <v>#VALUE!</v>
      </c>
      <c r="AO303" s="323" t="e">
        <f t="shared" ref="AO303:AO318" si="496">AG303*(1-$AA303)</f>
        <v>#VALUE!</v>
      </c>
      <c r="AP303" s="323" t="e">
        <f t="shared" ref="AP303:AP318" si="497">AH303*(1-$AA303)</f>
        <v>#VALUE!</v>
      </c>
      <c r="AQ303" s="323" t="e">
        <f t="shared" ref="AQ303:AQ318" si="498">AI303*(1-$AA303)</f>
        <v>#VALUE!</v>
      </c>
      <c r="AR303" s="325" t="e">
        <f t="shared" ref="AR303:AR342" si="499">(NPV(Y303,AK303,AL303,AM303,AN303,AO303,AP303,AQ303)+(SUM(AJ303,(J303*-1))))-(NPV(Y303,AC303,AD303,AE303,AF303,AG303,AH303,AI303))</f>
        <v>#VALUE!</v>
      </c>
      <c r="AS303" s="326" t="e">
        <f t="shared" ref="AS303:AS318" si="500">SUM(AC303:AI303)</f>
        <v>#VALUE!</v>
      </c>
      <c r="AT303" s="326" t="e">
        <f t="shared" ref="AT303:AT318" si="501">SUM(AK303:AQ303)</f>
        <v>#VALUE!</v>
      </c>
      <c r="AU303" s="319" t="e">
        <f t="shared" ref="AU303:AU342" si="502">(((AVERAGE(AC303:AI303)/1000)-(AVERAGE(AK303:AQ303)/1000))+(((AJ303/1000)*-1)/7)+((J303/1000)/7))*-1</f>
        <v>#VALUE!</v>
      </c>
      <c r="AV303" s="327" t="e">
        <f t="shared" ref="AV303:AV342" si="503">AU303/(((J303/1000)+((AJ303*-1)/1000)))</f>
        <v>#VALUE!</v>
      </c>
      <c r="AW303" s="315" t="str">
        <f t="shared" ref="AW303:AW342" si="504">IF(L303&gt;1.1,"Fase de Degradação",IF(L303&lt;1,"Confiabilidade em Crescimento","Fase de Vida Útil"))</f>
        <v>Confiabilidade em Crescimento</v>
      </c>
      <c r="AX303" s="299" t="e">
        <f>VLOOKUP(D303,#REF!,5,FALSE)</f>
        <v>#REF!</v>
      </c>
      <c r="AY303" s="315" t="s">
        <v>1224</v>
      </c>
      <c r="AZ303" s="316" t="s">
        <v>1224</v>
      </c>
      <c r="BB303" t="str">
        <f>IFERROR(VLOOKUP(Tabela1[[#This Row],[Denominação]],[10]Planilha1!$A:$B,2,FALSE),"")</f>
        <v/>
      </c>
    </row>
    <row r="304" spans="1:54" ht="15" hidden="1" customHeight="1" x14ac:dyDescent="0.3">
      <c r="A304" s="253">
        <v>303</v>
      </c>
      <c r="B304" s="201" t="s">
        <v>1022</v>
      </c>
      <c r="C304" s="211" t="s">
        <v>1023</v>
      </c>
      <c r="D304" s="201">
        <v>20004128</v>
      </c>
      <c r="E304" s="253" t="s">
        <v>1377</v>
      </c>
      <c r="F304" s="253">
        <v>2318</v>
      </c>
      <c r="G304" s="201">
        <v>53178</v>
      </c>
      <c r="H304" s="201">
        <v>2021</v>
      </c>
      <c r="I304" s="216">
        <v>201000.6</v>
      </c>
      <c r="J304" s="214">
        <v>171942</v>
      </c>
      <c r="K304" s="170">
        <v>152070.80000000002</v>
      </c>
      <c r="L304" s="207">
        <v>2.08</v>
      </c>
      <c r="M304" s="212">
        <v>3854</v>
      </c>
      <c r="N304" s="212">
        <v>14515</v>
      </c>
      <c r="O304" s="201">
        <v>25</v>
      </c>
      <c r="P304" s="271" t="str">
        <f>IFERROR(VLOOKUP(Tabela1[[#This Row],[TAG]],#REF!,14,FALSE),"")</f>
        <v/>
      </c>
      <c r="Q304" s="204" t="e">
        <f t="shared" si="477"/>
        <v>#VALUE!</v>
      </c>
      <c r="R304" s="204" t="e">
        <f t="shared" si="478"/>
        <v>#VALUE!</v>
      </c>
      <c r="S304" s="204" t="e">
        <f t="shared" si="479"/>
        <v>#VALUE!</v>
      </c>
      <c r="T304" s="204" t="e">
        <f t="shared" si="480"/>
        <v>#VALUE!</v>
      </c>
      <c r="U304" s="204" t="e">
        <f t="shared" si="481"/>
        <v>#VALUE!</v>
      </c>
      <c r="V304" s="204" t="e">
        <f t="shared" si="482"/>
        <v>#VALUE!</v>
      </c>
      <c r="W304" s="218">
        <v>1002.09</v>
      </c>
      <c r="X304" s="218">
        <v>5643.0741666666663</v>
      </c>
      <c r="Y304" s="203">
        <v>0.1</v>
      </c>
      <c r="Z304" s="203">
        <f>IF(Tabela1[[#This Row],[Ano Aquisição]]=2023,0,IFERROR(VLOOKUP(H304,inflação!$F:$H,3,FALSE),""))</f>
        <v>0.1585</v>
      </c>
      <c r="AA304" s="203">
        <v>0.8</v>
      </c>
      <c r="AB304" s="202">
        <f t="shared" si="483"/>
        <v>-201000.6</v>
      </c>
      <c r="AC304" s="204" t="e">
        <f t="shared" si="484"/>
        <v>#VALUE!</v>
      </c>
      <c r="AD304" s="204" t="e">
        <f t="shared" si="485"/>
        <v>#VALUE!</v>
      </c>
      <c r="AE304" s="204" t="e">
        <f t="shared" si="486"/>
        <v>#VALUE!</v>
      </c>
      <c r="AF304" s="204" t="e">
        <f t="shared" si="487"/>
        <v>#VALUE!</v>
      </c>
      <c r="AG304" s="204" t="e">
        <f t="shared" si="488"/>
        <v>#VALUE!</v>
      </c>
      <c r="AH304" s="204" t="e">
        <f t="shared" si="489"/>
        <v>#VALUE!</v>
      </c>
      <c r="AI304" s="204" t="e">
        <f t="shared" si="490"/>
        <v>#VALUE!</v>
      </c>
      <c r="AJ304" s="205">
        <f t="shared" si="491"/>
        <v>-232859.19510000001</v>
      </c>
      <c r="AK304" s="204" t="e">
        <f t="shared" si="492"/>
        <v>#VALUE!</v>
      </c>
      <c r="AL304" s="204" t="e">
        <f t="shared" si="493"/>
        <v>#VALUE!</v>
      </c>
      <c r="AM304" s="204" t="e">
        <f t="shared" si="494"/>
        <v>#VALUE!</v>
      </c>
      <c r="AN304" s="204" t="e">
        <f t="shared" si="495"/>
        <v>#VALUE!</v>
      </c>
      <c r="AO304" s="204" t="e">
        <f t="shared" si="496"/>
        <v>#VALUE!</v>
      </c>
      <c r="AP304" s="204" t="e">
        <f t="shared" si="497"/>
        <v>#VALUE!</v>
      </c>
      <c r="AQ304" s="204" t="e">
        <f t="shared" si="498"/>
        <v>#VALUE!</v>
      </c>
      <c r="AR304" s="206" t="e">
        <f t="shared" si="499"/>
        <v>#VALUE!</v>
      </c>
      <c r="AS304" s="170" t="e">
        <f t="shared" si="500"/>
        <v>#VALUE!</v>
      </c>
      <c r="AT304" s="170" t="e">
        <f t="shared" si="501"/>
        <v>#VALUE!</v>
      </c>
      <c r="AU304" s="207" t="e">
        <f t="shared" si="502"/>
        <v>#VALUE!</v>
      </c>
      <c r="AV304" s="208" t="e">
        <f t="shared" si="503"/>
        <v>#VALUE!</v>
      </c>
      <c r="AW304" s="201" t="str">
        <f t="shared" si="504"/>
        <v>Fase de Degradação</v>
      </c>
      <c r="AX304" s="253" t="e">
        <f>VLOOKUP(D304,#REF!,5,FALSE)</f>
        <v>#REF!</v>
      </c>
      <c r="AY304" s="201"/>
      <c r="AZ304" s="273" t="s">
        <v>1224</v>
      </c>
      <c r="BB304">
        <f>IFERROR(VLOOKUP(Tabela1[[#This Row],[Denominação]],[10]Planilha1!$A:$B,2,FALSE),"")</f>
        <v>152070.80000000002</v>
      </c>
    </row>
    <row r="305" spans="1:59" ht="15" hidden="1" customHeight="1" x14ac:dyDescent="0.3">
      <c r="A305" s="268">
        <v>304</v>
      </c>
      <c r="B305" s="171" t="s">
        <v>34</v>
      </c>
      <c r="C305" s="209" t="s">
        <v>9</v>
      </c>
      <c r="D305" s="171">
        <v>10000481</v>
      </c>
      <c r="E305" s="253" t="s">
        <v>1378</v>
      </c>
      <c r="F305" s="210">
        <v>2520</v>
      </c>
      <c r="G305" s="171">
        <v>6300100400</v>
      </c>
      <c r="H305" s="171">
        <v>1982</v>
      </c>
      <c r="I305" s="213">
        <v>65813.850000000006</v>
      </c>
      <c r="J305" s="213">
        <v>0</v>
      </c>
      <c r="K305" s="170">
        <v>2829802.639999989</v>
      </c>
      <c r="L305" s="215">
        <v>1.08</v>
      </c>
      <c r="M305" s="320">
        <v>4458</v>
      </c>
      <c r="N305" s="212">
        <v>198936</v>
      </c>
      <c r="O305" s="171">
        <v>1477</v>
      </c>
      <c r="P305" s="271" t="str">
        <f>IFERROR(VLOOKUP(Tabela1[[#This Row],[TAG]],#REF!,14,FALSE),"")</f>
        <v/>
      </c>
      <c r="Q305" s="204" t="e">
        <f t="shared" si="477"/>
        <v>#VALUE!</v>
      </c>
      <c r="R305" s="204" t="e">
        <f t="shared" si="478"/>
        <v>#VALUE!</v>
      </c>
      <c r="S305" s="204" t="e">
        <f t="shared" si="479"/>
        <v>#VALUE!</v>
      </c>
      <c r="T305" s="204" t="e">
        <f t="shared" si="480"/>
        <v>#VALUE!</v>
      </c>
      <c r="U305" s="204" t="e">
        <f t="shared" si="481"/>
        <v>#VALUE!</v>
      </c>
      <c r="V305" s="204" t="e">
        <f t="shared" si="482"/>
        <v>#VALUE!</v>
      </c>
      <c r="W305" s="304">
        <v>1080.3</v>
      </c>
      <c r="X305" s="304">
        <v>9566.84</v>
      </c>
      <c r="Y305" s="203">
        <v>0.1</v>
      </c>
      <c r="Z305" s="203">
        <f>IF(Tabela1[[#This Row],[Ano Aquisição]]=2023,0,IFERROR(VLOOKUP(H305,inflação!$F:$H,3,FALSE),""))</f>
        <v>2.5972846153846172</v>
      </c>
      <c r="AA305" s="203">
        <v>0.8</v>
      </c>
      <c r="AB305" s="202">
        <f t="shared" si="483"/>
        <v>-65813.850000000006</v>
      </c>
      <c r="AC305" s="204" t="e">
        <f t="shared" si="484"/>
        <v>#VALUE!</v>
      </c>
      <c r="AD305" s="204" t="e">
        <f t="shared" si="485"/>
        <v>#VALUE!</v>
      </c>
      <c r="AE305" s="204" t="e">
        <f t="shared" si="486"/>
        <v>#VALUE!</v>
      </c>
      <c r="AF305" s="204" t="e">
        <f t="shared" si="487"/>
        <v>#VALUE!</v>
      </c>
      <c r="AG305" s="204" t="e">
        <f t="shared" si="488"/>
        <v>#VALUE!</v>
      </c>
      <c r="AH305" s="204" t="e">
        <f t="shared" si="489"/>
        <v>#VALUE!</v>
      </c>
      <c r="AI305" s="204" t="e">
        <f t="shared" si="490"/>
        <v>#VALUE!</v>
      </c>
      <c r="AJ305" s="205">
        <f t="shared" si="491"/>
        <v>-236751.1500842309</v>
      </c>
      <c r="AK305" s="204" t="e">
        <f t="shared" si="492"/>
        <v>#VALUE!</v>
      </c>
      <c r="AL305" s="204" t="e">
        <f t="shared" si="493"/>
        <v>#VALUE!</v>
      </c>
      <c r="AM305" s="204" t="e">
        <f t="shared" si="494"/>
        <v>#VALUE!</v>
      </c>
      <c r="AN305" s="204" t="e">
        <f t="shared" si="495"/>
        <v>#VALUE!</v>
      </c>
      <c r="AO305" s="204" t="e">
        <f t="shared" si="496"/>
        <v>#VALUE!</v>
      </c>
      <c r="AP305" s="204" t="e">
        <f t="shared" si="497"/>
        <v>#VALUE!</v>
      </c>
      <c r="AQ305" s="204" t="e">
        <f t="shared" si="498"/>
        <v>#VALUE!</v>
      </c>
      <c r="AR305" s="206" t="e">
        <f t="shared" si="499"/>
        <v>#VALUE!</v>
      </c>
      <c r="AS305" s="170" t="e">
        <f t="shared" si="500"/>
        <v>#VALUE!</v>
      </c>
      <c r="AT305" s="170" t="e">
        <f t="shared" si="501"/>
        <v>#VALUE!</v>
      </c>
      <c r="AU305" s="207" t="e">
        <f t="shared" si="502"/>
        <v>#VALUE!</v>
      </c>
      <c r="AV305" s="208" t="e">
        <f t="shared" si="503"/>
        <v>#VALUE!</v>
      </c>
      <c r="AW305" s="201" t="str">
        <f t="shared" si="504"/>
        <v>Fase de Vida Útil</v>
      </c>
      <c r="AX305" s="253" t="e">
        <f>VLOOKUP(D305,#REF!,5,FALSE)</f>
        <v>#REF!</v>
      </c>
      <c r="AY305" s="201"/>
      <c r="AZ305" s="273" t="s">
        <v>1224</v>
      </c>
      <c r="BB305">
        <f>IFERROR(VLOOKUP(Tabela1[[#This Row],[Denominação]],[10]Planilha1!$A:$B,2,FALSE),"")</f>
        <v>2829802.639999989</v>
      </c>
    </row>
    <row r="306" spans="1:59" ht="15" hidden="1" customHeight="1" x14ac:dyDescent="0.3">
      <c r="A306" s="253">
        <v>305</v>
      </c>
      <c r="B306" s="201" t="s">
        <v>783</v>
      </c>
      <c r="C306" s="211" t="s">
        <v>784</v>
      </c>
      <c r="D306" s="201">
        <v>10003381</v>
      </c>
      <c r="E306" s="253" t="s">
        <v>1379</v>
      </c>
      <c r="F306" s="253">
        <v>4529</v>
      </c>
      <c r="G306" s="201">
        <v>20542</v>
      </c>
      <c r="H306" s="201">
        <v>2003</v>
      </c>
      <c r="I306" s="216">
        <v>387850.87</v>
      </c>
      <c r="J306" s="214">
        <v>0</v>
      </c>
      <c r="K306" s="170">
        <v>617469.22999999963</v>
      </c>
      <c r="L306" s="207">
        <v>1.24</v>
      </c>
      <c r="M306" s="212">
        <v>4327</v>
      </c>
      <c r="N306" s="212">
        <v>170921</v>
      </c>
      <c r="O306" s="171">
        <v>955</v>
      </c>
      <c r="P306" s="271" t="str">
        <f>IFERROR(VLOOKUP(Tabela1[[#This Row],[TAG]],#REF!,14,FALSE),"")</f>
        <v/>
      </c>
      <c r="Q306" s="204" t="e">
        <f t="shared" si="477"/>
        <v>#VALUE!</v>
      </c>
      <c r="R306" s="204" t="e">
        <f t="shared" si="478"/>
        <v>#VALUE!</v>
      </c>
      <c r="S306" s="204" t="e">
        <f t="shared" si="479"/>
        <v>#VALUE!</v>
      </c>
      <c r="T306" s="204" t="e">
        <f t="shared" si="480"/>
        <v>#VALUE!</v>
      </c>
      <c r="U306" s="204" t="e">
        <f t="shared" si="481"/>
        <v>#VALUE!</v>
      </c>
      <c r="V306" s="204" t="e">
        <f t="shared" si="482"/>
        <v>#VALUE!</v>
      </c>
      <c r="W306" s="218">
        <v>827.09</v>
      </c>
      <c r="X306" s="218">
        <v>3468.5</v>
      </c>
      <c r="Y306" s="203">
        <v>0.1</v>
      </c>
      <c r="Z306" s="203">
        <f>IF(Tabela1[[#This Row],[Ano Aquisição]]=2023,0,IFERROR(VLOOKUP(H306,inflação!$F:$H,3,FALSE),""))</f>
        <v>1.1931</v>
      </c>
      <c r="AA306" s="203">
        <v>0.8</v>
      </c>
      <c r="AB306" s="202">
        <f t="shared" si="483"/>
        <v>-387850.87</v>
      </c>
      <c r="AC306" s="204" t="e">
        <f t="shared" si="484"/>
        <v>#VALUE!</v>
      </c>
      <c r="AD306" s="204" t="e">
        <f t="shared" si="485"/>
        <v>#VALUE!</v>
      </c>
      <c r="AE306" s="204" t="e">
        <f t="shared" si="486"/>
        <v>#VALUE!</v>
      </c>
      <c r="AF306" s="204" t="e">
        <f t="shared" si="487"/>
        <v>#VALUE!</v>
      </c>
      <c r="AG306" s="204" t="e">
        <f t="shared" si="488"/>
        <v>#VALUE!</v>
      </c>
      <c r="AH306" s="204" t="e">
        <f t="shared" si="489"/>
        <v>#VALUE!</v>
      </c>
      <c r="AI306" s="204" t="e">
        <f t="shared" si="490"/>
        <v>#VALUE!</v>
      </c>
      <c r="AJ306" s="205">
        <f t="shared" si="491"/>
        <v>-850595.74299700011</v>
      </c>
      <c r="AK306" s="204" t="e">
        <f t="shared" si="492"/>
        <v>#VALUE!</v>
      </c>
      <c r="AL306" s="204" t="e">
        <f t="shared" si="493"/>
        <v>#VALUE!</v>
      </c>
      <c r="AM306" s="204" t="e">
        <f t="shared" si="494"/>
        <v>#VALUE!</v>
      </c>
      <c r="AN306" s="204" t="e">
        <f t="shared" si="495"/>
        <v>#VALUE!</v>
      </c>
      <c r="AO306" s="204" t="e">
        <f t="shared" si="496"/>
        <v>#VALUE!</v>
      </c>
      <c r="AP306" s="204" t="e">
        <f t="shared" si="497"/>
        <v>#VALUE!</v>
      </c>
      <c r="AQ306" s="204" t="e">
        <f t="shared" si="498"/>
        <v>#VALUE!</v>
      </c>
      <c r="AR306" s="206" t="e">
        <f t="shared" si="499"/>
        <v>#VALUE!</v>
      </c>
      <c r="AS306" s="170" t="e">
        <f t="shared" si="500"/>
        <v>#VALUE!</v>
      </c>
      <c r="AT306" s="170" t="e">
        <f t="shared" si="501"/>
        <v>#VALUE!</v>
      </c>
      <c r="AU306" s="207" t="e">
        <f t="shared" si="502"/>
        <v>#VALUE!</v>
      </c>
      <c r="AV306" s="208" t="e">
        <f t="shared" si="503"/>
        <v>#VALUE!</v>
      </c>
      <c r="AW306" s="201" t="str">
        <f t="shared" si="504"/>
        <v>Fase de Degradação</v>
      </c>
      <c r="AX306" s="253" t="e">
        <f>VLOOKUP(D306,#REF!,5,FALSE)</f>
        <v>#REF!</v>
      </c>
      <c r="AY306" s="201"/>
      <c r="AZ306" s="273" t="s">
        <v>1224</v>
      </c>
      <c r="BB306">
        <f>IFERROR(VLOOKUP(Tabela1[[#This Row],[Denominação]],[10]Planilha1!$A:$B,2,FALSE),"")</f>
        <v>617469.22999999963</v>
      </c>
    </row>
    <row r="307" spans="1:59" ht="15" hidden="1" customHeight="1" x14ac:dyDescent="0.3">
      <c r="A307" s="268">
        <v>306</v>
      </c>
      <c r="B307" s="171" t="s">
        <v>367</v>
      </c>
      <c r="C307" s="209" t="s">
        <v>188</v>
      </c>
      <c r="D307" s="171">
        <v>10005938</v>
      </c>
      <c r="E307" s="253" t="s">
        <v>1380</v>
      </c>
      <c r="F307" s="210">
        <v>4529</v>
      </c>
      <c r="G307" s="171">
        <v>41547</v>
      </c>
      <c r="H307" s="171">
        <v>2012</v>
      </c>
      <c r="I307" s="213">
        <v>254774.97</v>
      </c>
      <c r="J307" s="213">
        <v>78838</v>
      </c>
      <c r="K307" s="170">
        <v>1085906.5599999996</v>
      </c>
      <c r="L307" s="215">
        <v>1.04</v>
      </c>
      <c r="M307" s="212">
        <v>4605</v>
      </c>
      <c r="N307" s="212">
        <v>95057</v>
      </c>
      <c r="O307" s="171">
        <v>948</v>
      </c>
      <c r="P307" s="271" t="str">
        <f>IFERROR(VLOOKUP(Tabela1[[#This Row],[TAG]],#REF!,14,FALSE),"")</f>
        <v/>
      </c>
      <c r="Q307" s="204" t="e">
        <f>P307+P307</f>
        <v>#VALUE!</v>
      </c>
      <c r="R307" s="204" t="e">
        <f t="shared" si="478"/>
        <v>#VALUE!</v>
      </c>
      <c r="S307" s="204" t="e">
        <f t="shared" si="479"/>
        <v>#VALUE!</v>
      </c>
      <c r="T307" s="204" t="e">
        <f t="shared" si="480"/>
        <v>#VALUE!</v>
      </c>
      <c r="U307" s="204" t="e">
        <f t="shared" si="481"/>
        <v>#VALUE!</v>
      </c>
      <c r="V307" s="204" t="e">
        <f t="shared" si="482"/>
        <v>#VALUE!</v>
      </c>
      <c r="W307" s="218">
        <v>935.09</v>
      </c>
      <c r="X307" s="218">
        <v>3394.82</v>
      </c>
      <c r="Y307" s="203">
        <v>0.1</v>
      </c>
      <c r="Z307" s="203">
        <f>IF(Tabela1[[#This Row],[Ano Aquisição]]=2023,0,IFERROR(VLOOKUP(H307,inflação!$F:$H,3,FALSE),""))</f>
        <v>0.66500000000000004</v>
      </c>
      <c r="AA307" s="203">
        <v>0.8</v>
      </c>
      <c r="AB307" s="202">
        <f t="shared" si="483"/>
        <v>-254774.97</v>
      </c>
      <c r="AC307" s="204" t="e">
        <f t="shared" si="484"/>
        <v>#VALUE!</v>
      </c>
      <c r="AD307" s="204" t="e">
        <f t="shared" si="485"/>
        <v>#VALUE!</v>
      </c>
      <c r="AE307" s="204" t="e">
        <f t="shared" si="486"/>
        <v>#VALUE!</v>
      </c>
      <c r="AF307" s="204" t="e">
        <f t="shared" si="487"/>
        <v>#VALUE!</v>
      </c>
      <c r="AG307" s="204" t="e">
        <f t="shared" si="488"/>
        <v>#VALUE!</v>
      </c>
      <c r="AH307" s="204" t="e">
        <f t="shared" si="489"/>
        <v>#VALUE!</v>
      </c>
      <c r="AI307" s="204" t="e">
        <f t="shared" si="490"/>
        <v>#VALUE!</v>
      </c>
      <c r="AJ307" s="205">
        <f t="shared" si="491"/>
        <v>-424200.32504999998</v>
      </c>
      <c r="AK307" s="204" t="e">
        <f t="shared" si="492"/>
        <v>#VALUE!</v>
      </c>
      <c r="AL307" s="204" t="e">
        <f t="shared" si="493"/>
        <v>#VALUE!</v>
      </c>
      <c r="AM307" s="204" t="e">
        <f t="shared" si="494"/>
        <v>#VALUE!</v>
      </c>
      <c r="AN307" s="204" t="e">
        <f t="shared" si="495"/>
        <v>#VALUE!</v>
      </c>
      <c r="AO307" s="204" t="e">
        <f t="shared" si="496"/>
        <v>#VALUE!</v>
      </c>
      <c r="AP307" s="204" t="e">
        <f t="shared" si="497"/>
        <v>#VALUE!</v>
      </c>
      <c r="AQ307" s="204" t="e">
        <f t="shared" si="498"/>
        <v>#VALUE!</v>
      </c>
      <c r="AR307" s="206" t="e">
        <f t="shared" si="499"/>
        <v>#VALUE!</v>
      </c>
      <c r="AS307" s="170" t="e">
        <f t="shared" si="500"/>
        <v>#VALUE!</v>
      </c>
      <c r="AT307" s="170" t="e">
        <f t="shared" si="501"/>
        <v>#VALUE!</v>
      </c>
      <c r="AU307" s="207" t="e">
        <f t="shared" si="502"/>
        <v>#VALUE!</v>
      </c>
      <c r="AV307" s="208" t="e">
        <f t="shared" si="503"/>
        <v>#VALUE!</v>
      </c>
      <c r="AW307" s="201" t="str">
        <f t="shared" si="504"/>
        <v>Fase de Vida Útil</v>
      </c>
      <c r="AX307" s="253" t="e">
        <f>VLOOKUP(D307,#REF!,5,FALSE)</f>
        <v>#REF!</v>
      </c>
      <c r="AY307" s="201"/>
      <c r="AZ307" s="273" t="s">
        <v>1224</v>
      </c>
      <c r="BB307">
        <f>IFERROR(VLOOKUP(Tabela1[[#This Row],[Denominação]],[10]Planilha1!$A:$B,2,FALSE),"")</f>
        <v>1085906.5599999996</v>
      </c>
    </row>
    <row r="308" spans="1:59" ht="15" hidden="1" customHeight="1" x14ac:dyDescent="0.3">
      <c r="A308" s="253">
        <v>307</v>
      </c>
      <c r="B308" s="201" t="s">
        <v>785</v>
      </c>
      <c r="C308" s="211" t="s">
        <v>786</v>
      </c>
      <c r="D308" s="201">
        <v>10005939</v>
      </c>
      <c r="E308" s="253" t="s">
        <v>1381</v>
      </c>
      <c r="F308" s="253">
        <v>4531</v>
      </c>
      <c r="G308" s="201">
        <v>41566</v>
      </c>
      <c r="H308" s="201">
        <v>2012</v>
      </c>
      <c r="I308" s="216">
        <v>295200.25</v>
      </c>
      <c r="J308" s="213">
        <v>0</v>
      </c>
      <c r="K308" s="170">
        <v>640313.63</v>
      </c>
      <c r="L308" s="207">
        <v>1.34</v>
      </c>
      <c r="M308" s="212">
        <v>5166</v>
      </c>
      <c r="N308" s="212">
        <v>95248</v>
      </c>
      <c r="O308" s="171">
        <v>283</v>
      </c>
      <c r="P308" s="271" t="str">
        <f>IFERROR(VLOOKUP(Tabela1[[#This Row],[TAG]],#REF!,14,FALSE),"")</f>
        <v/>
      </c>
      <c r="Q308" s="262" t="e">
        <f t="shared" si="477"/>
        <v>#VALUE!</v>
      </c>
      <c r="R308" s="262" t="e">
        <f t="shared" si="478"/>
        <v>#VALUE!</v>
      </c>
      <c r="S308" s="262" t="e">
        <f t="shared" si="479"/>
        <v>#VALUE!</v>
      </c>
      <c r="T308" s="262" t="e">
        <f t="shared" si="480"/>
        <v>#VALUE!</v>
      </c>
      <c r="U308" s="262" t="e">
        <f t="shared" si="481"/>
        <v>#VALUE!</v>
      </c>
      <c r="V308" s="262" t="e">
        <f t="shared" si="482"/>
        <v>#VALUE!</v>
      </c>
      <c r="W308" s="218">
        <v>810.42</v>
      </c>
      <c r="X308" s="218">
        <v>1536.92</v>
      </c>
      <c r="Y308" s="203">
        <v>0.1</v>
      </c>
      <c r="Z308" s="203">
        <f>IF(Tabela1[[#This Row],[Ano Aquisição]]=2023,0,IFERROR(VLOOKUP(H308,inflação!$F:$H,3,FALSE),""))</f>
        <v>0.66500000000000004</v>
      </c>
      <c r="AA308" s="203">
        <v>0.8</v>
      </c>
      <c r="AB308" s="202">
        <f t="shared" si="483"/>
        <v>-295200.25</v>
      </c>
      <c r="AC308" s="204" t="e">
        <f t="shared" si="484"/>
        <v>#VALUE!</v>
      </c>
      <c r="AD308" s="204" t="e">
        <f t="shared" si="485"/>
        <v>#VALUE!</v>
      </c>
      <c r="AE308" s="204" t="e">
        <f t="shared" si="486"/>
        <v>#VALUE!</v>
      </c>
      <c r="AF308" s="204" t="e">
        <f t="shared" si="487"/>
        <v>#VALUE!</v>
      </c>
      <c r="AG308" s="204" t="e">
        <f t="shared" si="488"/>
        <v>#VALUE!</v>
      </c>
      <c r="AH308" s="204" t="e">
        <f t="shared" si="489"/>
        <v>#VALUE!</v>
      </c>
      <c r="AI308" s="204" t="e">
        <f t="shared" si="490"/>
        <v>#VALUE!</v>
      </c>
      <c r="AJ308" s="205">
        <f t="shared" si="491"/>
        <v>-491508.41625000001</v>
      </c>
      <c r="AK308" s="204" t="e">
        <f t="shared" si="492"/>
        <v>#VALUE!</v>
      </c>
      <c r="AL308" s="204" t="e">
        <f t="shared" si="493"/>
        <v>#VALUE!</v>
      </c>
      <c r="AM308" s="204" t="e">
        <f t="shared" si="494"/>
        <v>#VALUE!</v>
      </c>
      <c r="AN308" s="204" t="e">
        <f t="shared" si="495"/>
        <v>#VALUE!</v>
      </c>
      <c r="AO308" s="204" t="e">
        <f t="shared" si="496"/>
        <v>#VALUE!</v>
      </c>
      <c r="AP308" s="204" t="e">
        <f t="shared" si="497"/>
        <v>#VALUE!</v>
      </c>
      <c r="AQ308" s="204" t="e">
        <f t="shared" si="498"/>
        <v>#VALUE!</v>
      </c>
      <c r="AR308" s="206" t="e">
        <f t="shared" si="499"/>
        <v>#VALUE!</v>
      </c>
      <c r="AS308" s="170" t="e">
        <f t="shared" si="500"/>
        <v>#VALUE!</v>
      </c>
      <c r="AT308" s="170" t="e">
        <f t="shared" si="501"/>
        <v>#VALUE!</v>
      </c>
      <c r="AU308" s="207" t="e">
        <f t="shared" si="502"/>
        <v>#VALUE!</v>
      </c>
      <c r="AV308" s="208" t="e">
        <f t="shared" si="503"/>
        <v>#VALUE!</v>
      </c>
      <c r="AW308" s="201" t="str">
        <f t="shared" si="504"/>
        <v>Fase de Degradação</v>
      </c>
      <c r="AX308" s="253" t="e">
        <f>VLOOKUP(D308,#REF!,5,FALSE)</f>
        <v>#REF!</v>
      </c>
      <c r="AY308" s="201"/>
      <c r="AZ308" s="273" t="s">
        <v>1224</v>
      </c>
      <c r="BB308">
        <f>IFERROR(VLOOKUP(Tabela1[[#This Row],[Denominação]],[10]Planilha1!$A:$B,2,FALSE),"")</f>
        <v>640313.63</v>
      </c>
    </row>
    <row r="309" spans="1:59" ht="15" hidden="1" customHeight="1" x14ac:dyDescent="0.3">
      <c r="A309" s="268">
        <v>308</v>
      </c>
      <c r="B309" s="201" t="s">
        <v>787</v>
      </c>
      <c r="C309" s="211" t="s">
        <v>788</v>
      </c>
      <c r="D309" s="201">
        <v>10006186</v>
      </c>
      <c r="E309" s="253" t="s">
        <v>1382</v>
      </c>
      <c r="F309" s="253">
        <v>4531</v>
      </c>
      <c r="G309" s="171">
        <v>43164</v>
      </c>
      <c r="H309" s="201">
        <v>2013</v>
      </c>
      <c r="I309" s="216">
        <v>605754.17000000004</v>
      </c>
      <c r="J309" s="213">
        <v>55443</v>
      </c>
      <c r="K309" s="170">
        <v>388679.87000000017</v>
      </c>
      <c r="L309" s="207">
        <v>1.32</v>
      </c>
      <c r="M309" s="212">
        <v>5166</v>
      </c>
      <c r="N309" s="212">
        <v>88127</v>
      </c>
      <c r="O309" s="171">
        <v>288</v>
      </c>
      <c r="P309" s="271" t="str">
        <f>IFERROR(VLOOKUP(Tabela1[[#This Row],[TAG]],#REF!,14,FALSE),"")</f>
        <v/>
      </c>
      <c r="Q309" s="262" t="e">
        <f t="shared" si="477"/>
        <v>#VALUE!</v>
      </c>
      <c r="R309" s="262" t="e">
        <f t="shared" si="478"/>
        <v>#VALUE!</v>
      </c>
      <c r="S309" s="262" t="e">
        <f t="shared" si="479"/>
        <v>#VALUE!</v>
      </c>
      <c r="T309" s="262" t="e">
        <f t="shared" si="480"/>
        <v>#VALUE!</v>
      </c>
      <c r="U309" s="262" t="e">
        <f t="shared" si="481"/>
        <v>#VALUE!</v>
      </c>
      <c r="V309" s="262" t="e">
        <f t="shared" si="482"/>
        <v>#VALUE!</v>
      </c>
      <c r="W309" s="218">
        <v>857.71</v>
      </c>
      <c r="X309" s="218">
        <v>1382.09</v>
      </c>
      <c r="Y309" s="203">
        <v>0.1</v>
      </c>
      <c r="Z309" s="203">
        <f>IF(Tabela1[[#This Row],[Ano Aquisição]]=2023,0,IFERROR(VLOOKUP(H309,inflação!$F:$H,3,FALSE),""))</f>
        <v>0.60660000000000003</v>
      </c>
      <c r="AA309" s="203">
        <v>0.8</v>
      </c>
      <c r="AB309" s="202">
        <f t="shared" si="483"/>
        <v>-605754.17000000004</v>
      </c>
      <c r="AC309" s="204" t="e">
        <f t="shared" si="484"/>
        <v>#VALUE!</v>
      </c>
      <c r="AD309" s="204" t="e">
        <f t="shared" si="485"/>
        <v>#VALUE!</v>
      </c>
      <c r="AE309" s="204" t="e">
        <f t="shared" si="486"/>
        <v>#VALUE!</v>
      </c>
      <c r="AF309" s="204" t="e">
        <f t="shared" si="487"/>
        <v>#VALUE!</v>
      </c>
      <c r="AG309" s="204" t="e">
        <f t="shared" si="488"/>
        <v>#VALUE!</v>
      </c>
      <c r="AH309" s="204" t="e">
        <f t="shared" si="489"/>
        <v>#VALUE!</v>
      </c>
      <c r="AI309" s="204" t="e">
        <f t="shared" si="490"/>
        <v>#VALUE!</v>
      </c>
      <c r="AJ309" s="205">
        <f t="shared" si="491"/>
        <v>-973204.64952200011</v>
      </c>
      <c r="AK309" s="204" t="e">
        <f t="shared" si="492"/>
        <v>#VALUE!</v>
      </c>
      <c r="AL309" s="204" t="e">
        <f t="shared" si="493"/>
        <v>#VALUE!</v>
      </c>
      <c r="AM309" s="204" t="e">
        <f t="shared" si="494"/>
        <v>#VALUE!</v>
      </c>
      <c r="AN309" s="204" t="e">
        <f t="shared" si="495"/>
        <v>#VALUE!</v>
      </c>
      <c r="AO309" s="204" t="e">
        <f t="shared" si="496"/>
        <v>#VALUE!</v>
      </c>
      <c r="AP309" s="204" t="e">
        <f t="shared" si="497"/>
        <v>#VALUE!</v>
      </c>
      <c r="AQ309" s="204" t="e">
        <f t="shared" si="498"/>
        <v>#VALUE!</v>
      </c>
      <c r="AR309" s="206" t="e">
        <f t="shared" si="499"/>
        <v>#VALUE!</v>
      </c>
      <c r="AS309" s="170" t="e">
        <f t="shared" si="500"/>
        <v>#VALUE!</v>
      </c>
      <c r="AT309" s="170" t="e">
        <f t="shared" si="501"/>
        <v>#VALUE!</v>
      </c>
      <c r="AU309" s="207" t="e">
        <f t="shared" si="502"/>
        <v>#VALUE!</v>
      </c>
      <c r="AV309" s="208" t="e">
        <f t="shared" si="503"/>
        <v>#VALUE!</v>
      </c>
      <c r="AW309" s="201" t="str">
        <f t="shared" si="504"/>
        <v>Fase de Degradação</v>
      </c>
      <c r="AX309" s="253" t="e">
        <f>VLOOKUP(D309,#REF!,5,FALSE)</f>
        <v>#REF!</v>
      </c>
      <c r="AY309" s="201"/>
      <c r="AZ309" s="273" t="s">
        <v>1224</v>
      </c>
      <c r="BB309">
        <f>IFERROR(VLOOKUP(Tabela1[[#This Row],[Denominação]],[10]Planilha1!$A:$B,2,FALSE),"")</f>
        <v>388679.87000000017</v>
      </c>
    </row>
    <row r="310" spans="1:59" ht="15" hidden="1" customHeight="1" x14ac:dyDescent="0.3">
      <c r="A310" s="253">
        <v>309</v>
      </c>
      <c r="B310" s="201" t="s">
        <v>789</v>
      </c>
      <c r="C310" s="211" t="s">
        <v>790</v>
      </c>
      <c r="D310" s="201">
        <v>10006628</v>
      </c>
      <c r="E310" s="253" t="s">
        <v>1383</v>
      </c>
      <c r="F310" s="253">
        <v>4529</v>
      </c>
      <c r="G310" s="201">
        <v>51604</v>
      </c>
      <c r="H310" s="201">
        <v>2019</v>
      </c>
      <c r="I310" s="216">
        <v>738334.15</v>
      </c>
      <c r="J310" s="214">
        <v>512033</v>
      </c>
      <c r="K310" s="170">
        <v>175693.14</v>
      </c>
      <c r="L310" s="207">
        <v>0.87</v>
      </c>
      <c r="M310" s="212">
        <v>4327</v>
      </c>
      <c r="N310" s="212">
        <v>25155</v>
      </c>
      <c r="O310" s="171">
        <v>180</v>
      </c>
      <c r="P310" s="271" t="str">
        <f>IFERROR(VLOOKUP(Tabela1[[#This Row],[TAG]],#REF!,14,FALSE),"")</f>
        <v/>
      </c>
      <c r="Q310" s="204" t="e">
        <f t="shared" si="477"/>
        <v>#VALUE!</v>
      </c>
      <c r="R310" s="204" t="e">
        <f t="shared" si="478"/>
        <v>#VALUE!</v>
      </c>
      <c r="S310" s="204" t="e">
        <f t="shared" si="479"/>
        <v>#VALUE!</v>
      </c>
      <c r="T310" s="204" t="e">
        <f t="shared" si="480"/>
        <v>#VALUE!</v>
      </c>
      <c r="U310" s="204" t="e">
        <f t="shared" si="481"/>
        <v>#VALUE!</v>
      </c>
      <c r="V310" s="204" t="e">
        <f t="shared" si="482"/>
        <v>#VALUE!</v>
      </c>
      <c r="W310" s="218">
        <v>1009.65</v>
      </c>
      <c r="X310" s="218">
        <v>2903.04</v>
      </c>
      <c r="Y310" s="203">
        <v>0.1</v>
      </c>
      <c r="Z310" s="203">
        <f>IF(Tabela1[[#This Row],[Ano Aquisição]]=2023,0,IFERROR(VLOOKUP(H310,inflação!$F:$H,3,FALSE),""))</f>
        <v>0.24679999999999999</v>
      </c>
      <c r="AA310" s="203">
        <v>0.8</v>
      </c>
      <c r="AB310" s="202">
        <f t="shared" si="483"/>
        <v>-738334.15</v>
      </c>
      <c r="AC310" s="204" t="e">
        <f t="shared" si="484"/>
        <v>#VALUE!</v>
      </c>
      <c r="AD310" s="204" t="e">
        <f t="shared" si="485"/>
        <v>#VALUE!</v>
      </c>
      <c r="AE310" s="204" t="e">
        <f t="shared" si="486"/>
        <v>#VALUE!</v>
      </c>
      <c r="AF310" s="204" t="e">
        <f t="shared" si="487"/>
        <v>#VALUE!</v>
      </c>
      <c r="AG310" s="204" t="e">
        <f t="shared" si="488"/>
        <v>#VALUE!</v>
      </c>
      <c r="AH310" s="204" t="e">
        <f t="shared" si="489"/>
        <v>#VALUE!</v>
      </c>
      <c r="AI310" s="204" t="e">
        <f t="shared" si="490"/>
        <v>#VALUE!</v>
      </c>
      <c r="AJ310" s="205">
        <f t="shared" si="491"/>
        <v>-920555.01821999997</v>
      </c>
      <c r="AK310" s="204" t="e">
        <f t="shared" si="492"/>
        <v>#VALUE!</v>
      </c>
      <c r="AL310" s="204" t="e">
        <f t="shared" si="493"/>
        <v>#VALUE!</v>
      </c>
      <c r="AM310" s="204" t="e">
        <f t="shared" si="494"/>
        <v>#VALUE!</v>
      </c>
      <c r="AN310" s="204" t="e">
        <f t="shared" si="495"/>
        <v>#VALUE!</v>
      </c>
      <c r="AO310" s="204" t="e">
        <f t="shared" si="496"/>
        <v>#VALUE!</v>
      </c>
      <c r="AP310" s="204" t="e">
        <f t="shared" si="497"/>
        <v>#VALUE!</v>
      </c>
      <c r="AQ310" s="204" t="e">
        <f t="shared" si="498"/>
        <v>#VALUE!</v>
      </c>
      <c r="AR310" s="206" t="e">
        <f t="shared" si="499"/>
        <v>#VALUE!</v>
      </c>
      <c r="AS310" s="170" t="e">
        <f t="shared" si="500"/>
        <v>#VALUE!</v>
      </c>
      <c r="AT310" s="170" t="e">
        <f t="shared" si="501"/>
        <v>#VALUE!</v>
      </c>
      <c r="AU310" s="207" t="e">
        <f t="shared" si="502"/>
        <v>#VALUE!</v>
      </c>
      <c r="AV310" s="208" t="e">
        <f t="shared" si="503"/>
        <v>#VALUE!</v>
      </c>
      <c r="AW310" s="201" t="str">
        <f t="shared" si="504"/>
        <v>Confiabilidade em Crescimento</v>
      </c>
      <c r="AX310" s="253" t="e">
        <f>VLOOKUP(D310,#REF!,5,FALSE)</f>
        <v>#REF!</v>
      </c>
      <c r="AY310" s="201"/>
      <c r="AZ310" s="273" t="s">
        <v>1224</v>
      </c>
      <c r="BB310">
        <f>IFERROR(VLOOKUP(Tabela1[[#This Row],[Denominação]],[10]Planilha1!$A:$B,2,FALSE),"")</f>
        <v>175693.14</v>
      </c>
    </row>
    <row r="311" spans="1:59" ht="15" hidden="1" customHeight="1" x14ac:dyDescent="0.3">
      <c r="A311" s="268">
        <v>310</v>
      </c>
      <c r="B311" s="171" t="s">
        <v>386</v>
      </c>
      <c r="C311" s="209" t="s">
        <v>207</v>
      </c>
      <c r="D311" s="171">
        <v>10000330</v>
      </c>
      <c r="E311" s="253" t="s">
        <v>1384</v>
      </c>
      <c r="F311" s="210">
        <v>3342</v>
      </c>
      <c r="G311" s="171">
        <v>2900101400</v>
      </c>
      <c r="H311" s="171">
        <v>1990</v>
      </c>
      <c r="I311" s="213">
        <v>1308205.1299999999</v>
      </c>
      <c r="J311" s="213">
        <v>284879</v>
      </c>
      <c r="K311" s="170">
        <v>2171727.7099999981</v>
      </c>
      <c r="L311" s="207">
        <v>1.59</v>
      </c>
      <c r="M311" s="212">
        <v>4800</v>
      </c>
      <c r="N311" s="212">
        <v>195818</v>
      </c>
      <c r="O311" s="171">
        <v>1181</v>
      </c>
      <c r="P311" s="271" t="str">
        <f>IFERROR(VLOOKUP(Tabela1[[#This Row],[TAG]],#REF!,14,FALSE),"")</f>
        <v/>
      </c>
      <c r="Q311" s="204" t="e">
        <f t="shared" si="477"/>
        <v>#VALUE!</v>
      </c>
      <c r="R311" s="204" t="e">
        <f t="shared" si="478"/>
        <v>#VALUE!</v>
      </c>
      <c r="S311" s="204" t="e">
        <f t="shared" si="479"/>
        <v>#VALUE!</v>
      </c>
      <c r="T311" s="204" t="e">
        <f t="shared" si="480"/>
        <v>#VALUE!</v>
      </c>
      <c r="U311" s="204" t="e">
        <f t="shared" si="481"/>
        <v>#VALUE!</v>
      </c>
      <c r="V311" s="204" t="e">
        <f t="shared" si="482"/>
        <v>#VALUE!</v>
      </c>
      <c r="W311" s="218">
        <v>525.30999999999995</v>
      </c>
      <c r="X311" s="218">
        <v>3918.67</v>
      </c>
      <c r="Y311" s="203">
        <v>0.1</v>
      </c>
      <c r="Z311" s="203">
        <f>IF(Tabela1[[#This Row],[Ano Aquisição]]=2023,0,IFERROR(VLOOKUP(H311,inflação!$F:$H,3,FALSE),""))</f>
        <v>2.0894076923076925</v>
      </c>
      <c r="AA311" s="203">
        <v>0.8</v>
      </c>
      <c r="AB311" s="202">
        <f t="shared" si="483"/>
        <v>-1308205.1299999999</v>
      </c>
      <c r="AC311" s="204" t="e">
        <f t="shared" si="484"/>
        <v>#VALUE!</v>
      </c>
      <c r="AD311" s="204" t="e">
        <f t="shared" si="485"/>
        <v>#VALUE!</v>
      </c>
      <c r="AE311" s="204" t="e">
        <f t="shared" si="486"/>
        <v>#VALUE!</v>
      </c>
      <c r="AF311" s="204" t="e">
        <f t="shared" si="487"/>
        <v>#VALUE!</v>
      </c>
      <c r="AG311" s="204" t="e">
        <f t="shared" si="488"/>
        <v>#VALUE!</v>
      </c>
      <c r="AH311" s="204" t="e">
        <f t="shared" si="489"/>
        <v>#VALUE!</v>
      </c>
      <c r="AI311" s="204" t="e">
        <f t="shared" si="490"/>
        <v>#VALUE!</v>
      </c>
      <c r="AJ311" s="205">
        <f t="shared" si="491"/>
        <v>-4041578.9917383846</v>
      </c>
      <c r="AK311" s="204" t="e">
        <f t="shared" si="492"/>
        <v>#VALUE!</v>
      </c>
      <c r="AL311" s="204" t="e">
        <f t="shared" si="493"/>
        <v>#VALUE!</v>
      </c>
      <c r="AM311" s="204" t="e">
        <f t="shared" si="494"/>
        <v>#VALUE!</v>
      </c>
      <c r="AN311" s="204" t="e">
        <f t="shared" si="495"/>
        <v>#VALUE!</v>
      </c>
      <c r="AO311" s="204" t="e">
        <f t="shared" si="496"/>
        <v>#VALUE!</v>
      </c>
      <c r="AP311" s="204" t="e">
        <f t="shared" si="497"/>
        <v>#VALUE!</v>
      </c>
      <c r="AQ311" s="204" t="e">
        <f t="shared" si="498"/>
        <v>#VALUE!</v>
      </c>
      <c r="AR311" s="206" t="e">
        <f t="shared" si="499"/>
        <v>#VALUE!</v>
      </c>
      <c r="AS311" s="170" t="e">
        <f t="shared" si="500"/>
        <v>#VALUE!</v>
      </c>
      <c r="AT311" s="170" t="e">
        <f t="shared" si="501"/>
        <v>#VALUE!</v>
      </c>
      <c r="AU311" s="207" t="e">
        <f t="shared" si="502"/>
        <v>#VALUE!</v>
      </c>
      <c r="AV311" s="208" t="e">
        <f t="shared" si="503"/>
        <v>#VALUE!</v>
      </c>
      <c r="AW311" s="201" t="str">
        <f t="shared" si="504"/>
        <v>Fase de Degradação</v>
      </c>
      <c r="AX311" s="253" t="e">
        <f>VLOOKUP(D311,#REF!,5,FALSE)</f>
        <v>#REF!</v>
      </c>
      <c r="AY311" s="201"/>
      <c r="AZ311" s="273" t="s">
        <v>1224</v>
      </c>
      <c r="BB311">
        <f>IFERROR(VLOOKUP(Tabela1[[#This Row],[Denominação]],[10]Planilha1!$A:$B,2,FALSE),"")</f>
        <v>2171727.7099999981</v>
      </c>
    </row>
    <row r="312" spans="1:59" ht="15" hidden="1" customHeight="1" x14ac:dyDescent="0.3">
      <c r="A312" s="253">
        <v>311</v>
      </c>
      <c r="B312" s="201" t="s">
        <v>1024</v>
      </c>
      <c r="C312" s="211" t="s">
        <v>1025</v>
      </c>
      <c r="D312" s="201">
        <v>10000336</v>
      </c>
      <c r="E312" s="253" t="s">
        <v>1385</v>
      </c>
      <c r="F312" s="253">
        <v>3342</v>
      </c>
      <c r="G312" s="201">
        <v>2900200204</v>
      </c>
      <c r="H312" s="201">
        <v>1991</v>
      </c>
      <c r="I312" s="216">
        <v>230904.08</v>
      </c>
      <c r="J312" s="214">
        <v>55079</v>
      </c>
      <c r="K312" s="170">
        <v>1855951.6099999971</v>
      </c>
      <c r="L312" s="207">
        <v>1.1399999999999999</v>
      </c>
      <c r="M312" s="212">
        <v>4800</v>
      </c>
      <c r="N312" s="212">
        <v>198511</v>
      </c>
      <c r="O312" s="171">
        <v>1071</v>
      </c>
      <c r="P312" s="271" t="str">
        <f>IFERROR(VLOOKUP(Tabela1[[#This Row],[TAG]],#REF!,14,FALSE),"")</f>
        <v/>
      </c>
      <c r="Q312" s="204" t="e">
        <f t="shared" si="477"/>
        <v>#VALUE!</v>
      </c>
      <c r="R312" s="204" t="e">
        <f t="shared" si="478"/>
        <v>#VALUE!</v>
      </c>
      <c r="S312" s="204" t="e">
        <f t="shared" si="479"/>
        <v>#VALUE!</v>
      </c>
      <c r="T312" s="204" t="e">
        <f t="shared" si="480"/>
        <v>#VALUE!</v>
      </c>
      <c r="U312" s="204" t="e">
        <f t="shared" si="481"/>
        <v>#VALUE!</v>
      </c>
      <c r="V312" s="204" t="e">
        <f t="shared" si="482"/>
        <v>#VALUE!</v>
      </c>
      <c r="W312" s="218">
        <v>563.17999999999995</v>
      </c>
      <c r="X312" s="218">
        <v>2279.94</v>
      </c>
      <c r="Y312" s="203">
        <v>0.1</v>
      </c>
      <c r="Z312" s="203">
        <f>IF(Tabela1[[#This Row],[Ano Aquisição]]=2023,0,IFERROR(VLOOKUP(H312,inflação!$F:$H,3,FALSE),""))</f>
        <v>2.0259230769230769</v>
      </c>
      <c r="AA312" s="203">
        <v>0.8</v>
      </c>
      <c r="AB312" s="202">
        <f t="shared" si="483"/>
        <v>-230904.08</v>
      </c>
      <c r="AC312" s="204" t="e">
        <f t="shared" si="484"/>
        <v>#VALUE!</v>
      </c>
      <c r="AD312" s="204" t="e">
        <f t="shared" si="485"/>
        <v>#VALUE!</v>
      </c>
      <c r="AE312" s="204" t="e">
        <f t="shared" si="486"/>
        <v>#VALUE!</v>
      </c>
      <c r="AF312" s="204" t="e">
        <f t="shared" si="487"/>
        <v>#VALUE!</v>
      </c>
      <c r="AG312" s="204" t="e">
        <f t="shared" si="488"/>
        <v>#VALUE!</v>
      </c>
      <c r="AH312" s="204" t="e">
        <f t="shared" si="489"/>
        <v>#VALUE!</v>
      </c>
      <c r="AI312" s="204" t="e">
        <f t="shared" si="490"/>
        <v>#VALUE!</v>
      </c>
      <c r="AJ312" s="205">
        <f t="shared" si="491"/>
        <v>-698697.98422769224</v>
      </c>
      <c r="AK312" s="204" t="e">
        <f t="shared" si="492"/>
        <v>#VALUE!</v>
      </c>
      <c r="AL312" s="204" t="e">
        <f t="shared" si="493"/>
        <v>#VALUE!</v>
      </c>
      <c r="AM312" s="204" t="e">
        <f t="shared" si="494"/>
        <v>#VALUE!</v>
      </c>
      <c r="AN312" s="204" t="e">
        <f t="shared" si="495"/>
        <v>#VALUE!</v>
      </c>
      <c r="AO312" s="204" t="e">
        <f t="shared" si="496"/>
        <v>#VALUE!</v>
      </c>
      <c r="AP312" s="204" t="e">
        <f t="shared" si="497"/>
        <v>#VALUE!</v>
      </c>
      <c r="AQ312" s="204" t="e">
        <f t="shared" si="498"/>
        <v>#VALUE!</v>
      </c>
      <c r="AR312" s="206" t="e">
        <f t="shared" si="499"/>
        <v>#VALUE!</v>
      </c>
      <c r="AS312" s="170" t="e">
        <f t="shared" si="500"/>
        <v>#VALUE!</v>
      </c>
      <c r="AT312" s="170" t="e">
        <f t="shared" si="501"/>
        <v>#VALUE!</v>
      </c>
      <c r="AU312" s="207" t="e">
        <f t="shared" si="502"/>
        <v>#VALUE!</v>
      </c>
      <c r="AV312" s="208" t="e">
        <f t="shared" si="503"/>
        <v>#VALUE!</v>
      </c>
      <c r="AW312" s="201" t="str">
        <f t="shared" si="504"/>
        <v>Fase de Degradação</v>
      </c>
      <c r="AX312" s="253" t="e">
        <f>VLOOKUP(D312,#REF!,5,FALSE)</f>
        <v>#REF!</v>
      </c>
      <c r="AY312" s="201"/>
      <c r="AZ312" s="273" t="s">
        <v>1224</v>
      </c>
      <c r="BB312">
        <f>IFERROR(VLOOKUP(Tabela1[[#This Row],[Denominação]],[10]Planilha1!$A:$B,2,FALSE),"")</f>
        <v>1855951.6099999971</v>
      </c>
    </row>
    <row r="313" spans="1:59" ht="15" hidden="1" customHeight="1" x14ac:dyDescent="0.3">
      <c r="A313" s="268">
        <v>312</v>
      </c>
      <c r="B313" s="171" t="s">
        <v>665</v>
      </c>
      <c r="C313" s="209" t="s">
        <v>666</v>
      </c>
      <c r="D313" s="171">
        <v>10001677</v>
      </c>
      <c r="E313" s="253" t="s">
        <v>1386</v>
      </c>
      <c r="F313" s="210">
        <v>2514</v>
      </c>
      <c r="G313" s="171">
        <v>20721</v>
      </c>
      <c r="H313" s="171">
        <v>2004</v>
      </c>
      <c r="I313" s="213">
        <v>61946.05</v>
      </c>
      <c r="J313" s="213">
        <v>14628</v>
      </c>
      <c r="K313" s="170">
        <v>532183.64999999979</v>
      </c>
      <c r="L313" s="215">
        <v>0.96</v>
      </c>
      <c r="M313" s="320">
        <v>5116</v>
      </c>
      <c r="N313" s="212">
        <v>176142</v>
      </c>
      <c r="O313" s="171">
        <v>55</v>
      </c>
      <c r="P313" s="271" t="str">
        <f>IFERROR(VLOOKUP(Tabela1[[#This Row],[TAG]],#REF!,14,FALSE),"")</f>
        <v/>
      </c>
      <c r="Q313" s="204" t="e">
        <f t="shared" si="477"/>
        <v>#VALUE!</v>
      </c>
      <c r="R313" s="204" t="e">
        <f t="shared" si="478"/>
        <v>#VALUE!</v>
      </c>
      <c r="S313" s="204" t="e">
        <f t="shared" si="479"/>
        <v>#VALUE!</v>
      </c>
      <c r="T313" s="204" t="e">
        <f t="shared" si="480"/>
        <v>#VALUE!</v>
      </c>
      <c r="U313" s="204" t="e">
        <f t="shared" si="481"/>
        <v>#VALUE!</v>
      </c>
      <c r="V313" s="204" t="e">
        <f t="shared" si="482"/>
        <v>#VALUE!</v>
      </c>
      <c r="W313" s="304">
        <v>458.87</v>
      </c>
      <c r="X313" s="304">
        <v>2660.8272222222222</v>
      </c>
      <c r="Y313" s="203">
        <v>0.1</v>
      </c>
      <c r="Z313" s="203">
        <f>IF(Tabela1[[#This Row],[Ano Aquisição]]=2023,0,IFERROR(VLOOKUP(H313,inflação!$F:$H,3,FALSE),""))</f>
        <v>1.1001000000000001</v>
      </c>
      <c r="AA313" s="203">
        <v>0.8</v>
      </c>
      <c r="AB313" s="202">
        <f t="shared" si="483"/>
        <v>-61946.05</v>
      </c>
      <c r="AC313" s="204" t="e">
        <f t="shared" si="484"/>
        <v>#VALUE!</v>
      </c>
      <c r="AD313" s="204" t="e">
        <f t="shared" si="485"/>
        <v>#VALUE!</v>
      </c>
      <c r="AE313" s="204" t="e">
        <f t="shared" si="486"/>
        <v>#VALUE!</v>
      </c>
      <c r="AF313" s="204" t="e">
        <f t="shared" si="487"/>
        <v>#VALUE!</v>
      </c>
      <c r="AG313" s="204" t="e">
        <f t="shared" si="488"/>
        <v>#VALUE!</v>
      </c>
      <c r="AH313" s="204" t="e">
        <f t="shared" si="489"/>
        <v>#VALUE!</v>
      </c>
      <c r="AI313" s="204" t="e">
        <f t="shared" si="490"/>
        <v>#VALUE!</v>
      </c>
      <c r="AJ313" s="205">
        <f t="shared" si="491"/>
        <v>-130092.89960500003</v>
      </c>
      <c r="AK313" s="204" t="e">
        <f t="shared" si="492"/>
        <v>#VALUE!</v>
      </c>
      <c r="AL313" s="204" t="e">
        <f t="shared" si="493"/>
        <v>#VALUE!</v>
      </c>
      <c r="AM313" s="204" t="e">
        <f t="shared" si="494"/>
        <v>#VALUE!</v>
      </c>
      <c r="AN313" s="204" t="e">
        <f t="shared" si="495"/>
        <v>#VALUE!</v>
      </c>
      <c r="AO313" s="204" t="e">
        <f t="shared" si="496"/>
        <v>#VALUE!</v>
      </c>
      <c r="AP313" s="204" t="e">
        <f t="shared" si="497"/>
        <v>#VALUE!</v>
      </c>
      <c r="AQ313" s="204" t="e">
        <f t="shared" si="498"/>
        <v>#VALUE!</v>
      </c>
      <c r="AR313" s="206" t="e">
        <f t="shared" si="499"/>
        <v>#VALUE!</v>
      </c>
      <c r="AS313" s="170" t="e">
        <f t="shared" si="500"/>
        <v>#VALUE!</v>
      </c>
      <c r="AT313" s="170" t="e">
        <f t="shared" si="501"/>
        <v>#VALUE!</v>
      </c>
      <c r="AU313" s="207" t="e">
        <f t="shared" si="502"/>
        <v>#VALUE!</v>
      </c>
      <c r="AV313" s="208" t="e">
        <f t="shared" si="503"/>
        <v>#VALUE!</v>
      </c>
      <c r="AW313" s="201" t="str">
        <f t="shared" si="504"/>
        <v>Confiabilidade em Crescimento</v>
      </c>
      <c r="AX313" s="253" t="e">
        <f>VLOOKUP(D313,#REF!,5,FALSE)</f>
        <v>#REF!</v>
      </c>
      <c r="AY313" s="201"/>
      <c r="AZ313" s="273" t="s">
        <v>1224</v>
      </c>
      <c r="BB313">
        <f>IFERROR(VLOOKUP(Tabela1[[#This Row],[Denominação]],[10]Planilha1!$A:$B,2,FALSE),"")</f>
        <v>532183.64999999979</v>
      </c>
      <c r="BF313" s="219"/>
    </row>
    <row r="314" spans="1:59" ht="15" hidden="1" customHeight="1" x14ac:dyDescent="0.3">
      <c r="A314" s="253">
        <v>313</v>
      </c>
      <c r="B314" s="171" t="s">
        <v>584</v>
      </c>
      <c r="C314" s="209" t="s">
        <v>585</v>
      </c>
      <c r="D314" s="171">
        <v>10001678</v>
      </c>
      <c r="E314" s="253" t="s">
        <v>1387</v>
      </c>
      <c r="F314" s="210">
        <v>2514</v>
      </c>
      <c r="G314" s="171">
        <v>20720</v>
      </c>
      <c r="H314" s="171">
        <v>2004</v>
      </c>
      <c r="I314" s="213">
        <v>112121.09</v>
      </c>
      <c r="J314" s="213">
        <v>14968</v>
      </c>
      <c r="K314" s="170">
        <v>1584642.3299999991</v>
      </c>
      <c r="L314" s="215">
        <v>0.76</v>
      </c>
      <c r="M314" s="320">
        <v>5211</v>
      </c>
      <c r="N314" s="212">
        <v>198118</v>
      </c>
      <c r="O314" s="171">
        <v>445</v>
      </c>
      <c r="P314" s="271" t="str">
        <f>IFERROR(VLOOKUP(Tabela1[[#This Row],[TAG]],#REF!,14,FALSE),"")</f>
        <v/>
      </c>
      <c r="Q314" s="204" t="e">
        <f t="shared" si="477"/>
        <v>#VALUE!</v>
      </c>
      <c r="R314" s="204" t="e">
        <f t="shared" si="478"/>
        <v>#VALUE!</v>
      </c>
      <c r="S314" s="204" t="e">
        <f t="shared" si="479"/>
        <v>#VALUE!</v>
      </c>
      <c r="T314" s="204" t="e">
        <f t="shared" si="480"/>
        <v>#VALUE!</v>
      </c>
      <c r="U314" s="204" t="e">
        <f t="shared" si="481"/>
        <v>#VALUE!</v>
      </c>
      <c r="V314" s="204" t="e">
        <f t="shared" si="482"/>
        <v>#VALUE!</v>
      </c>
      <c r="W314" s="304">
        <v>542.22</v>
      </c>
      <c r="X314" s="304">
        <v>10591.948888888888</v>
      </c>
      <c r="Y314" s="203">
        <v>0.1</v>
      </c>
      <c r="Z314" s="203">
        <f>IF(Tabela1[[#This Row],[Ano Aquisição]]=2023,0,IFERROR(VLOOKUP(H314,inflação!$F:$H,3,FALSE),""))</f>
        <v>1.1001000000000001</v>
      </c>
      <c r="AA314" s="203">
        <v>0.8</v>
      </c>
      <c r="AB314" s="202">
        <f t="shared" si="483"/>
        <v>-112121.09</v>
      </c>
      <c r="AC314" s="204" t="e">
        <f t="shared" si="484"/>
        <v>#VALUE!</v>
      </c>
      <c r="AD314" s="204" t="e">
        <f t="shared" si="485"/>
        <v>#VALUE!</v>
      </c>
      <c r="AE314" s="204" t="e">
        <f t="shared" si="486"/>
        <v>#VALUE!</v>
      </c>
      <c r="AF314" s="204" t="e">
        <f t="shared" si="487"/>
        <v>#VALUE!</v>
      </c>
      <c r="AG314" s="204" t="e">
        <f t="shared" si="488"/>
        <v>#VALUE!</v>
      </c>
      <c r="AH314" s="204" t="e">
        <f t="shared" si="489"/>
        <v>#VALUE!</v>
      </c>
      <c r="AI314" s="204" t="e">
        <f t="shared" si="490"/>
        <v>#VALUE!</v>
      </c>
      <c r="AJ314" s="205">
        <f t="shared" si="491"/>
        <v>-235465.50110900003</v>
      </c>
      <c r="AK314" s="204" t="e">
        <f t="shared" si="492"/>
        <v>#VALUE!</v>
      </c>
      <c r="AL314" s="204" t="e">
        <f t="shared" si="493"/>
        <v>#VALUE!</v>
      </c>
      <c r="AM314" s="204" t="e">
        <f t="shared" si="494"/>
        <v>#VALUE!</v>
      </c>
      <c r="AN314" s="204" t="e">
        <f t="shared" si="495"/>
        <v>#VALUE!</v>
      </c>
      <c r="AO314" s="204" t="e">
        <f t="shared" si="496"/>
        <v>#VALUE!</v>
      </c>
      <c r="AP314" s="204" t="e">
        <f t="shared" si="497"/>
        <v>#VALUE!</v>
      </c>
      <c r="AQ314" s="204" t="e">
        <f t="shared" si="498"/>
        <v>#VALUE!</v>
      </c>
      <c r="AR314" s="206" t="e">
        <f t="shared" si="499"/>
        <v>#VALUE!</v>
      </c>
      <c r="AS314" s="170" t="e">
        <f t="shared" si="500"/>
        <v>#VALUE!</v>
      </c>
      <c r="AT314" s="170" t="e">
        <f t="shared" si="501"/>
        <v>#VALUE!</v>
      </c>
      <c r="AU314" s="207" t="e">
        <f t="shared" si="502"/>
        <v>#VALUE!</v>
      </c>
      <c r="AV314" s="208" t="e">
        <f t="shared" si="503"/>
        <v>#VALUE!</v>
      </c>
      <c r="AW314" s="201" t="str">
        <f t="shared" si="504"/>
        <v>Confiabilidade em Crescimento</v>
      </c>
      <c r="AX314" s="253" t="e">
        <f>VLOOKUP(D314,#REF!,5,FALSE)</f>
        <v>#REF!</v>
      </c>
      <c r="AY314" s="201"/>
      <c r="AZ314" s="273" t="s">
        <v>1224</v>
      </c>
      <c r="BB314">
        <f>IFERROR(VLOOKUP(Tabela1[[#This Row],[Denominação]],[10]Planilha1!$A:$B,2,FALSE),"")</f>
        <v>1584642.3299999991</v>
      </c>
      <c r="BC314" s="219"/>
      <c r="BD314" s="219"/>
      <c r="BE314" s="219"/>
      <c r="BF314" s="219"/>
      <c r="BG314" s="219"/>
    </row>
    <row r="315" spans="1:59" ht="15" hidden="1" customHeight="1" x14ac:dyDescent="0.3">
      <c r="A315" s="268">
        <v>314</v>
      </c>
      <c r="B315" s="171" t="s">
        <v>113</v>
      </c>
      <c r="C315" s="209" t="s">
        <v>114</v>
      </c>
      <c r="D315" s="171">
        <v>10000494</v>
      </c>
      <c r="E315" s="253" t="s">
        <v>1388</v>
      </c>
      <c r="F315" s="210">
        <v>2515</v>
      </c>
      <c r="G315" s="171">
        <v>2900100500</v>
      </c>
      <c r="H315" s="171">
        <v>1985</v>
      </c>
      <c r="I315" s="213">
        <v>139187.9</v>
      </c>
      <c r="J315" s="213">
        <v>67929</v>
      </c>
      <c r="K315" s="170">
        <v>873609.92000000039</v>
      </c>
      <c r="L315" s="215">
        <v>0.98</v>
      </c>
      <c r="M315" s="320">
        <v>5020</v>
      </c>
      <c r="N315" s="212">
        <v>197385</v>
      </c>
      <c r="O315" s="171">
        <v>422</v>
      </c>
      <c r="P315" s="271" t="str">
        <f>IFERROR(VLOOKUP(Tabela1[[#This Row],[TAG]],#REF!,14,FALSE),"")</f>
        <v/>
      </c>
      <c r="Q315" s="204" t="e">
        <f t="shared" si="477"/>
        <v>#VALUE!</v>
      </c>
      <c r="R315" s="204" t="e">
        <f t="shared" si="478"/>
        <v>#VALUE!</v>
      </c>
      <c r="S315" s="204" t="e">
        <f t="shared" si="479"/>
        <v>#VALUE!</v>
      </c>
      <c r="T315" s="204" t="e">
        <f t="shared" si="480"/>
        <v>#VALUE!</v>
      </c>
      <c r="U315" s="204" t="e">
        <f t="shared" si="481"/>
        <v>#VALUE!</v>
      </c>
      <c r="V315" s="204" t="e">
        <f t="shared" si="482"/>
        <v>#VALUE!</v>
      </c>
      <c r="W315" s="304">
        <v>1316.24</v>
      </c>
      <c r="X315" s="304">
        <v>3068.45</v>
      </c>
      <c r="Y315" s="203">
        <v>0.1</v>
      </c>
      <c r="Z315" s="203">
        <f>IF(Tabela1[[#This Row],[Ano Aquisição]]=2023,0,IFERROR(VLOOKUP(H315,inflação!$F:$H,3,FALSE),""))</f>
        <v>2.4068307692307704</v>
      </c>
      <c r="AA315" s="203">
        <v>0.8</v>
      </c>
      <c r="AB315" s="202">
        <f t="shared" si="483"/>
        <v>-139187.9</v>
      </c>
      <c r="AC315" s="204" t="e">
        <f t="shared" si="484"/>
        <v>#VALUE!</v>
      </c>
      <c r="AD315" s="204" t="e">
        <f t="shared" si="485"/>
        <v>#VALUE!</v>
      </c>
      <c r="AE315" s="204" t="e">
        <f t="shared" si="486"/>
        <v>#VALUE!</v>
      </c>
      <c r="AF315" s="204" t="e">
        <f t="shared" si="487"/>
        <v>#VALUE!</v>
      </c>
      <c r="AG315" s="204" t="e">
        <f t="shared" si="488"/>
        <v>#VALUE!</v>
      </c>
      <c r="AH315" s="204" t="e">
        <f t="shared" si="489"/>
        <v>#VALUE!</v>
      </c>
      <c r="AI315" s="204" t="e">
        <f t="shared" si="490"/>
        <v>#VALUE!</v>
      </c>
      <c r="AJ315" s="205">
        <f t="shared" si="491"/>
        <v>-474189.62042461551</v>
      </c>
      <c r="AK315" s="204" t="e">
        <f t="shared" si="492"/>
        <v>#VALUE!</v>
      </c>
      <c r="AL315" s="204" t="e">
        <f t="shared" si="493"/>
        <v>#VALUE!</v>
      </c>
      <c r="AM315" s="204" t="e">
        <f t="shared" si="494"/>
        <v>#VALUE!</v>
      </c>
      <c r="AN315" s="204" t="e">
        <f t="shared" si="495"/>
        <v>#VALUE!</v>
      </c>
      <c r="AO315" s="204" t="e">
        <f t="shared" si="496"/>
        <v>#VALUE!</v>
      </c>
      <c r="AP315" s="204" t="e">
        <f t="shared" si="497"/>
        <v>#VALUE!</v>
      </c>
      <c r="AQ315" s="204" t="e">
        <f t="shared" si="498"/>
        <v>#VALUE!</v>
      </c>
      <c r="AR315" s="206" t="e">
        <f t="shared" si="499"/>
        <v>#VALUE!</v>
      </c>
      <c r="AS315" s="170" t="e">
        <f t="shared" si="500"/>
        <v>#VALUE!</v>
      </c>
      <c r="AT315" s="170" t="e">
        <f t="shared" si="501"/>
        <v>#VALUE!</v>
      </c>
      <c r="AU315" s="207" t="e">
        <f t="shared" si="502"/>
        <v>#VALUE!</v>
      </c>
      <c r="AV315" s="208" t="e">
        <f t="shared" si="503"/>
        <v>#VALUE!</v>
      </c>
      <c r="AW315" s="201" t="str">
        <f t="shared" si="504"/>
        <v>Confiabilidade em Crescimento</v>
      </c>
      <c r="AX315" s="253" t="e">
        <f>VLOOKUP(D315,#REF!,5,FALSE)</f>
        <v>#REF!</v>
      </c>
      <c r="AY315" s="201"/>
      <c r="AZ315" s="273" t="s">
        <v>1224</v>
      </c>
      <c r="BB315">
        <f>IFERROR(VLOOKUP(Tabela1[[#This Row],[Denominação]],[10]Planilha1!$A:$B,2,FALSE),"")</f>
        <v>873609.92000000039</v>
      </c>
      <c r="BC315" s="219"/>
      <c r="BD315" s="219"/>
      <c r="BE315" s="219"/>
      <c r="BF315" s="219"/>
      <c r="BG315" s="219"/>
    </row>
    <row r="316" spans="1:59" ht="15" hidden="1" customHeight="1" x14ac:dyDescent="0.3">
      <c r="A316" s="253">
        <v>315</v>
      </c>
      <c r="B316" s="171" t="s">
        <v>121</v>
      </c>
      <c r="C316" s="209" t="s">
        <v>122</v>
      </c>
      <c r="D316" s="171">
        <v>10000499</v>
      </c>
      <c r="E316" s="253" t="s">
        <v>1389</v>
      </c>
      <c r="F316" s="210">
        <v>2515</v>
      </c>
      <c r="G316" s="171">
        <v>2900100400</v>
      </c>
      <c r="H316" s="171">
        <v>1985</v>
      </c>
      <c r="I316" s="213">
        <v>40102.720000000001</v>
      </c>
      <c r="J316" s="213">
        <v>0</v>
      </c>
      <c r="K316" s="170">
        <v>1077560.1400000004</v>
      </c>
      <c r="L316" s="215">
        <v>0.94</v>
      </c>
      <c r="M316" s="320">
        <v>5020</v>
      </c>
      <c r="N316" s="212">
        <v>198299</v>
      </c>
      <c r="O316" s="171">
        <v>517</v>
      </c>
      <c r="P316" s="271" t="str">
        <f>IFERROR(VLOOKUP(Tabela1[[#This Row],[TAG]],#REF!,14,FALSE),"")</f>
        <v/>
      </c>
      <c r="Q316" s="204" t="e">
        <f t="shared" si="477"/>
        <v>#VALUE!</v>
      </c>
      <c r="R316" s="204" t="e">
        <f t="shared" si="478"/>
        <v>#VALUE!</v>
      </c>
      <c r="S316" s="204" t="e">
        <f t="shared" si="479"/>
        <v>#VALUE!</v>
      </c>
      <c r="T316" s="204" t="e">
        <f t="shared" si="480"/>
        <v>#VALUE!</v>
      </c>
      <c r="U316" s="204" t="e">
        <f t="shared" si="481"/>
        <v>#VALUE!</v>
      </c>
      <c r="V316" s="204" t="e">
        <f t="shared" si="482"/>
        <v>#VALUE!</v>
      </c>
      <c r="W316" s="304">
        <v>1322.15</v>
      </c>
      <c r="X316" s="304">
        <v>4537.67</v>
      </c>
      <c r="Y316" s="203">
        <v>0.1</v>
      </c>
      <c r="Z316" s="203">
        <f>IF(Tabela1[[#This Row],[Ano Aquisição]]=2023,0,IFERROR(VLOOKUP(H316,inflação!$F:$H,3,FALSE),""))</f>
        <v>2.4068307692307704</v>
      </c>
      <c r="AA316" s="203">
        <v>0.8</v>
      </c>
      <c r="AB316" s="202">
        <f t="shared" si="483"/>
        <v>-40102.720000000001</v>
      </c>
      <c r="AC316" s="204" t="e">
        <f t="shared" si="484"/>
        <v>#VALUE!</v>
      </c>
      <c r="AD316" s="204" t="e">
        <f t="shared" si="485"/>
        <v>#VALUE!</v>
      </c>
      <c r="AE316" s="204" t="e">
        <f t="shared" si="486"/>
        <v>#VALUE!</v>
      </c>
      <c r="AF316" s="204" t="e">
        <f t="shared" si="487"/>
        <v>#VALUE!</v>
      </c>
      <c r="AG316" s="204" t="e">
        <f t="shared" si="488"/>
        <v>#VALUE!</v>
      </c>
      <c r="AH316" s="204" t="e">
        <f t="shared" si="489"/>
        <v>#VALUE!</v>
      </c>
      <c r="AI316" s="204" t="e">
        <f t="shared" si="490"/>
        <v>#VALUE!</v>
      </c>
      <c r="AJ316" s="205">
        <f t="shared" si="491"/>
        <v>-136623.18042584619</v>
      </c>
      <c r="AK316" s="204" t="e">
        <f t="shared" si="492"/>
        <v>#VALUE!</v>
      </c>
      <c r="AL316" s="204" t="e">
        <f t="shared" si="493"/>
        <v>#VALUE!</v>
      </c>
      <c r="AM316" s="204" t="e">
        <f t="shared" si="494"/>
        <v>#VALUE!</v>
      </c>
      <c r="AN316" s="204" t="e">
        <f t="shared" si="495"/>
        <v>#VALUE!</v>
      </c>
      <c r="AO316" s="204" t="e">
        <f t="shared" si="496"/>
        <v>#VALUE!</v>
      </c>
      <c r="AP316" s="204" t="e">
        <f t="shared" si="497"/>
        <v>#VALUE!</v>
      </c>
      <c r="AQ316" s="204" t="e">
        <f t="shared" si="498"/>
        <v>#VALUE!</v>
      </c>
      <c r="AR316" s="206" t="e">
        <f t="shared" si="499"/>
        <v>#VALUE!</v>
      </c>
      <c r="AS316" s="170" t="e">
        <f t="shared" si="500"/>
        <v>#VALUE!</v>
      </c>
      <c r="AT316" s="170" t="e">
        <f t="shared" si="501"/>
        <v>#VALUE!</v>
      </c>
      <c r="AU316" s="207" t="e">
        <f t="shared" si="502"/>
        <v>#VALUE!</v>
      </c>
      <c r="AV316" s="208" t="e">
        <f t="shared" si="503"/>
        <v>#VALUE!</v>
      </c>
      <c r="AW316" s="201" t="str">
        <f t="shared" si="504"/>
        <v>Confiabilidade em Crescimento</v>
      </c>
      <c r="AX316" s="253" t="e">
        <f>VLOOKUP(D316,#REF!,5,FALSE)</f>
        <v>#REF!</v>
      </c>
      <c r="AY316" s="201"/>
      <c r="AZ316" s="273" t="s">
        <v>1224</v>
      </c>
      <c r="BB316">
        <f>IFERROR(VLOOKUP(Tabela1[[#This Row],[Denominação]],[10]Planilha1!$A:$B,2,FALSE),"")</f>
        <v>1077560.1400000004</v>
      </c>
      <c r="BC316" s="219"/>
      <c r="BD316" s="219"/>
      <c r="BE316" s="219"/>
      <c r="BF316" s="219"/>
      <c r="BG316" s="219"/>
    </row>
    <row r="317" spans="1:59" ht="15" hidden="1" customHeight="1" x14ac:dyDescent="0.3">
      <c r="A317" s="268">
        <v>316</v>
      </c>
      <c r="B317" s="171" t="s">
        <v>245</v>
      </c>
      <c r="C317" s="209" t="s">
        <v>246</v>
      </c>
      <c r="D317" s="171">
        <v>10003978</v>
      </c>
      <c r="E317" s="253" t="s">
        <v>1390</v>
      </c>
      <c r="F317" s="210">
        <v>2514</v>
      </c>
      <c r="G317" s="171">
        <v>40302</v>
      </c>
      <c r="H317" s="171">
        <v>2011</v>
      </c>
      <c r="I317" s="213">
        <v>151823.6</v>
      </c>
      <c r="J317" s="213">
        <v>55483</v>
      </c>
      <c r="K317" s="170">
        <v>1115857.2200000002</v>
      </c>
      <c r="L317" s="215">
        <v>0.9</v>
      </c>
      <c r="M317" s="320">
        <v>5116</v>
      </c>
      <c r="N317" s="212">
        <v>165668</v>
      </c>
      <c r="O317" s="171">
        <v>227</v>
      </c>
      <c r="P317" s="271" t="str">
        <f>IFERROR(VLOOKUP(Tabela1[[#This Row],[TAG]],#REF!,14,FALSE),"")</f>
        <v/>
      </c>
      <c r="Q317" s="204" t="e">
        <f t="shared" si="477"/>
        <v>#VALUE!</v>
      </c>
      <c r="R317" s="204" t="e">
        <f t="shared" si="478"/>
        <v>#VALUE!</v>
      </c>
      <c r="S317" s="204" t="e">
        <f t="shared" si="479"/>
        <v>#VALUE!</v>
      </c>
      <c r="T317" s="204" t="e">
        <f t="shared" si="480"/>
        <v>#VALUE!</v>
      </c>
      <c r="U317" s="204" t="e">
        <f t="shared" si="481"/>
        <v>#VALUE!</v>
      </c>
      <c r="V317" s="204" t="e">
        <f t="shared" si="482"/>
        <v>#VALUE!</v>
      </c>
      <c r="W317" s="304">
        <v>954.92</v>
      </c>
      <c r="X317" s="304">
        <v>7977.8570972679472</v>
      </c>
      <c r="Y317" s="203">
        <v>0.1</v>
      </c>
      <c r="Z317" s="203">
        <f>IF(Tabela1[[#This Row],[Ano Aquisição]]=2023,0,IFERROR(VLOOKUP(H317,inflação!$F:$H,3,FALSE),""))</f>
        <v>0.73</v>
      </c>
      <c r="AA317" s="203">
        <v>0.8</v>
      </c>
      <c r="AB317" s="202">
        <f t="shared" si="483"/>
        <v>-151823.6</v>
      </c>
      <c r="AC317" s="204" t="e">
        <f t="shared" si="484"/>
        <v>#VALUE!</v>
      </c>
      <c r="AD317" s="204" t="e">
        <f t="shared" si="485"/>
        <v>#VALUE!</v>
      </c>
      <c r="AE317" s="204" t="e">
        <f t="shared" si="486"/>
        <v>#VALUE!</v>
      </c>
      <c r="AF317" s="204" t="e">
        <f t="shared" si="487"/>
        <v>#VALUE!</v>
      </c>
      <c r="AG317" s="204" t="e">
        <f t="shared" si="488"/>
        <v>#VALUE!</v>
      </c>
      <c r="AH317" s="204" t="e">
        <f t="shared" si="489"/>
        <v>#VALUE!</v>
      </c>
      <c r="AI317" s="204" t="e">
        <f t="shared" si="490"/>
        <v>#VALUE!</v>
      </c>
      <c r="AJ317" s="205">
        <f t="shared" si="491"/>
        <v>-262654.82799999998</v>
      </c>
      <c r="AK317" s="204" t="e">
        <f t="shared" si="492"/>
        <v>#VALUE!</v>
      </c>
      <c r="AL317" s="204" t="e">
        <f t="shared" si="493"/>
        <v>#VALUE!</v>
      </c>
      <c r="AM317" s="204" t="e">
        <f t="shared" si="494"/>
        <v>#VALUE!</v>
      </c>
      <c r="AN317" s="204" t="e">
        <f t="shared" si="495"/>
        <v>#VALUE!</v>
      </c>
      <c r="AO317" s="204" t="e">
        <f t="shared" si="496"/>
        <v>#VALUE!</v>
      </c>
      <c r="AP317" s="204" t="e">
        <f t="shared" si="497"/>
        <v>#VALUE!</v>
      </c>
      <c r="AQ317" s="204" t="e">
        <f t="shared" si="498"/>
        <v>#VALUE!</v>
      </c>
      <c r="AR317" s="206" t="e">
        <f t="shared" si="499"/>
        <v>#VALUE!</v>
      </c>
      <c r="AS317" s="170" t="e">
        <f t="shared" si="500"/>
        <v>#VALUE!</v>
      </c>
      <c r="AT317" s="170" t="e">
        <f t="shared" si="501"/>
        <v>#VALUE!</v>
      </c>
      <c r="AU317" s="207" t="e">
        <f t="shared" si="502"/>
        <v>#VALUE!</v>
      </c>
      <c r="AV317" s="208" t="e">
        <f t="shared" si="503"/>
        <v>#VALUE!</v>
      </c>
      <c r="AW317" s="201" t="str">
        <f t="shared" si="504"/>
        <v>Confiabilidade em Crescimento</v>
      </c>
      <c r="AX317" s="253" t="e">
        <f>VLOOKUP(D317,#REF!,5,FALSE)</f>
        <v>#REF!</v>
      </c>
      <c r="AY317" s="201"/>
      <c r="AZ317" s="273" t="s">
        <v>1224</v>
      </c>
      <c r="BB317">
        <f>IFERROR(VLOOKUP(Tabela1[[#This Row],[Denominação]],[10]Planilha1!$A:$B,2,FALSE),"")</f>
        <v>1115857.2200000002</v>
      </c>
      <c r="BC317" s="219"/>
      <c r="BD317" s="219"/>
      <c r="BE317" s="219"/>
      <c r="BF317" s="219"/>
      <c r="BG317" s="219"/>
    </row>
    <row r="318" spans="1:59" ht="15" hidden="1" customHeight="1" x14ac:dyDescent="0.3">
      <c r="A318" s="253">
        <v>317</v>
      </c>
      <c r="B318" s="255" t="s">
        <v>685</v>
      </c>
      <c r="C318" s="209" t="s">
        <v>686</v>
      </c>
      <c r="D318" s="171">
        <v>10003942</v>
      </c>
      <c r="E318" s="253" t="s">
        <v>1772</v>
      </c>
      <c r="F318" s="210">
        <v>4715</v>
      </c>
      <c r="G318" s="171">
        <v>20714</v>
      </c>
      <c r="H318" s="171">
        <v>2003</v>
      </c>
      <c r="I318" s="213">
        <v>179512.32000000001</v>
      </c>
      <c r="J318" s="213">
        <v>738</v>
      </c>
      <c r="K318" s="170">
        <v>126013.05</v>
      </c>
      <c r="L318" s="215">
        <v>1.85</v>
      </c>
      <c r="M318" s="212">
        <v>5000</v>
      </c>
      <c r="N318" s="212">
        <v>159900</v>
      </c>
      <c r="O318" s="171">
        <v>180</v>
      </c>
      <c r="P318" s="271" t="str">
        <f>IFERROR(VLOOKUP(Tabela1[[#This Row],[TAG]],#REF!,14,FALSE),"")</f>
        <v/>
      </c>
      <c r="Q318" s="204" t="e">
        <f t="shared" si="477"/>
        <v>#VALUE!</v>
      </c>
      <c r="R318" s="204" t="e">
        <f t="shared" si="478"/>
        <v>#VALUE!</v>
      </c>
      <c r="S318" s="204" t="e">
        <f t="shared" si="479"/>
        <v>#VALUE!</v>
      </c>
      <c r="T318" s="204" t="e">
        <f t="shared" si="480"/>
        <v>#VALUE!</v>
      </c>
      <c r="U318" s="204" t="e">
        <f t="shared" si="481"/>
        <v>#VALUE!</v>
      </c>
      <c r="V318" s="204" t="e">
        <f t="shared" si="482"/>
        <v>#VALUE!</v>
      </c>
      <c r="W318" s="218">
        <v>206.76</v>
      </c>
      <c r="X318" s="218">
        <v>547.47</v>
      </c>
      <c r="Y318" s="203">
        <v>0.1</v>
      </c>
      <c r="Z318" s="203">
        <f>IF(Tabela1[[#This Row],[Ano Aquisição]]=2023,0,IFERROR(VLOOKUP(H318,inflação!$F:$H,3,FALSE),""))</f>
        <v>1.1931</v>
      </c>
      <c r="AA318" s="203">
        <v>0.8</v>
      </c>
      <c r="AB318" s="218">
        <f t="shared" si="483"/>
        <v>-179512.32000000001</v>
      </c>
      <c r="AC318" s="204" t="e">
        <f t="shared" si="484"/>
        <v>#VALUE!</v>
      </c>
      <c r="AD318" s="204" t="e">
        <f t="shared" si="485"/>
        <v>#VALUE!</v>
      </c>
      <c r="AE318" s="204" t="e">
        <f t="shared" si="486"/>
        <v>#VALUE!</v>
      </c>
      <c r="AF318" s="204" t="e">
        <f t="shared" si="487"/>
        <v>#VALUE!</v>
      </c>
      <c r="AG318" s="204" t="e">
        <f t="shared" si="488"/>
        <v>#VALUE!</v>
      </c>
      <c r="AH318" s="204" t="e">
        <f t="shared" si="489"/>
        <v>#VALUE!</v>
      </c>
      <c r="AI318" s="204" t="e">
        <f t="shared" si="490"/>
        <v>#VALUE!</v>
      </c>
      <c r="AJ318" s="205">
        <f t="shared" si="491"/>
        <v>-393688.46899200004</v>
      </c>
      <c r="AK318" s="204" t="e">
        <f t="shared" si="492"/>
        <v>#VALUE!</v>
      </c>
      <c r="AL318" s="204" t="e">
        <f t="shared" si="493"/>
        <v>#VALUE!</v>
      </c>
      <c r="AM318" s="204" t="e">
        <f t="shared" si="494"/>
        <v>#VALUE!</v>
      </c>
      <c r="AN318" s="204" t="e">
        <f t="shared" si="495"/>
        <v>#VALUE!</v>
      </c>
      <c r="AO318" s="204" t="e">
        <f t="shared" si="496"/>
        <v>#VALUE!</v>
      </c>
      <c r="AP318" s="204" t="e">
        <f t="shared" si="497"/>
        <v>#VALUE!</v>
      </c>
      <c r="AQ318" s="204" t="e">
        <f t="shared" si="498"/>
        <v>#VALUE!</v>
      </c>
      <c r="AR318" s="206" t="e">
        <f t="shared" si="499"/>
        <v>#VALUE!</v>
      </c>
      <c r="AS318" s="170" t="e">
        <f t="shared" si="500"/>
        <v>#VALUE!</v>
      </c>
      <c r="AT318" s="170" t="e">
        <f t="shared" si="501"/>
        <v>#VALUE!</v>
      </c>
      <c r="AU318" s="207" t="e">
        <f t="shared" si="502"/>
        <v>#VALUE!</v>
      </c>
      <c r="AV318" s="208" t="e">
        <f t="shared" si="503"/>
        <v>#VALUE!</v>
      </c>
      <c r="AW318" s="201" t="str">
        <f t="shared" si="504"/>
        <v>Fase de Degradação</v>
      </c>
      <c r="AX318" s="253" t="e">
        <f>VLOOKUP(D318,#REF!,5,FALSE)</f>
        <v>#REF!</v>
      </c>
      <c r="AY318" s="201"/>
      <c r="AZ318" s="273" t="s">
        <v>1224</v>
      </c>
      <c r="BB318">
        <f>IFERROR(VLOOKUP(Tabela1[[#This Row],[Denominação]],[10]Planilha1!$A:$B,2,FALSE),"")</f>
        <v>126007.70000000001</v>
      </c>
      <c r="BC318" s="219"/>
      <c r="BD318" s="219"/>
      <c r="BE318" s="219"/>
      <c r="BF318" s="219"/>
      <c r="BG318" s="219"/>
    </row>
    <row r="319" spans="1:59" ht="15" hidden="1" customHeight="1" x14ac:dyDescent="0.3">
      <c r="A319" s="268">
        <v>318</v>
      </c>
      <c r="B319" s="171" t="s">
        <v>647</v>
      </c>
      <c r="C319" s="209" t="s">
        <v>648</v>
      </c>
      <c r="D319" s="171">
        <v>10005218</v>
      </c>
      <c r="E319" s="253" t="s">
        <v>1391</v>
      </c>
      <c r="F319" s="210">
        <v>4745</v>
      </c>
      <c r="G319" s="171">
        <v>34362</v>
      </c>
      <c r="H319" s="171">
        <v>2006</v>
      </c>
      <c r="I319" s="213">
        <v>201661.91</v>
      </c>
      <c r="J319" s="213">
        <v>85300</v>
      </c>
      <c r="K319" s="170">
        <v>198378.4</v>
      </c>
      <c r="L319" s="207">
        <v>1.61</v>
      </c>
      <c r="M319" s="212">
        <v>3733</v>
      </c>
      <c r="N319" s="212">
        <v>129312</v>
      </c>
      <c r="O319" s="171">
        <v>146</v>
      </c>
      <c r="P319" s="271" t="str">
        <f>IFERROR(VLOOKUP(Tabela1[[#This Row],[TAG]],#REF!,14,FALSE),"")</f>
        <v/>
      </c>
      <c r="Q319" s="204" t="e">
        <f t="shared" ref="Q319:Q328" si="505">P319+P319</f>
        <v>#VALUE!</v>
      </c>
      <c r="R319" s="204" t="e">
        <f t="shared" ref="R319:R328" si="506">Q319+P319</f>
        <v>#VALUE!</v>
      </c>
      <c r="S319" s="204" t="e">
        <f t="shared" ref="S319:S328" si="507">R319+P319</f>
        <v>#VALUE!</v>
      </c>
      <c r="T319" s="204" t="e">
        <f t="shared" ref="T319:T328" si="508">S319+P319</f>
        <v>#VALUE!</v>
      </c>
      <c r="U319" s="204" t="e">
        <f t="shared" ref="U319:U328" si="509">T319+P319</f>
        <v>#VALUE!</v>
      </c>
      <c r="V319" s="204" t="e">
        <f t="shared" ref="V319:V328" si="510">U319+P319</f>
        <v>#VALUE!</v>
      </c>
      <c r="W319" s="218">
        <v>407.47</v>
      </c>
      <c r="X319" s="218">
        <v>845.72</v>
      </c>
      <c r="Y319" s="203">
        <v>0.1</v>
      </c>
      <c r="Z319" s="203">
        <f>IF(Tabela1[[#This Row],[Ano Aquisição]]=2023,0,IFERROR(VLOOKUP(H319,inflação!$F:$H,3,FALSE),""))</f>
        <v>0.96719999999999995</v>
      </c>
      <c r="AA319" s="203">
        <v>0.8</v>
      </c>
      <c r="AB319" s="202">
        <f t="shared" si="483"/>
        <v>-201661.91</v>
      </c>
      <c r="AC319" s="204" t="e">
        <f t="shared" ref="AC319:AC328" si="511">-(((P319*$W319)+($X319*12))*((1+$Y319)^AC$1))</f>
        <v>#VALUE!</v>
      </c>
      <c r="AD319" s="204" t="e">
        <f t="shared" ref="AD319:AD328" si="512">-((((Q319-P319)*$W319)+($X319*12))*((1+$Y319)^AD$1))</f>
        <v>#VALUE!</v>
      </c>
      <c r="AE319" s="204" t="e">
        <f t="shared" ref="AE319:AE328" si="513">-((((R319-Q319)*$W319)+($X319*12))*((1+$Y319)^AE$1))</f>
        <v>#VALUE!</v>
      </c>
      <c r="AF319" s="204" t="e">
        <f t="shared" ref="AF319:AF328" si="514">-((((S319-R319)*$W319)+($X319*12))*((1+$Y319)^AF$1))</f>
        <v>#VALUE!</v>
      </c>
      <c r="AG319" s="204" t="e">
        <f t="shared" ref="AG319:AG328" si="515">-((((T319-S319)*$W319)+($X319*12))*((1+$Y319)^AG$1))</f>
        <v>#VALUE!</v>
      </c>
      <c r="AH319" s="204" t="e">
        <f t="shared" ref="AH319:AH328" si="516">-((((U319-T319)*$W319)+($X319*12))*((1+$Y319)^AH$1))</f>
        <v>#VALUE!</v>
      </c>
      <c r="AI319" s="204" t="e">
        <f t="shared" ref="AI319:AI328" si="517">-((((V319-U319)*$W319)+($X319*12))*((1+$Y319)^AI$1))</f>
        <v>#VALUE!</v>
      </c>
      <c r="AJ319" s="205">
        <f t="shared" si="491"/>
        <v>-396709.30935200001</v>
      </c>
      <c r="AK319" s="204" t="e">
        <f t="shared" ref="AK319:AK328" si="518">AC319*(1-$AA319)</f>
        <v>#VALUE!</v>
      </c>
      <c r="AL319" s="204" t="e">
        <f t="shared" ref="AL319:AL328" si="519">AD319*(1-$AA319)</f>
        <v>#VALUE!</v>
      </c>
      <c r="AM319" s="204" t="e">
        <f t="shared" ref="AM319:AM328" si="520">AE319*(1-$AA319)</f>
        <v>#VALUE!</v>
      </c>
      <c r="AN319" s="204" t="e">
        <f t="shared" ref="AN319:AN328" si="521">AF319*(1-$AA319)</f>
        <v>#VALUE!</v>
      </c>
      <c r="AO319" s="204" t="e">
        <f t="shared" ref="AO319:AO328" si="522">AG319*(1-$AA319)</f>
        <v>#VALUE!</v>
      </c>
      <c r="AP319" s="204" t="e">
        <f t="shared" ref="AP319:AP328" si="523">AH319*(1-$AA319)</f>
        <v>#VALUE!</v>
      </c>
      <c r="AQ319" s="204" t="e">
        <f t="shared" ref="AQ319:AQ328" si="524">AI319*(1-$AA319)</f>
        <v>#VALUE!</v>
      </c>
      <c r="AR319" s="206" t="e">
        <f t="shared" si="499"/>
        <v>#VALUE!</v>
      </c>
      <c r="AS319" s="170" t="e">
        <f t="shared" ref="AS319:AS328" si="525">SUM(AC319:AI319)</f>
        <v>#VALUE!</v>
      </c>
      <c r="AT319" s="170" t="e">
        <f t="shared" ref="AT319:AT328" si="526">SUM(AK319:AQ319)</f>
        <v>#VALUE!</v>
      </c>
      <c r="AU319" s="207" t="e">
        <f t="shared" si="502"/>
        <v>#VALUE!</v>
      </c>
      <c r="AV319" s="208" t="e">
        <f t="shared" si="503"/>
        <v>#VALUE!</v>
      </c>
      <c r="AW319" s="201" t="str">
        <f t="shared" si="504"/>
        <v>Fase de Degradação</v>
      </c>
      <c r="AX319" s="253" t="e">
        <f>VLOOKUP(D319,#REF!,5,FALSE)</f>
        <v>#REF!</v>
      </c>
      <c r="AY319" s="201"/>
      <c r="AZ319" s="273" t="s">
        <v>1224</v>
      </c>
      <c r="BB319">
        <f>IFERROR(VLOOKUP(Tabela1[[#This Row],[Denominação]],[10]Planilha1!$A:$B,2,FALSE),"")</f>
        <v>198378.4</v>
      </c>
      <c r="BC319" s="219"/>
      <c r="BD319" s="219"/>
      <c r="BE319" s="219"/>
      <c r="BF319" s="219"/>
      <c r="BG319" s="219"/>
    </row>
    <row r="320" spans="1:59" ht="15" hidden="1" customHeight="1" x14ac:dyDescent="0.3">
      <c r="A320" s="253">
        <v>319</v>
      </c>
      <c r="B320" s="171" t="s">
        <v>659</v>
      </c>
      <c r="C320" s="209" t="s">
        <v>660</v>
      </c>
      <c r="D320" s="171">
        <v>10004230</v>
      </c>
      <c r="E320" s="253" t="s">
        <v>1392</v>
      </c>
      <c r="F320" s="210">
        <v>2522</v>
      </c>
      <c r="G320" s="171">
        <v>34057</v>
      </c>
      <c r="H320" s="171">
        <v>2005</v>
      </c>
      <c r="I320" s="213">
        <v>122614.2</v>
      </c>
      <c r="J320" s="213">
        <v>21248</v>
      </c>
      <c r="K320" s="170">
        <v>336418.22000000026</v>
      </c>
      <c r="L320" s="207">
        <v>1.19</v>
      </c>
      <c r="M320" s="307">
        <v>4795.2647999999999</v>
      </c>
      <c r="N320" s="212">
        <v>150756</v>
      </c>
      <c r="O320" s="171">
        <v>273</v>
      </c>
      <c r="P320" s="271" t="str">
        <f>IFERROR(VLOOKUP(Tabela1[[#This Row],[TAG]],#REF!,14,FALSE),"")</f>
        <v/>
      </c>
      <c r="Q320" s="204" t="e">
        <f t="shared" si="505"/>
        <v>#VALUE!</v>
      </c>
      <c r="R320" s="204" t="e">
        <f t="shared" si="506"/>
        <v>#VALUE!</v>
      </c>
      <c r="S320" s="204" t="e">
        <f t="shared" si="507"/>
        <v>#VALUE!</v>
      </c>
      <c r="T320" s="204" t="e">
        <f t="shared" si="508"/>
        <v>#VALUE!</v>
      </c>
      <c r="U320" s="204" t="e">
        <f t="shared" si="509"/>
        <v>#VALUE!</v>
      </c>
      <c r="V320" s="204" t="e">
        <f t="shared" si="510"/>
        <v>#VALUE!</v>
      </c>
      <c r="W320" s="304">
        <v>706.98</v>
      </c>
      <c r="X320" s="304">
        <v>1683.71</v>
      </c>
      <c r="Y320" s="203">
        <v>0.1</v>
      </c>
      <c r="Z320" s="203">
        <f>IF(Tabela1[[#This Row],[Ano Aquisição]]=2023,0,IFERROR(VLOOKUP(H320,inflação!$F:$H,3,FALSE),""))</f>
        <v>1.0241</v>
      </c>
      <c r="AA320" s="203">
        <v>0.8</v>
      </c>
      <c r="AB320" s="202">
        <f t="shared" si="483"/>
        <v>-122614.2</v>
      </c>
      <c r="AC320" s="204" t="e">
        <f t="shared" si="511"/>
        <v>#VALUE!</v>
      </c>
      <c r="AD320" s="204" t="e">
        <f t="shared" si="512"/>
        <v>#VALUE!</v>
      </c>
      <c r="AE320" s="204" t="e">
        <f t="shared" si="513"/>
        <v>#VALUE!</v>
      </c>
      <c r="AF320" s="204" t="e">
        <f t="shared" si="514"/>
        <v>#VALUE!</v>
      </c>
      <c r="AG320" s="204" t="e">
        <f t="shared" si="515"/>
        <v>#VALUE!</v>
      </c>
      <c r="AH320" s="204" t="e">
        <f t="shared" si="516"/>
        <v>#VALUE!</v>
      </c>
      <c r="AI320" s="204" t="e">
        <f t="shared" si="517"/>
        <v>#VALUE!</v>
      </c>
      <c r="AJ320" s="205">
        <f t="shared" si="491"/>
        <v>-248183.40221999996</v>
      </c>
      <c r="AK320" s="204" t="e">
        <f t="shared" si="518"/>
        <v>#VALUE!</v>
      </c>
      <c r="AL320" s="204" t="e">
        <f t="shared" si="519"/>
        <v>#VALUE!</v>
      </c>
      <c r="AM320" s="204" t="e">
        <f t="shared" si="520"/>
        <v>#VALUE!</v>
      </c>
      <c r="AN320" s="204" t="e">
        <f t="shared" si="521"/>
        <v>#VALUE!</v>
      </c>
      <c r="AO320" s="204" t="e">
        <f t="shared" si="522"/>
        <v>#VALUE!</v>
      </c>
      <c r="AP320" s="204" t="e">
        <f t="shared" si="523"/>
        <v>#VALUE!</v>
      </c>
      <c r="AQ320" s="204" t="e">
        <f t="shared" si="524"/>
        <v>#VALUE!</v>
      </c>
      <c r="AR320" s="206" t="e">
        <f t="shared" si="499"/>
        <v>#VALUE!</v>
      </c>
      <c r="AS320" s="170" t="e">
        <f t="shared" si="525"/>
        <v>#VALUE!</v>
      </c>
      <c r="AT320" s="170" t="e">
        <f t="shared" si="526"/>
        <v>#VALUE!</v>
      </c>
      <c r="AU320" s="207" t="e">
        <f t="shared" si="502"/>
        <v>#VALUE!</v>
      </c>
      <c r="AV320" s="208" t="e">
        <f t="shared" si="503"/>
        <v>#VALUE!</v>
      </c>
      <c r="AW320" s="201" t="str">
        <f t="shared" si="504"/>
        <v>Fase de Degradação</v>
      </c>
      <c r="AX320" s="253" t="e">
        <f>VLOOKUP(D320,#REF!,5,FALSE)</f>
        <v>#REF!</v>
      </c>
      <c r="AY320" s="201"/>
      <c r="AZ320" s="273" t="s">
        <v>1224</v>
      </c>
      <c r="BB320">
        <f>IFERROR(VLOOKUP(Tabela1[[#This Row],[Denominação]],[10]Planilha1!$A:$B,2,FALSE),"")</f>
        <v>336418.22000000026</v>
      </c>
      <c r="BC320" s="219"/>
      <c r="BD320" s="219"/>
      <c r="BE320" s="219"/>
      <c r="BF320" s="219"/>
      <c r="BG320" s="219"/>
    </row>
    <row r="321" spans="1:64" ht="15" hidden="1" customHeight="1" x14ac:dyDescent="0.3">
      <c r="A321" s="268">
        <v>320</v>
      </c>
      <c r="B321" s="171" t="s">
        <v>617</v>
      </c>
      <c r="C321" s="209" t="s">
        <v>618</v>
      </c>
      <c r="D321" s="171">
        <v>10004529</v>
      </c>
      <c r="E321" s="253" t="s">
        <v>1393</v>
      </c>
      <c r="F321" s="210">
        <v>2536</v>
      </c>
      <c r="G321" s="171">
        <v>34292</v>
      </c>
      <c r="H321" s="171">
        <v>2006</v>
      </c>
      <c r="I321" s="213">
        <v>186190.87</v>
      </c>
      <c r="J321" s="213">
        <v>21778</v>
      </c>
      <c r="K321" s="170">
        <v>462308.66999999981</v>
      </c>
      <c r="L321" s="215">
        <v>1.1599999999999999</v>
      </c>
      <c r="M321" s="320">
        <v>4420</v>
      </c>
      <c r="N321" s="212">
        <v>144916</v>
      </c>
      <c r="O321" s="171">
        <v>400</v>
      </c>
      <c r="P321" s="271" t="str">
        <f>IFERROR(VLOOKUP(Tabela1[[#This Row],[TAG]],#REF!,14,FALSE),"")</f>
        <v/>
      </c>
      <c r="Q321" s="204" t="e">
        <f t="shared" si="505"/>
        <v>#VALUE!</v>
      </c>
      <c r="R321" s="204" t="e">
        <f t="shared" si="506"/>
        <v>#VALUE!</v>
      </c>
      <c r="S321" s="204" t="e">
        <f t="shared" si="507"/>
        <v>#VALUE!</v>
      </c>
      <c r="T321" s="204" t="e">
        <f t="shared" si="508"/>
        <v>#VALUE!</v>
      </c>
      <c r="U321" s="204" t="e">
        <f t="shared" si="509"/>
        <v>#VALUE!</v>
      </c>
      <c r="V321" s="204" t="e">
        <f t="shared" si="510"/>
        <v>#VALUE!</v>
      </c>
      <c r="W321" s="304">
        <v>661.45</v>
      </c>
      <c r="X321" s="304">
        <v>2942.36</v>
      </c>
      <c r="Y321" s="203">
        <v>0.1</v>
      </c>
      <c r="Z321" s="203">
        <f>IF(Tabela1[[#This Row],[Ano Aquisição]]=2023,0,IFERROR(VLOOKUP(H321,inflação!$F:$H,3,FALSE),""))</f>
        <v>0.96719999999999995</v>
      </c>
      <c r="AA321" s="203">
        <v>0.8</v>
      </c>
      <c r="AB321" s="202">
        <f t="shared" si="483"/>
        <v>-186190.87</v>
      </c>
      <c r="AC321" s="204" t="e">
        <f t="shared" si="511"/>
        <v>#VALUE!</v>
      </c>
      <c r="AD321" s="204" t="e">
        <f t="shared" si="512"/>
        <v>#VALUE!</v>
      </c>
      <c r="AE321" s="204" t="e">
        <f t="shared" si="513"/>
        <v>#VALUE!</v>
      </c>
      <c r="AF321" s="204" t="e">
        <f t="shared" si="514"/>
        <v>#VALUE!</v>
      </c>
      <c r="AG321" s="204" t="e">
        <f t="shared" si="515"/>
        <v>#VALUE!</v>
      </c>
      <c r="AH321" s="204" t="e">
        <f t="shared" si="516"/>
        <v>#VALUE!</v>
      </c>
      <c r="AI321" s="204" t="e">
        <f t="shared" si="517"/>
        <v>#VALUE!</v>
      </c>
      <c r="AJ321" s="205">
        <f t="shared" si="491"/>
        <v>-366274.67946399999</v>
      </c>
      <c r="AK321" s="204" t="e">
        <f t="shared" si="518"/>
        <v>#VALUE!</v>
      </c>
      <c r="AL321" s="204" t="e">
        <f t="shared" si="519"/>
        <v>#VALUE!</v>
      </c>
      <c r="AM321" s="204" t="e">
        <f t="shared" si="520"/>
        <v>#VALUE!</v>
      </c>
      <c r="AN321" s="204" t="e">
        <f t="shared" si="521"/>
        <v>#VALUE!</v>
      </c>
      <c r="AO321" s="204" t="e">
        <f t="shared" si="522"/>
        <v>#VALUE!</v>
      </c>
      <c r="AP321" s="204" t="e">
        <f t="shared" si="523"/>
        <v>#VALUE!</v>
      </c>
      <c r="AQ321" s="204" t="e">
        <f t="shared" si="524"/>
        <v>#VALUE!</v>
      </c>
      <c r="AR321" s="206" t="e">
        <f t="shared" si="499"/>
        <v>#VALUE!</v>
      </c>
      <c r="AS321" s="170" t="e">
        <f t="shared" si="525"/>
        <v>#VALUE!</v>
      </c>
      <c r="AT321" s="170" t="e">
        <f t="shared" si="526"/>
        <v>#VALUE!</v>
      </c>
      <c r="AU321" s="207" t="e">
        <f t="shared" si="502"/>
        <v>#VALUE!</v>
      </c>
      <c r="AV321" s="208" t="e">
        <f t="shared" si="503"/>
        <v>#VALUE!</v>
      </c>
      <c r="AW321" s="201" t="str">
        <f t="shared" si="504"/>
        <v>Fase de Degradação</v>
      </c>
      <c r="AX321" s="253" t="e">
        <f>VLOOKUP(D321,#REF!,5,FALSE)</f>
        <v>#REF!</v>
      </c>
      <c r="AY321" s="201"/>
      <c r="AZ321" s="273" t="s">
        <v>1224</v>
      </c>
      <c r="BB321">
        <f>IFERROR(VLOOKUP(Tabela1[[#This Row],[Denominação]],[10]Planilha1!$A:$B,2,FALSE),"")</f>
        <v>462308.66999999981</v>
      </c>
      <c r="BC321" s="219"/>
      <c r="BD321" s="219"/>
      <c r="BE321" s="219"/>
      <c r="BF321" s="219"/>
      <c r="BG321" s="219"/>
    </row>
    <row r="322" spans="1:64" ht="15" hidden="1" customHeight="1" x14ac:dyDescent="0.3">
      <c r="A322" s="253">
        <v>321</v>
      </c>
      <c r="B322" s="171" t="s">
        <v>623</v>
      </c>
      <c r="C322" s="209" t="s">
        <v>624</v>
      </c>
      <c r="D322" s="171">
        <v>10004533</v>
      </c>
      <c r="E322" s="253" t="s">
        <v>1394</v>
      </c>
      <c r="F322" s="210">
        <v>4745</v>
      </c>
      <c r="G322" s="171">
        <v>51047</v>
      </c>
      <c r="H322" s="171">
        <v>2008</v>
      </c>
      <c r="I322" s="213">
        <v>1603284.16</v>
      </c>
      <c r="J322" s="213">
        <v>771334</v>
      </c>
      <c r="K322" s="170">
        <v>1183525.5199999996</v>
      </c>
      <c r="L322" s="207">
        <v>1.93</v>
      </c>
      <c r="M322" s="212">
        <v>3733</v>
      </c>
      <c r="N322" s="212">
        <v>145849</v>
      </c>
      <c r="O322" s="171">
        <v>1310</v>
      </c>
      <c r="P322" s="271" t="str">
        <f>IFERROR(VLOOKUP(Tabela1[[#This Row],[TAG]],#REF!,14,FALSE),"")</f>
        <v/>
      </c>
      <c r="Q322" s="204" t="e">
        <f t="shared" si="505"/>
        <v>#VALUE!</v>
      </c>
      <c r="R322" s="204" t="e">
        <f t="shared" si="506"/>
        <v>#VALUE!</v>
      </c>
      <c r="S322" s="204" t="e">
        <f t="shared" si="507"/>
        <v>#VALUE!</v>
      </c>
      <c r="T322" s="204" t="e">
        <f t="shared" si="508"/>
        <v>#VALUE!</v>
      </c>
      <c r="U322" s="204" t="e">
        <f t="shared" si="509"/>
        <v>#VALUE!</v>
      </c>
      <c r="V322" s="204" t="e">
        <f t="shared" si="510"/>
        <v>#VALUE!</v>
      </c>
      <c r="W322" s="218">
        <v>526.42999999999995</v>
      </c>
      <c r="X322" s="218">
        <v>9902.09</v>
      </c>
      <c r="Y322" s="203">
        <v>0.1</v>
      </c>
      <c r="Z322" s="203">
        <f>IF(Tabela1[[#This Row],[Ano Aquisição]]=2023,0,IFERROR(VLOOKUP(H322,inflação!$F:$H,3,FALSE),""))</f>
        <v>0.89119999999999999</v>
      </c>
      <c r="AA322" s="203">
        <v>0.8</v>
      </c>
      <c r="AB322" s="202">
        <f t="shared" si="483"/>
        <v>-1603284.16</v>
      </c>
      <c r="AC322" s="204" t="e">
        <f t="shared" si="511"/>
        <v>#VALUE!</v>
      </c>
      <c r="AD322" s="204" t="e">
        <f t="shared" si="512"/>
        <v>#VALUE!</v>
      </c>
      <c r="AE322" s="204" t="e">
        <f t="shared" si="513"/>
        <v>#VALUE!</v>
      </c>
      <c r="AF322" s="204" t="e">
        <f t="shared" si="514"/>
        <v>#VALUE!</v>
      </c>
      <c r="AG322" s="204" t="e">
        <f t="shared" si="515"/>
        <v>#VALUE!</v>
      </c>
      <c r="AH322" s="204" t="e">
        <f t="shared" si="516"/>
        <v>#VALUE!</v>
      </c>
      <c r="AI322" s="204" t="e">
        <f t="shared" si="517"/>
        <v>#VALUE!</v>
      </c>
      <c r="AJ322" s="205">
        <f t="shared" si="491"/>
        <v>-3032131.0033919998</v>
      </c>
      <c r="AK322" s="204" t="e">
        <f t="shared" si="518"/>
        <v>#VALUE!</v>
      </c>
      <c r="AL322" s="204" t="e">
        <f t="shared" si="519"/>
        <v>#VALUE!</v>
      </c>
      <c r="AM322" s="204" t="e">
        <f t="shared" si="520"/>
        <v>#VALUE!</v>
      </c>
      <c r="AN322" s="204" t="e">
        <f t="shared" si="521"/>
        <v>#VALUE!</v>
      </c>
      <c r="AO322" s="204" t="e">
        <f t="shared" si="522"/>
        <v>#VALUE!</v>
      </c>
      <c r="AP322" s="204" t="e">
        <f t="shared" si="523"/>
        <v>#VALUE!</v>
      </c>
      <c r="AQ322" s="204" t="e">
        <f t="shared" si="524"/>
        <v>#VALUE!</v>
      </c>
      <c r="AR322" s="206" t="e">
        <f t="shared" si="499"/>
        <v>#VALUE!</v>
      </c>
      <c r="AS322" s="170" t="e">
        <f t="shared" si="525"/>
        <v>#VALUE!</v>
      </c>
      <c r="AT322" s="170" t="e">
        <f t="shared" si="526"/>
        <v>#VALUE!</v>
      </c>
      <c r="AU322" s="207" t="e">
        <f t="shared" si="502"/>
        <v>#VALUE!</v>
      </c>
      <c r="AV322" s="208" t="e">
        <f t="shared" si="503"/>
        <v>#VALUE!</v>
      </c>
      <c r="AW322" s="201" t="str">
        <f t="shared" si="504"/>
        <v>Fase de Degradação</v>
      </c>
      <c r="AX322" s="253" t="e">
        <f>VLOOKUP(D322,#REF!,5,FALSE)</f>
        <v>#REF!</v>
      </c>
      <c r="AY322" s="201"/>
      <c r="AZ322" s="273" t="s">
        <v>1224</v>
      </c>
      <c r="BB322">
        <f>IFERROR(VLOOKUP(Tabela1[[#This Row],[Denominação]],[10]Planilha1!$A:$B,2,FALSE),"")</f>
        <v>1183525.5199999996</v>
      </c>
      <c r="BC322" s="219"/>
      <c r="BD322" s="219"/>
      <c r="BE322" s="219"/>
      <c r="BF322" s="219"/>
      <c r="BG322" s="219"/>
    </row>
    <row r="323" spans="1:64" ht="15" hidden="1" customHeight="1" x14ac:dyDescent="0.3">
      <c r="A323" s="268">
        <v>322</v>
      </c>
      <c r="B323" s="171" t="s">
        <v>351</v>
      </c>
      <c r="C323" s="209" t="s">
        <v>172</v>
      </c>
      <c r="D323" s="171">
        <v>10004978</v>
      </c>
      <c r="E323" s="253" t="s">
        <v>1395</v>
      </c>
      <c r="F323" s="210">
        <v>4645</v>
      </c>
      <c r="G323" s="171">
        <v>34909</v>
      </c>
      <c r="H323" s="171">
        <v>2007</v>
      </c>
      <c r="I323" s="213">
        <v>1046659.28</v>
      </c>
      <c r="J323" s="213">
        <v>438243</v>
      </c>
      <c r="K323" s="170">
        <v>1248777.0400000012</v>
      </c>
      <c r="L323" s="215">
        <v>1.36</v>
      </c>
      <c r="M323" s="212">
        <f>6*4*18*12</f>
        <v>5184</v>
      </c>
      <c r="N323" s="212">
        <v>134021</v>
      </c>
      <c r="O323" s="171">
        <v>1181</v>
      </c>
      <c r="P323" s="271" t="str">
        <f>IFERROR(VLOOKUP(Tabela1[[#This Row],[TAG]],#REF!,14,FALSE),"")</f>
        <v/>
      </c>
      <c r="Q323" s="204" t="e">
        <f>P323+P323</f>
        <v>#VALUE!</v>
      </c>
      <c r="R323" s="204" t="e">
        <f t="shared" si="506"/>
        <v>#VALUE!</v>
      </c>
      <c r="S323" s="204" t="e">
        <f t="shared" si="507"/>
        <v>#VALUE!</v>
      </c>
      <c r="T323" s="204" t="e">
        <f t="shared" si="508"/>
        <v>#VALUE!</v>
      </c>
      <c r="U323" s="204" t="e">
        <f t="shared" si="509"/>
        <v>#VALUE!</v>
      </c>
      <c r="V323" s="204" t="e">
        <f t="shared" si="510"/>
        <v>#VALUE!</v>
      </c>
      <c r="W323" s="218">
        <v>616.87</v>
      </c>
      <c r="X323" s="218">
        <v>7053.15</v>
      </c>
      <c r="Y323" s="203">
        <v>0.1</v>
      </c>
      <c r="Z323" s="203">
        <f>IF(Tabela1[[#This Row],[Ano Aquisição]]=2023,0,IFERROR(VLOOKUP(H323,inflação!$F:$H,3,FALSE),""))</f>
        <v>0.93579999999999997</v>
      </c>
      <c r="AA323" s="203">
        <v>0.8</v>
      </c>
      <c r="AB323" s="202">
        <f t="shared" si="483"/>
        <v>-1046659.28</v>
      </c>
      <c r="AC323" s="204" t="e">
        <f t="shared" si="511"/>
        <v>#VALUE!</v>
      </c>
      <c r="AD323" s="204" t="e">
        <f t="shared" si="512"/>
        <v>#VALUE!</v>
      </c>
      <c r="AE323" s="204" t="e">
        <f t="shared" si="513"/>
        <v>#VALUE!</v>
      </c>
      <c r="AF323" s="204" t="e">
        <f t="shared" si="514"/>
        <v>#VALUE!</v>
      </c>
      <c r="AG323" s="204" t="e">
        <f t="shared" si="515"/>
        <v>#VALUE!</v>
      </c>
      <c r="AH323" s="204" t="e">
        <f t="shared" si="516"/>
        <v>#VALUE!</v>
      </c>
      <c r="AI323" s="204" t="e">
        <f t="shared" si="517"/>
        <v>#VALUE!</v>
      </c>
      <c r="AJ323" s="205">
        <f t="shared" si="491"/>
        <v>-2026123.0342240001</v>
      </c>
      <c r="AK323" s="204" t="e">
        <f t="shared" si="518"/>
        <v>#VALUE!</v>
      </c>
      <c r="AL323" s="204" t="e">
        <f t="shared" si="519"/>
        <v>#VALUE!</v>
      </c>
      <c r="AM323" s="204" t="e">
        <f t="shared" si="520"/>
        <v>#VALUE!</v>
      </c>
      <c r="AN323" s="204" t="e">
        <f t="shared" si="521"/>
        <v>#VALUE!</v>
      </c>
      <c r="AO323" s="204" t="e">
        <f t="shared" si="522"/>
        <v>#VALUE!</v>
      </c>
      <c r="AP323" s="204" t="e">
        <f t="shared" si="523"/>
        <v>#VALUE!</v>
      </c>
      <c r="AQ323" s="204" t="e">
        <f t="shared" si="524"/>
        <v>#VALUE!</v>
      </c>
      <c r="AR323" s="206" t="e">
        <f t="shared" si="499"/>
        <v>#VALUE!</v>
      </c>
      <c r="AS323" s="170" t="e">
        <f t="shared" si="525"/>
        <v>#VALUE!</v>
      </c>
      <c r="AT323" s="170" t="e">
        <f t="shared" si="526"/>
        <v>#VALUE!</v>
      </c>
      <c r="AU323" s="207" t="e">
        <f t="shared" si="502"/>
        <v>#VALUE!</v>
      </c>
      <c r="AV323" s="208" t="e">
        <f t="shared" si="503"/>
        <v>#VALUE!</v>
      </c>
      <c r="AW323" s="201" t="str">
        <f t="shared" si="504"/>
        <v>Fase de Degradação</v>
      </c>
      <c r="AX323" s="253" t="e">
        <f>VLOOKUP(D323,#REF!,5,FALSE)</f>
        <v>#REF!</v>
      </c>
      <c r="AY323" s="201" t="s">
        <v>1224</v>
      </c>
      <c r="AZ323" s="273" t="s">
        <v>1224</v>
      </c>
      <c r="BB323">
        <f>IFERROR(VLOOKUP(Tabela1[[#This Row],[Denominação]],[10]Planilha1!$A:$B,2,FALSE),"")</f>
        <v>1248777.0400000012</v>
      </c>
      <c r="BC323" s="219"/>
      <c r="BD323" s="219"/>
      <c r="BE323" s="219"/>
      <c r="BF323" s="219"/>
      <c r="BG323" s="219"/>
    </row>
    <row r="324" spans="1:64" ht="15" hidden="1" customHeight="1" x14ac:dyDescent="0.3">
      <c r="A324" s="253">
        <v>323</v>
      </c>
      <c r="B324" s="171" t="s">
        <v>241</v>
      </c>
      <c r="C324" s="209" t="s">
        <v>242</v>
      </c>
      <c r="D324" s="171">
        <v>10005886</v>
      </c>
      <c r="E324" s="253" t="s">
        <v>1396</v>
      </c>
      <c r="F324" s="210">
        <v>2514</v>
      </c>
      <c r="G324" s="171">
        <v>40301</v>
      </c>
      <c r="H324" s="171">
        <v>2011</v>
      </c>
      <c r="I324" s="213">
        <v>134345.32</v>
      </c>
      <c r="J324" s="213">
        <v>47091</v>
      </c>
      <c r="K324" s="170">
        <v>1253041.7100000007</v>
      </c>
      <c r="L324" s="215">
        <v>1.55</v>
      </c>
      <c r="M324" s="320">
        <v>5020</v>
      </c>
      <c r="N324" s="212">
        <v>103421</v>
      </c>
      <c r="O324" s="171">
        <v>152</v>
      </c>
      <c r="P324" s="271" t="str">
        <f>IFERROR(VLOOKUP(Tabela1[[#This Row],[TAG]],#REF!,14,FALSE),"")</f>
        <v/>
      </c>
      <c r="Q324" s="204" t="e">
        <f t="shared" si="505"/>
        <v>#VALUE!</v>
      </c>
      <c r="R324" s="204" t="e">
        <f t="shared" si="506"/>
        <v>#VALUE!</v>
      </c>
      <c r="S324" s="204" t="e">
        <f t="shared" si="507"/>
        <v>#VALUE!</v>
      </c>
      <c r="T324" s="204" t="e">
        <f t="shared" si="508"/>
        <v>#VALUE!</v>
      </c>
      <c r="U324" s="204" t="e">
        <f t="shared" si="509"/>
        <v>#VALUE!</v>
      </c>
      <c r="V324" s="204" t="e">
        <f t="shared" si="510"/>
        <v>#VALUE!</v>
      </c>
      <c r="W324" s="304">
        <v>516.29</v>
      </c>
      <c r="X324" s="304">
        <v>11068.67856352033</v>
      </c>
      <c r="Y324" s="203">
        <v>0.1</v>
      </c>
      <c r="Z324" s="203">
        <f>IF(Tabela1[[#This Row],[Ano Aquisição]]=2023,0,IFERROR(VLOOKUP(H324,inflação!$F:$H,3,FALSE),""))</f>
        <v>0.73</v>
      </c>
      <c r="AA324" s="203">
        <v>0.8</v>
      </c>
      <c r="AB324" s="202">
        <f t="shared" si="483"/>
        <v>-134345.32</v>
      </c>
      <c r="AC324" s="204" t="e">
        <f t="shared" si="511"/>
        <v>#VALUE!</v>
      </c>
      <c r="AD324" s="204" t="e">
        <f t="shared" si="512"/>
        <v>#VALUE!</v>
      </c>
      <c r="AE324" s="204" t="e">
        <f t="shared" si="513"/>
        <v>#VALUE!</v>
      </c>
      <c r="AF324" s="204" t="e">
        <f t="shared" si="514"/>
        <v>#VALUE!</v>
      </c>
      <c r="AG324" s="204" t="e">
        <f t="shared" si="515"/>
        <v>#VALUE!</v>
      </c>
      <c r="AH324" s="204" t="e">
        <f t="shared" si="516"/>
        <v>#VALUE!</v>
      </c>
      <c r="AI324" s="204" t="e">
        <f t="shared" si="517"/>
        <v>#VALUE!</v>
      </c>
      <c r="AJ324" s="205">
        <f t="shared" si="491"/>
        <v>-232417.40360000002</v>
      </c>
      <c r="AK324" s="204" t="e">
        <f t="shared" si="518"/>
        <v>#VALUE!</v>
      </c>
      <c r="AL324" s="204" t="e">
        <f t="shared" si="519"/>
        <v>#VALUE!</v>
      </c>
      <c r="AM324" s="204" t="e">
        <f t="shared" si="520"/>
        <v>#VALUE!</v>
      </c>
      <c r="AN324" s="204" t="e">
        <f t="shared" si="521"/>
        <v>#VALUE!</v>
      </c>
      <c r="AO324" s="204" t="e">
        <f t="shared" si="522"/>
        <v>#VALUE!</v>
      </c>
      <c r="AP324" s="204" t="e">
        <f t="shared" si="523"/>
        <v>#VALUE!</v>
      </c>
      <c r="AQ324" s="204" t="e">
        <f t="shared" si="524"/>
        <v>#VALUE!</v>
      </c>
      <c r="AR324" s="206" t="e">
        <f t="shared" si="499"/>
        <v>#VALUE!</v>
      </c>
      <c r="AS324" s="170" t="e">
        <f t="shared" si="525"/>
        <v>#VALUE!</v>
      </c>
      <c r="AT324" s="170" t="e">
        <f t="shared" si="526"/>
        <v>#VALUE!</v>
      </c>
      <c r="AU324" s="207" t="e">
        <f t="shared" si="502"/>
        <v>#VALUE!</v>
      </c>
      <c r="AV324" s="208" t="e">
        <f t="shared" si="503"/>
        <v>#VALUE!</v>
      </c>
      <c r="AW324" s="201" t="str">
        <f t="shared" si="504"/>
        <v>Fase de Degradação</v>
      </c>
      <c r="AX324" s="253" t="e">
        <f>VLOOKUP(D324,#REF!,5,FALSE)</f>
        <v>#REF!</v>
      </c>
      <c r="AY324" s="201"/>
      <c r="AZ324" s="273" t="s">
        <v>1224</v>
      </c>
      <c r="BB324">
        <f>IFERROR(VLOOKUP(Tabela1[[#This Row],[Denominação]],[10]Planilha1!$A:$B,2,FALSE),"")</f>
        <v>1253041.7100000007</v>
      </c>
      <c r="BC324" s="219"/>
      <c r="BD324" s="219"/>
      <c r="BE324" s="219"/>
      <c r="BF324" s="219"/>
      <c r="BG324" s="219"/>
    </row>
    <row r="325" spans="1:64" ht="15" hidden="1" customHeight="1" x14ac:dyDescent="0.3">
      <c r="A325" s="268">
        <v>324</v>
      </c>
      <c r="B325" s="171" t="s">
        <v>667</v>
      </c>
      <c r="C325" s="209" t="s">
        <v>668</v>
      </c>
      <c r="D325" s="171">
        <v>10005903</v>
      </c>
      <c r="E325" s="253" t="s">
        <v>1397</v>
      </c>
      <c r="F325" s="210">
        <v>4715</v>
      </c>
      <c r="G325" s="171">
        <v>40017</v>
      </c>
      <c r="H325" s="171">
        <v>2010</v>
      </c>
      <c r="I325" s="213">
        <v>290010.8</v>
      </c>
      <c r="J325" s="213">
        <v>81564</v>
      </c>
      <c r="K325" s="170">
        <v>128569.28999999998</v>
      </c>
      <c r="L325" s="207">
        <v>1.63</v>
      </c>
      <c r="M325" s="212">
        <v>5000</v>
      </c>
      <c r="N325" s="212">
        <v>103739</v>
      </c>
      <c r="O325" s="171">
        <v>248</v>
      </c>
      <c r="P325" s="271" t="str">
        <f>IFERROR(VLOOKUP(Tabela1[[#This Row],[TAG]],#REF!,14,FALSE),"")</f>
        <v/>
      </c>
      <c r="Q325" s="204" t="e">
        <f t="shared" si="505"/>
        <v>#VALUE!</v>
      </c>
      <c r="R325" s="204" t="e">
        <f t="shared" si="506"/>
        <v>#VALUE!</v>
      </c>
      <c r="S325" s="204" t="e">
        <f t="shared" si="507"/>
        <v>#VALUE!</v>
      </c>
      <c r="T325" s="204" t="e">
        <f t="shared" si="508"/>
        <v>#VALUE!</v>
      </c>
      <c r="U325" s="204" t="e">
        <f t="shared" si="509"/>
        <v>#VALUE!</v>
      </c>
      <c r="V325" s="204" t="e">
        <f t="shared" si="510"/>
        <v>#VALUE!</v>
      </c>
      <c r="W325" s="218">
        <v>311.67</v>
      </c>
      <c r="X325" s="218">
        <v>1281.5999999999999</v>
      </c>
      <c r="Y325" s="203">
        <v>0.1</v>
      </c>
      <c r="Z325" s="203">
        <f>IF(Tabela1[[#This Row],[Ano Aquisição]]=2023,0,IFERROR(VLOOKUP(H325,inflação!$F:$H,3,FALSE),""))</f>
        <v>0.78910000000000002</v>
      </c>
      <c r="AA325" s="203">
        <v>0.8</v>
      </c>
      <c r="AB325" s="202">
        <f t="shared" si="483"/>
        <v>-290010.8</v>
      </c>
      <c r="AC325" s="204" t="e">
        <f t="shared" si="511"/>
        <v>#VALUE!</v>
      </c>
      <c r="AD325" s="204" t="e">
        <f t="shared" si="512"/>
        <v>#VALUE!</v>
      </c>
      <c r="AE325" s="204" t="e">
        <f t="shared" si="513"/>
        <v>#VALUE!</v>
      </c>
      <c r="AF325" s="204" t="e">
        <f t="shared" si="514"/>
        <v>#VALUE!</v>
      </c>
      <c r="AG325" s="204" t="e">
        <f t="shared" si="515"/>
        <v>#VALUE!</v>
      </c>
      <c r="AH325" s="204" t="e">
        <f t="shared" si="516"/>
        <v>#VALUE!</v>
      </c>
      <c r="AI325" s="204" t="e">
        <f t="shared" si="517"/>
        <v>#VALUE!</v>
      </c>
      <c r="AJ325" s="205">
        <f t="shared" si="491"/>
        <v>-518858.32227999996</v>
      </c>
      <c r="AK325" s="204" t="e">
        <f t="shared" si="518"/>
        <v>#VALUE!</v>
      </c>
      <c r="AL325" s="204" t="e">
        <f t="shared" si="519"/>
        <v>#VALUE!</v>
      </c>
      <c r="AM325" s="204" t="e">
        <f t="shared" si="520"/>
        <v>#VALUE!</v>
      </c>
      <c r="AN325" s="204" t="e">
        <f t="shared" si="521"/>
        <v>#VALUE!</v>
      </c>
      <c r="AO325" s="204" t="e">
        <f t="shared" si="522"/>
        <v>#VALUE!</v>
      </c>
      <c r="AP325" s="204" t="e">
        <f t="shared" si="523"/>
        <v>#VALUE!</v>
      </c>
      <c r="AQ325" s="204" t="e">
        <f t="shared" si="524"/>
        <v>#VALUE!</v>
      </c>
      <c r="AR325" s="206" t="e">
        <f t="shared" si="499"/>
        <v>#VALUE!</v>
      </c>
      <c r="AS325" s="170" t="e">
        <f t="shared" si="525"/>
        <v>#VALUE!</v>
      </c>
      <c r="AT325" s="170" t="e">
        <f t="shared" si="526"/>
        <v>#VALUE!</v>
      </c>
      <c r="AU325" s="207" t="e">
        <f t="shared" si="502"/>
        <v>#VALUE!</v>
      </c>
      <c r="AV325" s="208" t="e">
        <f t="shared" si="503"/>
        <v>#VALUE!</v>
      </c>
      <c r="AW325" s="201" t="str">
        <f t="shared" si="504"/>
        <v>Fase de Degradação</v>
      </c>
      <c r="AX325" s="253" t="e">
        <f>VLOOKUP(D325,#REF!,5,FALSE)</f>
        <v>#REF!</v>
      </c>
      <c r="AY325" s="201"/>
      <c r="AZ325" s="273" t="s">
        <v>1224</v>
      </c>
      <c r="BB325">
        <f>IFERROR(VLOOKUP(Tabela1[[#This Row],[Denominação]],[10]Planilha1!$A:$B,2,FALSE),"")</f>
        <v>128569.28999999998</v>
      </c>
      <c r="BC325" s="219"/>
      <c r="BD325" s="219"/>
      <c r="BE325" s="219"/>
      <c r="BF325" s="219"/>
      <c r="BG325" s="219"/>
    </row>
    <row r="326" spans="1:64" ht="15" hidden="1" customHeight="1" x14ac:dyDescent="0.3">
      <c r="A326" s="253">
        <v>325</v>
      </c>
      <c r="B326" s="171" t="s">
        <v>695</v>
      </c>
      <c r="C326" s="209" t="s">
        <v>696</v>
      </c>
      <c r="D326" s="171">
        <v>20000316</v>
      </c>
      <c r="E326" s="253" t="s">
        <v>1323</v>
      </c>
      <c r="F326" s="210">
        <v>1073</v>
      </c>
      <c r="G326" s="171">
        <v>40255</v>
      </c>
      <c r="H326" s="171">
        <v>2011</v>
      </c>
      <c r="I326" s="213">
        <v>14189.15</v>
      </c>
      <c r="J326" s="213">
        <v>3622</v>
      </c>
      <c r="K326" s="170">
        <v>26928.46</v>
      </c>
      <c r="L326" s="207">
        <v>1.93</v>
      </c>
      <c r="M326" s="212">
        <v>4116</v>
      </c>
      <c r="N326" s="212">
        <v>96413</v>
      </c>
      <c r="O326" s="171">
        <v>33</v>
      </c>
      <c r="P326" s="271" t="str">
        <f>IFERROR(VLOOKUP(Tabela1[[#This Row],[TAG]],#REF!,14,FALSE),"")</f>
        <v/>
      </c>
      <c r="Q326" s="204" t="e">
        <f t="shared" si="505"/>
        <v>#VALUE!</v>
      </c>
      <c r="R326" s="204" t="e">
        <f t="shared" si="506"/>
        <v>#VALUE!</v>
      </c>
      <c r="S326" s="204" t="e">
        <f t="shared" si="507"/>
        <v>#VALUE!</v>
      </c>
      <c r="T326" s="204" t="e">
        <f t="shared" si="508"/>
        <v>#VALUE!</v>
      </c>
      <c r="U326" s="204" t="e">
        <f t="shared" si="509"/>
        <v>#VALUE!</v>
      </c>
      <c r="V326" s="204" t="e">
        <f t="shared" si="510"/>
        <v>#VALUE!</v>
      </c>
      <c r="W326" s="218">
        <v>827.16</v>
      </c>
      <c r="X326" s="170">
        <v>644.79999999999995</v>
      </c>
      <c r="Y326" s="203">
        <v>0.1</v>
      </c>
      <c r="Z326" s="203">
        <f>IF(Tabela1[[#This Row],[Ano Aquisição]]=2023,0,IFERROR(VLOOKUP(H326,inflação!$F:$H,3,FALSE),""))</f>
        <v>0.73</v>
      </c>
      <c r="AA326" s="203">
        <v>0.8</v>
      </c>
      <c r="AB326" s="202">
        <f t="shared" si="483"/>
        <v>-14189.15</v>
      </c>
      <c r="AC326" s="204" t="e">
        <f t="shared" si="511"/>
        <v>#VALUE!</v>
      </c>
      <c r="AD326" s="204" t="e">
        <f t="shared" si="512"/>
        <v>#VALUE!</v>
      </c>
      <c r="AE326" s="204" t="e">
        <f t="shared" si="513"/>
        <v>#VALUE!</v>
      </c>
      <c r="AF326" s="204" t="e">
        <f t="shared" si="514"/>
        <v>#VALUE!</v>
      </c>
      <c r="AG326" s="204" t="e">
        <f t="shared" si="515"/>
        <v>#VALUE!</v>
      </c>
      <c r="AH326" s="204" t="e">
        <f t="shared" si="516"/>
        <v>#VALUE!</v>
      </c>
      <c r="AI326" s="204" t="e">
        <f t="shared" si="517"/>
        <v>#VALUE!</v>
      </c>
      <c r="AJ326" s="205">
        <f t="shared" si="491"/>
        <v>-24547.229499999998</v>
      </c>
      <c r="AK326" s="204" t="e">
        <f t="shared" si="518"/>
        <v>#VALUE!</v>
      </c>
      <c r="AL326" s="204" t="e">
        <f t="shared" si="519"/>
        <v>#VALUE!</v>
      </c>
      <c r="AM326" s="204" t="e">
        <f t="shared" si="520"/>
        <v>#VALUE!</v>
      </c>
      <c r="AN326" s="204" t="e">
        <f t="shared" si="521"/>
        <v>#VALUE!</v>
      </c>
      <c r="AO326" s="204" t="e">
        <f t="shared" si="522"/>
        <v>#VALUE!</v>
      </c>
      <c r="AP326" s="204" t="e">
        <f t="shared" si="523"/>
        <v>#VALUE!</v>
      </c>
      <c r="AQ326" s="204" t="e">
        <f t="shared" si="524"/>
        <v>#VALUE!</v>
      </c>
      <c r="AR326" s="206" t="e">
        <f t="shared" si="499"/>
        <v>#VALUE!</v>
      </c>
      <c r="AS326" s="170" t="e">
        <f t="shared" si="525"/>
        <v>#VALUE!</v>
      </c>
      <c r="AT326" s="170" t="e">
        <f t="shared" si="526"/>
        <v>#VALUE!</v>
      </c>
      <c r="AU326" s="207" t="e">
        <f t="shared" si="502"/>
        <v>#VALUE!</v>
      </c>
      <c r="AV326" s="208" t="e">
        <f t="shared" si="503"/>
        <v>#VALUE!</v>
      </c>
      <c r="AW326" s="201" t="str">
        <f t="shared" si="504"/>
        <v>Fase de Degradação</v>
      </c>
      <c r="AX326" s="253" t="e">
        <f>VLOOKUP(D326,#REF!,5,FALSE)</f>
        <v>#REF!</v>
      </c>
      <c r="AY326" s="201"/>
      <c r="AZ326" s="273" t="s">
        <v>1224</v>
      </c>
      <c r="BB326">
        <f>IFERROR(VLOOKUP(Tabela1[[#This Row],[Denominação]],[10]Planilha1!$A:$B,2,FALSE),"")</f>
        <v>26928.46</v>
      </c>
      <c r="BC326" s="219"/>
      <c r="BD326" s="219"/>
      <c r="BE326" s="219"/>
      <c r="BF326" s="219"/>
      <c r="BG326" s="219"/>
    </row>
    <row r="327" spans="1:64" ht="15" hidden="1" customHeight="1" x14ac:dyDescent="0.3">
      <c r="A327" s="268">
        <v>326</v>
      </c>
      <c r="B327" s="171" t="s">
        <v>649</v>
      </c>
      <c r="C327" s="209" t="s">
        <v>650</v>
      </c>
      <c r="D327" s="171">
        <v>10006080</v>
      </c>
      <c r="E327" s="253" t="s">
        <v>1398</v>
      </c>
      <c r="F327" s="210">
        <v>4715</v>
      </c>
      <c r="G327" s="171">
        <v>41640</v>
      </c>
      <c r="H327" s="171">
        <v>2012</v>
      </c>
      <c r="I327" s="213">
        <v>229442.12</v>
      </c>
      <c r="J327" s="213">
        <v>65680</v>
      </c>
      <c r="K327" s="170">
        <v>144795.26000000004</v>
      </c>
      <c r="L327" s="207">
        <v>1.66</v>
      </c>
      <c r="M327" s="212">
        <v>5000</v>
      </c>
      <c r="N327" s="212">
        <v>93192</v>
      </c>
      <c r="O327" s="171">
        <v>275</v>
      </c>
      <c r="P327" s="271" t="str">
        <f>IFERROR(VLOOKUP(Tabela1[[#This Row],[TAG]],#REF!,14,FALSE),"")</f>
        <v/>
      </c>
      <c r="Q327" s="204" t="e">
        <f t="shared" si="505"/>
        <v>#VALUE!</v>
      </c>
      <c r="R327" s="204" t="e">
        <f t="shared" si="506"/>
        <v>#VALUE!</v>
      </c>
      <c r="S327" s="204" t="e">
        <f t="shared" si="507"/>
        <v>#VALUE!</v>
      </c>
      <c r="T327" s="204" t="e">
        <f t="shared" si="508"/>
        <v>#VALUE!</v>
      </c>
      <c r="U327" s="204" t="e">
        <f t="shared" si="509"/>
        <v>#VALUE!</v>
      </c>
      <c r="V327" s="204" t="e">
        <f t="shared" si="510"/>
        <v>#VALUE!</v>
      </c>
      <c r="W327" s="218">
        <v>384.02</v>
      </c>
      <c r="X327" s="218">
        <v>1424.49</v>
      </c>
      <c r="Y327" s="203">
        <v>0.1</v>
      </c>
      <c r="Z327" s="203">
        <f>IF(Tabela1[[#This Row],[Ano Aquisição]]=2023,0,IFERROR(VLOOKUP(H327,inflação!$F:$H,3,FALSE),""))</f>
        <v>0.66500000000000004</v>
      </c>
      <c r="AA327" s="203">
        <v>0.8</v>
      </c>
      <c r="AB327" s="202">
        <f t="shared" si="483"/>
        <v>-229442.12</v>
      </c>
      <c r="AC327" s="204" t="e">
        <f t="shared" si="511"/>
        <v>#VALUE!</v>
      </c>
      <c r="AD327" s="204" t="e">
        <f t="shared" si="512"/>
        <v>#VALUE!</v>
      </c>
      <c r="AE327" s="204" t="e">
        <f t="shared" si="513"/>
        <v>#VALUE!</v>
      </c>
      <c r="AF327" s="204" t="e">
        <f t="shared" si="514"/>
        <v>#VALUE!</v>
      </c>
      <c r="AG327" s="204" t="e">
        <f t="shared" si="515"/>
        <v>#VALUE!</v>
      </c>
      <c r="AH327" s="204" t="e">
        <f t="shared" si="516"/>
        <v>#VALUE!</v>
      </c>
      <c r="AI327" s="204" t="e">
        <f t="shared" si="517"/>
        <v>#VALUE!</v>
      </c>
      <c r="AJ327" s="205">
        <f t="shared" si="491"/>
        <v>-382021.1298</v>
      </c>
      <c r="AK327" s="204" t="e">
        <f t="shared" si="518"/>
        <v>#VALUE!</v>
      </c>
      <c r="AL327" s="204" t="e">
        <f t="shared" si="519"/>
        <v>#VALUE!</v>
      </c>
      <c r="AM327" s="204" t="e">
        <f t="shared" si="520"/>
        <v>#VALUE!</v>
      </c>
      <c r="AN327" s="204" t="e">
        <f t="shared" si="521"/>
        <v>#VALUE!</v>
      </c>
      <c r="AO327" s="204" t="e">
        <f t="shared" si="522"/>
        <v>#VALUE!</v>
      </c>
      <c r="AP327" s="204" t="e">
        <f t="shared" si="523"/>
        <v>#VALUE!</v>
      </c>
      <c r="AQ327" s="204" t="e">
        <f t="shared" si="524"/>
        <v>#VALUE!</v>
      </c>
      <c r="AR327" s="206" t="e">
        <f t="shared" si="499"/>
        <v>#VALUE!</v>
      </c>
      <c r="AS327" s="170" t="e">
        <f t="shared" si="525"/>
        <v>#VALUE!</v>
      </c>
      <c r="AT327" s="170" t="e">
        <f t="shared" si="526"/>
        <v>#VALUE!</v>
      </c>
      <c r="AU327" s="207" t="e">
        <f t="shared" si="502"/>
        <v>#VALUE!</v>
      </c>
      <c r="AV327" s="208" t="e">
        <f t="shared" si="503"/>
        <v>#VALUE!</v>
      </c>
      <c r="AW327" s="201" t="str">
        <f t="shared" si="504"/>
        <v>Fase de Degradação</v>
      </c>
      <c r="AX327" s="253" t="e">
        <f>VLOOKUP(D327,#REF!,5,FALSE)</f>
        <v>#REF!</v>
      </c>
      <c r="AY327" s="201"/>
      <c r="AZ327" s="273" t="s">
        <v>1224</v>
      </c>
      <c r="BB327">
        <f>IFERROR(VLOOKUP(Tabela1[[#This Row],[Denominação]],[10]Planilha1!$A:$B,2,FALSE),"")</f>
        <v>144795.26000000004</v>
      </c>
      <c r="BC327" s="219"/>
      <c r="BD327" s="219"/>
      <c r="BE327" s="219"/>
      <c r="BF327" s="219"/>
      <c r="BG327" s="219"/>
    </row>
    <row r="328" spans="1:64" ht="15" hidden="1" customHeight="1" x14ac:dyDescent="0.3">
      <c r="A328" s="253">
        <v>327</v>
      </c>
      <c r="B328" s="255" t="s">
        <v>1831</v>
      </c>
      <c r="C328" s="209" t="s">
        <v>1700</v>
      </c>
      <c r="D328" s="171">
        <v>10006200</v>
      </c>
      <c r="E328" s="253" t="s">
        <v>1485</v>
      </c>
      <c r="F328" s="210">
        <v>4566</v>
      </c>
      <c r="G328" s="171">
        <v>43495</v>
      </c>
      <c r="H328" s="171">
        <v>2013</v>
      </c>
      <c r="I328" s="213">
        <v>63602.06</v>
      </c>
      <c r="J328" s="213">
        <v>35943</v>
      </c>
      <c r="K328" s="170">
        <v>28190.900000000027</v>
      </c>
      <c r="L328" s="207">
        <v>1.04</v>
      </c>
      <c r="M328" s="212">
        <v>4099</v>
      </c>
      <c r="N328" s="212">
        <v>87224</v>
      </c>
      <c r="O328" s="171">
        <v>91</v>
      </c>
      <c r="P328" s="271" t="str">
        <f>IFERROR(VLOOKUP(Tabela1[[#This Row],[TAG]],#REF!,14,FALSE),"")</f>
        <v/>
      </c>
      <c r="Q328" s="204" t="e">
        <f t="shared" si="505"/>
        <v>#VALUE!</v>
      </c>
      <c r="R328" s="204" t="e">
        <f t="shared" si="506"/>
        <v>#VALUE!</v>
      </c>
      <c r="S328" s="204" t="e">
        <f t="shared" si="507"/>
        <v>#VALUE!</v>
      </c>
      <c r="T328" s="204" t="e">
        <f t="shared" si="508"/>
        <v>#VALUE!</v>
      </c>
      <c r="U328" s="204" t="e">
        <f t="shared" si="509"/>
        <v>#VALUE!</v>
      </c>
      <c r="V328" s="204" t="e">
        <f t="shared" si="510"/>
        <v>#VALUE!</v>
      </c>
      <c r="W328" s="218">
        <v>1009.65</v>
      </c>
      <c r="X328" s="218">
        <v>2903.04</v>
      </c>
      <c r="Y328" s="203">
        <v>0.1</v>
      </c>
      <c r="Z328" s="203">
        <f>IF(Tabela1[[#This Row],[Ano Aquisição]]=2023,0,IFERROR(VLOOKUP(H328,inflação!$F:$H,3,FALSE),""))</f>
        <v>0.60660000000000003</v>
      </c>
      <c r="AA328" s="203">
        <v>0.8</v>
      </c>
      <c r="AB328" s="202">
        <f t="shared" si="483"/>
        <v>-63602.06</v>
      </c>
      <c r="AC328" s="204" t="e">
        <f t="shared" si="511"/>
        <v>#VALUE!</v>
      </c>
      <c r="AD328" s="204" t="e">
        <f t="shared" si="512"/>
        <v>#VALUE!</v>
      </c>
      <c r="AE328" s="204" t="e">
        <f t="shared" si="513"/>
        <v>#VALUE!</v>
      </c>
      <c r="AF328" s="204" t="e">
        <f t="shared" si="514"/>
        <v>#VALUE!</v>
      </c>
      <c r="AG328" s="204" t="e">
        <f t="shared" si="515"/>
        <v>#VALUE!</v>
      </c>
      <c r="AH328" s="204" t="e">
        <f t="shared" si="516"/>
        <v>#VALUE!</v>
      </c>
      <c r="AI328" s="204" t="e">
        <f t="shared" si="517"/>
        <v>#VALUE!</v>
      </c>
      <c r="AJ328" s="205">
        <f t="shared" si="491"/>
        <v>-102183.069596</v>
      </c>
      <c r="AK328" s="204" t="e">
        <f t="shared" si="518"/>
        <v>#VALUE!</v>
      </c>
      <c r="AL328" s="204" t="e">
        <f t="shared" si="519"/>
        <v>#VALUE!</v>
      </c>
      <c r="AM328" s="204" t="e">
        <f t="shared" si="520"/>
        <v>#VALUE!</v>
      </c>
      <c r="AN328" s="204" t="e">
        <f t="shared" si="521"/>
        <v>#VALUE!</v>
      </c>
      <c r="AO328" s="204" t="e">
        <f t="shared" si="522"/>
        <v>#VALUE!</v>
      </c>
      <c r="AP328" s="204" t="e">
        <f t="shared" si="523"/>
        <v>#VALUE!</v>
      </c>
      <c r="AQ328" s="204" t="e">
        <f t="shared" si="524"/>
        <v>#VALUE!</v>
      </c>
      <c r="AR328" s="206" t="e">
        <f t="shared" si="499"/>
        <v>#VALUE!</v>
      </c>
      <c r="AS328" s="170" t="e">
        <f t="shared" si="525"/>
        <v>#VALUE!</v>
      </c>
      <c r="AT328" s="170" t="e">
        <f t="shared" si="526"/>
        <v>#VALUE!</v>
      </c>
      <c r="AU328" s="207" t="e">
        <f t="shared" si="502"/>
        <v>#VALUE!</v>
      </c>
      <c r="AV328" s="208" t="e">
        <f t="shared" si="503"/>
        <v>#VALUE!</v>
      </c>
      <c r="AW328" s="201" t="str">
        <f t="shared" si="504"/>
        <v>Fase de Vida Útil</v>
      </c>
      <c r="AX328" s="253" t="e">
        <f>VLOOKUP(D328,#REF!,5,FALSE)</f>
        <v>#REF!</v>
      </c>
      <c r="AY328" s="201"/>
      <c r="AZ328" s="273" t="s">
        <v>1224</v>
      </c>
      <c r="BB328">
        <f>IFERROR(VLOOKUP(Tabela1[[#This Row],[Denominação]],[10]Planilha1!$A:$B,2,FALSE),"")</f>
        <v>28190.900000000027</v>
      </c>
      <c r="BC328" s="219"/>
      <c r="BD328" s="219"/>
      <c r="BE328" s="219"/>
      <c r="BF328" s="219"/>
      <c r="BG328" s="219"/>
    </row>
    <row r="329" spans="1:64" ht="15" hidden="1" customHeight="1" x14ac:dyDescent="0.3">
      <c r="A329" s="268">
        <v>328</v>
      </c>
      <c r="B329" s="321" t="s">
        <v>709</v>
      </c>
      <c r="C329" s="328" t="s">
        <v>710</v>
      </c>
      <c r="D329" s="321">
        <v>10006259</v>
      </c>
      <c r="E329" s="299"/>
      <c r="F329" s="332">
        <v>4566</v>
      </c>
      <c r="G329" s="321">
        <v>43438</v>
      </c>
      <c r="H329" s="321">
        <v>2013</v>
      </c>
      <c r="I329" s="333">
        <v>23481.38</v>
      </c>
      <c r="J329" s="333">
        <v>0</v>
      </c>
      <c r="K329" s="326">
        <v>16660.560000000001</v>
      </c>
      <c r="L329" s="319">
        <v>0.77</v>
      </c>
      <c r="M329" s="320">
        <v>4300</v>
      </c>
      <c r="N329" s="320">
        <v>29639</v>
      </c>
      <c r="O329" s="321">
        <v>28</v>
      </c>
      <c r="P329" s="271" t="str">
        <f>IFERROR(VLOOKUP(Tabela1[[#This Row],[TAG]],#REF!,14,FALSE),"")</f>
        <v/>
      </c>
      <c r="Q329" s="323" t="e">
        <f t="shared" ref="Q329:Q342" si="527">P329+P329</f>
        <v>#VALUE!</v>
      </c>
      <c r="R329" s="323" t="e">
        <f t="shared" ref="R329:R342" si="528">Q329+P329</f>
        <v>#VALUE!</v>
      </c>
      <c r="S329" s="323" t="e">
        <f t="shared" ref="S329:S342" si="529">R329+P329</f>
        <v>#VALUE!</v>
      </c>
      <c r="T329" s="323" t="e">
        <f t="shared" ref="T329:T342" si="530">S329+P329</f>
        <v>#VALUE!</v>
      </c>
      <c r="U329" s="323" t="e">
        <f t="shared" ref="U329:U342" si="531">T329+P329</f>
        <v>#VALUE!</v>
      </c>
      <c r="V329" s="323" t="e">
        <f t="shared" ref="V329:V342" si="532">U329+P329</f>
        <v>#VALUE!</v>
      </c>
      <c r="W329" s="304">
        <v>100</v>
      </c>
      <c r="X329" s="304">
        <v>293.334227</v>
      </c>
      <c r="Y329" s="322">
        <v>0.1</v>
      </c>
      <c r="Z329" s="322">
        <f>IF(Tabela1[[#This Row],[Ano Aquisição]]=2023,0,IFERROR(VLOOKUP(H329,inflação!$F:$H,3,FALSE),""))</f>
        <v>0.60660000000000003</v>
      </c>
      <c r="AA329" s="322">
        <v>0.8</v>
      </c>
      <c r="AB329" s="310">
        <f t="shared" si="483"/>
        <v>-23481.38</v>
      </c>
      <c r="AC329" s="323" t="e">
        <f t="shared" ref="AC329:AC342" si="533">-(((P329*$W329)+($X329*12))*((1+$Y329)^AC$1))</f>
        <v>#VALUE!</v>
      </c>
      <c r="AD329" s="323" t="e">
        <f t="shared" ref="AD329:AD342" si="534">-((((Q329-P329)*$W329)+($X329*12))*((1+$Y329)^AD$1))</f>
        <v>#VALUE!</v>
      </c>
      <c r="AE329" s="323" t="e">
        <f t="shared" ref="AE329:AE342" si="535">-((((R329-Q329)*$W329)+($X329*12))*((1+$Y329)^AE$1))</f>
        <v>#VALUE!</v>
      </c>
      <c r="AF329" s="323" t="e">
        <f t="shared" ref="AF329:AF342" si="536">-((((S329-R329)*$W329)+($X329*12))*((1+$Y329)^AF$1))</f>
        <v>#VALUE!</v>
      </c>
      <c r="AG329" s="323" t="e">
        <f t="shared" ref="AG329:AG342" si="537">-((((T329-S329)*$W329)+($X329*12))*((1+$Y329)^AG$1))</f>
        <v>#VALUE!</v>
      </c>
      <c r="AH329" s="323" t="e">
        <f t="shared" ref="AH329:AH342" si="538">-((((U329-T329)*$W329)+($X329*12))*((1+$Y329)^AH$1))</f>
        <v>#VALUE!</v>
      </c>
      <c r="AI329" s="323" t="e">
        <f t="shared" ref="AI329:AI342" si="539">-((((V329-U329)*$W329)+($X329*12))*((1+$Y329)^AI$1))</f>
        <v>#VALUE!</v>
      </c>
      <c r="AJ329" s="324">
        <f t="shared" si="491"/>
        <v>-37725.185108000005</v>
      </c>
      <c r="AK329" s="323" t="e">
        <f t="shared" ref="AK329:AK342" si="540">AC329*(1-$AA329)</f>
        <v>#VALUE!</v>
      </c>
      <c r="AL329" s="323" t="e">
        <f t="shared" ref="AL329:AL342" si="541">AD329*(1-$AA329)</f>
        <v>#VALUE!</v>
      </c>
      <c r="AM329" s="323" t="e">
        <f t="shared" ref="AM329:AM342" si="542">AE329*(1-$AA329)</f>
        <v>#VALUE!</v>
      </c>
      <c r="AN329" s="323" t="e">
        <f t="shared" ref="AN329:AN342" si="543">AF329*(1-$AA329)</f>
        <v>#VALUE!</v>
      </c>
      <c r="AO329" s="323" t="e">
        <f t="shared" ref="AO329:AO342" si="544">AG329*(1-$AA329)</f>
        <v>#VALUE!</v>
      </c>
      <c r="AP329" s="323" t="e">
        <f t="shared" ref="AP329:AP342" si="545">AH329*(1-$AA329)</f>
        <v>#VALUE!</v>
      </c>
      <c r="AQ329" s="323" t="e">
        <f t="shared" ref="AQ329:AQ342" si="546">AI329*(1-$AA329)</f>
        <v>#VALUE!</v>
      </c>
      <c r="AR329" s="325" t="e">
        <f t="shared" si="499"/>
        <v>#VALUE!</v>
      </c>
      <c r="AS329" s="326" t="e">
        <f t="shared" ref="AS329:AS342" si="547">SUM(AC329:AI329)</f>
        <v>#VALUE!</v>
      </c>
      <c r="AT329" s="326" t="e">
        <f t="shared" ref="AT329:AT342" si="548">SUM(AK329:AQ329)</f>
        <v>#VALUE!</v>
      </c>
      <c r="AU329" s="319" t="e">
        <f t="shared" si="502"/>
        <v>#VALUE!</v>
      </c>
      <c r="AV329" s="327" t="e">
        <f t="shared" si="503"/>
        <v>#VALUE!</v>
      </c>
      <c r="AW329" s="315" t="str">
        <f t="shared" si="504"/>
        <v>Confiabilidade em Crescimento</v>
      </c>
      <c r="AX329" s="299" t="e">
        <f>VLOOKUP(D329,#REF!,5,FALSE)</f>
        <v>#REF!</v>
      </c>
      <c r="AY329" s="315"/>
      <c r="AZ329" s="316" t="s">
        <v>1224</v>
      </c>
      <c r="BB329">
        <f>IFERROR(VLOOKUP(Tabela1[[#This Row],[Denominação]],[10]Planilha1!$A:$B,2,FALSE),"")</f>
        <v>16660.560000000001</v>
      </c>
      <c r="BC329" s="219"/>
      <c r="BD329" s="219"/>
      <c r="BE329" s="219"/>
      <c r="BF329" s="219"/>
      <c r="BG329" s="219"/>
    </row>
    <row r="330" spans="1:64" ht="15" hidden="1" customHeight="1" x14ac:dyDescent="0.3">
      <c r="A330" s="253">
        <v>329</v>
      </c>
      <c r="B330" s="201" t="s">
        <v>314</v>
      </c>
      <c r="C330" s="211" t="s">
        <v>135</v>
      </c>
      <c r="D330" s="201">
        <v>10006377</v>
      </c>
      <c r="E330" s="253" t="s">
        <v>1399</v>
      </c>
      <c r="F330" s="253">
        <v>3342</v>
      </c>
      <c r="G330" s="201">
        <v>46812</v>
      </c>
      <c r="H330" s="201">
        <v>2016</v>
      </c>
      <c r="I330" s="216">
        <v>1490674.38</v>
      </c>
      <c r="J330" s="214">
        <v>609050</v>
      </c>
      <c r="K330" s="170">
        <v>2787011.1099999966</v>
      </c>
      <c r="L330" s="207">
        <v>0.87</v>
      </c>
      <c r="M330" s="212">
        <v>4800</v>
      </c>
      <c r="N330" s="212">
        <v>58622</v>
      </c>
      <c r="O330" s="171">
        <v>803</v>
      </c>
      <c r="P330" s="271" t="str">
        <f>IFERROR(VLOOKUP(Tabela1[[#This Row],[TAG]],#REF!,14,FALSE),"")</f>
        <v/>
      </c>
      <c r="Q330" s="204" t="e">
        <f t="shared" si="527"/>
        <v>#VALUE!</v>
      </c>
      <c r="R330" s="204" t="e">
        <f t="shared" si="528"/>
        <v>#VALUE!</v>
      </c>
      <c r="S330" s="204" t="e">
        <f t="shared" si="529"/>
        <v>#VALUE!</v>
      </c>
      <c r="T330" s="204" t="e">
        <f t="shared" si="530"/>
        <v>#VALUE!</v>
      </c>
      <c r="U330" s="204" t="e">
        <f t="shared" si="531"/>
        <v>#VALUE!</v>
      </c>
      <c r="V330" s="204" t="e">
        <f t="shared" si="532"/>
        <v>#VALUE!</v>
      </c>
      <c r="W330" s="218">
        <v>769.67</v>
      </c>
      <c r="X330" s="218">
        <v>5252.26</v>
      </c>
      <c r="Y330" s="203">
        <v>0.1</v>
      </c>
      <c r="Z330" s="203">
        <f>IF(Tabela1[[#This Row],[Ano Aquisição]]=2023,0,IFERROR(VLOOKUP(H330,inflação!$F:$H,3,FALSE),""))</f>
        <v>0.37669999999999998</v>
      </c>
      <c r="AA330" s="203">
        <v>0.8</v>
      </c>
      <c r="AB330" s="202">
        <f t="shared" si="483"/>
        <v>-1490674.38</v>
      </c>
      <c r="AC330" s="204" t="e">
        <f t="shared" si="533"/>
        <v>#VALUE!</v>
      </c>
      <c r="AD330" s="204" t="e">
        <f t="shared" si="534"/>
        <v>#VALUE!</v>
      </c>
      <c r="AE330" s="204" t="e">
        <f t="shared" si="535"/>
        <v>#VALUE!</v>
      </c>
      <c r="AF330" s="204" t="e">
        <f t="shared" si="536"/>
        <v>#VALUE!</v>
      </c>
      <c r="AG330" s="204" t="e">
        <f t="shared" si="537"/>
        <v>#VALUE!</v>
      </c>
      <c r="AH330" s="204" t="e">
        <f t="shared" si="538"/>
        <v>#VALUE!</v>
      </c>
      <c r="AI330" s="204" t="e">
        <f t="shared" si="539"/>
        <v>#VALUE!</v>
      </c>
      <c r="AJ330" s="205">
        <f t="shared" si="491"/>
        <v>-2052211.4189459998</v>
      </c>
      <c r="AK330" s="204" t="e">
        <f t="shared" si="540"/>
        <v>#VALUE!</v>
      </c>
      <c r="AL330" s="204" t="e">
        <f t="shared" si="541"/>
        <v>#VALUE!</v>
      </c>
      <c r="AM330" s="204" t="e">
        <f t="shared" si="542"/>
        <v>#VALUE!</v>
      </c>
      <c r="AN330" s="204" t="e">
        <f t="shared" si="543"/>
        <v>#VALUE!</v>
      </c>
      <c r="AO330" s="204" t="e">
        <f t="shared" si="544"/>
        <v>#VALUE!</v>
      </c>
      <c r="AP330" s="204" t="e">
        <f t="shared" si="545"/>
        <v>#VALUE!</v>
      </c>
      <c r="AQ330" s="204" t="e">
        <f t="shared" si="546"/>
        <v>#VALUE!</v>
      </c>
      <c r="AR330" s="206" t="e">
        <f t="shared" si="499"/>
        <v>#VALUE!</v>
      </c>
      <c r="AS330" s="170" t="e">
        <f t="shared" si="547"/>
        <v>#VALUE!</v>
      </c>
      <c r="AT330" s="170" t="e">
        <f t="shared" si="548"/>
        <v>#VALUE!</v>
      </c>
      <c r="AU330" s="207" t="e">
        <f t="shared" si="502"/>
        <v>#VALUE!</v>
      </c>
      <c r="AV330" s="208" t="e">
        <f t="shared" si="503"/>
        <v>#VALUE!</v>
      </c>
      <c r="AW330" s="201" t="str">
        <f t="shared" si="504"/>
        <v>Confiabilidade em Crescimento</v>
      </c>
      <c r="AX330" s="253" t="e">
        <f>VLOOKUP(D330,#REF!,5,FALSE)</f>
        <v>#REF!</v>
      </c>
      <c r="AY330" s="201"/>
      <c r="AZ330" s="273" t="s">
        <v>1224</v>
      </c>
      <c r="BB330">
        <f>IFERROR(VLOOKUP(Tabela1[[#This Row],[Denominação]],[10]Planilha1!$A:$B,2,FALSE),"")</f>
        <v>2787011.1099999966</v>
      </c>
      <c r="BC330" s="219"/>
      <c r="BD330" s="219"/>
      <c r="BE330" s="219"/>
      <c r="BF330" s="219"/>
      <c r="BG330" s="219"/>
    </row>
    <row r="331" spans="1:64" ht="15" hidden="1" customHeight="1" x14ac:dyDescent="0.3">
      <c r="A331" s="268">
        <v>330</v>
      </c>
      <c r="B331" s="171" t="s">
        <v>388</v>
      </c>
      <c r="C331" s="209" t="s">
        <v>209</v>
      </c>
      <c r="D331" s="171">
        <v>10006379</v>
      </c>
      <c r="E331" s="253" t="s">
        <v>1400</v>
      </c>
      <c r="F331" s="210">
        <v>4645</v>
      </c>
      <c r="G331" s="171">
        <v>46491</v>
      </c>
      <c r="H331" s="171">
        <v>2016</v>
      </c>
      <c r="I331" s="213">
        <v>1062561.42</v>
      </c>
      <c r="J331" s="213">
        <v>663826</v>
      </c>
      <c r="K331" s="170">
        <v>1180629.100000001</v>
      </c>
      <c r="L331" s="215">
        <v>0.92</v>
      </c>
      <c r="M331" s="212">
        <f>6*4*18*12</f>
        <v>5184</v>
      </c>
      <c r="N331" s="212">
        <v>63018</v>
      </c>
      <c r="O331" s="171">
        <v>1191</v>
      </c>
      <c r="P331" s="271" t="str">
        <f>IFERROR(VLOOKUP(Tabela1[[#This Row],[TAG]],#REF!,14,FALSE),"")</f>
        <v/>
      </c>
      <c r="Q331" s="204" t="e">
        <f>P331+P331</f>
        <v>#VALUE!</v>
      </c>
      <c r="R331" s="204" t="e">
        <f t="shared" si="528"/>
        <v>#VALUE!</v>
      </c>
      <c r="S331" s="204" t="e">
        <f t="shared" si="529"/>
        <v>#VALUE!</v>
      </c>
      <c r="T331" s="204" t="e">
        <f t="shared" si="530"/>
        <v>#VALUE!</v>
      </c>
      <c r="U331" s="204" t="e">
        <f t="shared" si="531"/>
        <v>#VALUE!</v>
      </c>
      <c r="V331" s="204" t="e">
        <f t="shared" si="532"/>
        <v>#VALUE!</v>
      </c>
      <c r="W331" s="218">
        <v>469.13</v>
      </c>
      <c r="X331" s="218">
        <v>8518.4699999999993</v>
      </c>
      <c r="Y331" s="203">
        <v>0.1</v>
      </c>
      <c r="Z331" s="203">
        <f>IF(Tabela1[[#This Row],[Ano Aquisição]]=2023,0,IFERROR(VLOOKUP(H331,inflação!$F:$H,3,FALSE),""))</f>
        <v>0.37669999999999998</v>
      </c>
      <c r="AA331" s="203">
        <v>0.8</v>
      </c>
      <c r="AB331" s="202">
        <f t="shared" si="483"/>
        <v>-1062561.42</v>
      </c>
      <c r="AC331" s="204" t="e">
        <f t="shared" si="533"/>
        <v>#VALUE!</v>
      </c>
      <c r="AD331" s="204" t="e">
        <f t="shared" si="534"/>
        <v>#VALUE!</v>
      </c>
      <c r="AE331" s="204" t="e">
        <f t="shared" si="535"/>
        <v>#VALUE!</v>
      </c>
      <c r="AF331" s="204" t="e">
        <f t="shared" si="536"/>
        <v>#VALUE!</v>
      </c>
      <c r="AG331" s="204" t="e">
        <f t="shared" si="537"/>
        <v>#VALUE!</v>
      </c>
      <c r="AH331" s="204" t="e">
        <f t="shared" si="538"/>
        <v>#VALUE!</v>
      </c>
      <c r="AI331" s="204" t="e">
        <f t="shared" si="539"/>
        <v>#VALUE!</v>
      </c>
      <c r="AJ331" s="205">
        <f t="shared" si="491"/>
        <v>-1462828.3069139998</v>
      </c>
      <c r="AK331" s="204" t="e">
        <f t="shared" si="540"/>
        <v>#VALUE!</v>
      </c>
      <c r="AL331" s="204" t="e">
        <f t="shared" si="541"/>
        <v>#VALUE!</v>
      </c>
      <c r="AM331" s="204" t="e">
        <f t="shared" si="542"/>
        <v>#VALUE!</v>
      </c>
      <c r="AN331" s="204" t="e">
        <f t="shared" si="543"/>
        <v>#VALUE!</v>
      </c>
      <c r="AO331" s="204" t="e">
        <f t="shared" si="544"/>
        <v>#VALUE!</v>
      </c>
      <c r="AP331" s="204" t="e">
        <f t="shared" si="545"/>
        <v>#VALUE!</v>
      </c>
      <c r="AQ331" s="204" t="e">
        <f t="shared" si="546"/>
        <v>#VALUE!</v>
      </c>
      <c r="AR331" s="206" t="e">
        <f t="shared" si="499"/>
        <v>#VALUE!</v>
      </c>
      <c r="AS331" s="170" t="e">
        <f t="shared" si="547"/>
        <v>#VALUE!</v>
      </c>
      <c r="AT331" s="170" t="e">
        <f t="shared" si="548"/>
        <v>#VALUE!</v>
      </c>
      <c r="AU331" s="207" t="e">
        <f t="shared" si="502"/>
        <v>#VALUE!</v>
      </c>
      <c r="AV331" s="208" t="e">
        <f t="shared" si="503"/>
        <v>#VALUE!</v>
      </c>
      <c r="AW331" s="201" t="str">
        <f t="shared" si="504"/>
        <v>Confiabilidade em Crescimento</v>
      </c>
      <c r="AX331" s="253" t="e">
        <f>VLOOKUP(D331,#REF!,5,FALSE)</f>
        <v>#REF!</v>
      </c>
      <c r="AY331" s="201" t="s">
        <v>1224</v>
      </c>
      <c r="AZ331" s="273" t="s">
        <v>1224</v>
      </c>
      <c r="BB331">
        <f>IFERROR(VLOOKUP(Tabela1[[#This Row],[Denominação]],[10]Planilha1!$A:$B,2,FALSE),"")</f>
        <v>1179775.6900000011</v>
      </c>
      <c r="BC331" s="219"/>
      <c r="BD331" s="219"/>
      <c r="BE331" s="219"/>
      <c r="BF331" s="219"/>
      <c r="BG331" s="219"/>
    </row>
    <row r="332" spans="1:64" ht="15" hidden="1" customHeight="1" x14ac:dyDescent="0.3">
      <c r="A332" s="253">
        <v>331</v>
      </c>
      <c r="B332" s="171" t="s">
        <v>683</v>
      </c>
      <c r="C332" s="209" t="s">
        <v>684</v>
      </c>
      <c r="D332" s="171">
        <v>10006401</v>
      </c>
      <c r="E332" s="253" t="s">
        <v>1401</v>
      </c>
      <c r="F332" s="210">
        <v>4566</v>
      </c>
      <c r="G332" s="171">
        <v>46292</v>
      </c>
      <c r="H332" s="171">
        <v>2015</v>
      </c>
      <c r="I332" s="213">
        <v>79709.899999999994</v>
      </c>
      <c r="J332" s="213">
        <v>47408</v>
      </c>
      <c r="K332" s="170">
        <v>102807.27999999994</v>
      </c>
      <c r="L332" s="207">
        <v>1.1499999999999999</v>
      </c>
      <c r="M332" s="212">
        <v>4056</v>
      </c>
      <c r="N332" s="212">
        <v>57139</v>
      </c>
      <c r="O332" s="171">
        <v>85</v>
      </c>
      <c r="P332" s="271" t="str">
        <f>IFERROR(VLOOKUP(Tabela1[[#This Row],[TAG]],#REF!,14,FALSE),"")</f>
        <v/>
      </c>
      <c r="Q332" s="204" t="e">
        <f t="shared" si="527"/>
        <v>#VALUE!</v>
      </c>
      <c r="R332" s="204" t="e">
        <f t="shared" si="528"/>
        <v>#VALUE!</v>
      </c>
      <c r="S332" s="204" t="e">
        <f t="shared" si="529"/>
        <v>#VALUE!</v>
      </c>
      <c r="T332" s="204" t="e">
        <f t="shared" si="530"/>
        <v>#VALUE!</v>
      </c>
      <c r="U332" s="204" t="e">
        <f t="shared" si="531"/>
        <v>#VALUE!</v>
      </c>
      <c r="V332" s="204" t="e">
        <f t="shared" si="532"/>
        <v>#VALUE!</v>
      </c>
      <c r="W332" s="218">
        <v>457.07</v>
      </c>
      <c r="X332" s="218">
        <v>330.31</v>
      </c>
      <c r="Y332" s="203">
        <v>0.1</v>
      </c>
      <c r="Z332" s="203">
        <f>IF(Tabela1[[#This Row],[Ano Aquisição]]=2023,0,IFERROR(VLOOKUP(H332,inflação!$F:$H,3,FALSE),""))</f>
        <v>0.4834</v>
      </c>
      <c r="AA332" s="203">
        <v>0.8</v>
      </c>
      <c r="AB332" s="202">
        <f t="shared" si="483"/>
        <v>-79709.899999999994</v>
      </c>
      <c r="AC332" s="204" t="e">
        <f t="shared" si="533"/>
        <v>#VALUE!</v>
      </c>
      <c r="AD332" s="204" t="e">
        <f t="shared" si="534"/>
        <v>#VALUE!</v>
      </c>
      <c r="AE332" s="204" t="e">
        <f t="shared" si="535"/>
        <v>#VALUE!</v>
      </c>
      <c r="AF332" s="204" t="e">
        <f t="shared" si="536"/>
        <v>#VALUE!</v>
      </c>
      <c r="AG332" s="204" t="e">
        <f t="shared" si="537"/>
        <v>#VALUE!</v>
      </c>
      <c r="AH332" s="204" t="e">
        <f t="shared" si="538"/>
        <v>#VALUE!</v>
      </c>
      <c r="AI332" s="204" t="e">
        <f t="shared" si="539"/>
        <v>#VALUE!</v>
      </c>
      <c r="AJ332" s="205">
        <f t="shared" si="491"/>
        <v>-118241.66566</v>
      </c>
      <c r="AK332" s="204" t="e">
        <f t="shared" si="540"/>
        <v>#VALUE!</v>
      </c>
      <c r="AL332" s="204" t="e">
        <f t="shared" si="541"/>
        <v>#VALUE!</v>
      </c>
      <c r="AM332" s="204" t="e">
        <f t="shared" si="542"/>
        <v>#VALUE!</v>
      </c>
      <c r="AN332" s="204" t="e">
        <f t="shared" si="543"/>
        <v>#VALUE!</v>
      </c>
      <c r="AO332" s="204" t="e">
        <f t="shared" si="544"/>
        <v>#VALUE!</v>
      </c>
      <c r="AP332" s="204" t="e">
        <f t="shared" si="545"/>
        <v>#VALUE!</v>
      </c>
      <c r="AQ332" s="204" t="e">
        <f t="shared" si="546"/>
        <v>#VALUE!</v>
      </c>
      <c r="AR332" s="206" t="e">
        <f t="shared" si="499"/>
        <v>#VALUE!</v>
      </c>
      <c r="AS332" s="170" t="e">
        <f t="shared" si="547"/>
        <v>#VALUE!</v>
      </c>
      <c r="AT332" s="170" t="e">
        <f t="shared" si="548"/>
        <v>#VALUE!</v>
      </c>
      <c r="AU332" s="207" t="e">
        <f t="shared" si="502"/>
        <v>#VALUE!</v>
      </c>
      <c r="AV332" s="208" t="e">
        <f t="shared" si="503"/>
        <v>#VALUE!</v>
      </c>
      <c r="AW332" s="201" t="str">
        <f t="shared" si="504"/>
        <v>Fase de Degradação</v>
      </c>
      <c r="AX332" s="253" t="e">
        <f>VLOOKUP(D332,#REF!,5,FALSE)</f>
        <v>#REF!</v>
      </c>
      <c r="AY332" s="201"/>
      <c r="AZ332" s="273" t="s">
        <v>1224</v>
      </c>
      <c r="BB332">
        <f>IFERROR(VLOOKUP(Tabela1[[#This Row],[Denominação]],[10]Planilha1!$A:$B,2,FALSE),"")</f>
        <v>102807.27999999994</v>
      </c>
      <c r="BC332" s="219"/>
      <c r="BD332" s="219"/>
      <c r="BE332" s="219"/>
      <c r="BF332" s="219"/>
      <c r="BG332" s="219"/>
      <c r="BH332" s="219"/>
      <c r="BI332" s="219"/>
      <c r="BJ332" s="219"/>
      <c r="BK332" s="219"/>
      <c r="BL332" s="219"/>
    </row>
    <row r="333" spans="1:64" ht="15" hidden="1" customHeight="1" x14ac:dyDescent="0.3">
      <c r="A333" s="268">
        <v>332</v>
      </c>
      <c r="B333" s="171" t="s">
        <v>673</v>
      </c>
      <c r="C333" s="209" t="s">
        <v>674</v>
      </c>
      <c r="D333" s="171">
        <v>10006402</v>
      </c>
      <c r="E333" s="253" t="s">
        <v>1401</v>
      </c>
      <c r="F333" s="210">
        <v>4566</v>
      </c>
      <c r="G333" s="171">
        <v>46291</v>
      </c>
      <c r="H333" s="171">
        <v>2015</v>
      </c>
      <c r="I333" s="213">
        <v>91547.85</v>
      </c>
      <c r="J333" s="213">
        <v>46233</v>
      </c>
      <c r="K333" s="170">
        <v>79767.719999999972</v>
      </c>
      <c r="L333" s="207">
        <v>0.9</v>
      </c>
      <c r="M333" s="212">
        <v>4056</v>
      </c>
      <c r="N333" s="212">
        <v>56680</v>
      </c>
      <c r="O333" s="171">
        <v>88</v>
      </c>
      <c r="P333" s="271" t="str">
        <f>IFERROR(VLOOKUP(Tabela1[[#This Row],[TAG]],#REF!,14,FALSE),"")</f>
        <v/>
      </c>
      <c r="Q333" s="204" t="e">
        <f t="shared" si="527"/>
        <v>#VALUE!</v>
      </c>
      <c r="R333" s="204" t="e">
        <f t="shared" si="528"/>
        <v>#VALUE!</v>
      </c>
      <c r="S333" s="204" t="e">
        <f t="shared" si="529"/>
        <v>#VALUE!</v>
      </c>
      <c r="T333" s="204" t="e">
        <f t="shared" si="530"/>
        <v>#VALUE!</v>
      </c>
      <c r="U333" s="204" t="e">
        <f t="shared" si="531"/>
        <v>#VALUE!</v>
      </c>
      <c r="V333" s="204" t="e">
        <f t="shared" si="532"/>
        <v>#VALUE!</v>
      </c>
      <c r="W333" s="218">
        <v>372.19</v>
      </c>
      <c r="X333" s="218">
        <v>296.24</v>
      </c>
      <c r="Y333" s="203">
        <v>0.1</v>
      </c>
      <c r="Z333" s="203">
        <f>IF(Tabela1[[#This Row],[Ano Aquisição]]=2023,0,IFERROR(VLOOKUP(H333,inflação!$F:$H,3,FALSE),""))</f>
        <v>0.4834</v>
      </c>
      <c r="AA333" s="203">
        <v>0.8</v>
      </c>
      <c r="AB333" s="202">
        <f t="shared" si="483"/>
        <v>-91547.85</v>
      </c>
      <c r="AC333" s="204" t="e">
        <f t="shared" si="533"/>
        <v>#VALUE!</v>
      </c>
      <c r="AD333" s="204" t="e">
        <f t="shared" si="534"/>
        <v>#VALUE!</v>
      </c>
      <c r="AE333" s="204" t="e">
        <f t="shared" si="535"/>
        <v>#VALUE!</v>
      </c>
      <c r="AF333" s="204" t="e">
        <f t="shared" si="536"/>
        <v>#VALUE!</v>
      </c>
      <c r="AG333" s="204" t="e">
        <f t="shared" si="537"/>
        <v>#VALUE!</v>
      </c>
      <c r="AH333" s="204" t="e">
        <f t="shared" si="538"/>
        <v>#VALUE!</v>
      </c>
      <c r="AI333" s="204" t="e">
        <f t="shared" si="539"/>
        <v>#VALUE!</v>
      </c>
      <c r="AJ333" s="205">
        <f t="shared" si="491"/>
        <v>-135802.08069</v>
      </c>
      <c r="AK333" s="204" t="e">
        <f t="shared" si="540"/>
        <v>#VALUE!</v>
      </c>
      <c r="AL333" s="204" t="e">
        <f t="shared" si="541"/>
        <v>#VALUE!</v>
      </c>
      <c r="AM333" s="204" t="e">
        <f t="shared" si="542"/>
        <v>#VALUE!</v>
      </c>
      <c r="AN333" s="204" t="e">
        <f t="shared" si="543"/>
        <v>#VALUE!</v>
      </c>
      <c r="AO333" s="204" t="e">
        <f t="shared" si="544"/>
        <v>#VALUE!</v>
      </c>
      <c r="AP333" s="204" t="e">
        <f t="shared" si="545"/>
        <v>#VALUE!</v>
      </c>
      <c r="AQ333" s="204" t="e">
        <f t="shared" si="546"/>
        <v>#VALUE!</v>
      </c>
      <c r="AR333" s="206" t="e">
        <f t="shared" si="499"/>
        <v>#VALUE!</v>
      </c>
      <c r="AS333" s="170" t="e">
        <f t="shared" si="547"/>
        <v>#VALUE!</v>
      </c>
      <c r="AT333" s="170" t="e">
        <f t="shared" si="548"/>
        <v>#VALUE!</v>
      </c>
      <c r="AU333" s="207" t="e">
        <f t="shared" si="502"/>
        <v>#VALUE!</v>
      </c>
      <c r="AV333" s="208" t="e">
        <f t="shared" si="503"/>
        <v>#VALUE!</v>
      </c>
      <c r="AW333" s="201" t="str">
        <f t="shared" si="504"/>
        <v>Confiabilidade em Crescimento</v>
      </c>
      <c r="AX333" s="253" t="e">
        <f>VLOOKUP(D333,#REF!,5,FALSE)</f>
        <v>#REF!</v>
      </c>
      <c r="AY333" s="201"/>
      <c r="AZ333" s="273" t="s">
        <v>1224</v>
      </c>
      <c r="BB333">
        <f>IFERROR(VLOOKUP(Tabela1[[#This Row],[Denominação]],[10]Planilha1!$A:$B,2,FALSE),"")</f>
        <v>79767.719999999972</v>
      </c>
      <c r="BC333" s="219"/>
      <c r="BD333" s="219"/>
      <c r="BE333" s="219"/>
      <c r="BF333" s="219"/>
      <c r="BG333" s="219"/>
      <c r="BH333" s="219"/>
      <c r="BI333" s="219"/>
      <c r="BJ333" s="219"/>
      <c r="BK333" s="219"/>
      <c r="BL333" s="219"/>
    </row>
    <row r="334" spans="1:64" ht="15" hidden="1" customHeight="1" x14ac:dyDescent="0.3">
      <c r="A334" s="253">
        <v>333</v>
      </c>
      <c r="B334" s="171" t="s">
        <v>655</v>
      </c>
      <c r="C334" s="209" t="s">
        <v>656</v>
      </c>
      <c r="D334" s="171">
        <v>10006422</v>
      </c>
      <c r="E334" s="253" t="s">
        <v>1402</v>
      </c>
      <c r="F334" s="210">
        <v>3344</v>
      </c>
      <c r="G334" s="171">
        <v>46813</v>
      </c>
      <c r="H334" s="171">
        <v>2016</v>
      </c>
      <c r="I334" s="213">
        <v>361920.33</v>
      </c>
      <c r="J334" s="213">
        <v>127848</v>
      </c>
      <c r="K334" s="170">
        <v>86296.430000000008</v>
      </c>
      <c r="L334" s="207">
        <v>0.88</v>
      </c>
      <c r="M334" s="212">
        <v>4800</v>
      </c>
      <c r="N334" s="212">
        <v>55864</v>
      </c>
      <c r="O334" s="171">
        <v>62</v>
      </c>
      <c r="P334" s="271" t="str">
        <f>IFERROR(VLOOKUP(Tabela1[[#This Row],[TAG]],#REF!,14,FALSE),"")</f>
        <v/>
      </c>
      <c r="Q334" s="204" t="e">
        <f t="shared" si="527"/>
        <v>#VALUE!</v>
      </c>
      <c r="R334" s="204" t="e">
        <f t="shared" si="528"/>
        <v>#VALUE!</v>
      </c>
      <c r="S334" s="204" t="e">
        <f t="shared" si="529"/>
        <v>#VALUE!</v>
      </c>
      <c r="T334" s="204" t="e">
        <f t="shared" si="530"/>
        <v>#VALUE!</v>
      </c>
      <c r="U334" s="204" t="e">
        <f t="shared" si="531"/>
        <v>#VALUE!</v>
      </c>
      <c r="V334" s="204" t="e">
        <f t="shared" si="532"/>
        <v>#VALUE!</v>
      </c>
      <c r="W334" s="218">
        <v>400.19</v>
      </c>
      <c r="X334" s="218">
        <v>583.48</v>
      </c>
      <c r="Y334" s="203">
        <v>0.1</v>
      </c>
      <c r="Z334" s="203">
        <f>IF(Tabela1[[#This Row],[Ano Aquisição]]=2023,0,IFERROR(VLOOKUP(H334,inflação!$F:$H,3,FALSE),""))</f>
        <v>0.37669999999999998</v>
      </c>
      <c r="AA334" s="203">
        <v>0.8</v>
      </c>
      <c r="AB334" s="202">
        <f t="shared" si="483"/>
        <v>-361920.33</v>
      </c>
      <c r="AC334" s="204" t="e">
        <f t="shared" si="533"/>
        <v>#VALUE!</v>
      </c>
      <c r="AD334" s="204" t="e">
        <f t="shared" si="534"/>
        <v>#VALUE!</v>
      </c>
      <c r="AE334" s="204" t="e">
        <f t="shared" si="535"/>
        <v>#VALUE!</v>
      </c>
      <c r="AF334" s="204" t="e">
        <f t="shared" si="536"/>
        <v>#VALUE!</v>
      </c>
      <c r="AG334" s="204" t="e">
        <f t="shared" si="537"/>
        <v>#VALUE!</v>
      </c>
      <c r="AH334" s="204" t="e">
        <f t="shared" si="538"/>
        <v>#VALUE!</v>
      </c>
      <c r="AI334" s="204" t="e">
        <f t="shared" si="539"/>
        <v>#VALUE!</v>
      </c>
      <c r="AJ334" s="205">
        <f t="shared" si="491"/>
        <v>-498255.71831100003</v>
      </c>
      <c r="AK334" s="204" t="e">
        <f t="shared" si="540"/>
        <v>#VALUE!</v>
      </c>
      <c r="AL334" s="204" t="e">
        <f t="shared" si="541"/>
        <v>#VALUE!</v>
      </c>
      <c r="AM334" s="204" t="e">
        <f t="shared" si="542"/>
        <v>#VALUE!</v>
      </c>
      <c r="AN334" s="204" t="e">
        <f t="shared" si="543"/>
        <v>#VALUE!</v>
      </c>
      <c r="AO334" s="204" t="e">
        <f t="shared" si="544"/>
        <v>#VALUE!</v>
      </c>
      <c r="AP334" s="204" t="e">
        <f t="shared" si="545"/>
        <v>#VALUE!</v>
      </c>
      <c r="AQ334" s="204" t="e">
        <f t="shared" si="546"/>
        <v>#VALUE!</v>
      </c>
      <c r="AR334" s="206" t="e">
        <f t="shared" si="499"/>
        <v>#VALUE!</v>
      </c>
      <c r="AS334" s="170" t="e">
        <f t="shared" si="547"/>
        <v>#VALUE!</v>
      </c>
      <c r="AT334" s="170" t="e">
        <f t="shared" si="548"/>
        <v>#VALUE!</v>
      </c>
      <c r="AU334" s="207" t="e">
        <f t="shared" si="502"/>
        <v>#VALUE!</v>
      </c>
      <c r="AV334" s="208" t="e">
        <f t="shared" si="503"/>
        <v>#VALUE!</v>
      </c>
      <c r="AW334" s="201" t="str">
        <f t="shared" si="504"/>
        <v>Confiabilidade em Crescimento</v>
      </c>
      <c r="AX334" s="253" t="e">
        <f>VLOOKUP(D334,#REF!,5,FALSE)</f>
        <v>#REF!</v>
      </c>
      <c r="AY334" s="201"/>
      <c r="AZ334" s="273" t="s">
        <v>1224</v>
      </c>
      <c r="BB334">
        <f>IFERROR(VLOOKUP(Tabela1[[#This Row],[Denominação]],[10]Planilha1!$A:$B,2,FALSE),"")</f>
        <v>86296.430000000008</v>
      </c>
      <c r="BC334" s="219"/>
      <c r="BD334" s="219"/>
      <c r="BE334" s="219"/>
      <c r="BF334" s="219"/>
      <c r="BG334" s="219"/>
      <c r="BH334" s="219"/>
      <c r="BI334" s="219"/>
      <c r="BJ334" s="219"/>
      <c r="BK334" s="219"/>
      <c r="BL334" s="219"/>
    </row>
    <row r="335" spans="1:64" ht="15" hidden="1" customHeight="1" x14ac:dyDescent="0.3">
      <c r="A335" s="268">
        <v>334</v>
      </c>
      <c r="B335" s="201" t="s">
        <v>791</v>
      </c>
      <c r="C335" s="211" t="s">
        <v>792</v>
      </c>
      <c r="D335" s="201">
        <v>10006572</v>
      </c>
      <c r="E335" s="253" t="s">
        <v>1394</v>
      </c>
      <c r="F335" s="253">
        <v>4745</v>
      </c>
      <c r="G335" s="201">
        <v>47879</v>
      </c>
      <c r="H335" s="201">
        <v>2017</v>
      </c>
      <c r="I335" s="216">
        <v>191392.39</v>
      </c>
      <c r="J335" s="214">
        <v>118351</v>
      </c>
      <c r="K335" s="170">
        <v>139922.44999999995</v>
      </c>
      <c r="L335" s="207">
        <v>0.63</v>
      </c>
      <c r="M335" s="212">
        <v>3733</v>
      </c>
      <c r="N335" s="212">
        <v>38610</v>
      </c>
      <c r="O335" s="171">
        <v>103</v>
      </c>
      <c r="P335" s="271" t="str">
        <f>IFERROR(VLOOKUP(Tabela1[[#This Row],[TAG]],#REF!,14,FALSE),"")</f>
        <v/>
      </c>
      <c r="Q335" s="204" t="e">
        <f>P335+P335</f>
        <v>#VALUE!</v>
      </c>
      <c r="R335" s="204" t="e">
        <f t="shared" si="528"/>
        <v>#VALUE!</v>
      </c>
      <c r="S335" s="204" t="e">
        <f t="shared" si="529"/>
        <v>#VALUE!</v>
      </c>
      <c r="T335" s="204" t="e">
        <f t="shared" si="530"/>
        <v>#VALUE!</v>
      </c>
      <c r="U335" s="204" t="e">
        <f t="shared" si="531"/>
        <v>#VALUE!</v>
      </c>
      <c r="V335" s="204" t="e">
        <f t="shared" si="532"/>
        <v>#VALUE!</v>
      </c>
      <c r="W335" s="218">
        <v>451.65</v>
      </c>
      <c r="X335" s="218">
        <v>776.17</v>
      </c>
      <c r="Y335" s="203">
        <v>0.1</v>
      </c>
      <c r="Z335" s="203">
        <f>IF(Tabela1[[#This Row],[Ano Aquisição]]=2023,0,IFERROR(VLOOKUP(H335,inflação!$F:$H,3,FALSE),""))</f>
        <v>0.31379999999999997</v>
      </c>
      <c r="AA335" s="203">
        <v>0.8</v>
      </c>
      <c r="AB335" s="202">
        <f t="shared" si="483"/>
        <v>-191392.39</v>
      </c>
      <c r="AC335" s="204" t="e">
        <f t="shared" si="533"/>
        <v>#VALUE!</v>
      </c>
      <c r="AD335" s="204" t="e">
        <f t="shared" si="534"/>
        <v>#VALUE!</v>
      </c>
      <c r="AE335" s="204" t="e">
        <f t="shared" si="535"/>
        <v>#VALUE!</v>
      </c>
      <c r="AF335" s="204" t="e">
        <f t="shared" si="536"/>
        <v>#VALUE!</v>
      </c>
      <c r="AG335" s="204" t="e">
        <f t="shared" si="537"/>
        <v>#VALUE!</v>
      </c>
      <c r="AH335" s="204" t="e">
        <f t="shared" si="538"/>
        <v>#VALUE!</v>
      </c>
      <c r="AI335" s="204" t="e">
        <f t="shared" si="539"/>
        <v>#VALUE!</v>
      </c>
      <c r="AJ335" s="205">
        <f t="shared" si="491"/>
        <v>-251451.32198200002</v>
      </c>
      <c r="AK335" s="204" t="e">
        <f t="shared" si="540"/>
        <v>#VALUE!</v>
      </c>
      <c r="AL335" s="204" t="e">
        <f t="shared" si="541"/>
        <v>#VALUE!</v>
      </c>
      <c r="AM335" s="204" t="e">
        <f t="shared" si="542"/>
        <v>#VALUE!</v>
      </c>
      <c r="AN335" s="204" t="e">
        <f t="shared" si="543"/>
        <v>#VALUE!</v>
      </c>
      <c r="AO335" s="204" t="e">
        <f t="shared" si="544"/>
        <v>#VALUE!</v>
      </c>
      <c r="AP335" s="204" t="e">
        <f t="shared" si="545"/>
        <v>#VALUE!</v>
      </c>
      <c r="AQ335" s="204" t="e">
        <f t="shared" si="546"/>
        <v>#VALUE!</v>
      </c>
      <c r="AR335" s="206" t="e">
        <f t="shared" si="499"/>
        <v>#VALUE!</v>
      </c>
      <c r="AS335" s="170" t="e">
        <f t="shared" si="547"/>
        <v>#VALUE!</v>
      </c>
      <c r="AT335" s="170" t="e">
        <f t="shared" si="548"/>
        <v>#VALUE!</v>
      </c>
      <c r="AU335" s="207" t="e">
        <f t="shared" si="502"/>
        <v>#VALUE!</v>
      </c>
      <c r="AV335" s="208" t="e">
        <f t="shared" si="503"/>
        <v>#VALUE!</v>
      </c>
      <c r="AW335" s="201" t="str">
        <f t="shared" si="504"/>
        <v>Confiabilidade em Crescimento</v>
      </c>
      <c r="AX335" s="253" t="e">
        <f>VLOOKUP(D335,#REF!,5,FALSE)</f>
        <v>#REF!</v>
      </c>
      <c r="AY335" s="201"/>
      <c r="AZ335" s="273" t="s">
        <v>1224</v>
      </c>
      <c r="BB335">
        <f>IFERROR(VLOOKUP(Tabela1[[#This Row],[Denominação]],[10]Planilha1!$A:$B,2,FALSE),"")</f>
        <v>139922.44999999995</v>
      </c>
      <c r="BC335" s="219"/>
      <c r="BD335" s="219"/>
      <c r="BE335" s="219"/>
      <c r="BF335" s="219"/>
      <c r="BG335" s="219"/>
      <c r="BH335" s="219"/>
      <c r="BI335" s="219"/>
      <c r="BJ335" s="219"/>
      <c r="BK335" s="219"/>
      <c r="BL335" s="219"/>
    </row>
    <row r="336" spans="1:64" ht="15" hidden="1" customHeight="1" x14ac:dyDescent="0.3">
      <c r="A336" s="253">
        <v>335</v>
      </c>
      <c r="B336" s="171" t="s">
        <v>701</v>
      </c>
      <c r="C336" s="209" t="s">
        <v>702</v>
      </c>
      <c r="D336" s="171">
        <v>20003173</v>
      </c>
      <c r="E336" s="253" t="s">
        <v>1403</v>
      </c>
      <c r="F336" s="210">
        <v>3344</v>
      </c>
      <c r="G336" s="171">
        <v>49689</v>
      </c>
      <c r="H336" s="171">
        <v>2018</v>
      </c>
      <c r="I336" s="213">
        <v>287409.68</v>
      </c>
      <c r="J336" s="213">
        <v>204323</v>
      </c>
      <c r="K336" s="170">
        <v>22316.570000000011</v>
      </c>
      <c r="L336" s="207">
        <v>0.46</v>
      </c>
      <c r="M336" s="212">
        <v>4800</v>
      </c>
      <c r="N336" s="212">
        <v>39115</v>
      </c>
      <c r="O336" s="171">
        <v>22</v>
      </c>
      <c r="P336" s="271" t="str">
        <f>IFERROR(VLOOKUP(Tabela1[[#This Row],[TAG]],#REF!,14,FALSE),"")</f>
        <v/>
      </c>
      <c r="Q336" s="204" t="e">
        <f t="shared" si="527"/>
        <v>#VALUE!</v>
      </c>
      <c r="R336" s="204" t="e">
        <f t="shared" si="528"/>
        <v>#VALUE!</v>
      </c>
      <c r="S336" s="204" t="e">
        <f t="shared" si="529"/>
        <v>#VALUE!</v>
      </c>
      <c r="T336" s="204" t="e">
        <f t="shared" si="530"/>
        <v>#VALUE!</v>
      </c>
      <c r="U336" s="204" t="e">
        <f t="shared" si="531"/>
        <v>#VALUE!</v>
      </c>
      <c r="V336" s="204" t="e">
        <f t="shared" si="532"/>
        <v>#VALUE!</v>
      </c>
      <c r="W336" s="218">
        <v>352.83</v>
      </c>
      <c r="X336" s="218">
        <v>341.7</v>
      </c>
      <c r="Y336" s="203">
        <v>0.1</v>
      </c>
      <c r="Z336" s="203">
        <f>IF(Tabela1[[#This Row],[Ano Aquisição]]=2023,0,IFERROR(VLOOKUP(H336,inflação!$F:$H,3,FALSE),""))</f>
        <v>0.2843</v>
      </c>
      <c r="AA336" s="203">
        <v>0.8</v>
      </c>
      <c r="AB336" s="202">
        <f t="shared" si="483"/>
        <v>-287409.68</v>
      </c>
      <c r="AC336" s="204" t="e">
        <f t="shared" si="533"/>
        <v>#VALUE!</v>
      </c>
      <c r="AD336" s="204" t="e">
        <f t="shared" si="534"/>
        <v>#VALUE!</v>
      </c>
      <c r="AE336" s="204" t="e">
        <f t="shared" si="535"/>
        <v>#VALUE!</v>
      </c>
      <c r="AF336" s="204" t="e">
        <f t="shared" si="536"/>
        <v>#VALUE!</v>
      </c>
      <c r="AG336" s="204" t="e">
        <f t="shared" si="537"/>
        <v>#VALUE!</v>
      </c>
      <c r="AH336" s="204" t="e">
        <f t="shared" si="538"/>
        <v>#VALUE!</v>
      </c>
      <c r="AI336" s="204" t="e">
        <f t="shared" si="539"/>
        <v>#VALUE!</v>
      </c>
      <c r="AJ336" s="205">
        <f t="shared" si="491"/>
        <v>-369120.25202399999</v>
      </c>
      <c r="AK336" s="204" t="e">
        <f t="shared" si="540"/>
        <v>#VALUE!</v>
      </c>
      <c r="AL336" s="204" t="e">
        <f t="shared" si="541"/>
        <v>#VALUE!</v>
      </c>
      <c r="AM336" s="204" t="e">
        <f t="shared" si="542"/>
        <v>#VALUE!</v>
      </c>
      <c r="AN336" s="204" t="e">
        <f t="shared" si="543"/>
        <v>#VALUE!</v>
      </c>
      <c r="AO336" s="204" t="e">
        <f t="shared" si="544"/>
        <v>#VALUE!</v>
      </c>
      <c r="AP336" s="204" t="e">
        <f t="shared" si="545"/>
        <v>#VALUE!</v>
      </c>
      <c r="AQ336" s="204" t="e">
        <f t="shared" si="546"/>
        <v>#VALUE!</v>
      </c>
      <c r="AR336" s="206" t="e">
        <f t="shared" si="499"/>
        <v>#VALUE!</v>
      </c>
      <c r="AS336" s="170" t="e">
        <f t="shared" si="547"/>
        <v>#VALUE!</v>
      </c>
      <c r="AT336" s="170" t="e">
        <f t="shared" si="548"/>
        <v>#VALUE!</v>
      </c>
      <c r="AU336" s="207" t="e">
        <f t="shared" si="502"/>
        <v>#VALUE!</v>
      </c>
      <c r="AV336" s="208" t="e">
        <f t="shared" si="503"/>
        <v>#VALUE!</v>
      </c>
      <c r="AW336" s="201" t="str">
        <f t="shared" si="504"/>
        <v>Confiabilidade em Crescimento</v>
      </c>
      <c r="AX336" s="253" t="e">
        <f>VLOOKUP(D336,#REF!,5,FALSE)</f>
        <v>#REF!</v>
      </c>
      <c r="AY336" s="201"/>
      <c r="AZ336" s="273" t="s">
        <v>1224</v>
      </c>
      <c r="BB336">
        <f>IFERROR(VLOOKUP(Tabela1[[#This Row],[Denominação]],[10]Planilha1!$A:$B,2,FALSE),"")</f>
        <v>22316.570000000011</v>
      </c>
      <c r="BC336" s="219"/>
      <c r="BD336" s="219"/>
      <c r="BE336" s="219"/>
      <c r="BF336" s="219"/>
      <c r="BG336" s="219"/>
      <c r="BH336" s="219"/>
      <c r="BI336" s="219"/>
      <c r="BJ336" s="219"/>
      <c r="BK336" s="219"/>
      <c r="BL336" s="219"/>
    </row>
    <row r="337" spans="1:64" ht="15" hidden="1" customHeight="1" x14ac:dyDescent="0.3">
      <c r="A337" s="268">
        <v>336</v>
      </c>
      <c r="B337" s="201" t="s">
        <v>793</v>
      </c>
      <c r="C337" s="211" t="s">
        <v>794</v>
      </c>
      <c r="D337" s="201">
        <v>10006604</v>
      </c>
      <c r="E337" s="253" t="s">
        <v>1404</v>
      </c>
      <c r="F337" s="253">
        <v>4645</v>
      </c>
      <c r="G337" s="201">
        <v>51337</v>
      </c>
      <c r="H337" s="201">
        <v>2019</v>
      </c>
      <c r="I337" s="216">
        <v>3625837.6</v>
      </c>
      <c r="J337" s="214">
        <v>2761890</v>
      </c>
      <c r="K337" s="170">
        <v>389791.46000000008</v>
      </c>
      <c r="L337" s="207">
        <v>1.34</v>
      </c>
      <c r="M337" s="212">
        <f>6*4*18*12</f>
        <v>5184</v>
      </c>
      <c r="N337" s="212">
        <v>34241</v>
      </c>
      <c r="O337" s="171">
        <v>333</v>
      </c>
      <c r="P337" s="271" t="str">
        <f>IFERROR(VLOOKUP(Tabela1[[#This Row],[TAG]],#REF!,14,FALSE),"")</f>
        <v/>
      </c>
      <c r="Q337" s="204" t="e">
        <f t="shared" si="527"/>
        <v>#VALUE!</v>
      </c>
      <c r="R337" s="204" t="e">
        <f t="shared" si="528"/>
        <v>#VALUE!</v>
      </c>
      <c r="S337" s="204" t="e">
        <f t="shared" si="529"/>
        <v>#VALUE!</v>
      </c>
      <c r="T337" s="204" t="e">
        <f t="shared" si="530"/>
        <v>#VALUE!</v>
      </c>
      <c r="U337" s="204" t="e">
        <f t="shared" si="531"/>
        <v>#VALUE!</v>
      </c>
      <c r="V337" s="204" t="e">
        <f t="shared" si="532"/>
        <v>#VALUE!</v>
      </c>
      <c r="W337" s="218">
        <v>635.29999999999995</v>
      </c>
      <c r="X337" s="218">
        <v>7284.25</v>
      </c>
      <c r="Y337" s="203">
        <v>0.1</v>
      </c>
      <c r="Z337" s="203">
        <f>IF(Tabela1[[#This Row],[Ano Aquisição]]=2023,0,IFERROR(VLOOKUP(H337,inflação!$F:$H,3,FALSE),""))</f>
        <v>0.24679999999999999</v>
      </c>
      <c r="AA337" s="203">
        <v>0.8</v>
      </c>
      <c r="AB337" s="202">
        <f t="shared" si="483"/>
        <v>-3625837.6</v>
      </c>
      <c r="AC337" s="204" t="e">
        <f t="shared" si="533"/>
        <v>#VALUE!</v>
      </c>
      <c r="AD337" s="204" t="e">
        <f t="shared" si="534"/>
        <v>#VALUE!</v>
      </c>
      <c r="AE337" s="204" t="e">
        <f t="shared" si="535"/>
        <v>#VALUE!</v>
      </c>
      <c r="AF337" s="204" t="e">
        <f t="shared" si="536"/>
        <v>#VALUE!</v>
      </c>
      <c r="AG337" s="204" t="e">
        <f t="shared" si="537"/>
        <v>#VALUE!</v>
      </c>
      <c r="AH337" s="204" t="e">
        <f t="shared" si="538"/>
        <v>#VALUE!</v>
      </c>
      <c r="AI337" s="204" t="e">
        <f t="shared" si="539"/>
        <v>#VALUE!</v>
      </c>
      <c r="AJ337" s="205">
        <f t="shared" si="491"/>
        <v>-4520694.3196799997</v>
      </c>
      <c r="AK337" s="204" t="e">
        <f t="shared" si="540"/>
        <v>#VALUE!</v>
      </c>
      <c r="AL337" s="204" t="e">
        <f t="shared" si="541"/>
        <v>#VALUE!</v>
      </c>
      <c r="AM337" s="204" t="e">
        <f t="shared" si="542"/>
        <v>#VALUE!</v>
      </c>
      <c r="AN337" s="204" t="e">
        <f t="shared" si="543"/>
        <v>#VALUE!</v>
      </c>
      <c r="AO337" s="204" t="e">
        <f t="shared" si="544"/>
        <v>#VALUE!</v>
      </c>
      <c r="AP337" s="204" t="e">
        <f t="shared" si="545"/>
        <v>#VALUE!</v>
      </c>
      <c r="AQ337" s="204" t="e">
        <f t="shared" si="546"/>
        <v>#VALUE!</v>
      </c>
      <c r="AR337" s="206" t="e">
        <f t="shared" si="499"/>
        <v>#VALUE!</v>
      </c>
      <c r="AS337" s="170" t="e">
        <f t="shared" si="547"/>
        <v>#VALUE!</v>
      </c>
      <c r="AT337" s="170" t="e">
        <f t="shared" si="548"/>
        <v>#VALUE!</v>
      </c>
      <c r="AU337" s="207" t="e">
        <f t="shared" si="502"/>
        <v>#VALUE!</v>
      </c>
      <c r="AV337" s="208" t="e">
        <f t="shared" si="503"/>
        <v>#VALUE!</v>
      </c>
      <c r="AW337" s="201" t="str">
        <f t="shared" si="504"/>
        <v>Fase de Degradação</v>
      </c>
      <c r="AX337" s="253" t="e">
        <f>VLOOKUP(D337,#REF!,5,FALSE)</f>
        <v>#REF!</v>
      </c>
      <c r="AY337" s="201" t="s">
        <v>1224</v>
      </c>
      <c r="AZ337" s="273" t="s">
        <v>1224</v>
      </c>
      <c r="BB337">
        <f>IFERROR(VLOOKUP(Tabela1[[#This Row],[Denominação]],[10]Planilha1!$A:$B,2,FALSE),"")</f>
        <v>389791.46000000008</v>
      </c>
      <c r="BC337" s="219"/>
      <c r="BD337" s="219"/>
      <c r="BE337" s="219"/>
      <c r="BF337" s="219"/>
      <c r="BG337" s="219"/>
      <c r="BH337" s="219"/>
      <c r="BI337" s="219"/>
      <c r="BJ337" s="219"/>
      <c r="BK337" s="219"/>
      <c r="BL337" s="219"/>
    </row>
    <row r="338" spans="1:64" ht="15" hidden="1" customHeight="1" x14ac:dyDescent="0.3">
      <c r="A338" s="253">
        <v>337</v>
      </c>
      <c r="B338" s="201" t="s">
        <v>1026</v>
      </c>
      <c r="C338" s="211" t="s">
        <v>1027</v>
      </c>
      <c r="D338" s="201">
        <v>20003545</v>
      </c>
      <c r="E338" s="253" t="s">
        <v>1405</v>
      </c>
      <c r="F338" s="253">
        <v>4645</v>
      </c>
      <c r="G338" s="201">
        <v>48170</v>
      </c>
      <c r="H338" s="201">
        <v>2017</v>
      </c>
      <c r="I338" s="216">
        <v>22896.76</v>
      </c>
      <c r="J338" s="214">
        <v>14339</v>
      </c>
      <c r="K338" s="170">
        <v>2777.74</v>
      </c>
      <c r="L338" s="207">
        <v>0.46</v>
      </c>
      <c r="M338" s="212">
        <f>6*4*18*12</f>
        <v>5184</v>
      </c>
      <c r="N338" s="212">
        <v>21223</v>
      </c>
      <c r="O338" s="171">
        <v>7</v>
      </c>
      <c r="P338" s="271" t="str">
        <f>IFERROR(VLOOKUP(Tabela1[[#This Row],[TAG]],#REF!,14,FALSE),"")</f>
        <v/>
      </c>
      <c r="Q338" s="204" t="e">
        <f t="shared" si="527"/>
        <v>#VALUE!</v>
      </c>
      <c r="R338" s="204" t="e">
        <f t="shared" si="528"/>
        <v>#VALUE!</v>
      </c>
      <c r="S338" s="204" t="e">
        <f t="shared" si="529"/>
        <v>#VALUE!</v>
      </c>
      <c r="T338" s="204" t="e">
        <f t="shared" si="530"/>
        <v>#VALUE!</v>
      </c>
      <c r="U338" s="204" t="e">
        <f t="shared" si="531"/>
        <v>#VALUE!</v>
      </c>
      <c r="V338" s="204" t="e">
        <f t="shared" si="532"/>
        <v>#VALUE!</v>
      </c>
      <c r="W338" s="218">
        <v>271.02</v>
      </c>
      <c r="X338" s="218">
        <v>382.6</v>
      </c>
      <c r="Y338" s="203">
        <v>0.1</v>
      </c>
      <c r="Z338" s="203">
        <f>IF(Tabela1[[#This Row],[Ano Aquisição]]=2023,0,IFERROR(VLOOKUP(H338,inflação!$F:$H,3,FALSE),""))</f>
        <v>0.31379999999999997</v>
      </c>
      <c r="AA338" s="203">
        <v>0.8</v>
      </c>
      <c r="AB338" s="202">
        <f t="shared" si="483"/>
        <v>-22896.76</v>
      </c>
      <c r="AC338" s="204" t="e">
        <f t="shared" si="533"/>
        <v>#VALUE!</v>
      </c>
      <c r="AD338" s="204" t="e">
        <f t="shared" si="534"/>
        <v>#VALUE!</v>
      </c>
      <c r="AE338" s="204" t="e">
        <f t="shared" si="535"/>
        <v>#VALUE!</v>
      </c>
      <c r="AF338" s="204" t="e">
        <f t="shared" si="536"/>
        <v>#VALUE!</v>
      </c>
      <c r="AG338" s="204" t="e">
        <f t="shared" si="537"/>
        <v>#VALUE!</v>
      </c>
      <c r="AH338" s="204" t="e">
        <f t="shared" si="538"/>
        <v>#VALUE!</v>
      </c>
      <c r="AI338" s="204" t="e">
        <f t="shared" si="539"/>
        <v>#VALUE!</v>
      </c>
      <c r="AJ338" s="205">
        <f t="shared" si="491"/>
        <v>-30081.763287999998</v>
      </c>
      <c r="AK338" s="204" t="e">
        <f t="shared" si="540"/>
        <v>#VALUE!</v>
      </c>
      <c r="AL338" s="204" t="e">
        <f t="shared" si="541"/>
        <v>#VALUE!</v>
      </c>
      <c r="AM338" s="204" t="e">
        <f t="shared" si="542"/>
        <v>#VALUE!</v>
      </c>
      <c r="AN338" s="204" t="e">
        <f t="shared" si="543"/>
        <v>#VALUE!</v>
      </c>
      <c r="AO338" s="204" t="e">
        <f t="shared" si="544"/>
        <v>#VALUE!</v>
      </c>
      <c r="AP338" s="204" t="e">
        <f t="shared" si="545"/>
        <v>#VALUE!</v>
      </c>
      <c r="AQ338" s="204" t="e">
        <f t="shared" si="546"/>
        <v>#VALUE!</v>
      </c>
      <c r="AR338" s="206" t="e">
        <f t="shared" si="499"/>
        <v>#VALUE!</v>
      </c>
      <c r="AS338" s="170" t="e">
        <f t="shared" si="547"/>
        <v>#VALUE!</v>
      </c>
      <c r="AT338" s="170" t="e">
        <f t="shared" si="548"/>
        <v>#VALUE!</v>
      </c>
      <c r="AU338" s="207" t="e">
        <f t="shared" si="502"/>
        <v>#VALUE!</v>
      </c>
      <c r="AV338" s="208" t="e">
        <f t="shared" si="503"/>
        <v>#VALUE!</v>
      </c>
      <c r="AW338" s="201" t="str">
        <f t="shared" si="504"/>
        <v>Confiabilidade em Crescimento</v>
      </c>
      <c r="AX338" s="253" t="e">
        <f>VLOOKUP(D338,#REF!,5,FALSE)</f>
        <v>#REF!</v>
      </c>
      <c r="AY338" s="201" t="s">
        <v>1224</v>
      </c>
      <c r="AZ338" s="273" t="s">
        <v>1224</v>
      </c>
      <c r="BB338">
        <f>IFERROR(VLOOKUP(Tabela1[[#This Row],[Denominação]],[10]Planilha1!$A:$B,2,FALSE),"")</f>
        <v>2777.74</v>
      </c>
      <c r="BC338" s="219"/>
      <c r="BD338" s="219"/>
      <c r="BE338" s="219"/>
      <c r="BF338" s="219"/>
      <c r="BG338" s="219"/>
      <c r="BH338" s="219"/>
      <c r="BI338" s="219"/>
      <c r="BJ338" s="219"/>
      <c r="BK338" s="219"/>
      <c r="BL338" s="219"/>
    </row>
    <row r="339" spans="1:64" ht="15" hidden="1" customHeight="1" x14ac:dyDescent="0.3">
      <c r="A339" s="268">
        <v>338</v>
      </c>
      <c r="B339" s="201" t="s">
        <v>1028</v>
      </c>
      <c r="C339" s="211" t="s">
        <v>1029</v>
      </c>
      <c r="D339" s="201">
        <v>20003549</v>
      </c>
      <c r="E339" s="253" t="s">
        <v>1406</v>
      </c>
      <c r="F339" s="253">
        <v>4715</v>
      </c>
      <c r="G339" s="201">
        <v>51393</v>
      </c>
      <c r="H339" s="201">
        <v>2019</v>
      </c>
      <c r="I339" s="216">
        <v>358628.66</v>
      </c>
      <c r="J339" s="214">
        <v>264487</v>
      </c>
      <c r="K339" s="170">
        <v>97194.91999999994</v>
      </c>
      <c r="L339" s="207">
        <v>1.91</v>
      </c>
      <c r="M339" s="212">
        <v>5000</v>
      </c>
      <c r="N339" s="212">
        <v>30197</v>
      </c>
      <c r="O339" s="171">
        <v>170</v>
      </c>
      <c r="P339" s="271" t="str">
        <f>IFERROR(VLOOKUP(Tabela1[[#This Row],[TAG]],#REF!,14,FALSE),"")</f>
        <v/>
      </c>
      <c r="Q339" s="204" t="e">
        <f t="shared" si="527"/>
        <v>#VALUE!</v>
      </c>
      <c r="R339" s="204" t="e">
        <f t="shared" si="528"/>
        <v>#VALUE!</v>
      </c>
      <c r="S339" s="204" t="e">
        <f t="shared" si="529"/>
        <v>#VALUE!</v>
      </c>
      <c r="T339" s="204" t="e">
        <f t="shared" si="530"/>
        <v>#VALUE!</v>
      </c>
      <c r="U339" s="204" t="e">
        <f t="shared" si="531"/>
        <v>#VALUE!</v>
      </c>
      <c r="V339" s="204" t="e">
        <f t="shared" si="532"/>
        <v>#VALUE!</v>
      </c>
      <c r="W339" s="218">
        <v>371.11</v>
      </c>
      <c r="X339" s="218">
        <v>2056.6</v>
      </c>
      <c r="Y339" s="203">
        <v>0.1</v>
      </c>
      <c r="Z339" s="203">
        <f>IF(Tabela1[[#This Row],[Ano Aquisição]]=2023,0,IFERROR(VLOOKUP(H339,inflação!$F:$H,3,FALSE),""))</f>
        <v>0.24679999999999999</v>
      </c>
      <c r="AA339" s="203">
        <v>0.8</v>
      </c>
      <c r="AB339" s="202">
        <f t="shared" si="483"/>
        <v>-358628.66</v>
      </c>
      <c r="AC339" s="204" t="e">
        <f t="shared" si="533"/>
        <v>#VALUE!</v>
      </c>
      <c r="AD339" s="204" t="e">
        <f t="shared" si="534"/>
        <v>#VALUE!</v>
      </c>
      <c r="AE339" s="204" t="e">
        <f t="shared" si="535"/>
        <v>#VALUE!</v>
      </c>
      <c r="AF339" s="204" t="e">
        <f t="shared" si="536"/>
        <v>#VALUE!</v>
      </c>
      <c r="AG339" s="204" t="e">
        <f t="shared" si="537"/>
        <v>#VALUE!</v>
      </c>
      <c r="AH339" s="204" t="e">
        <f t="shared" si="538"/>
        <v>#VALUE!</v>
      </c>
      <c r="AI339" s="204" t="e">
        <f t="shared" si="539"/>
        <v>#VALUE!</v>
      </c>
      <c r="AJ339" s="205">
        <f t="shared" si="491"/>
        <v>-447138.21328799991</v>
      </c>
      <c r="AK339" s="204" t="e">
        <f t="shared" si="540"/>
        <v>#VALUE!</v>
      </c>
      <c r="AL339" s="204" t="e">
        <f t="shared" si="541"/>
        <v>#VALUE!</v>
      </c>
      <c r="AM339" s="204" t="e">
        <f t="shared" si="542"/>
        <v>#VALUE!</v>
      </c>
      <c r="AN339" s="204" t="e">
        <f t="shared" si="543"/>
        <v>#VALUE!</v>
      </c>
      <c r="AO339" s="204" t="e">
        <f t="shared" si="544"/>
        <v>#VALUE!</v>
      </c>
      <c r="AP339" s="204" t="e">
        <f t="shared" si="545"/>
        <v>#VALUE!</v>
      </c>
      <c r="AQ339" s="204" t="e">
        <f t="shared" si="546"/>
        <v>#VALUE!</v>
      </c>
      <c r="AR339" s="206" t="e">
        <f t="shared" si="499"/>
        <v>#VALUE!</v>
      </c>
      <c r="AS339" s="170" t="e">
        <f t="shared" si="547"/>
        <v>#VALUE!</v>
      </c>
      <c r="AT339" s="170" t="e">
        <f t="shared" si="548"/>
        <v>#VALUE!</v>
      </c>
      <c r="AU339" s="207" t="e">
        <f t="shared" si="502"/>
        <v>#VALUE!</v>
      </c>
      <c r="AV339" s="208" t="e">
        <f t="shared" si="503"/>
        <v>#VALUE!</v>
      </c>
      <c r="AW339" s="201" t="str">
        <f t="shared" si="504"/>
        <v>Fase de Degradação</v>
      </c>
      <c r="AX339" s="253" t="e">
        <f>VLOOKUP(D339,#REF!,5,FALSE)</f>
        <v>#REF!</v>
      </c>
      <c r="AY339" s="201"/>
      <c r="AZ339" s="273" t="s">
        <v>1224</v>
      </c>
      <c r="BB339">
        <f>IFERROR(VLOOKUP(Tabela1[[#This Row],[Denominação]],[10]Planilha1!$A:$B,2,FALSE),"")</f>
        <v>97194.91999999994</v>
      </c>
      <c r="BC339" s="219"/>
      <c r="BD339" s="219"/>
      <c r="BE339" s="219"/>
      <c r="BF339" s="219"/>
      <c r="BG339" s="219"/>
      <c r="BH339" s="219"/>
      <c r="BI339" s="219"/>
      <c r="BJ339" s="219"/>
      <c r="BK339" s="219"/>
      <c r="BL339" s="219"/>
    </row>
    <row r="340" spans="1:64" ht="15" hidden="1" customHeight="1" x14ac:dyDescent="0.3">
      <c r="A340" s="253">
        <v>339</v>
      </c>
      <c r="B340" s="201" t="s">
        <v>1030</v>
      </c>
      <c r="C340" s="211" t="s">
        <v>1031</v>
      </c>
      <c r="D340" s="201">
        <v>20004126</v>
      </c>
      <c r="E340" s="253" t="s">
        <v>1407</v>
      </c>
      <c r="F340" s="253">
        <v>3342</v>
      </c>
      <c r="G340" s="201">
        <v>52950</v>
      </c>
      <c r="H340" s="201">
        <v>2020</v>
      </c>
      <c r="I340" s="216">
        <v>2969893.4</v>
      </c>
      <c r="J340" s="214">
        <v>2624224</v>
      </c>
      <c r="K340" s="170">
        <v>694505.8</v>
      </c>
      <c r="L340" s="207">
        <v>1.01</v>
      </c>
      <c r="M340" s="212">
        <v>4800</v>
      </c>
      <c r="N340" s="212">
        <v>16450</v>
      </c>
      <c r="O340" s="171">
        <v>137</v>
      </c>
      <c r="P340" s="271" t="str">
        <f>IFERROR(VLOOKUP(Tabela1[[#This Row],[TAG]],#REF!,14,FALSE),"")</f>
        <v/>
      </c>
      <c r="Q340" s="204" t="e">
        <f t="shared" si="527"/>
        <v>#VALUE!</v>
      </c>
      <c r="R340" s="204" t="e">
        <f t="shared" si="528"/>
        <v>#VALUE!</v>
      </c>
      <c r="S340" s="204" t="e">
        <f t="shared" si="529"/>
        <v>#VALUE!</v>
      </c>
      <c r="T340" s="204" t="e">
        <f t="shared" si="530"/>
        <v>#VALUE!</v>
      </c>
      <c r="U340" s="204" t="e">
        <f t="shared" si="531"/>
        <v>#VALUE!</v>
      </c>
      <c r="V340" s="204" t="e">
        <f t="shared" si="532"/>
        <v>#VALUE!</v>
      </c>
      <c r="W340" s="218">
        <v>935.1</v>
      </c>
      <c r="X340" s="218">
        <v>3999.87</v>
      </c>
      <c r="Y340" s="203">
        <v>0.1</v>
      </c>
      <c r="Z340" s="203">
        <f>IF(Tabela1[[#This Row],[Ano Aquisição]]=2023,0,IFERROR(VLOOKUP(H340,inflação!$F:$H,3,FALSE),""))</f>
        <v>0.20369999999999999</v>
      </c>
      <c r="AA340" s="203">
        <v>0.8</v>
      </c>
      <c r="AB340" s="202">
        <f t="shared" si="483"/>
        <v>-2969893.4</v>
      </c>
      <c r="AC340" s="204" t="e">
        <f t="shared" si="533"/>
        <v>#VALUE!</v>
      </c>
      <c r="AD340" s="204" t="e">
        <f t="shared" si="534"/>
        <v>#VALUE!</v>
      </c>
      <c r="AE340" s="204" t="e">
        <f t="shared" si="535"/>
        <v>#VALUE!</v>
      </c>
      <c r="AF340" s="204" t="e">
        <f t="shared" si="536"/>
        <v>#VALUE!</v>
      </c>
      <c r="AG340" s="204" t="e">
        <f t="shared" si="537"/>
        <v>#VALUE!</v>
      </c>
      <c r="AH340" s="204" t="e">
        <f t="shared" si="538"/>
        <v>#VALUE!</v>
      </c>
      <c r="AI340" s="204" t="e">
        <f t="shared" si="539"/>
        <v>#VALUE!</v>
      </c>
      <c r="AJ340" s="205">
        <f t="shared" si="491"/>
        <v>-3574860.6855799998</v>
      </c>
      <c r="AK340" s="204" t="e">
        <f t="shared" si="540"/>
        <v>#VALUE!</v>
      </c>
      <c r="AL340" s="204" t="e">
        <f t="shared" si="541"/>
        <v>#VALUE!</v>
      </c>
      <c r="AM340" s="204" t="e">
        <f t="shared" si="542"/>
        <v>#VALUE!</v>
      </c>
      <c r="AN340" s="204" t="e">
        <f t="shared" si="543"/>
        <v>#VALUE!</v>
      </c>
      <c r="AO340" s="204" t="e">
        <f t="shared" si="544"/>
        <v>#VALUE!</v>
      </c>
      <c r="AP340" s="204" t="e">
        <f t="shared" si="545"/>
        <v>#VALUE!</v>
      </c>
      <c r="AQ340" s="204" t="e">
        <f t="shared" si="546"/>
        <v>#VALUE!</v>
      </c>
      <c r="AR340" s="206" t="e">
        <f t="shared" si="499"/>
        <v>#VALUE!</v>
      </c>
      <c r="AS340" s="170" t="e">
        <f t="shared" si="547"/>
        <v>#VALUE!</v>
      </c>
      <c r="AT340" s="170" t="e">
        <f t="shared" si="548"/>
        <v>#VALUE!</v>
      </c>
      <c r="AU340" s="207" t="e">
        <f t="shared" si="502"/>
        <v>#VALUE!</v>
      </c>
      <c r="AV340" s="208" t="e">
        <f t="shared" si="503"/>
        <v>#VALUE!</v>
      </c>
      <c r="AW340" s="201" t="str">
        <f t="shared" si="504"/>
        <v>Fase de Vida Útil</v>
      </c>
      <c r="AX340" s="253" t="e">
        <f>VLOOKUP(D340,#REF!,5,FALSE)</f>
        <v>#REF!</v>
      </c>
      <c r="AY340" s="201"/>
      <c r="AZ340" s="273" t="s">
        <v>1224</v>
      </c>
      <c r="BB340">
        <f>IFERROR(VLOOKUP(Tabela1[[#This Row],[Denominação]],[10]Planilha1!$A:$B,2,FALSE),"")</f>
        <v>694505.8</v>
      </c>
      <c r="BC340" s="219"/>
      <c r="BD340" s="219"/>
      <c r="BE340" s="219"/>
      <c r="BF340" s="219"/>
      <c r="BG340" s="219"/>
      <c r="BH340" s="219"/>
      <c r="BI340" s="219"/>
      <c r="BJ340" s="219"/>
      <c r="BK340" s="219"/>
      <c r="BL340" s="219"/>
    </row>
    <row r="341" spans="1:64" ht="15" hidden="1" customHeight="1" x14ac:dyDescent="0.3">
      <c r="A341" s="268">
        <v>340</v>
      </c>
      <c r="B341" s="201" t="s">
        <v>1032</v>
      </c>
      <c r="C341" s="211" t="s">
        <v>1033</v>
      </c>
      <c r="D341" s="201">
        <v>10006747</v>
      </c>
      <c r="E341" s="253" t="s">
        <v>1408</v>
      </c>
      <c r="F341" s="253">
        <v>4715</v>
      </c>
      <c r="G341" s="201">
        <v>55772</v>
      </c>
      <c r="H341" s="201">
        <v>2021</v>
      </c>
      <c r="I341" s="216">
        <v>622292.61</v>
      </c>
      <c r="J341" s="214">
        <v>568091</v>
      </c>
      <c r="K341" s="170">
        <v>49642.86</v>
      </c>
      <c r="L341" s="207">
        <v>1.31</v>
      </c>
      <c r="M341" s="212">
        <v>5000</v>
      </c>
      <c r="N341" s="212">
        <v>12285</v>
      </c>
      <c r="O341" s="171">
        <v>109</v>
      </c>
      <c r="P341" s="271" t="str">
        <f>IFERROR(VLOOKUP(Tabela1[[#This Row],[TAG]],#REF!,14,FALSE),"")</f>
        <v/>
      </c>
      <c r="Q341" s="204" t="e">
        <f t="shared" si="527"/>
        <v>#VALUE!</v>
      </c>
      <c r="R341" s="204" t="e">
        <f t="shared" si="528"/>
        <v>#VALUE!</v>
      </c>
      <c r="S341" s="204" t="e">
        <f t="shared" si="529"/>
        <v>#VALUE!</v>
      </c>
      <c r="T341" s="204" t="e">
        <f t="shared" si="530"/>
        <v>#VALUE!</v>
      </c>
      <c r="U341" s="204" t="e">
        <f t="shared" si="531"/>
        <v>#VALUE!</v>
      </c>
      <c r="V341" s="204" t="e">
        <f t="shared" si="532"/>
        <v>#VALUE!</v>
      </c>
      <c r="W341" s="218">
        <v>298.14</v>
      </c>
      <c r="X341" s="218">
        <v>2049.12</v>
      </c>
      <c r="Y341" s="203">
        <v>0.1</v>
      </c>
      <c r="Z341" s="203">
        <f>IF(Tabela1[[#This Row],[Ano Aquisição]]=2023,0,IFERROR(VLOOKUP(H341,inflação!$F:$H,3,FALSE),""))</f>
        <v>0.1585</v>
      </c>
      <c r="AA341" s="203">
        <v>0.8</v>
      </c>
      <c r="AB341" s="202">
        <f t="shared" si="483"/>
        <v>-622292.61</v>
      </c>
      <c r="AC341" s="204" t="e">
        <f t="shared" si="533"/>
        <v>#VALUE!</v>
      </c>
      <c r="AD341" s="204" t="e">
        <f t="shared" si="534"/>
        <v>#VALUE!</v>
      </c>
      <c r="AE341" s="204" t="e">
        <f t="shared" si="535"/>
        <v>#VALUE!</v>
      </c>
      <c r="AF341" s="204" t="e">
        <f t="shared" si="536"/>
        <v>#VALUE!</v>
      </c>
      <c r="AG341" s="204" t="e">
        <f t="shared" si="537"/>
        <v>#VALUE!</v>
      </c>
      <c r="AH341" s="204" t="e">
        <f t="shared" si="538"/>
        <v>#VALUE!</v>
      </c>
      <c r="AI341" s="204" t="e">
        <f t="shared" si="539"/>
        <v>#VALUE!</v>
      </c>
      <c r="AJ341" s="205">
        <f t="shared" si="491"/>
        <v>-720925.98868499999</v>
      </c>
      <c r="AK341" s="204" t="e">
        <f t="shared" si="540"/>
        <v>#VALUE!</v>
      </c>
      <c r="AL341" s="204" t="e">
        <f t="shared" si="541"/>
        <v>#VALUE!</v>
      </c>
      <c r="AM341" s="204" t="e">
        <f t="shared" si="542"/>
        <v>#VALUE!</v>
      </c>
      <c r="AN341" s="204" t="e">
        <f t="shared" si="543"/>
        <v>#VALUE!</v>
      </c>
      <c r="AO341" s="204" t="e">
        <f t="shared" si="544"/>
        <v>#VALUE!</v>
      </c>
      <c r="AP341" s="204" t="e">
        <f t="shared" si="545"/>
        <v>#VALUE!</v>
      </c>
      <c r="AQ341" s="204" t="e">
        <f t="shared" si="546"/>
        <v>#VALUE!</v>
      </c>
      <c r="AR341" s="206" t="e">
        <f t="shared" si="499"/>
        <v>#VALUE!</v>
      </c>
      <c r="AS341" s="170" t="e">
        <f t="shared" si="547"/>
        <v>#VALUE!</v>
      </c>
      <c r="AT341" s="170" t="e">
        <f t="shared" si="548"/>
        <v>#VALUE!</v>
      </c>
      <c r="AU341" s="207" t="e">
        <f t="shared" si="502"/>
        <v>#VALUE!</v>
      </c>
      <c r="AV341" s="208" t="e">
        <f t="shared" si="503"/>
        <v>#VALUE!</v>
      </c>
      <c r="AW341" s="201" t="str">
        <f t="shared" si="504"/>
        <v>Fase de Degradação</v>
      </c>
      <c r="AX341" s="253" t="e">
        <f>VLOOKUP(D341,#REF!,5,FALSE)</f>
        <v>#REF!</v>
      </c>
      <c r="AY341" s="201"/>
      <c r="AZ341" s="273" t="s">
        <v>1224</v>
      </c>
      <c r="BB341">
        <f>IFERROR(VLOOKUP(Tabela1[[#This Row],[Denominação]],[10]Planilha1!$A:$B,2,FALSE),"")</f>
        <v>49642.86</v>
      </c>
      <c r="BC341" s="219"/>
      <c r="BD341" s="219"/>
      <c r="BE341" s="219"/>
      <c r="BF341" s="219"/>
      <c r="BG341" s="219"/>
      <c r="BH341" s="219"/>
      <c r="BI341" s="219"/>
      <c r="BJ341" s="219"/>
      <c r="BK341" s="219"/>
      <c r="BL341" s="219"/>
    </row>
    <row r="342" spans="1:64" ht="15" hidden="1" customHeight="1" x14ac:dyDescent="0.3">
      <c r="A342" s="253">
        <v>341</v>
      </c>
      <c r="B342" s="201" t="s">
        <v>1034</v>
      </c>
      <c r="C342" s="211" t="s">
        <v>1035</v>
      </c>
      <c r="D342" s="201">
        <v>10006748</v>
      </c>
      <c r="E342" s="253" t="s">
        <v>1409</v>
      </c>
      <c r="F342" s="253">
        <v>4715</v>
      </c>
      <c r="G342" s="201">
        <v>56435</v>
      </c>
      <c r="H342" s="201">
        <v>2022</v>
      </c>
      <c r="I342" s="216">
        <v>460947.63</v>
      </c>
      <c r="J342" s="214">
        <v>432257</v>
      </c>
      <c r="K342" s="170">
        <v>9184.9399999999987</v>
      </c>
      <c r="L342" s="207">
        <v>1.1299999999999999</v>
      </c>
      <c r="M342" s="212">
        <v>5000</v>
      </c>
      <c r="N342" s="212">
        <v>8883</v>
      </c>
      <c r="O342" s="171">
        <v>25</v>
      </c>
      <c r="P342" s="271" t="str">
        <f>IFERROR(VLOOKUP(Tabela1[[#This Row],[TAG]],#REF!,14,FALSE),"")</f>
        <v/>
      </c>
      <c r="Q342" s="204" t="e">
        <f t="shared" si="527"/>
        <v>#VALUE!</v>
      </c>
      <c r="R342" s="204" t="e">
        <f t="shared" si="528"/>
        <v>#VALUE!</v>
      </c>
      <c r="S342" s="204" t="e">
        <f t="shared" si="529"/>
        <v>#VALUE!</v>
      </c>
      <c r="T342" s="204" t="e">
        <f t="shared" si="530"/>
        <v>#VALUE!</v>
      </c>
      <c r="U342" s="204" t="e">
        <f t="shared" si="531"/>
        <v>#VALUE!</v>
      </c>
      <c r="V342" s="204" t="e">
        <f t="shared" si="532"/>
        <v>#VALUE!</v>
      </c>
      <c r="W342" s="218">
        <v>269.47000000000003</v>
      </c>
      <c r="X342" s="218">
        <v>561.91</v>
      </c>
      <c r="Y342" s="203">
        <v>0.1</v>
      </c>
      <c r="Z342" s="203">
        <f>IF(Tabela1[[#This Row],[Ano Aquisição]]=2023,0,IFERROR(VLOOKUP(H342,inflação!$F:$H,3,FALSE),""))</f>
        <v>5.79E-2</v>
      </c>
      <c r="AA342" s="203">
        <v>0.8</v>
      </c>
      <c r="AB342" s="202">
        <f t="shared" si="483"/>
        <v>-460947.63</v>
      </c>
      <c r="AC342" s="204" t="e">
        <f t="shared" si="533"/>
        <v>#VALUE!</v>
      </c>
      <c r="AD342" s="204" t="e">
        <f t="shared" si="534"/>
        <v>#VALUE!</v>
      </c>
      <c r="AE342" s="204" t="e">
        <f t="shared" si="535"/>
        <v>#VALUE!</v>
      </c>
      <c r="AF342" s="204" t="e">
        <f t="shared" si="536"/>
        <v>#VALUE!</v>
      </c>
      <c r="AG342" s="204" t="e">
        <f t="shared" si="537"/>
        <v>#VALUE!</v>
      </c>
      <c r="AH342" s="204" t="e">
        <f t="shared" si="538"/>
        <v>#VALUE!</v>
      </c>
      <c r="AI342" s="204" t="e">
        <f t="shared" si="539"/>
        <v>#VALUE!</v>
      </c>
      <c r="AJ342" s="205">
        <f t="shared" si="491"/>
        <v>-487636.49777700001</v>
      </c>
      <c r="AK342" s="204" t="e">
        <f t="shared" si="540"/>
        <v>#VALUE!</v>
      </c>
      <c r="AL342" s="204" t="e">
        <f t="shared" si="541"/>
        <v>#VALUE!</v>
      </c>
      <c r="AM342" s="204" t="e">
        <f t="shared" si="542"/>
        <v>#VALUE!</v>
      </c>
      <c r="AN342" s="204" t="e">
        <f t="shared" si="543"/>
        <v>#VALUE!</v>
      </c>
      <c r="AO342" s="204" t="e">
        <f t="shared" si="544"/>
        <v>#VALUE!</v>
      </c>
      <c r="AP342" s="204" t="e">
        <f t="shared" si="545"/>
        <v>#VALUE!</v>
      </c>
      <c r="AQ342" s="204" t="e">
        <f t="shared" si="546"/>
        <v>#VALUE!</v>
      </c>
      <c r="AR342" s="206" t="e">
        <f t="shared" si="499"/>
        <v>#VALUE!</v>
      </c>
      <c r="AS342" s="170" t="e">
        <f t="shared" si="547"/>
        <v>#VALUE!</v>
      </c>
      <c r="AT342" s="170" t="e">
        <f t="shared" si="548"/>
        <v>#VALUE!</v>
      </c>
      <c r="AU342" s="207" t="e">
        <f t="shared" si="502"/>
        <v>#VALUE!</v>
      </c>
      <c r="AV342" s="208" t="e">
        <f t="shared" si="503"/>
        <v>#VALUE!</v>
      </c>
      <c r="AW342" s="201" t="str">
        <f t="shared" si="504"/>
        <v>Fase de Degradação</v>
      </c>
      <c r="AX342" s="253" t="e">
        <f>VLOOKUP(D342,#REF!,5,FALSE)</f>
        <v>#REF!</v>
      </c>
      <c r="AY342" s="201"/>
      <c r="AZ342" s="273" t="s">
        <v>1224</v>
      </c>
      <c r="BB342">
        <f>IFERROR(VLOOKUP(Tabela1[[#This Row],[Denominação]],[10]Planilha1!$A:$B,2,FALSE),"")</f>
        <v>9184.9399999999987</v>
      </c>
      <c r="BC342" s="219"/>
      <c r="BD342" s="219"/>
      <c r="BE342" s="219"/>
      <c r="BF342" s="219"/>
      <c r="BG342" s="219"/>
      <c r="BH342" s="219"/>
      <c r="BI342" s="219"/>
      <c r="BJ342" s="219"/>
      <c r="BK342" s="219"/>
      <c r="BL342" s="219"/>
    </row>
    <row r="343" spans="1:64" ht="15" hidden="1" customHeight="1" x14ac:dyDescent="0.3">
      <c r="A343" s="268">
        <v>342</v>
      </c>
      <c r="B343" s="300" t="s">
        <v>1832</v>
      </c>
      <c r="C343" s="318" t="s">
        <v>1701</v>
      </c>
      <c r="D343" s="315">
        <v>10006801</v>
      </c>
      <c r="E343" s="299" t="s">
        <v>1773</v>
      </c>
      <c r="F343" s="299">
        <v>4550</v>
      </c>
      <c r="G343" s="300">
        <v>46252</v>
      </c>
      <c r="H343" s="315">
        <v>2021</v>
      </c>
      <c r="I343" s="329">
        <v>99998.66</v>
      </c>
      <c r="J343" s="330">
        <v>34301</v>
      </c>
      <c r="K343" s="326">
        <v>0</v>
      </c>
      <c r="L343" s="319"/>
      <c r="M343" s="320"/>
      <c r="N343" s="320"/>
      <c r="O343" s="321"/>
      <c r="P343" s="271" t="str">
        <f>IFERROR(VLOOKUP(Tabela1[[#This Row],[TAG]],#REF!,14,FALSE),"")</f>
        <v/>
      </c>
      <c r="Q343" s="323"/>
      <c r="R343" s="323"/>
      <c r="S343" s="323"/>
      <c r="T343" s="323"/>
      <c r="U343" s="323"/>
      <c r="V343" s="323"/>
      <c r="W343" s="304" t="s">
        <v>1666</v>
      </c>
      <c r="X343" s="304"/>
      <c r="Y343" s="322"/>
      <c r="Z343" s="322">
        <f>IF(Tabela1[[#This Row],[Ano Aquisição]]=2023,0,IFERROR(VLOOKUP(H343,inflação!$F:$H,3,FALSE),""))</f>
        <v>0.1585</v>
      </c>
      <c r="AA343" s="322"/>
      <c r="AB343" s="310"/>
      <c r="AC343" s="323"/>
      <c r="AD343" s="323"/>
      <c r="AE343" s="323"/>
      <c r="AF343" s="323"/>
      <c r="AG343" s="323"/>
      <c r="AH343" s="323"/>
      <c r="AI343" s="323"/>
      <c r="AJ343" s="324"/>
      <c r="AK343" s="323"/>
      <c r="AL343" s="323"/>
      <c r="AM343" s="323"/>
      <c r="AN343" s="323"/>
      <c r="AO343" s="323"/>
      <c r="AP343" s="323"/>
      <c r="AQ343" s="323"/>
      <c r="AR343" s="325"/>
      <c r="AS343" s="326"/>
      <c r="AT343" s="326"/>
      <c r="AU343" s="319"/>
      <c r="AV343" s="327"/>
      <c r="AW343" s="315"/>
      <c r="AX343" s="299" t="e">
        <f>VLOOKUP(D343,#REF!,5,FALSE)</f>
        <v>#REF!</v>
      </c>
      <c r="AY343" s="315"/>
      <c r="AZ343" s="316" t="s">
        <v>1224</v>
      </c>
      <c r="BB343">
        <f>IFERROR(VLOOKUP(Tabela1[[#This Row],[Denominação]],[10]Planilha1!$A:$B,2,FALSE),"")</f>
        <v>0</v>
      </c>
      <c r="BC343" s="219"/>
      <c r="BD343" s="219"/>
      <c r="BE343" s="219"/>
      <c r="BF343" s="219"/>
      <c r="BG343" s="219"/>
      <c r="BH343" s="219"/>
      <c r="BI343" s="219"/>
      <c r="BJ343" s="219"/>
      <c r="BK343" s="219"/>
      <c r="BL343" s="219"/>
    </row>
    <row r="344" spans="1:64" ht="15" hidden="1" customHeight="1" x14ac:dyDescent="0.3">
      <c r="A344" s="253">
        <v>343</v>
      </c>
      <c r="B344" s="255" t="s">
        <v>1833</v>
      </c>
      <c r="C344" s="211" t="s">
        <v>1702</v>
      </c>
      <c r="D344" s="201">
        <v>10006896</v>
      </c>
      <c r="E344" s="253" t="s">
        <v>1774</v>
      </c>
      <c r="F344" s="253">
        <v>4645</v>
      </c>
      <c r="G344" s="204">
        <v>900000022942</v>
      </c>
      <c r="H344" s="201">
        <v>2022</v>
      </c>
      <c r="I344" s="216">
        <v>3866635.47</v>
      </c>
      <c r="J344" s="214">
        <v>3866635.47</v>
      </c>
      <c r="K344" s="170">
        <v>34058.6</v>
      </c>
      <c r="L344" s="207">
        <v>2.75</v>
      </c>
      <c r="M344" s="212">
        <v>5184</v>
      </c>
      <c r="N344" s="212">
        <v>1819</v>
      </c>
      <c r="O344" s="171">
        <v>24</v>
      </c>
      <c r="P344" s="271" t="str">
        <f>IFERROR(VLOOKUP(Tabela1[[#This Row],[TAG]],#REF!,14,FALSE),"")</f>
        <v/>
      </c>
      <c r="Q344" s="204" t="e">
        <f>P344+P344</f>
        <v>#VALUE!</v>
      </c>
      <c r="R344" s="204" t="e">
        <f t="shared" ref="R344" si="549">Q344+P344</f>
        <v>#VALUE!</v>
      </c>
      <c r="S344" s="204" t="e">
        <f t="shared" ref="S344" si="550">R344+P344</f>
        <v>#VALUE!</v>
      </c>
      <c r="T344" s="204" t="e">
        <f t="shared" ref="T344" si="551">S344+P344</f>
        <v>#VALUE!</v>
      </c>
      <c r="U344" s="204" t="e">
        <f t="shared" ref="U344" si="552">T344+P344</f>
        <v>#VALUE!</v>
      </c>
      <c r="V344" s="204" t="e">
        <f t="shared" ref="V344" si="553">U344+P344</f>
        <v>#VALUE!</v>
      </c>
      <c r="W344" s="218">
        <v>652.85</v>
      </c>
      <c r="X344" s="218">
        <v>5602.36</v>
      </c>
      <c r="Y344" s="203">
        <v>0.1</v>
      </c>
      <c r="Z344" s="203">
        <f>IF(Tabela1[[#This Row],[Ano Aquisição]]=2023,0,IFERROR(VLOOKUP(H344,inflação!$F:$H,3,FALSE),""))</f>
        <v>5.79E-2</v>
      </c>
      <c r="AA344" s="203">
        <v>0.8</v>
      </c>
      <c r="AB344" s="202">
        <f>I344*-1</f>
        <v>-3866635.47</v>
      </c>
      <c r="AC344" s="204" t="e">
        <f t="shared" ref="AC344" si="554">-(((P344*$W344)+($X344*12))*((1+$Y344)^AC$1))</f>
        <v>#VALUE!</v>
      </c>
      <c r="AD344" s="204" t="e">
        <f t="shared" ref="AD344" si="555">-((((Q344-P344)*$W344)+($X344*12))*((1+$Y344)^AD$1))</f>
        <v>#VALUE!</v>
      </c>
      <c r="AE344" s="204" t="e">
        <f t="shared" ref="AE344" si="556">-((((R344-Q344)*$W344)+($X344*12))*((1+$Y344)^AE$1))</f>
        <v>#VALUE!</v>
      </c>
      <c r="AF344" s="204" t="e">
        <f t="shared" ref="AF344" si="557">-((((S344-R344)*$W344)+($X344*12))*((1+$Y344)^AF$1))</f>
        <v>#VALUE!</v>
      </c>
      <c r="AG344" s="204" t="e">
        <f t="shared" ref="AG344" si="558">-((((T344-S344)*$W344)+($X344*12))*((1+$Y344)^AG$1))</f>
        <v>#VALUE!</v>
      </c>
      <c r="AH344" s="204" t="e">
        <f t="shared" ref="AH344" si="559">-((((U344-T344)*$W344)+($X344*12))*((1+$Y344)^AH$1))</f>
        <v>#VALUE!</v>
      </c>
      <c r="AI344" s="204" t="e">
        <f t="shared" ref="AI344" si="560">-((((V344-U344)*$W344)+($X344*12))*((1+$Y344)^AI$1))</f>
        <v>#VALUE!</v>
      </c>
      <c r="AJ344" s="205">
        <f>-(I344*(1+Z344))</f>
        <v>-4090513.6637130002</v>
      </c>
      <c r="AK344" s="204" t="e">
        <f t="shared" ref="AK344" si="561">AC344*(1-$AA344)</f>
        <v>#VALUE!</v>
      </c>
      <c r="AL344" s="204" t="e">
        <f t="shared" ref="AL344" si="562">AD344*(1-$AA344)</f>
        <v>#VALUE!</v>
      </c>
      <c r="AM344" s="204" t="e">
        <f t="shared" ref="AM344" si="563">AE344*(1-$AA344)</f>
        <v>#VALUE!</v>
      </c>
      <c r="AN344" s="204" t="e">
        <f t="shared" ref="AN344" si="564">AF344*(1-$AA344)</f>
        <v>#VALUE!</v>
      </c>
      <c r="AO344" s="204" t="e">
        <f t="shared" ref="AO344" si="565">AG344*(1-$AA344)</f>
        <v>#VALUE!</v>
      </c>
      <c r="AP344" s="204" t="e">
        <f t="shared" ref="AP344" si="566">AH344*(1-$AA344)</f>
        <v>#VALUE!</v>
      </c>
      <c r="AQ344" s="204" t="e">
        <f t="shared" ref="AQ344" si="567">AI344*(1-$AA344)</f>
        <v>#VALUE!</v>
      </c>
      <c r="AR344" s="206" t="e">
        <f>(NPV(Y344,AK344,AL344,AM344,AN344,AO344,AP344,AQ344)+(SUM(AJ344,(J344*-1))))-(NPV(Y344,AC344,AD344,AE344,AF344,AG344,AH344,AI344))</f>
        <v>#VALUE!</v>
      </c>
      <c r="AS344" s="170" t="e">
        <f t="shared" ref="AS344" si="568">SUM(AC344:AI344)</f>
        <v>#VALUE!</v>
      </c>
      <c r="AT344" s="170" t="e">
        <f t="shared" ref="AT344" si="569">SUM(AK344:AQ344)</f>
        <v>#VALUE!</v>
      </c>
      <c r="AU344" s="207" t="e">
        <f>(((AVERAGE(AC344:AI344)/1000)-(AVERAGE(AK344:AQ344)/1000))+(((AJ344/1000)*-1)/7)+((J344/1000)/7))*-1</f>
        <v>#VALUE!</v>
      </c>
      <c r="AV344" s="208" t="e">
        <f>AU344/(((J344/1000)+((AJ344*-1)/1000)))</f>
        <v>#VALUE!</v>
      </c>
      <c r="AW344" s="201" t="str">
        <f>IF(L344&gt;1.1,"Fase de Degradação",IF(L344&lt;1,"Confiabilidade em Crescimento","Fase de Vida Útil"))</f>
        <v>Fase de Degradação</v>
      </c>
      <c r="AX344" s="253" t="e">
        <f>VLOOKUP(D344,#REF!,5,FALSE)</f>
        <v>#REF!</v>
      </c>
      <c r="AY344" s="201" t="s">
        <v>1224</v>
      </c>
      <c r="AZ344" s="273" t="s">
        <v>1224</v>
      </c>
      <c r="BB344">
        <f>IFERROR(VLOOKUP(Tabela1[[#This Row],[Denominação]],[10]Planilha1!$A:$B,2,FALSE),"")</f>
        <v>34058.6</v>
      </c>
      <c r="BC344" s="219"/>
      <c r="BD344" s="219"/>
      <c r="BE344" s="219"/>
      <c r="BF344" s="219"/>
      <c r="BG344" s="219"/>
      <c r="BH344" s="219"/>
      <c r="BI344" s="219"/>
      <c r="BJ344" s="219"/>
      <c r="BK344" s="219"/>
      <c r="BL344" s="219"/>
    </row>
    <row r="345" spans="1:64" ht="15" hidden="1" customHeight="1" x14ac:dyDescent="0.3">
      <c r="A345" s="268">
        <v>344</v>
      </c>
      <c r="B345" s="255" t="s">
        <v>1834</v>
      </c>
      <c r="C345" s="211" t="s">
        <v>1703</v>
      </c>
      <c r="D345" s="201">
        <v>10006900</v>
      </c>
      <c r="E345" s="253" t="s">
        <v>1775</v>
      </c>
      <c r="F345" s="253">
        <v>3342</v>
      </c>
      <c r="G345" s="204">
        <v>900000022962</v>
      </c>
      <c r="H345" s="201">
        <v>2022</v>
      </c>
      <c r="I345" s="214">
        <v>4284600.29</v>
      </c>
      <c r="J345" s="214">
        <v>4284600.29</v>
      </c>
      <c r="K345" s="170">
        <v>5712.85</v>
      </c>
      <c r="L345" s="207">
        <v>0.38</v>
      </c>
      <c r="M345" s="212">
        <v>4800</v>
      </c>
      <c r="N345" s="212">
        <v>3376</v>
      </c>
      <c r="O345" s="171">
        <v>6</v>
      </c>
      <c r="P345" s="271" t="str">
        <f>IFERROR(VLOOKUP(Tabela1[[#This Row],[TAG]],#REF!,14,FALSE),"")</f>
        <v/>
      </c>
      <c r="Q345" s="204" t="e">
        <f t="shared" ref="Q345" si="570">P345+P345</f>
        <v>#VALUE!</v>
      </c>
      <c r="R345" s="204" t="e">
        <f t="shared" ref="R345" si="571">Q345+P345</f>
        <v>#VALUE!</v>
      </c>
      <c r="S345" s="204" t="e">
        <f t="shared" ref="S345" si="572">R345+P345</f>
        <v>#VALUE!</v>
      </c>
      <c r="T345" s="204" t="e">
        <f t="shared" ref="T345" si="573">S345+P345</f>
        <v>#VALUE!</v>
      </c>
      <c r="U345" s="204" t="e">
        <f t="shared" ref="U345" si="574">T345+P345</f>
        <v>#VALUE!</v>
      </c>
      <c r="V345" s="204" t="e">
        <f t="shared" ref="V345" si="575">U345+P345</f>
        <v>#VALUE!</v>
      </c>
      <c r="W345" s="218">
        <v>821.28</v>
      </c>
      <c r="X345" s="218">
        <v>1485.43</v>
      </c>
      <c r="Y345" s="203">
        <v>0.1</v>
      </c>
      <c r="Z345" s="203">
        <f>IF(Tabela1[[#This Row],[Ano Aquisição]]=2023,0,IFERROR(VLOOKUP(H345,inflação!$F:$H,3,FALSE),""))</f>
        <v>5.79E-2</v>
      </c>
      <c r="AA345" s="203">
        <v>0.8</v>
      </c>
      <c r="AB345" s="202">
        <f>I345*-1</f>
        <v>-4284600.29</v>
      </c>
      <c r="AC345" s="204" t="e">
        <f t="shared" ref="AC345" si="576">-(((P345*$W345)+($X345*12))*((1+$Y345)^AC$1))</f>
        <v>#VALUE!</v>
      </c>
      <c r="AD345" s="204" t="e">
        <f t="shared" ref="AD345" si="577">-((((Q345-P345)*$W345)+($X345*12))*((1+$Y345)^AD$1))</f>
        <v>#VALUE!</v>
      </c>
      <c r="AE345" s="204" t="e">
        <f t="shared" ref="AE345" si="578">-((((R345-Q345)*$W345)+($X345*12))*((1+$Y345)^AE$1))</f>
        <v>#VALUE!</v>
      </c>
      <c r="AF345" s="204" t="e">
        <f t="shared" ref="AF345" si="579">-((((S345-R345)*$W345)+($X345*12))*((1+$Y345)^AF$1))</f>
        <v>#VALUE!</v>
      </c>
      <c r="AG345" s="204" t="e">
        <f t="shared" ref="AG345" si="580">-((((T345-S345)*$W345)+($X345*12))*((1+$Y345)^AG$1))</f>
        <v>#VALUE!</v>
      </c>
      <c r="AH345" s="204" t="e">
        <f t="shared" ref="AH345" si="581">-((((U345-T345)*$W345)+($X345*12))*((1+$Y345)^AH$1))</f>
        <v>#VALUE!</v>
      </c>
      <c r="AI345" s="204" t="e">
        <f t="shared" ref="AI345" si="582">-((((V345-U345)*$W345)+($X345*12))*((1+$Y345)^AI$1))</f>
        <v>#VALUE!</v>
      </c>
      <c r="AJ345" s="205">
        <f>-(I345*(1+Z345))</f>
        <v>-4532678.6467909999</v>
      </c>
      <c r="AK345" s="204" t="e">
        <f t="shared" ref="AK345" si="583">AC345*(1-$AA345)</f>
        <v>#VALUE!</v>
      </c>
      <c r="AL345" s="204" t="e">
        <f t="shared" ref="AL345" si="584">AD345*(1-$AA345)</f>
        <v>#VALUE!</v>
      </c>
      <c r="AM345" s="204" t="e">
        <f t="shared" ref="AM345" si="585">AE345*(1-$AA345)</f>
        <v>#VALUE!</v>
      </c>
      <c r="AN345" s="204" t="e">
        <f t="shared" ref="AN345" si="586">AF345*(1-$AA345)</f>
        <v>#VALUE!</v>
      </c>
      <c r="AO345" s="204" t="e">
        <f t="shared" ref="AO345" si="587">AG345*(1-$AA345)</f>
        <v>#VALUE!</v>
      </c>
      <c r="AP345" s="204" t="e">
        <f t="shared" ref="AP345" si="588">AH345*(1-$AA345)</f>
        <v>#VALUE!</v>
      </c>
      <c r="AQ345" s="204" t="e">
        <f t="shared" ref="AQ345" si="589">AI345*(1-$AA345)</f>
        <v>#VALUE!</v>
      </c>
      <c r="AR345" s="206" t="e">
        <f>(NPV(Y345,AK345,AL345,AM345,AN345,AO345,AP345,AQ345)+(SUM(AJ345,(J345*-1))))-(NPV(Y345,AC345,AD345,AE345,AF345,AG345,AH345,AI345))</f>
        <v>#VALUE!</v>
      </c>
      <c r="AS345" s="170" t="e">
        <f t="shared" ref="AS345" si="590">SUM(AC345:AI345)</f>
        <v>#VALUE!</v>
      </c>
      <c r="AT345" s="170" t="e">
        <f t="shared" ref="AT345" si="591">SUM(AK345:AQ345)</f>
        <v>#VALUE!</v>
      </c>
      <c r="AU345" s="207" t="e">
        <f>(((AVERAGE(AC345:AI345)/1000)-(AVERAGE(AK345:AQ345)/1000))+(((AJ345/1000)*-1)/7)+((J345/1000)/7))*-1</f>
        <v>#VALUE!</v>
      </c>
      <c r="AV345" s="208" t="e">
        <f>AU345/(((J345/1000)+((AJ345*-1)/1000)))</f>
        <v>#VALUE!</v>
      </c>
      <c r="AW345" s="201" t="str">
        <f>IF(L345&gt;1.1,"Fase de Degradação",IF(L345&lt;1,"Confiabilidade em Crescimento","Fase de Vida Útil"))</f>
        <v>Confiabilidade em Crescimento</v>
      </c>
      <c r="AX345" s="253" t="e">
        <f>VLOOKUP(D345,#REF!,5,FALSE)</f>
        <v>#REF!</v>
      </c>
      <c r="AY345" s="201"/>
      <c r="AZ345" s="273" t="s">
        <v>1224</v>
      </c>
      <c r="BB345">
        <f>IFERROR(VLOOKUP(Tabela1[[#This Row],[Denominação]],[10]Planilha1!$A:$B,2,FALSE),"")</f>
        <v>5712.85</v>
      </c>
      <c r="BC345" s="219"/>
      <c r="BD345" s="219"/>
      <c r="BE345" s="219"/>
      <c r="BF345" s="219"/>
      <c r="BG345" s="219"/>
      <c r="BH345" s="219"/>
      <c r="BI345" s="219"/>
      <c r="BJ345" s="219"/>
      <c r="BK345" s="219"/>
      <c r="BL345" s="219"/>
    </row>
    <row r="346" spans="1:64" ht="15" hidden="1" customHeight="1" x14ac:dyDescent="0.3">
      <c r="A346" s="253">
        <v>345</v>
      </c>
      <c r="B346" s="300" t="s">
        <v>1835</v>
      </c>
      <c r="C346" s="318" t="s">
        <v>1704</v>
      </c>
      <c r="D346" s="315">
        <v>20004396</v>
      </c>
      <c r="E346" s="299" t="s">
        <v>1486</v>
      </c>
      <c r="F346" s="299">
        <v>4566</v>
      </c>
      <c r="G346" s="315">
        <v>54862</v>
      </c>
      <c r="H346" s="315">
        <v>2021</v>
      </c>
      <c r="I346" s="329">
        <v>71040.990000000005</v>
      </c>
      <c r="J346" s="330">
        <v>64142</v>
      </c>
      <c r="K346" s="326">
        <v>0</v>
      </c>
      <c r="L346" s="319"/>
      <c r="M346" s="320"/>
      <c r="N346" s="320"/>
      <c r="O346" s="321"/>
      <c r="P346" s="271" t="str">
        <f>IFERROR(VLOOKUP(Tabela1[[#This Row],[TAG]],#REF!,14,FALSE),"")</f>
        <v/>
      </c>
      <c r="Q346" s="323"/>
      <c r="R346" s="323"/>
      <c r="S346" s="323"/>
      <c r="T346" s="323"/>
      <c r="U346" s="323"/>
      <c r="V346" s="323"/>
      <c r="W346" s="304" t="s">
        <v>1666</v>
      </c>
      <c r="X346" s="304"/>
      <c r="Y346" s="322"/>
      <c r="Z346" s="322" t="str">
        <f>IF(Tabela1[[#This Row],[Ano Aquisição]]=2023,0,IFERROR(VLOOKUP(#REF!,inflação!$F:$H,3,FALSE),""))</f>
        <v/>
      </c>
      <c r="AA346" s="322"/>
      <c r="AB346" s="310"/>
      <c r="AC346" s="323"/>
      <c r="AD346" s="323"/>
      <c r="AE346" s="323"/>
      <c r="AF346" s="323"/>
      <c r="AG346" s="323"/>
      <c r="AH346" s="323"/>
      <c r="AI346" s="323"/>
      <c r="AJ346" s="324"/>
      <c r="AK346" s="323"/>
      <c r="AL346" s="323"/>
      <c r="AM346" s="323"/>
      <c r="AN346" s="323"/>
      <c r="AO346" s="323"/>
      <c r="AP346" s="323"/>
      <c r="AQ346" s="323"/>
      <c r="AR346" s="325"/>
      <c r="AS346" s="326"/>
      <c r="AT346" s="326"/>
      <c r="AU346" s="319"/>
      <c r="AV346" s="327"/>
      <c r="AW346" s="315"/>
      <c r="AX346" s="299" t="e">
        <f>VLOOKUP(D346,#REF!,5,FALSE)</f>
        <v>#REF!</v>
      </c>
      <c r="AY346" s="315"/>
      <c r="AZ346" s="316" t="s">
        <v>1224</v>
      </c>
      <c r="BB346">
        <f>IFERROR(VLOOKUP(Tabela1[[#This Row],[Denominação]],[10]Planilha1!$A:$B,2,FALSE),"")</f>
        <v>0</v>
      </c>
      <c r="BC346" s="219"/>
      <c r="BD346" s="219"/>
      <c r="BE346" s="219"/>
      <c r="BF346" s="219"/>
      <c r="BG346" s="219"/>
      <c r="BH346" s="219"/>
      <c r="BI346" s="219"/>
      <c r="BJ346" s="219"/>
      <c r="BK346" s="219"/>
      <c r="BL346" s="219"/>
    </row>
    <row r="347" spans="1:64" ht="15" hidden="1" customHeight="1" x14ac:dyDescent="0.3">
      <c r="A347" s="268">
        <v>346</v>
      </c>
      <c r="B347" s="315" t="s">
        <v>795</v>
      </c>
      <c r="C347" s="318" t="s">
        <v>796</v>
      </c>
      <c r="D347" s="315">
        <v>10005912</v>
      </c>
      <c r="E347" s="299" t="s">
        <v>1323</v>
      </c>
      <c r="F347" s="299">
        <v>1074</v>
      </c>
      <c r="G347" s="300">
        <v>40515</v>
      </c>
      <c r="H347" s="315">
        <v>2011</v>
      </c>
      <c r="I347" s="329">
        <v>35249.589999999997</v>
      </c>
      <c r="J347" s="330">
        <v>0</v>
      </c>
      <c r="K347" s="326">
        <v>123875.05000000002</v>
      </c>
      <c r="L347" s="319">
        <v>0.98</v>
      </c>
      <c r="M347" s="320">
        <v>4116</v>
      </c>
      <c r="N347" s="320">
        <v>69210</v>
      </c>
      <c r="O347" s="321">
        <v>80</v>
      </c>
      <c r="P347" s="271" t="str">
        <f>IFERROR(VLOOKUP(Tabela1[[#This Row],[TAG]],#REF!,14,FALSE),"")</f>
        <v/>
      </c>
      <c r="Q347" s="323" t="e">
        <f t="shared" ref="Q347:Q357" si="592">P347+P347</f>
        <v>#VALUE!</v>
      </c>
      <c r="R347" s="323" t="e">
        <f t="shared" ref="R347:R357" si="593">Q347+P347</f>
        <v>#VALUE!</v>
      </c>
      <c r="S347" s="323" t="e">
        <f t="shared" ref="S347:S357" si="594">R347+P347</f>
        <v>#VALUE!</v>
      </c>
      <c r="T347" s="323" t="e">
        <f t="shared" ref="T347:T357" si="595">S347+P347</f>
        <v>#VALUE!</v>
      </c>
      <c r="U347" s="323" t="e">
        <f t="shared" ref="U347:U357" si="596">T347+P347</f>
        <v>#VALUE!</v>
      </c>
      <c r="V347" s="323" t="e">
        <f t="shared" ref="V347:V357" si="597">U347+P347</f>
        <v>#VALUE!</v>
      </c>
      <c r="W347" s="304">
        <v>428.52</v>
      </c>
      <c r="X347" s="326">
        <v>694.54944444444448</v>
      </c>
      <c r="Y347" s="322">
        <v>0.1</v>
      </c>
      <c r="Z347" s="322">
        <f>IF(Tabela1[[#This Row],[Ano Aquisição]]=2023,0,IFERROR(VLOOKUP(H347,inflação!$F:$H,3,FALSE),""))</f>
        <v>0.73</v>
      </c>
      <c r="AA347" s="322">
        <v>0.8</v>
      </c>
      <c r="AB347" s="310">
        <f t="shared" ref="AB347:AB378" si="598">I347*-1</f>
        <v>-35249.589999999997</v>
      </c>
      <c r="AC347" s="323" t="e">
        <f t="shared" ref="AC347:AC357" si="599">-(((P347*$W347)+($X347*12))*((1+$Y347)^AC$1))</f>
        <v>#VALUE!</v>
      </c>
      <c r="AD347" s="323" t="e">
        <f t="shared" ref="AD347:AD357" si="600">-((((Q347-P347)*$W347)+($X347*12))*((1+$Y347)^AD$1))</f>
        <v>#VALUE!</v>
      </c>
      <c r="AE347" s="323" t="e">
        <f t="shared" ref="AE347:AE357" si="601">-((((R347-Q347)*$W347)+($X347*12))*((1+$Y347)^AE$1))</f>
        <v>#VALUE!</v>
      </c>
      <c r="AF347" s="323" t="e">
        <f t="shared" ref="AF347:AF357" si="602">-((((S347-R347)*$W347)+($X347*12))*((1+$Y347)^AF$1))</f>
        <v>#VALUE!</v>
      </c>
      <c r="AG347" s="323" t="e">
        <f t="shared" ref="AG347:AG357" si="603">-((((T347-S347)*$W347)+($X347*12))*((1+$Y347)^AG$1))</f>
        <v>#VALUE!</v>
      </c>
      <c r="AH347" s="323" t="e">
        <f t="shared" ref="AH347:AH357" si="604">-((((U347-T347)*$W347)+($X347*12))*((1+$Y347)^AH$1))</f>
        <v>#VALUE!</v>
      </c>
      <c r="AI347" s="323" t="e">
        <f t="shared" ref="AI347:AI357" si="605">-((((V347-U347)*$W347)+($X347*12))*((1+$Y347)^AI$1))</f>
        <v>#VALUE!</v>
      </c>
      <c r="AJ347" s="324">
        <f t="shared" ref="AJ347:AJ378" si="606">-(I347*(1+Z347))</f>
        <v>-60981.79069999999</v>
      </c>
      <c r="AK347" s="323" t="e">
        <f t="shared" ref="AK347:AK357" si="607">AC347*(1-$AA347)</f>
        <v>#VALUE!</v>
      </c>
      <c r="AL347" s="323" t="e">
        <f t="shared" ref="AL347:AL357" si="608">AD347*(1-$AA347)</f>
        <v>#VALUE!</v>
      </c>
      <c r="AM347" s="323" t="e">
        <f t="shared" ref="AM347:AM357" si="609">AE347*(1-$AA347)</f>
        <v>#VALUE!</v>
      </c>
      <c r="AN347" s="323" t="e">
        <f t="shared" ref="AN347:AN357" si="610">AF347*(1-$AA347)</f>
        <v>#VALUE!</v>
      </c>
      <c r="AO347" s="323" t="e">
        <f t="shared" ref="AO347:AO357" si="611">AG347*(1-$AA347)</f>
        <v>#VALUE!</v>
      </c>
      <c r="AP347" s="323" t="e">
        <f t="shared" ref="AP347:AP357" si="612">AH347*(1-$AA347)</f>
        <v>#VALUE!</v>
      </c>
      <c r="AQ347" s="323" t="e">
        <f t="shared" ref="AQ347:AQ357" si="613">AI347*(1-$AA347)</f>
        <v>#VALUE!</v>
      </c>
      <c r="AR347" s="325" t="e">
        <f t="shared" ref="AR347:AR378" si="614">(NPV(Y347,AK347,AL347,AM347,AN347,AO347,AP347,AQ347)+(SUM(AJ347,(J347*-1))))-(NPV(Y347,AC347,AD347,AE347,AF347,AG347,AH347,AI347))</f>
        <v>#VALUE!</v>
      </c>
      <c r="AS347" s="326" t="e">
        <f t="shared" ref="AS347:AS357" si="615">SUM(AC347:AI347)</f>
        <v>#VALUE!</v>
      </c>
      <c r="AT347" s="326" t="e">
        <f t="shared" ref="AT347:AT357" si="616">SUM(AK347:AQ347)</f>
        <v>#VALUE!</v>
      </c>
      <c r="AU347" s="319" t="e">
        <f t="shared" ref="AU347:AU378" si="617">(((AVERAGE(AC347:AI347)/1000)-(AVERAGE(AK347:AQ347)/1000))+(((AJ347/1000)*-1)/7)+((J347/1000)/7))*-1</f>
        <v>#VALUE!</v>
      </c>
      <c r="AV347" s="327" t="e">
        <f t="shared" ref="AV347:AV378" si="618">AU347/(((J347/1000)+((AJ347*-1)/1000)))</f>
        <v>#VALUE!</v>
      </c>
      <c r="AW347" s="315" t="str">
        <f t="shared" ref="AW347:AW378" si="619">IF(L347&gt;1.1,"Fase de Degradação",IF(L347&lt;1,"Confiabilidade em Crescimento","Fase de Vida Útil"))</f>
        <v>Confiabilidade em Crescimento</v>
      </c>
      <c r="AX347" s="299" t="e">
        <f>VLOOKUP(D347,#REF!,5,FALSE)</f>
        <v>#REF!</v>
      </c>
      <c r="AY347" s="315"/>
      <c r="AZ347" s="316" t="s">
        <v>1224</v>
      </c>
      <c r="BB347" t="str">
        <f>IFERROR(VLOOKUP(Tabela1[[#This Row],[Denominação]],[10]Planilha1!$A:$B,2,FALSE),"")</f>
        <v/>
      </c>
      <c r="BC347" s="219"/>
      <c r="BD347" s="219"/>
      <c r="BE347" s="219"/>
      <c r="BF347" s="219"/>
      <c r="BG347" s="219"/>
      <c r="BH347" s="219"/>
      <c r="BI347" s="219"/>
      <c r="BJ347" s="219"/>
      <c r="BK347" s="219"/>
      <c r="BL347" s="219"/>
    </row>
    <row r="348" spans="1:64" ht="15" hidden="1" customHeight="1" x14ac:dyDescent="0.3">
      <c r="A348" s="253">
        <v>347</v>
      </c>
      <c r="B348" s="201" t="s">
        <v>797</v>
      </c>
      <c r="C348" s="211" t="s">
        <v>798</v>
      </c>
      <c r="D348" s="201">
        <v>20001522</v>
      </c>
      <c r="E348" s="253" t="s">
        <v>1410</v>
      </c>
      <c r="F348" s="253">
        <v>2530</v>
      </c>
      <c r="G348" s="171">
        <v>35669</v>
      </c>
      <c r="H348" s="201">
        <v>2008</v>
      </c>
      <c r="I348" s="216">
        <v>5876.59</v>
      </c>
      <c r="J348" s="214">
        <v>83</v>
      </c>
      <c r="K348" s="170">
        <v>287050.36999999953</v>
      </c>
      <c r="L348" s="207">
        <v>1.0900000000000001</v>
      </c>
      <c r="M348" s="307">
        <v>4795.2647999999999</v>
      </c>
      <c r="N348" s="212">
        <v>81312</v>
      </c>
      <c r="O348" s="171">
        <v>194</v>
      </c>
      <c r="P348" s="271" t="str">
        <f>IFERROR(VLOOKUP(Tabela1[[#This Row],[TAG]],#REF!,14,FALSE),"")</f>
        <v/>
      </c>
      <c r="Q348" s="204" t="e">
        <f t="shared" si="592"/>
        <v>#VALUE!</v>
      </c>
      <c r="R348" s="204" t="e">
        <f t="shared" si="593"/>
        <v>#VALUE!</v>
      </c>
      <c r="S348" s="204" t="e">
        <f t="shared" si="594"/>
        <v>#VALUE!</v>
      </c>
      <c r="T348" s="204" t="e">
        <f t="shared" si="595"/>
        <v>#VALUE!</v>
      </c>
      <c r="U348" s="204" t="e">
        <f t="shared" si="596"/>
        <v>#VALUE!</v>
      </c>
      <c r="V348" s="204" t="e">
        <f t="shared" si="597"/>
        <v>#VALUE!</v>
      </c>
      <c r="W348" s="304">
        <v>494.97</v>
      </c>
      <c r="X348" s="304">
        <v>1693.33</v>
      </c>
      <c r="Y348" s="203">
        <v>0.1</v>
      </c>
      <c r="Z348" s="203">
        <f>IF(Tabela1[[#This Row],[Ano Aquisição]]=2023,0,IFERROR(VLOOKUP(H348,inflação!$F:$H,3,FALSE),""))</f>
        <v>0.89119999999999999</v>
      </c>
      <c r="AA348" s="203">
        <v>0.8</v>
      </c>
      <c r="AB348" s="202">
        <f t="shared" si="598"/>
        <v>-5876.59</v>
      </c>
      <c r="AC348" s="204" t="e">
        <f t="shared" si="599"/>
        <v>#VALUE!</v>
      </c>
      <c r="AD348" s="204" t="e">
        <f t="shared" si="600"/>
        <v>#VALUE!</v>
      </c>
      <c r="AE348" s="204" t="e">
        <f t="shared" si="601"/>
        <v>#VALUE!</v>
      </c>
      <c r="AF348" s="204" t="e">
        <f t="shared" si="602"/>
        <v>#VALUE!</v>
      </c>
      <c r="AG348" s="204" t="e">
        <f t="shared" si="603"/>
        <v>#VALUE!</v>
      </c>
      <c r="AH348" s="204" t="e">
        <f t="shared" si="604"/>
        <v>#VALUE!</v>
      </c>
      <c r="AI348" s="204" t="e">
        <f t="shared" si="605"/>
        <v>#VALUE!</v>
      </c>
      <c r="AJ348" s="205">
        <f t="shared" si="606"/>
        <v>-11113.807008</v>
      </c>
      <c r="AK348" s="204" t="e">
        <f t="shared" si="607"/>
        <v>#VALUE!</v>
      </c>
      <c r="AL348" s="204" t="e">
        <f t="shared" si="608"/>
        <v>#VALUE!</v>
      </c>
      <c r="AM348" s="204" t="e">
        <f t="shared" si="609"/>
        <v>#VALUE!</v>
      </c>
      <c r="AN348" s="204" t="e">
        <f t="shared" si="610"/>
        <v>#VALUE!</v>
      </c>
      <c r="AO348" s="204" t="e">
        <f t="shared" si="611"/>
        <v>#VALUE!</v>
      </c>
      <c r="AP348" s="204" t="e">
        <f t="shared" si="612"/>
        <v>#VALUE!</v>
      </c>
      <c r="AQ348" s="204" t="e">
        <f t="shared" si="613"/>
        <v>#VALUE!</v>
      </c>
      <c r="AR348" s="206" t="e">
        <f t="shared" si="614"/>
        <v>#VALUE!</v>
      </c>
      <c r="AS348" s="170" t="e">
        <f t="shared" si="615"/>
        <v>#VALUE!</v>
      </c>
      <c r="AT348" s="170" t="e">
        <f t="shared" si="616"/>
        <v>#VALUE!</v>
      </c>
      <c r="AU348" s="207" t="e">
        <f t="shared" si="617"/>
        <v>#VALUE!</v>
      </c>
      <c r="AV348" s="208" t="e">
        <f t="shared" si="618"/>
        <v>#VALUE!</v>
      </c>
      <c r="AW348" s="201" t="str">
        <f t="shared" si="619"/>
        <v>Fase de Vida Útil</v>
      </c>
      <c r="AX348" s="253" t="e">
        <f>VLOOKUP(D348,#REF!,5,FALSE)</f>
        <v>#REF!</v>
      </c>
      <c r="AY348" s="201"/>
      <c r="AZ348" s="273" t="s">
        <v>1224</v>
      </c>
      <c r="BB348">
        <f>IFERROR(VLOOKUP(Tabela1[[#This Row],[Denominação]],[10]Planilha1!$A:$B,2,FALSE),"")</f>
        <v>287050.36999999953</v>
      </c>
      <c r="BC348" s="219"/>
      <c r="BD348" s="219"/>
      <c r="BE348" s="219"/>
      <c r="BF348" s="219"/>
      <c r="BG348" s="219"/>
      <c r="BH348" s="219"/>
      <c r="BI348" s="219"/>
      <c r="BJ348" s="219"/>
      <c r="BK348" s="219"/>
      <c r="BL348" s="219"/>
    </row>
    <row r="349" spans="1:64" ht="15" hidden="1" customHeight="1" x14ac:dyDescent="0.3">
      <c r="A349" s="268">
        <v>348</v>
      </c>
      <c r="B349" s="201" t="s">
        <v>1036</v>
      </c>
      <c r="C349" s="211" t="s">
        <v>1037</v>
      </c>
      <c r="D349" s="201">
        <v>10006653</v>
      </c>
      <c r="E349" s="253" t="s">
        <v>1323</v>
      </c>
      <c r="F349" s="253">
        <v>1074</v>
      </c>
      <c r="G349" s="201">
        <v>52812</v>
      </c>
      <c r="H349" s="201">
        <v>2020</v>
      </c>
      <c r="I349" s="216">
        <v>113611.2</v>
      </c>
      <c r="J349" s="214">
        <v>95313</v>
      </c>
      <c r="K349" s="170">
        <v>14594.109999999999</v>
      </c>
      <c r="L349" s="207">
        <v>1.23</v>
      </c>
      <c r="M349" s="212">
        <v>4116</v>
      </c>
      <c r="N349" s="212">
        <v>16037</v>
      </c>
      <c r="O349" s="171">
        <v>31</v>
      </c>
      <c r="P349" s="271" t="str">
        <f>IFERROR(VLOOKUP(Tabela1[[#This Row],[TAG]],#REF!,14,FALSE),"")</f>
        <v/>
      </c>
      <c r="Q349" s="204" t="e">
        <f t="shared" si="592"/>
        <v>#VALUE!</v>
      </c>
      <c r="R349" s="204" t="e">
        <f t="shared" si="593"/>
        <v>#VALUE!</v>
      </c>
      <c r="S349" s="204" t="e">
        <f t="shared" si="594"/>
        <v>#VALUE!</v>
      </c>
      <c r="T349" s="204" t="e">
        <f t="shared" si="595"/>
        <v>#VALUE!</v>
      </c>
      <c r="U349" s="204" t="e">
        <f t="shared" si="596"/>
        <v>#VALUE!</v>
      </c>
      <c r="V349" s="204" t="e">
        <f t="shared" si="597"/>
        <v>#VALUE!</v>
      </c>
      <c r="W349" s="218">
        <v>552.57000000000005</v>
      </c>
      <c r="X349" s="170">
        <v>698.4</v>
      </c>
      <c r="Y349" s="203">
        <v>0.1</v>
      </c>
      <c r="Z349" s="203">
        <f>IF(Tabela1[[#This Row],[Ano Aquisição]]=2023,0,IFERROR(VLOOKUP(H349,inflação!$F:$H,3,FALSE),""))</f>
        <v>0.20369999999999999</v>
      </c>
      <c r="AA349" s="203">
        <v>0.8</v>
      </c>
      <c r="AB349" s="202">
        <f t="shared" si="598"/>
        <v>-113611.2</v>
      </c>
      <c r="AC349" s="204" t="e">
        <f t="shared" si="599"/>
        <v>#VALUE!</v>
      </c>
      <c r="AD349" s="204" t="e">
        <f t="shared" si="600"/>
        <v>#VALUE!</v>
      </c>
      <c r="AE349" s="204" t="e">
        <f t="shared" si="601"/>
        <v>#VALUE!</v>
      </c>
      <c r="AF349" s="204" t="e">
        <f t="shared" si="602"/>
        <v>#VALUE!</v>
      </c>
      <c r="AG349" s="204" t="e">
        <f t="shared" si="603"/>
        <v>#VALUE!</v>
      </c>
      <c r="AH349" s="204" t="e">
        <f t="shared" si="604"/>
        <v>#VALUE!</v>
      </c>
      <c r="AI349" s="204" t="e">
        <f t="shared" si="605"/>
        <v>#VALUE!</v>
      </c>
      <c r="AJ349" s="205">
        <f t="shared" si="606"/>
        <v>-136753.80143999998</v>
      </c>
      <c r="AK349" s="204" t="e">
        <f t="shared" si="607"/>
        <v>#VALUE!</v>
      </c>
      <c r="AL349" s="204" t="e">
        <f t="shared" si="608"/>
        <v>#VALUE!</v>
      </c>
      <c r="AM349" s="204" t="e">
        <f t="shared" si="609"/>
        <v>#VALUE!</v>
      </c>
      <c r="AN349" s="204" t="e">
        <f t="shared" si="610"/>
        <v>#VALUE!</v>
      </c>
      <c r="AO349" s="204" t="e">
        <f t="shared" si="611"/>
        <v>#VALUE!</v>
      </c>
      <c r="AP349" s="204" t="e">
        <f t="shared" si="612"/>
        <v>#VALUE!</v>
      </c>
      <c r="AQ349" s="204" t="e">
        <f t="shared" si="613"/>
        <v>#VALUE!</v>
      </c>
      <c r="AR349" s="206" t="e">
        <f t="shared" si="614"/>
        <v>#VALUE!</v>
      </c>
      <c r="AS349" s="170" t="e">
        <f t="shared" si="615"/>
        <v>#VALUE!</v>
      </c>
      <c r="AT349" s="170" t="e">
        <f t="shared" si="616"/>
        <v>#VALUE!</v>
      </c>
      <c r="AU349" s="207" t="e">
        <f t="shared" si="617"/>
        <v>#VALUE!</v>
      </c>
      <c r="AV349" s="208" t="e">
        <f t="shared" si="618"/>
        <v>#VALUE!</v>
      </c>
      <c r="AW349" s="201" t="str">
        <f t="shared" si="619"/>
        <v>Fase de Degradação</v>
      </c>
      <c r="AX349" s="253" t="e">
        <f>VLOOKUP(D349,#REF!,5,FALSE)</f>
        <v>#REF!</v>
      </c>
      <c r="AY349" s="201"/>
      <c r="AZ349" s="273" t="s">
        <v>1224</v>
      </c>
      <c r="BB349">
        <f>IFERROR(VLOOKUP(Tabela1[[#This Row],[Denominação]],[10]Planilha1!$A:$B,2,FALSE),"")</f>
        <v>14594.109999999999</v>
      </c>
      <c r="BC349" s="219"/>
      <c r="BD349" s="219"/>
      <c r="BE349" s="219"/>
      <c r="BF349" s="219"/>
      <c r="BG349" s="219"/>
      <c r="BH349" s="219"/>
      <c r="BI349" s="219"/>
      <c r="BJ349" s="219"/>
      <c r="BK349" s="219"/>
      <c r="BL349" s="219"/>
    </row>
    <row r="350" spans="1:64" ht="15" hidden="1" customHeight="1" x14ac:dyDescent="0.3">
      <c r="A350" s="253">
        <v>349</v>
      </c>
      <c r="B350" s="201" t="s">
        <v>1038</v>
      </c>
      <c r="C350" s="211" t="s">
        <v>1039</v>
      </c>
      <c r="D350" s="201">
        <v>10003415</v>
      </c>
      <c r="E350" s="253" t="s">
        <v>1273</v>
      </c>
      <c r="F350" s="253">
        <v>4022</v>
      </c>
      <c r="G350" s="201">
        <v>20505</v>
      </c>
      <c r="H350" s="201">
        <v>2001</v>
      </c>
      <c r="I350" s="216">
        <v>70747.64</v>
      </c>
      <c r="J350" s="214">
        <v>0</v>
      </c>
      <c r="K350" s="170">
        <v>64530.080000000016</v>
      </c>
      <c r="L350" s="207">
        <v>1.03</v>
      </c>
      <c r="M350" s="334">
        <v>2753</v>
      </c>
      <c r="N350" s="212">
        <v>159104</v>
      </c>
      <c r="O350" s="171">
        <v>53</v>
      </c>
      <c r="P350" s="271" t="str">
        <f>IFERROR(VLOOKUP(Tabela1[[#This Row],[TAG]],#REF!,14,FALSE),"")</f>
        <v/>
      </c>
      <c r="Q350" s="204" t="e">
        <f t="shared" si="592"/>
        <v>#VALUE!</v>
      </c>
      <c r="R350" s="204" t="e">
        <f t="shared" si="593"/>
        <v>#VALUE!</v>
      </c>
      <c r="S350" s="204" t="e">
        <f t="shared" si="594"/>
        <v>#VALUE!</v>
      </c>
      <c r="T350" s="204" t="e">
        <f t="shared" si="595"/>
        <v>#VALUE!</v>
      </c>
      <c r="U350" s="204" t="e">
        <f t="shared" si="596"/>
        <v>#VALUE!</v>
      </c>
      <c r="V350" s="204" t="e">
        <f t="shared" si="597"/>
        <v>#VALUE!</v>
      </c>
      <c r="W350" s="218">
        <v>204.05</v>
      </c>
      <c r="X350" s="218">
        <v>221.21</v>
      </c>
      <c r="Y350" s="203">
        <v>0.1</v>
      </c>
      <c r="Z350" s="203">
        <f>IF(Tabela1[[#This Row],[Ano Aquisição]]=2023,0,IFERROR(VLOOKUP(H350,inflação!$F:$H,3,FALSE),""))</f>
        <v>1.3951</v>
      </c>
      <c r="AA350" s="203">
        <v>0.8</v>
      </c>
      <c r="AB350" s="202">
        <f t="shared" si="598"/>
        <v>-70747.64</v>
      </c>
      <c r="AC350" s="204" t="e">
        <f t="shared" si="599"/>
        <v>#VALUE!</v>
      </c>
      <c r="AD350" s="204" t="e">
        <f t="shared" si="600"/>
        <v>#VALUE!</v>
      </c>
      <c r="AE350" s="204" t="e">
        <f t="shared" si="601"/>
        <v>#VALUE!</v>
      </c>
      <c r="AF350" s="204" t="e">
        <f t="shared" si="602"/>
        <v>#VALUE!</v>
      </c>
      <c r="AG350" s="204" t="e">
        <f t="shared" si="603"/>
        <v>#VALUE!</v>
      </c>
      <c r="AH350" s="204" t="e">
        <f t="shared" si="604"/>
        <v>#VALUE!</v>
      </c>
      <c r="AI350" s="204" t="e">
        <f t="shared" si="605"/>
        <v>#VALUE!</v>
      </c>
      <c r="AJ350" s="205">
        <f t="shared" si="606"/>
        <v>-169447.67256400001</v>
      </c>
      <c r="AK350" s="204" t="e">
        <f t="shared" si="607"/>
        <v>#VALUE!</v>
      </c>
      <c r="AL350" s="204" t="e">
        <f t="shared" si="608"/>
        <v>#VALUE!</v>
      </c>
      <c r="AM350" s="204" t="e">
        <f t="shared" si="609"/>
        <v>#VALUE!</v>
      </c>
      <c r="AN350" s="204" t="e">
        <f t="shared" si="610"/>
        <v>#VALUE!</v>
      </c>
      <c r="AO350" s="204" t="e">
        <f t="shared" si="611"/>
        <v>#VALUE!</v>
      </c>
      <c r="AP350" s="204" t="e">
        <f t="shared" si="612"/>
        <v>#VALUE!</v>
      </c>
      <c r="AQ350" s="204" t="e">
        <f t="shared" si="613"/>
        <v>#VALUE!</v>
      </c>
      <c r="AR350" s="206" t="e">
        <f t="shared" si="614"/>
        <v>#VALUE!</v>
      </c>
      <c r="AS350" s="170" t="e">
        <f t="shared" si="615"/>
        <v>#VALUE!</v>
      </c>
      <c r="AT350" s="170" t="e">
        <f t="shared" si="616"/>
        <v>#VALUE!</v>
      </c>
      <c r="AU350" s="207" t="e">
        <f t="shared" si="617"/>
        <v>#VALUE!</v>
      </c>
      <c r="AV350" s="208" t="e">
        <f t="shared" si="618"/>
        <v>#VALUE!</v>
      </c>
      <c r="AW350" s="201" t="str">
        <f t="shared" si="619"/>
        <v>Fase de Vida Útil</v>
      </c>
      <c r="AX350" s="253" t="e">
        <f>VLOOKUP(D350,#REF!,5,FALSE)</f>
        <v>#REF!</v>
      </c>
      <c r="AY350" s="201"/>
      <c r="AZ350" s="273" t="s">
        <v>1224</v>
      </c>
      <c r="BB350">
        <f>IFERROR(VLOOKUP(Tabela1[[#This Row],[Denominação]],[10]Planilha1!$A:$B,2,FALSE),"")</f>
        <v>64530.080000000016</v>
      </c>
      <c r="BC350" s="219"/>
      <c r="BD350" s="219"/>
      <c r="BE350" s="219"/>
      <c r="BF350" s="219"/>
      <c r="BG350" s="219"/>
      <c r="BH350" s="219"/>
      <c r="BI350" s="219"/>
      <c r="BJ350" s="219"/>
      <c r="BK350" s="219"/>
      <c r="BL350" s="219"/>
    </row>
    <row r="351" spans="1:64" ht="15" hidden="1" customHeight="1" x14ac:dyDescent="0.3">
      <c r="A351" s="268">
        <v>350</v>
      </c>
      <c r="B351" s="201" t="s">
        <v>1040</v>
      </c>
      <c r="C351" s="211" t="s">
        <v>1041</v>
      </c>
      <c r="D351" s="201">
        <v>10000300</v>
      </c>
      <c r="E351" s="253" t="s">
        <v>1276</v>
      </c>
      <c r="F351" s="253">
        <v>4024</v>
      </c>
      <c r="G351" s="201">
        <v>20192</v>
      </c>
      <c r="H351" s="201">
        <v>1999</v>
      </c>
      <c r="I351" s="216">
        <v>62131.88</v>
      </c>
      <c r="J351" s="214">
        <v>0</v>
      </c>
      <c r="K351" s="170">
        <v>150828.33999999982</v>
      </c>
      <c r="L351" s="207">
        <v>1.73</v>
      </c>
      <c r="M351" s="334">
        <v>4441</v>
      </c>
      <c r="N351" s="212">
        <v>163516</v>
      </c>
      <c r="O351" s="171">
        <v>147</v>
      </c>
      <c r="P351" s="271" t="str">
        <f>IFERROR(VLOOKUP(Tabela1[[#This Row],[TAG]],#REF!,14,FALSE),"")</f>
        <v/>
      </c>
      <c r="Q351" s="204" t="e">
        <f t="shared" si="592"/>
        <v>#VALUE!</v>
      </c>
      <c r="R351" s="204" t="e">
        <f t="shared" si="593"/>
        <v>#VALUE!</v>
      </c>
      <c r="S351" s="204" t="e">
        <f t="shared" si="594"/>
        <v>#VALUE!</v>
      </c>
      <c r="T351" s="204" t="e">
        <f t="shared" si="595"/>
        <v>#VALUE!</v>
      </c>
      <c r="U351" s="204" t="e">
        <f t="shared" si="596"/>
        <v>#VALUE!</v>
      </c>
      <c r="V351" s="204" t="e">
        <f t="shared" si="597"/>
        <v>#VALUE!</v>
      </c>
      <c r="W351" s="218">
        <v>429.32</v>
      </c>
      <c r="X351" s="218">
        <v>1119.18</v>
      </c>
      <c r="Y351" s="203">
        <v>0.1</v>
      </c>
      <c r="Z351" s="203">
        <f>IF(Tabela1[[#This Row],[Ano Aquisição]]=2023,0,IFERROR(VLOOKUP(H351,inflação!$F:$H,3,FALSE),""))</f>
        <v>1.5442</v>
      </c>
      <c r="AA351" s="203">
        <v>0.8</v>
      </c>
      <c r="AB351" s="202">
        <f t="shared" si="598"/>
        <v>-62131.88</v>
      </c>
      <c r="AC351" s="204" t="e">
        <f t="shared" si="599"/>
        <v>#VALUE!</v>
      </c>
      <c r="AD351" s="204" t="e">
        <f t="shared" si="600"/>
        <v>#VALUE!</v>
      </c>
      <c r="AE351" s="204" t="e">
        <f t="shared" si="601"/>
        <v>#VALUE!</v>
      </c>
      <c r="AF351" s="204" t="e">
        <f t="shared" si="602"/>
        <v>#VALUE!</v>
      </c>
      <c r="AG351" s="204" t="e">
        <f t="shared" si="603"/>
        <v>#VALUE!</v>
      </c>
      <c r="AH351" s="204" t="e">
        <f t="shared" si="604"/>
        <v>#VALUE!</v>
      </c>
      <c r="AI351" s="204" t="e">
        <f t="shared" si="605"/>
        <v>#VALUE!</v>
      </c>
      <c r="AJ351" s="205">
        <f t="shared" si="606"/>
        <v>-158075.92909600001</v>
      </c>
      <c r="AK351" s="204" t="e">
        <f t="shared" si="607"/>
        <v>#VALUE!</v>
      </c>
      <c r="AL351" s="204" t="e">
        <f t="shared" si="608"/>
        <v>#VALUE!</v>
      </c>
      <c r="AM351" s="204" t="e">
        <f t="shared" si="609"/>
        <v>#VALUE!</v>
      </c>
      <c r="AN351" s="204" t="e">
        <f t="shared" si="610"/>
        <v>#VALUE!</v>
      </c>
      <c r="AO351" s="204" t="e">
        <f t="shared" si="611"/>
        <v>#VALUE!</v>
      </c>
      <c r="AP351" s="204" t="e">
        <f t="shared" si="612"/>
        <v>#VALUE!</v>
      </c>
      <c r="AQ351" s="204" t="e">
        <f t="shared" si="613"/>
        <v>#VALUE!</v>
      </c>
      <c r="AR351" s="206" t="e">
        <f t="shared" si="614"/>
        <v>#VALUE!</v>
      </c>
      <c r="AS351" s="170" t="e">
        <f t="shared" si="615"/>
        <v>#VALUE!</v>
      </c>
      <c r="AT351" s="170" t="e">
        <f t="shared" si="616"/>
        <v>#VALUE!</v>
      </c>
      <c r="AU351" s="207" t="e">
        <f t="shared" si="617"/>
        <v>#VALUE!</v>
      </c>
      <c r="AV351" s="208" t="e">
        <f t="shared" si="618"/>
        <v>#VALUE!</v>
      </c>
      <c r="AW351" s="201" t="str">
        <f t="shared" si="619"/>
        <v>Fase de Degradação</v>
      </c>
      <c r="AX351" s="253" t="e">
        <f>VLOOKUP(D351,#REF!,5,FALSE)</f>
        <v>#REF!</v>
      </c>
      <c r="AY351" s="201"/>
      <c r="AZ351" s="273" t="s">
        <v>1224</v>
      </c>
      <c r="BB351">
        <f>IFERROR(VLOOKUP(Tabela1[[#This Row],[Denominação]],[10]Planilha1!$A:$B,2,FALSE),"")</f>
        <v>150828.33999999982</v>
      </c>
      <c r="BC351" s="219"/>
      <c r="BD351" s="219"/>
      <c r="BE351" s="219"/>
      <c r="BF351" s="219"/>
      <c r="BG351" s="219"/>
      <c r="BH351" s="219"/>
      <c r="BI351" s="219"/>
      <c r="BJ351" s="219"/>
      <c r="BK351" s="219"/>
      <c r="BL351" s="219"/>
    </row>
    <row r="352" spans="1:64" ht="15" hidden="1" customHeight="1" x14ac:dyDescent="0.3">
      <c r="A352" s="253">
        <v>351</v>
      </c>
      <c r="B352" s="201" t="s">
        <v>1042</v>
      </c>
      <c r="C352" s="211" t="s">
        <v>1043</v>
      </c>
      <c r="D352" s="201">
        <v>10003439</v>
      </c>
      <c r="E352" s="253" t="s">
        <v>1273</v>
      </c>
      <c r="F352" s="253">
        <v>4022</v>
      </c>
      <c r="G352" s="201">
        <v>46448</v>
      </c>
      <c r="H352" s="201">
        <v>2015</v>
      </c>
      <c r="I352" s="216">
        <v>33236.81</v>
      </c>
      <c r="J352" s="214">
        <v>12741</v>
      </c>
      <c r="K352" s="170">
        <v>88873.600000000049</v>
      </c>
      <c r="L352" s="207">
        <v>3.36</v>
      </c>
      <c r="M352" s="334">
        <v>2753</v>
      </c>
      <c r="N352" s="212">
        <v>161078</v>
      </c>
      <c r="O352" s="171">
        <v>90</v>
      </c>
      <c r="P352" s="271" t="str">
        <f>IFERROR(VLOOKUP(Tabela1[[#This Row],[TAG]],#REF!,14,FALSE),"")</f>
        <v/>
      </c>
      <c r="Q352" s="204" t="e">
        <f t="shared" si="592"/>
        <v>#VALUE!</v>
      </c>
      <c r="R352" s="204" t="e">
        <f t="shared" si="593"/>
        <v>#VALUE!</v>
      </c>
      <c r="S352" s="204" t="e">
        <f t="shared" si="594"/>
        <v>#VALUE!</v>
      </c>
      <c r="T352" s="204" t="e">
        <f t="shared" si="595"/>
        <v>#VALUE!</v>
      </c>
      <c r="U352" s="204" t="e">
        <f t="shared" si="596"/>
        <v>#VALUE!</v>
      </c>
      <c r="V352" s="204" t="e">
        <f t="shared" si="597"/>
        <v>#VALUE!</v>
      </c>
      <c r="W352" s="218">
        <v>308.86</v>
      </c>
      <c r="X352" s="218">
        <v>529.51</v>
      </c>
      <c r="Y352" s="203">
        <v>0.1</v>
      </c>
      <c r="Z352" s="203">
        <f>IF(Tabela1[[#This Row],[Ano Aquisição]]=2023,0,IFERROR(VLOOKUP(H352,inflação!$F:$H,3,FALSE),""))</f>
        <v>0.4834</v>
      </c>
      <c r="AA352" s="203">
        <v>0.8</v>
      </c>
      <c r="AB352" s="202">
        <f t="shared" si="598"/>
        <v>-33236.81</v>
      </c>
      <c r="AC352" s="204" t="e">
        <f t="shared" si="599"/>
        <v>#VALUE!</v>
      </c>
      <c r="AD352" s="204" t="e">
        <f t="shared" si="600"/>
        <v>#VALUE!</v>
      </c>
      <c r="AE352" s="204" t="e">
        <f t="shared" si="601"/>
        <v>#VALUE!</v>
      </c>
      <c r="AF352" s="204" t="e">
        <f t="shared" si="602"/>
        <v>#VALUE!</v>
      </c>
      <c r="AG352" s="204" t="e">
        <f t="shared" si="603"/>
        <v>#VALUE!</v>
      </c>
      <c r="AH352" s="204" t="e">
        <f t="shared" si="604"/>
        <v>#VALUE!</v>
      </c>
      <c r="AI352" s="204" t="e">
        <f t="shared" si="605"/>
        <v>#VALUE!</v>
      </c>
      <c r="AJ352" s="205">
        <f t="shared" si="606"/>
        <v>-49303.483953999996</v>
      </c>
      <c r="AK352" s="204" t="e">
        <f t="shared" si="607"/>
        <v>#VALUE!</v>
      </c>
      <c r="AL352" s="204" t="e">
        <f t="shared" si="608"/>
        <v>#VALUE!</v>
      </c>
      <c r="AM352" s="204" t="e">
        <f t="shared" si="609"/>
        <v>#VALUE!</v>
      </c>
      <c r="AN352" s="204" t="e">
        <f t="shared" si="610"/>
        <v>#VALUE!</v>
      </c>
      <c r="AO352" s="204" t="e">
        <f t="shared" si="611"/>
        <v>#VALUE!</v>
      </c>
      <c r="AP352" s="204" t="e">
        <f t="shared" si="612"/>
        <v>#VALUE!</v>
      </c>
      <c r="AQ352" s="204" t="e">
        <f t="shared" si="613"/>
        <v>#VALUE!</v>
      </c>
      <c r="AR352" s="206" t="e">
        <f t="shared" si="614"/>
        <v>#VALUE!</v>
      </c>
      <c r="AS352" s="170" t="e">
        <f t="shared" si="615"/>
        <v>#VALUE!</v>
      </c>
      <c r="AT352" s="170" t="e">
        <f t="shared" si="616"/>
        <v>#VALUE!</v>
      </c>
      <c r="AU352" s="207" t="e">
        <f t="shared" si="617"/>
        <v>#VALUE!</v>
      </c>
      <c r="AV352" s="208" t="e">
        <f t="shared" si="618"/>
        <v>#VALUE!</v>
      </c>
      <c r="AW352" s="201" t="str">
        <f t="shared" si="619"/>
        <v>Fase de Degradação</v>
      </c>
      <c r="AX352" s="253" t="e">
        <f>VLOOKUP(D352,#REF!,5,FALSE)</f>
        <v>#REF!</v>
      </c>
      <c r="AY352" s="201"/>
      <c r="AZ352" s="273" t="s">
        <v>1224</v>
      </c>
      <c r="BB352">
        <f>IFERROR(VLOOKUP(Tabela1[[#This Row],[Denominação]],[10]Planilha1!$A:$B,2,FALSE),"")</f>
        <v>88873.600000000049</v>
      </c>
      <c r="BC352" s="219"/>
      <c r="BD352" s="219"/>
      <c r="BE352" s="219"/>
      <c r="BF352" s="219"/>
      <c r="BG352" s="219"/>
      <c r="BH352" s="219"/>
      <c r="BI352" s="219"/>
      <c r="BJ352" s="219"/>
      <c r="BK352" s="219"/>
      <c r="BL352" s="219"/>
    </row>
    <row r="353" spans="1:64" ht="15" hidden="1" customHeight="1" x14ac:dyDescent="0.3">
      <c r="A353" s="268">
        <v>352</v>
      </c>
      <c r="B353" s="201" t="s">
        <v>1044</v>
      </c>
      <c r="C353" s="211" t="s">
        <v>1045</v>
      </c>
      <c r="D353" s="201">
        <v>10004119</v>
      </c>
      <c r="E353" s="253" t="s">
        <v>1274</v>
      </c>
      <c r="F353" s="253">
        <v>4026</v>
      </c>
      <c r="G353" s="201">
        <v>47570</v>
      </c>
      <c r="H353" s="201">
        <v>2016</v>
      </c>
      <c r="I353" s="216">
        <v>25312.73</v>
      </c>
      <c r="J353" s="214">
        <v>10672</v>
      </c>
      <c r="K353" s="170">
        <v>64150.560000000005</v>
      </c>
      <c r="L353" s="207">
        <v>1.51</v>
      </c>
      <c r="M353" s="334">
        <v>2994</v>
      </c>
      <c r="N353" s="212">
        <v>146754</v>
      </c>
      <c r="O353" s="171">
        <v>64</v>
      </c>
      <c r="P353" s="271" t="str">
        <f>IFERROR(VLOOKUP(Tabela1[[#This Row],[TAG]],#REF!,14,FALSE),"")</f>
        <v/>
      </c>
      <c r="Q353" s="204" t="e">
        <f t="shared" si="592"/>
        <v>#VALUE!</v>
      </c>
      <c r="R353" s="204" t="e">
        <f t="shared" si="593"/>
        <v>#VALUE!</v>
      </c>
      <c r="S353" s="204" t="e">
        <f t="shared" si="594"/>
        <v>#VALUE!</v>
      </c>
      <c r="T353" s="204" t="e">
        <f t="shared" si="595"/>
        <v>#VALUE!</v>
      </c>
      <c r="U353" s="204" t="e">
        <f t="shared" si="596"/>
        <v>#VALUE!</v>
      </c>
      <c r="V353" s="204" t="e">
        <f t="shared" si="597"/>
        <v>#VALUE!</v>
      </c>
      <c r="W353" s="218">
        <v>315.07</v>
      </c>
      <c r="X353" s="218">
        <v>436.35</v>
      </c>
      <c r="Y353" s="203">
        <v>0.1</v>
      </c>
      <c r="Z353" s="203">
        <f>IF(Tabela1[[#This Row],[Ano Aquisição]]=2023,0,IFERROR(VLOOKUP(H353,inflação!$F:$H,3,FALSE),""))</f>
        <v>0.37669999999999998</v>
      </c>
      <c r="AA353" s="203">
        <v>0.8</v>
      </c>
      <c r="AB353" s="202">
        <f t="shared" si="598"/>
        <v>-25312.73</v>
      </c>
      <c r="AC353" s="204" t="e">
        <f t="shared" si="599"/>
        <v>#VALUE!</v>
      </c>
      <c r="AD353" s="204" t="e">
        <f t="shared" si="600"/>
        <v>#VALUE!</v>
      </c>
      <c r="AE353" s="204" t="e">
        <f t="shared" si="601"/>
        <v>#VALUE!</v>
      </c>
      <c r="AF353" s="204" t="e">
        <f t="shared" si="602"/>
        <v>#VALUE!</v>
      </c>
      <c r="AG353" s="204" t="e">
        <f t="shared" si="603"/>
        <v>#VALUE!</v>
      </c>
      <c r="AH353" s="204" t="e">
        <f t="shared" si="604"/>
        <v>#VALUE!</v>
      </c>
      <c r="AI353" s="204" t="e">
        <f t="shared" si="605"/>
        <v>#VALUE!</v>
      </c>
      <c r="AJ353" s="205">
        <f t="shared" si="606"/>
        <v>-34848.035390999998</v>
      </c>
      <c r="AK353" s="204" t="e">
        <f t="shared" si="607"/>
        <v>#VALUE!</v>
      </c>
      <c r="AL353" s="204" t="e">
        <f t="shared" si="608"/>
        <v>#VALUE!</v>
      </c>
      <c r="AM353" s="204" t="e">
        <f t="shared" si="609"/>
        <v>#VALUE!</v>
      </c>
      <c r="AN353" s="204" t="e">
        <f t="shared" si="610"/>
        <v>#VALUE!</v>
      </c>
      <c r="AO353" s="204" t="e">
        <f t="shared" si="611"/>
        <v>#VALUE!</v>
      </c>
      <c r="AP353" s="204" t="e">
        <f t="shared" si="612"/>
        <v>#VALUE!</v>
      </c>
      <c r="AQ353" s="204" t="e">
        <f t="shared" si="613"/>
        <v>#VALUE!</v>
      </c>
      <c r="AR353" s="206" t="e">
        <f t="shared" si="614"/>
        <v>#VALUE!</v>
      </c>
      <c r="AS353" s="170" t="e">
        <f t="shared" si="615"/>
        <v>#VALUE!</v>
      </c>
      <c r="AT353" s="170" t="e">
        <f t="shared" si="616"/>
        <v>#VALUE!</v>
      </c>
      <c r="AU353" s="207" t="e">
        <f t="shared" si="617"/>
        <v>#VALUE!</v>
      </c>
      <c r="AV353" s="208" t="e">
        <f t="shared" si="618"/>
        <v>#VALUE!</v>
      </c>
      <c r="AW353" s="201" t="str">
        <f t="shared" si="619"/>
        <v>Fase de Degradação</v>
      </c>
      <c r="AX353" s="253" t="e">
        <f>VLOOKUP(D353,#REF!,5,FALSE)</f>
        <v>#REF!</v>
      </c>
      <c r="AY353" s="201"/>
      <c r="AZ353" s="273" t="s">
        <v>1224</v>
      </c>
      <c r="BB353">
        <f>IFERROR(VLOOKUP(Tabela1[[#This Row],[Denominação]],[10]Planilha1!$A:$B,2,FALSE),"")</f>
        <v>64150.560000000005</v>
      </c>
      <c r="BC353" s="219"/>
      <c r="BD353" s="219"/>
      <c r="BE353" s="219"/>
      <c r="BF353" s="219"/>
      <c r="BG353" s="219"/>
      <c r="BH353" s="219"/>
      <c r="BI353" s="219"/>
      <c r="BJ353" s="219"/>
      <c r="BK353" s="219"/>
      <c r="BL353" s="219"/>
    </row>
    <row r="354" spans="1:64" ht="15" hidden="1" customHeight="1" x14ac:dyDescent="0.3">
      <c r="A354" s="253">
        <v>353</v>
      </c>
      <c r="B354" s="201" t="s">
        <v>1046</v>
      </c>
      <c r="C354" s="211" t="s">
        <v>1047</v>
      </c>
      <c r="D354" s="201">
        <v>10004580</v>
      </c>
      <c r="E354" s="253" t="s">
        <v>1274</v>
      </c>
      <c r="F354" s="253">
        <v>4026</v>
      </c>
      <c r="G354" s="201">
        <v>47571</v>
      </c>
      <c r="H354" s="201">
        <v>2016</v>
      </c>
      <c r="I354" s="216">
        <v>41523.269999999997</v>
      </c>
      <c r="J354" s="214">
        <v>17960</v>
      </c>
      <c r="K354" s="170">
        <v>63345.64</v>
      </c>
      <c r="L354" s="207">
        <v>0.82</v>
      </c>
      <c r="M354" s="334">
        <v>2994</v>
      </c>
      <c r="N354" s="212">
        <v>135019</v>
      </c>
      <c r="O354" s="171">
        <v>56</v>
      </c>
      <c r="P354" s="271" t="str">
        <f>IFERROR(VLOOKUP(Tabela1[[#This Row],[TAG]],#REF!,14,FALSE),"")</f>
        <v/>
      </c>
      <c r="Q354" s="204" t="e">
        <f t="shared" si="592"/>
        <v>#VALUE!</v>
      </c>
      <c r="R354" s="204" t="e">
        <f t="shared" si="593"/>
        <v>#VALUE!</v>
      </c>
      <c r="S354" s="204" t="e">
        <f t="shared" si="594"/>
        <v>#VALUE!</v>
      </c>
      <c r="T354" s="204" t="e">
        <f t="shared" si="595"/>
        <v>#VALUE!</v>
      </c>
      <c r="U354" s="204" t="e">
        <f t="shared" si="596"/>
        <v>#VALUE!</v>
      </c>
      <c r="V354" s="204" t="e">
        <f t="shared" si="597"/>
        <v>#VALUE!</v>
      </c>
      <c r="W354" s="218">
        <v>395.09</v>
      </c>
      <c r="X354" s="218">
        <v>354.43</v>
      </c>
      <c r="Y354" s="203">
        <v>0.1</v>
      </c>
      <c r="Z354" s="203">
        <f>IF(Tabela1[[#This Row],[Ano Aquisição]]=2023,0,IFERROR(VLOOKUP(H354,inflação!$F:$H,3,FALSE),""))</f>
        <v>0.37669999999999998</v>
      </c>
      <c r="AA354" s="203">
        <v>0.8</v>
      </c>
      <c r="AB354" s="202">
        <f t="shared" si="598"/>
        <v>-41523.269999999997</v>
      </c>
      <c r="AC354" s="204" t="e">
        <f t="shared" si="599"/>
        <v>#VALUE!</v>
      </c>
      <c r="AD354" s="204" t="e">
        <f t="shared" si="600"/>
        <v>#VALUE!</v>
      </c>
      <c r="AE354" s="204" t="e">
        <f t="shared" si="601"/>
        <v>#VALUE!</v>
      </c>
      <c r="AF354" s="204" t="e">
        <f t="shared" si="602"/>
        <v>#VALUE!</v>
      </c>
      <c r="AG354" s="204" t="e">
        <f t="shared" si="603"/>
        <v>#VALUE!</v>
      </c>
      <c r="AH354" s="204" t="e">
        <f t="shared" si="604"/>
        <v>#VALUE!</v>
      </c>
      <c r="AI354" s="204" t="e">
        <f t="shared" si="605"/>
        <v>#VALUE!</v>
      </c>
      <c r="AJ354" s="205">
        <f t="shared" si="606"/>
        <v>-57165.085808999997</v>
      </c>
      <c r="AK354" s="204" t="e">
        <f t="shared" si="607"/>
        <v>#VALUE!</v>
      </c>
      <c r="AL354" s="204" t="e">
        <f t="shared" si="608"/>
        <v>#VALUE!</v>
      </c>
      <c r="AM354" s="204" t="e">
        <f t="shared" si="609"/>
        <v>#VALUE!</v>
      </c>
      <c r="AN354" s="204" t="e">
        <f t="shared" si="610"/>
        <v>#VALUE!</v>
      </c>
      <c r="AO354" s="204" t="e">
        <f t="shared" si="611"/>
        <v>#VALUE!</v>
      </c>
      <c r="AP354" s="204" t="e">
        <f t="shared" si="612"/>
        <v>#VALUE!</v>
      </c>
      <c r="AQ354" s="204" t="e">
        <f t="shared" si="613"/>
        <v>#VALUE!</v>
      </c>
      <c r="AR354" s="206" t="e">
        <f t="shared" si="614"/>
        <v>#VALUE!</v>
      </c>
      <c r="AS354" s="170" t="e">
        <f t="shared" si="615"/>
        <v>#VALUE!</v>
      </c>
      <c r="AT354" s="170" t="e">
        <f t="shared" si="616"/>
        <v>#VALUE!</v>
      </c>
      <c r="AU354" s="207" t="e">
        <f t="shared" si="617"/>
        <v>#VALUE!</v>
      </c>
      <c r="AV354" s="208" t="e">
        <f t="shared" si="618"/>
        <v>#VALUE!</v>
      </c>
      <c r="AW354" s="201" t="str">
        <f t="shared" si="619"/>
        <v>Confiabilidade em Crescimento</v>
      </c>
      <c r="AX354" s="253" t="e">
        <f>VLOOKUP(D354,#REF!,5,FALSE)</f>
        <v>#REF!</v>
      </c>
      <c r="AY354" s="201"/>
      <c r="AZ354" s="273" t="s">
        <v>1224</v>
      </c>
      <c r="BB354">
        <f>IFERROR(VLOOKUP(Tabela1[[#This Row],[Denominação]],[10]Planilha1!$A:$B,2,FALSE),"")</f>
        <v>63345.64</v>
      </c>
      <c r="BC354" s="219"/>
      <c r="BD354" s="219"/>
      <c r="BE354" s="219"/>
      <c r="BF354" s="219"/>
      <c r="BG354" s="219"/>
      <c r="BH354" s="219"/>
      <c r="BI354" s="219"/>
      <c r="BJ354" s="219"/>
      <c r="BK354" s="219"/>
      <c r="BL354" s="219"/>
    </row>
    <row r="355" spans="1:64" ht="15" hidden="1" customHeight="1" x14ac:dyDescent="0.3">
      <c r="A355" s="268">
        <v>354</v>
      </c>
      <c r="B355" s="201" t="s">
        <v>1048</v>
      </c>
      <c r="C355" s="211" t="s">
        <v>1049</v>
      </c>
      <c r="D355" s="201">
        <v>20001449</v>
      </c>
      <c r="E355" s="253" t="s">
        <v>1411</v>
      </c>
      <c r="F355" s="253">
        <v>3341</v>
      </c>
      <c r="G355" s="201">
        <v>40324</v>
      </c>
      <c r="H355" s="201">
        <v>2011</v>
      </c>
      <c r="I355" s="216">
        <v>102393.96</v>
      </c>
      <c r="J355" s="214">
        <v>777</v>
      </c>
      <c r="K355" s="170">
        <v>112364.54999999989</v>
      </c>
      <c r="L355" s="207">
        <v>1.21</v>
      </c>
      <c r="M355" s="334">
        <v>4800</v>
      </c>
      <c r="N355" s="212">
        <v>84998</v>
      </c>
      <c r="O355" s="171">
        <v>208</v>
      </c>
      <c r="P355" s="271" t="str">
        <f>IFERROR(VLOOKUP(Tabela1[[#This Row],[TAG]],#REF!,14,FALSE),"")</f>
        <v/>
      </c>
      <c r="Q355" s="204" t="e">
        <f t="shared" si="592"/>
        <v>#VALUE!</v>
      </c>
      <c r="R355" s="204" t="e">
        <f t="shared" si="593"/>
        <v>#VALUE!</v>
      </c>
      <c r="S355" s="204" t="e">
        <f t="shared" si="594"/>
        <v>#VALUE!</v>
      </c>
      <c r="T355" s="204" t="e">
        <f t="shared" si="595"/>
        <v>#VALUE!</v>
      </c>
      <c r="U355" s="204" t="e">
        <f t="shared" si="596"/>
        <v>#VALUE!</v>
      </c>
      <c r="V355" s="204" t="e">
        <f t="shared" si="597"/>
        <v>#VALUE!</v>
      </c>
      <c r="W355" s="218">
        <v>329.03</v>
      </c>
      <c r="X355" s="218">
        <v>684.63</v>
      </c>
      <c r="Y355" s="203">
        <v>0.1</v>
      </c>
      <c r="Z355" s="203">
        <f>IF(Tabela1[[#This Row],[Ano Aquisição]]=2023,0,IFERROR(VLOOKUP(H355,inflação!$F:$H,3,FALSE),""))</f>
        <v>0.73</v>
      </c>
      <c r="AA355" s="203">
        <v>0.8</v>
      </c>
      <c r="AB355" s="202">
        <f t="shared" si="598"/>
        <v>-102393.96</v>
      </c>
      <c r="AC355" s="204" t="e">
        <f t="shared" si="599"/>
        <v>#VALUE!</v>
      </c>
      <c r="AD355" s="204" t="e">
        <f t="shared" si="600"/>
        <v>#VALUE!</v>
      </c>
      <c r="AE355" s="204" t="e">
        <f t="shared" si="601"/>
        <v>#VALUE!</v>
      </c>
      <c r="AF355" s="204" t="e">
        <f t="shared" si="602"/>
        <v>#VALUE!</v>
      </c>
      <c r="AG355" s="204" t="e">
        <f t="shared" si="603"/>
        <v>#VALUE!</v>
      </c>
      <c r="AH355" s="204" t="e">
        <f t="shared" si="604"/>
        <v>#VALUE!</v>
      </c>
      <c r="AI355" s="204" t="e">
        <f t="shared" si="605"/>
        <v>#VALUE!</v>
      </c>
      <c r="AJ355" s="205">
        <f t="shared" si="606"/>
        <v>-177141.5508</v>
      </c>
      <c r="AK355" s="204" t="e">
        <f t="shared" si="607"/>
        <v>#VALUE!</v>
      </c>
      <c r="AL355" s="204" t="e">
        <f t="shared" si="608"/>
        <v>#VALUE!</v>
      </c>
      <c r="AM355" s="204" t="e">
        <f t="shared" si="609"/>
        <v>#VALUE!</v>
      </c>
      <c r="AN355" s="204" t="e">
        <f t="shared" si="610"/>
        <v>#VALUE!</v>
      </c>
      <c r="AO355" s="204" t="e">
        <f t="shared" si="611"/>
        <v>#VALUE!</v>
      </c>
      <c r="AP355" s="204" t="e">
        <f t="shared" si="612"/>
        <v>#VALUE!</v>
      </c>
      <c r="AQ355" s="204" t="e">
        <f t="shared" si="613"/>
        <v>#VALUE!</v>
      </c>
      <c r="AR355" s="206" t="e">
        <f t="shared" si="614"/>
        <v>#VALUE!</v>
      </c>
      <c r="AS355" s="170" t="e">
        <f t="shared" si="615"/>
        <v>#VALUE!</v>
      </c>
      <c r="AT355" s="170" t="e">
        <f t="shared" si="616"/>
        <v>#VALUE!</v>
      </c>
      <c r="AU355" s="207" t="e">
        <f t="shared" si="617"/>
        <v>#VALUE!</v>
      </c>
      <c r="AV355" s="208" t="e">
        <f t="shared" si="618"/>
        <v>#VALUE!</v>
      </c>
      <c r="AW355" s="201" t="str">
        <f t="shared" si="619"/>
        <v>Fase de Degradação</v>
      </c>
      <c r="AX355" s="253" t="e">
        <f>VLOOKUP(D355,#REF!,5,FALSE)</f>
        <v>#REF!</v>
      </c>
      <c r="AY355" s="201"/>
      <c r="AZ355" s="273" t="s">
        <v>1224</v>
      </c>
      <c r="BB355">
        <f>IFERROR(VLOOKUP(Tabela1[[#This Row],[Denominação]],[10]Planilha1!$A:$B,2,FALSE),"")</f>
        <v>112364.54999999989</v>
      </c>
      <c r="BC355" s="219"/>
      <c r="BD355" s="219"/>
      <c r="BE355" s="219"/>
      <c r="BF355" s="219"/>
      <c r="BG355" s="219"/>
      <c r="BH355" s="219"/>
      <c r="BI355" s="219"/>
      <c r="BJ355" s="219"/>
      <c r="BK355" s="219"/>
      <c r="BL355" s="219"/>
    </row>
    <row r="356" spans="1:64" ht="15" hidden="1" customHeight="1" x14ac:dyDescent="0.3">
      <c r="A356" s="253">
        <v>355</v>
      </c>
      <c r="B356" s="201" t="s">
        <v>1050</v>
      </c>
      <c r="C356" s="211" t="s">
        <v>1051</v>
      </c>
      <c r="D356" s="201">
        <v>10006731</v>
      </c>
      <c r="E356" s="253" t="s">
        <v>1412</v>
      </c>
      <c r="F356" s="253">
        <v>3341</v>
      </c>
      <c r="G356" s="201">
        <v>56269</v>
      </c>
      <c r="H356" s="201">
        <v>2022</v>
      </c>
      <c r="I356" s="216">
        <v>196805.89</v>
      </c>
      <c r="J356" s="214">
        <v>170564</v>
      </c>
      <c r="K356" s="170">
        <v>33433.86</v>
      </c>
      <c r="L356" s="207">
        <v>1.41</v>
      </c>
      <c r="M356" s="334">
        <v>4800</v>
      </c>
      <c r="N356" s="212">
        <v>12522</v>
      </c>
      <c r="O356" s="171">
        <v>35</v>
      </c>
      <c r="P356" s="271" t="str">
        <f>IFERROR(VLOOKUP(Tabela1[[#This Row],[TAG]],#REF!,14,FALSE),"")</f>
        <v/>
      </c>
      <c r="Q356" s="204" t="e">
        <f t="shared" si="592"/>
        <v>#VALUE!</v>
      </c>
      <c r="R356" s="204" t="e">
        <f t="shared" si="593"/>
        <v>#VALUE!</v>
      </c>
      <c r="S356" s="204" t="e">
        <f t="shared" si="594"/>
        <v>#VALUE!</v>
      </c>
      <c r="T356" s="204" t="e">
        <f t="shared" si="595"/>
        <v>#VALUE!</v>
      </c>
      <c r="U356" s="204" t="e">
        <f t="shared" si="596"/>
        <v>#VALUE!</v>
      </c>
      <c r="V356" s="204" t="e">
        <f t="shared" si="597"/>
        <v>#VALUE!</v>
      </c>
      <c r="W356" s="218">
        <v>670.49</v>
      </c>
      <c r="X356" s="218">
        <v>1484</v>
      </c>
      <c r="Y356" s="203">
        <v>0.1</v>
      </c>
      <c r="Z356" s="203">
        <f>IF(Tabela1[[#This Row],[Ano Aquisição]]=2023,0,IFERROR(VLOOKUP(H356,inflação!$F:$H,3,FALSE),""))</f>
        <v>5.79E-2</v>
      </c>
      <c r="AA356" s="203">
        <v>0.8</v>
      </c>
      <c r="AB356" s="202">
        <f t="shared" si="598"/>
        <v>-196805.89</v>
      </c>
      <c r="AC356" s="204" t="e">
        <f t="shared" si="599"/>
        <v>#VALUE!</v>
      </c>
      <c r="AD356" s="204" t="e">
        <f t="shared" si="600"/>
        <v>#VALUE!</v>
      </c>
      <c r="AE356" s="204" t="e">
        <f t="shared" si="601"/>
        <v>#VALUE!</v>
      </c>
      <c r="AF356" s="204" t="e">
        <f t="shared" si="602"/>
        <v>#VALUE!</v>
      </c>
      <c r="AG356" s="204" t="e">
        <f t="shared" si="603"/>
        <v>#VALUE!</v>
      </c>
      <c r="AH356" s="204" t="e">
        <f t="shared" si="604"/>
        <v>#VALUE!</v>
      </c>
      <c r="AI356" s="204" t="e">
        <f t="shared" si="605"/>
        <v>#VALUE!</v>
      </c>
      <c r="AJ356" s="205">
        <f t="shared" si="606"/>
        <v>-208200.95103100003</v>
      </c>
      <c r="AK356" s="204" t="e">
        <f t="shared" si="607"/>
        <v>#VALUE!</v>
      </c>
      <c r="AL356" s="204" t="e">
        <f t="shared" si="608"/>
        <v>#VALUE!</v>
      </c>
      <c r="AM356" s="204" t="e">
        <f t="shared" si="609"/>
        <v>#VALUE!</v>
      </c>
      <c r="AN356" s="204" t="e">
        <f t="shared" si="610"/>
        <v>#VALUE!</v>
      </c>
      <c r="AO356" s="204" t="e">
        <f t="shared" si="611"/>
        <v>#VALUE!</v>
      </c>
      <c r="AP356" s="204" t="e">
        <f t="shared" si="612"/>
        <v>#VALUE!</v>
      </c>
      <c r="AQ356" s="204" t="e">
        <f t="shared" si="613"/>
        <v>#VALUE!</v>
      </c>
      <c r="AR356" s="206" t="e">
        <f t="shared" si="614"/>
        <v>#VALUE!</v>
      </c>
      <c r="AS356" s="170" t="e">
        <f t="shared" si="615"/>
        <v>#VALUE!</v>
      </c>
      <c r="AT356" s="170" t="e">
        <f t="shared" si="616"/>
        <v>#VALUE!</v>
      </c>
      <c r="AU356" s="207" t="e">
        <f t="shared" si="617"/>
        <v>#VALUE!</v>
      </c>
      <c r="AV356" s="208" t="e">
        <f t="shared" si="618"/>
        <v>#VALUE!</v>
      </c>
      <c r="AW356" s="201" t="str">
        <f t="shared" si="619"/>
        <v>Fase de Degradação</v>
      </c>
      <c r="AX356" s="253" t="e">
        <f>VLOOKUP(D356,#REF!,5,FALSE)</f>
        <v>#REF!</v>
      </c>
      <c r="AY356" s="201"/>
      <c r="AZ356" s="273" t="s">
        <v>1224</v>
      </c>
      <c r="BB356">
        <f>IFERROR(VLOOKUP(Tabela1[[#This Row],[Denominação]],[10]Planilha1!$A:$B,2,FALSE),"")</f>
        <v>33433.86</v>
      </c>
      <c r="BC356" s="219"/>
      <c r="BD356" s="219"/>
      <c r="BE356" s="219"/>
      <c r="BF356" s="219"/>
      <c r="BG356" s="219"/>
      <c r="BH356" s="219"/>
      <c r="BI356" s="219"/>
      <c r="BJ356" s="219"/>
      <c r="BK356" s="219"/>
      <c r="BL356" s="219"/>
    </row>
    <row r="357" spans="1:64" ht="15" hidden="1" customHeight="1" x14ac:dyDescent="0.3">
      <c r="A357" s="268">
        <v>356</v>
      </c>
      <c r="B357" s="255" t="s">
        <v>1836</v>
      </c>
      <c r="C357" s="211" t="s">
        <v>1705</v>
      </c>
      <c r="D357" s="201">
        <v>20004329</v>
      </c>
      <c r="E357" s="253" t="s">
        <v>1448</v>
      </c>
      <c r="F357" s="253">
        <v>4620</v>
      </c>
      <c r="G357" s="201">
        <v>57908</v>
      </c>
      <c r="H357" s="201">
        <v>2022</v>
      </c>
      <c r="I357" s="216">
        <v>241587.8</v>
      </c>
      <c r="J357" s="214">
        <v>230082</v>
      </c>
      <c r="K357" s="170">
        <v>2414.9700000000003</v>
      </c>
      <c r="L357" s="207">
        <v>1</v>
      </c>
      <c r="M357" s="260">
        <v>3523</v>
      </c>
      <c r="N357" s="212">
        <v>320</v>
      </c>
      <c r="O357" s="171">
        <v>1</v>
      </c>
      <c r="P357" s="271" t="str">
        <f>IFERROR(VLOOKUP(Tabela1[[#This Row],[TAG]],#REF!,14,FALSE),"")</f>
        <v/>
      </c>
      <c r="Q357" s="204" t="e">
        <f t="shared" si="592"/>
        <v>#VALUE!</v>
      </c>
      <c r="R357" s="204" t="e">
        <f t="shared" si="593"/>
        <v>#VALUE!</v>
      </c>
      <c r="S357" s="204" t="e">
        <f t="shared" si="594"/>
        <v>#VALUE!</v>
      </c>
      <c r="T357" s="204" t="e">
        <f t="shared" si="595"/>
        <v>#VALUE!</v>
      </c>
      <c r="U357" s="204" t="e">
        <f t="shared" si="596"/>
        <v>#VALUE!</v>
      </c>
      <c r="V357" s="204" t="e">
        <f t="shared" si="597"/>
        <v>#VALUE!</v>
      </c>
      <c r="W357" s="218">
        <v>602.48</v>
      </c>
      <c r="X357" s="218">
        <v>2032.08</v>
      </c>
      <c r="Y357" s="203">
        <v>0.1</v>
      </c>
      <c r="Z357" s="203">
        <f>IF(Tabela1[[#This Row],[Ano Aquisição]]=2023,0,IFERROR(VLOOKUP(H357,inflação!$F:$H,3,FALSE),""))</f>
        <v>5.79E-2</v>
      </c>
      <c r="AA357" s="203">
        <v>0.8</v>
      </c>
      <c r="AB357" s="202">
        <f t="shared" si="598"/>
        <v>-241587.8</v>
      </c>
      <c r="AC357" s="204" t="e">
        <f t="shared" si="599"/>
        <v>#VALUE!</v>
      </c>
      <c r="AD357" s="204" t="e">
        <f t="shared" si="600"/>
        <v>#VALUE!</v>
      </c>
      <c r="AE357" s="204" t="e">
        <f t="shared" si="601"/>
        <v>#VALUE!</v>
      </c>
      <c r="AF357" s="204" t="e">
        <f t="shared" si="602"/>
        <v>#VALUE!</v>
      </c>
      <c r="AG357" s="204" t="e">
        <f t="shared" si="603"/>
        <v>#VALUE!</v>
      </c>
      <c r="AH357" s="204" t="e">
        <f t="shared" si="604"/>
        <v>#VALUE!</v>
      </c>
      <c r="AI357" s="204" t="e">
        <f t="shared" si="605"/>
        <v>#VALUE!</v>
      </c>
      <c r="AJ357" s="205">
        <f t="shared" si="606"/>
        <v>-255575.73362000001</v>
      </c>
      <c r="AK357" s="204" t="e">
        <f t="shared" si="607"/>
        <v>#VALUE!</v>
      </c>
      <c r="AL357" s="204" t="e">
        <f t="shared" si="608"/>
        <v>#VALUE!</v>
      </c>
      <c r="AM357" s="204" t="e">
        <f t="shared" si="609"/>
        <v>#VALUE!</v>
      </c>
      <c r="AN357" s="204" t="e">
        <f t="shared" si="610"/>
        <v>#VALUE!</v>
      </c>
      <c r="AO357" s="204" t="e">
        <f t="shared" si="611"/>
        <v>#VALUE!</v>
      </c>
      <c r="AP357" s="204" t="e">
        <f t="shared" si="612"/>
        <v>#VALUE!</v>
      </c>
      <c r="AQ357" s="204" t="e">
        <f t="shared" si="613"/>
        <v>#VALUE!</v>
      </c>
      <c r="AR357" s="206" t="e">
        <f t="shared" si="614"/>
        <v>#VALUE!</v>
      </c>
      <c r="AS357" s="170" t="e">
        <f t="shared" si="615"/>
        <v>#VALUE!</v>
      </c>
      <c r="AT357" s="170" t="e">
        <f t="shared" si="616"/>
        <v>#VALUE!</v>
      </c>
      <c r="AU357" s="207" t="e">
        <f t="shared" si="617"/>
        <v>#VALUE!</v>
      </c>
      <c r="AV357" s="208" t="e">
        <f t="shared" si="618"/>
        <v>#VALUE!</v>
      </c>
      <c r="AW357" s="201" t="str">
        <f t="shared" si="619"/>
        <v>Fase de Vida Útil</v>
      </c>
      <c r="AX357" s="253" t="e">
        <f>VLOOKUP(D357,#REF!,5,FALSE)</f>
        <v>#REF!</v>
      </c>
      <c r="AY357" s="201" t="s">
        <v>1224</v>
      </c>
      <c r="AZ357" s="273" t="s">
        <v>1224</v>
      </c>
      <c r="BB357">
        <f>IFERROR(VLOOKUP(Tabela1[[#This Row],[Denominação]],[10]Planilha1!$A:$B,2,FALSE),"")</f>
        <v>2414.9700000000003</v>
      </c>
      <c r="BC357" s="219"/>
      <c r="BD357" s="219"/>
      <c r="BE357" s="219"/>
      <c r="BF357" s="219"/>
      <c r="BG357" s="219"/>
      <c r="BH357" s="219"/>
      <c r="BI357" s="219"/>
      <c r="BJ357" s="219"/>
      <c r="BK357" s="219"/>
      <c r="BL357" s="219"/>
    </row>
    <row r="358" spans="1:64" ht="15" hidden="1" customHeight="1" x14ac:dyDescent="0.3">
      <c r="A358" s="253">
        <v>357</v>
      </c>
      <c r="B358" s="201" t="s">
        <v>1052</v>
      </c>
      <c r="C358" s="211" t="s">
        <v>1053</v>
      </c>
      <c r="D358" s="201">
        <v>20001587</v>
      </c>
      <c r="E358" s="253" t="s">
        <v>1413</v>
      </c>
      <c r="F358" s="253">
        <v>4010</v>
      </c>
      <c r="G358" s="201">
        <v>40578</v>
      </c>
      <c r="H358" s="201">
        <v>2011</v>
      </c>
      <c r="I358" s="216">
        <v>164558.98000000001</v>
      </c>
      <c r="J358" s="214">
        <v>0</v>
      </c>
      <c r="K358" s="170">
        <v>24174.29</v>
      </c>
      <c r="L358" s="207">
        <v>1.25</v>
      </c>
      <c r="M358" s="334">
        <v>2753</v>
      </c>
      <c r="N358" s="212">
        <v>60925</v>
      </c>
      <c r="O358" s="171">
        <v>19</v>
      </c>
      <c r="P358" s="271" t="str">
        <f>IFERROR(VLOOKUP(Tabela1[[#This Row],[TAG]],#REF!,14,FALSE),"")</f>
        <v/>
      </c>
      <c r="Q358" s="204" t="e">
        <f t="shared" ref="Q358:Q399" si="620">P358+P358</f>
        <v>#VALUE!</v>
      </c>
      <c r="R358" s="204" t="e">
        <f t="shared" ref="R358:R401" si="621">Q358+P358</f>
        <v>#VALUE!</v>
      </c>
      <c r="S358" s="204" t="e">
        <f t="shared" ref="S358:S401" si="622">R358+P358</f>
        <v>#VALUE!</v>
      </c>
      <c r="T358" s="204" t="e">
        <f t="shared" ref="T358:T401" si="623">S358+P358</f>
        <v>#VALUE!</v>
      </c>
      <c r="U358" s="204" t="e">
        <f t="shared" ref="U358:U401" si="624">T358+P358</f>
        <v>#VALUE!</v>
      </c>
      <c r="V358" s="204" t="e">
        <f t="shared" ref="V358:V401" si="625">U358+P358</f>
        <v>#VALUE!</v>
      </c>
      <c r="W358" s="218">
        <v>509.79</v>
      </c>
      <c r="X358" s="218">
        <v>292.60000000000002</v>
      </c>
      <c r="Y358" s="203">
        <v>0.1</v>
      </c>
      <c r="Z358" s="203">
        <f>IF(Tabela1[[#This Row],[Ano Aquisição]]=2023,0,IFERROR(VLOOKUP(H358,inflação!$F:$H,3,FALSE),""))</f>
        <v>0.73</v>
      </c>
      <c r="AA358" s="203">
        <v>0.8</v>
      </c>
      <c r="AB358" s="202">
        <f t="shared" si="598"/>
        <v>-164558.98000000001</v>
      </c>
      <c r="AC358" s="204" t="e">
        <f t="shared" ref="AC358:AC401" si="626">-(((P358*$W358)+($X358*12))*((1+$Y358)^AC$1))</f>
        <v>#VALUE!</v>
      </c>
      <c r="AD358" s="204" t="e">
        <f t="shared" ref="AD358:AD401" si="627">-((((Q358-P358)*$W358)+($X358*12))*((1+$Y358)^AD$1))</f>
        <v>#VALUE!</v>
      </c>
      <c r="AE358" s="204" t="e">
        <f t="shared" ref="AE358:AE401" si="628">-((((R358-Q358)*$W358)+($X358*12))*((1+$Y358)^AE$1))</f>
        <v>#VALUE!</v>
      </c>
      <c r="AF358" s="204" t="e">
        <f t="shared" ref="AF358:AF401" si="629">-((((S358-R358)*$W358)+($X358*12))*((1+$Y358)^AF$1))</f>
        <v>#VALUE!</v>
      </c>
      <c r="AG358" s="204" t="e">
        <f t="shared" ref="AG358:AG401" si="630">-((((T358-S358)*$W358)+($X358*12))*((1+$Y358)^AG$1))</f>
        <v>#VALUE!</v>
      </c>
      <c r="AH358" s="204" t="e">
        <f t="shared" ref="AH358:AH401" si="631">-((((U358-T358)*$W358)+($X358*12))*((1+$Y358)^AH$1))</f>
        <v>#VALUE!</v>
      </c>
      <c r="AI358" s="204" t="e">
        <f t="shared" ref="AI358:AI401" si="632">-((((V358-U358)*$W358)+($X358*12))*((1+$Y358)^AI$1))</f>
        <v>#VALUE!</v>
      </c>
      <c r="AJ358" s="205">
        <f t="shared" si="606"/>
        <v>-284687.03539999999</v>
      </c>
      <c r="AK358" s="204" t="e">
        <f t="shared" ref="AK358:AK401" si="633">AC358*(1-$AA358)</f>
        <v>#VALUE!</v>
      </c>
      <c r="AL358" s="204" t="e">
        <f t="shared" ref="AL358:AL401" si="634">AD358*(1-$AA358)</f>
        <v>#VALUE!</v>
      </c>
      <c r="AM358" s="204" t="e">
        <f t="shared" ref="AM358:AM401" si="635">AE358*(1-$AA358)</f>
        <v>#VALUE!</v>
      </c>
      <c r="AN358" s="204" t="e">
        <f t="shared" ref="AN358:AN401" si="636">AF358*(1-$AA358)</f>
        <v>#VALUE!</v>
      </c>
      <c r="AO358" s="204" t="e">
        <f t="shared" ref="AO358:AO401" si="637">AG358*(1-$AA358)</f>
        <v>#VALUE!</v>
      </c>
      <c r="AP358" s="204" t="e">
        <f t="shared" ref="AP358:AP401" si="638">AH358*(1-$AA358)</f>
        <v>#VALUE!</v>
      </c>
      <c r="AQ358" s="204" t="e">
        <f t="shared" ref="AQ358:AQ401" si="639">AI358*(1-$AA358)</f>
        <v>#VALUE!</v>
      </c>
      <c r="AR358" s="206" t="e">
        <f t="shared" si="614"/>
        <v>#VALUE!</v>
      </c>
      <c r="AS358" s="170" t="e">
        <f t="shared" ref="AS358:AS401" si="640">SUM(AC358:AI358)</f>
        <v>#VALUE!</v>
      </c>
      <c r="AT358" s="170" t="e">
        <f t="shared" ref="AT358:AT401" si="641">SUM(AK358:AQ358)</f>
        <v>#VALUE!</v>
      </c>
      <c r="AU358" s="207" t="e">
        <f t="shared" si="617"/>
        <v>#VALUE!</v>
      </c>
      <c r="AV358" s="208" t="e">
        <f t="shared" si="618"/>
        <v>#VALUE!</v>
      </c>
      <c r="AW358" s="201" t="str">
        <f t="shared" si="619"/>
        <v>Fase de Degradação</v>
      </c>
      <c r="AX358" s="253" t="e">
        <f>VLOOKUP(D358,#REF!,5,FALSE)</f>
        <v>#REF!</v>
      </c>
      <c r="AY358" s="201"/>
      <c r="AZ358" s="273" t="s">
        <v>1224</v>
      </c>
      <c r="BB358">
        <f>IFERROR(VLOOKUP(Tabela1[[#This Row],[Denominação]],[10]Planilha1!$A:$B,2,FALSE),"")</f>
        <v>24174.29</v>
      </c>
      <c r="BC358" s="219"/>
      <c r="BD358" s="219"/>
      <c r="BE358" s="219"/>
      <c r="BF358" s="219"/>
      <c r="BG358" s="219"/>
      <c r="BH358" s="219"/>
      <c r="BI358" s="219"/>
      <c r="BJ358" s="219"/>
      <c r="BK358" s="219"/>
      <c r="BL358" s="219"/>
    </row>
    <row r="359" spans="1:64" ht="15" hidden="1" customHeight="1" x14ac:dyDescent="0.3">
      <c r="A359" s="268">
        <v>358</v>
      </c>
      <c r="B359" s="171" t="s">
        <v>331</v>
      </c>
      <c r="C359" s="209" t="s">
        <v>152</v>
      </c>
      <c r="D359" s="171">
        <v>10000608</v>
      </c>
      <c r="E359" s="253" t="s">
        <v>1414</v>
      </c>
      <c r="F359" s="210">
        <v>2111</v>
      </c>
      <c r="G359" s="171">
        <v>3500100100</v>
      </c>
      <c r="H359" s="171">
        <v>1977</v>
      </c>
      <c r="I359" s="213">
        <v>738963.43</v>
      </c>
      <c r="J359" s="213">
        <v>209273</v>
      </c>
      <c r="K359" s="170">
        <v>4004118.7900000298</v>
      </c>
      <c r="L359" s="215">
        <v>1.32</v>
      </c>
      <c r="M359" s="260">
        <v>4648.0871999999999</v>
      </c>
      <c r="N359" s="212">
        <v>200522</v>
      </c>
      <c r="O359" s="171">
        <v>4021</v>
      </c>
      <c r="P359" s="271" t="str">
        <f>IFERROR(VLOOKUP(Tabela1[[#This Row],[TAG]],#REF!,14,FALSE),"")</f>
        <v/>
      </c>
      <c r="Q359" s="204" t="e">
        <f t="shared" si="620"/>
        <v>#VALUE!</v>
      </c>
      <c r="R359" s="204" t="e">
        <f t="shared" si="621"/>
        <v>#VALUE!</v>
      </c>
      <c r="S359" s="204" t="e">
        <f t="shared" si="622"/>
        <v>#VALUE!</v>
      </c>
      <c r="T359" s="204" t="e">
        <f t="shared" si="623"/>
        <v>#VALUE!</v>
      </c>
      <c r="U359" s="204" t="e">
        <f t="shared" si="624"/>
        <v>#VALUE!</v>
      </c>
      <c r="V359" s="204" t="e">
        <f t="shared" si="625"/>
        <v>#VALUE!</v>
      </c>
      <c r="W359" s="304">
        <v>588.88</v>
      </c>
      <c r="X359" s="304">
        <v>12630.59</v>
      </c>
      <c r="Y359" s="203">
        <v>0.1</v>
      </c>
      <c r="Z359" s="203">
        <f>IF(Tabela1[[#This Row],[Ano Aquisição]]=2023,0,IFERROR(VLOOKUP(H359,inflação!$F:$H,3,FALSE),""))</f>
        <v>2.9147076923076951</v>
      </c>
      <c r="AA359" s="203">
        <v>0.8</v>
      </c>
      <c r="AB359" s="202">
        <f t="shared" si="598"/>
        <v>-738963.43</v>
      </c>
      <c r="AC359" s="204" t="e">
        <f t="shared" si="626"/>
        <v>#VALUE!</v>
      </c>
      <c r="AD359" s="204" t="e">
        <f t="shared" si="627"/>
        <v>#VALUE!</v>
      </c>
      <c r="AE359" s="204" t="e">
        <f t="shared" si="628"/>
        <v>#VALUE!</v>
      </c>
      <c r="AF359" s="204" t="e">
        <f t="shared" si="629"/>
        <v>#VALUE!</v>
      </c>
      <c r="AG359" s="204" t="e">
        <f t="shared" si="630"/>
        <v>#VALUE!</v>
      </c>
      <c r="AH359" s="204" t="e">
        <f t="shared" si="631"/>
        <v>#VALUE!</v>
      </c>
      <c r="AI359" s="204" t="e">
        <f t="shared" si="632"/>
        <v>#VALUE!</v>
      </c>
      <c r="AJ359" s="205">
        <f t="shared" si="606"/>
        <v>-2892825.8237550794</v>
      </c>
      <c r="AK359" s="204" t="e">
        <f t="shared" si="633"/>
        <v>#VALUE!</v>
      </c>
      <c r="AL359" s="204" t="e">
        <f t="shared" si="634"/>
        <v>#VALUE!</v>
      </c>
      <c r="AM359" s="204" t="e">
        <f t="shared" si="635"/>
        <v>#VALUE!</v>
      </c>
      <c r="AN359" s="204" t="e">
        <f t="shared" si="636"/>
        <v>#VALUE!</v>
      </c>
      <c r="AO359" s="204" t="e">
        <f t="shared" si="637"/>
        <v>#VALUE!</v>
      </c>
      <c r="AP359" s="204" t="e">
        <f t="shared" si="638"/>
        <v>#VALUE!</v>
      </c>
      <c r="AQ359" s="204" t="e">
        <f t="shared" si="639"/>
        <v>#VALUE!</v>
      </c>
      <c r="AR359" s="206" t="e">
        <f t="shared" si="614"/>
        <v>#VALUE!</v>
      </c>
      <c r="AS359" s="170" t="e">
        <f t="shared" si="640"/>
        <v>#VALUE!</v>
      </c>
      <c r="AT359" s="170" t="e">
        <f t="shared" si="641"/>
        <v>#VALUE!</v>
      </c>
      <c r="AU359" s="207" t="e">
        <f t="shared" si="617"/>
        <v>#VALUE!</v>
      </c>
      <c r="AV359" s="208" t="e">
        <f t="shared" si="618"/>
        <v>#VALUE!</v>
      </c>
      <c r="AW359" s="201" t="str">
        <f t="shared" si="619"/>
        <v>Fase de Degradação</v>
      </c>
      <c r="AX359" s="253" t="e">
        <f>VLOOKUP(D359,#REF!,5,FALSE)</f>
        <v>#REF!</v>
      </c>
      <c r="AY359" s="201"/>
      <c r="AZ359" s="273" t="s">
        <v>1224</v>
      </c>
      <c r="BB359">
        <f>IFERROR(VLOOKUP(Tabela1[[#This Row],[Denominação]],[10]Planilha1!$A:$B,2,FALSE),"")</f>
        <v>4004118.7900000298</v>
      </c>
      <c r="BC359" s="219"/>
      <c r="BD359" s="219"/>
      <c r="BE359" s="219"/>
      <c r="BF359" s="219"/>
      <c r="BG359" s="219"/>
      <c r="BH359" s="219"/>
      <c r="BI359" s="219"/>
      <c r="BJ359" s="219"/>
      <c r="BK359" s="219"/>
      <c r="BL359" s="219"/>
    </row>
    <row r="360" spans="1:64" ht="15" hidden="1" customHeight="1" x14ac:dyDescent="0.3">
      <c r="A360" s="253">
        <v>359</v>
      </c>
      <c r="B360" s="171" t="s">
        <v>334</v>
      </c>
      <c r="C360" s="209" t="s">
        <v>155</v>
      </c>
      <c r="D360" s="171">
        <v>10000635</v>
      </c>
      <c r="E360" s="253" t="s">
        <v>1415</v>
      </c>
      <c r="F360" s="210">
        <v>2111</v>
      </c>
      <c r="G360" s="171">
        <v>3500100300</v>
      </c>
      <c r="H360" s="171">
        <v>1987</v>
      </c>
      <c r="I360" s="213">
        <v>867744.93</v>
      </c>
      <c r="J360" s="213">
        <v>237929</v>
      </c>
      <c r="K360" s="170">
        <v>4125201.3600000427</v>
      </c>
      <c r="L360" s="215">
        <v>1.62</v>
      </c>
      <c r="M360" s="260">
        <v>4368.6719999999996</v>
      </c>
      <c r="N360" s="212">
        <v>200577</v>
      </c>
      <c r="O360" s="171">
        <v>4174</v>
      </c>
      <c r="P360" s="271" t="str">
        <f>IFERROR(VLOOKUP(Tabela1[[#This Row],[TAG]],#REF!,14,FALSE),"")</f>
        <v/>
      </c>
      <c r="Q360" s="204" t="e">
        <f t="shared" si="620"/>
        <v>#VALUE!</v>
      </c>
      <c r="R360" s="204" t="e">
        <f t="shared" si="621"/>
        <v>#VALUE!</v>
      </c>
      <c r="S360" s="204" t="e">
        <f t="shared" si="622"/>
        <v>#VALUE!</v>
      </c>
      <c r="T360" s="204" t="e">
        <f t="shared" si="623"/>
        <v>#VALUE!</v>
      </c>
      <c r="U360" s="204" t="e">
        <f t="shared" si="624"/>
        <v>#VALUE!</v>
      </c>
      <c r="V360" s="204" t="e">
        <f t="shared" si="625"/>
        <v>#VALUE!</v>
      </c>
      <c r="W360" s="304">
        <v>673.84</v>
      </c>
      <c r="X360" s="304">
        <v>20557.84</v>
      </c>
      <c r="Y360" s="203">
        <v>0.1</v>
      </c>
      <c r="Z360" s="203">
        <f>IF(Tabela1[[#This Row],[Ano Aquisição]]=2023,0,IFERROR(VLOOKUP(H360,inflação!$F:$H,3,FALSE),""))</f>
        <v>2.2798615384615393</v>
      </c>
      <c r="AA360" s="203">
        <v>0.8</v>
      </c>
      <c r="AB360" s="202">
        <f t="shared" si="598"/>
        <v>-867744.93</v>
      </c>
      <c r="AC360" s="204" t="e">
        <f t="shared" si="626"/>
        <v>#VALUE!</v>
      </c>
      <c r="AD360" s="204" t="e">
        <f t="shared" si="627"/>
        <v>#VALUE!</v>
      </c>
      <c r="AE360" s="204" t="e">
        <f t="shared" si="628"/>
        <v>#VALUE!</v>
      </c>
      <c r="AF360" s="204" t="e">
        <f t="shared" si="629"/>
        <v>#VALUE!</v>
      </c>
      <c r="AG360" s="204" t="e">
        <f t="shared" si="630"/>
        <v>#VALUE!</v>
      </c>
      <c r="AH360" s="204" t="e">
        <f t="shared" si="631"/>
        <v>#VALUE!</v>
      </c>
      <c r="AI360" s="204" t="e">
        <f t="shared" si="632"/>
        <v>#VALUE!</v>
      </c>
      <c r="AJ360" s="205">
        <f t="shared" si="606"/>
        <v>-2846083.2211020007</v>
      </c>
      <c r="AK360" s="204" t="e">
        <f t="shared" si="633"/>
        <v>#VALUE!</v>
      </c>
      <c r="AL360" s="204" t="e">
        <f t="shared" si="634"/>
        <v>#VALUE!</v>
      </c>
      <c r="AM360" s="204" t="e">
        <f t="shared" si="635"/>
        <v>#VALUE!</v>
      </c>
      <c r="AN360" s="204" t="e">
        <f t="shared" si="636"/>
        <v>#VALUE!</v>
      </c>
      <c r="AO360" s="204" t="e">
        <f t="shared" si="637"/>
        <v>#VALUE!</v>
      </c>
      <c r="AP360" s="204" t="e">
        <f t="shared" si="638"/>
        <v>#VALUE!</v>
      </c>
      <c r="AQ360" s="204" t="e">
        <f t="shared" si="639"/>
        <v>#VALUE!</v>
      </c>
      <c r="AR360" s="206" t="e">
        <f t="shared" si="614"/>
        <v>#VALUE!</v>
      </c>
      <c r="AS360" s="170" t="e">
        <f t="shared" si="640"/>
        <v>#VALUE!</v>
      </c>
      <c r="AT360" s="170" t="e">
        <f t="shared" si="641"/>
        <v>#VALUE!</v>
      </c>
      <c r="AU360" s="207" t="e">
        <f t="shared" si="617"/>
        <v>#VALUE!</v>
      </c>
      <c r="AV360" s="208" t="e">
        <f t="shared" si="618"/>
        <v>#VALUE!</v>
      </c>
      <c r="AW360" s="201" t="str">
        <f t="shared" si="619"/>
        <v>Fase de Degradação</v>
      </c>
      <c r="AX360" s="253" t="e">
        <f>VLOOKUP(D360,#REF!,5,FALSE)</f>
        <v>#REF!</v>
      </c>
      <c r="AY360" s="201"/>
      <c r="AZ360" s="273" t="s">
        <v>1224</v>
      </c>
      <c r="BB360">
        <f>IFERROR(VLOOKUP(Tabela1[[#This Row],[Denominação]],[10]Planilha1!$A:$B,2,FALSE),"")</f>
        <v>4125201.3600000427</v>
      </c>
      <c r="BC360" s="219"/>
      <c r="BD360" s="219"/>
      <c r="BE360" s="219"/>
      <c r="BF360" s="219"/>
      <c r="BG360" s="219"/>
      <c r="BH360" s="219"/>
      <c r="BI360" s="219"/>
      <c r="BJ360" s="219"/>
      <c r="BK360" s="219"/>
      <c r="BL360" s="219"/>
    </row>
    <row r="361" spans="1:64" ht="15" hidden="1" customHeight="1" x14ac:dyDescent="0.3">
      <c r="A361" s="268">
        <v>360</v>
      </c>
      <c r="B361" s="171" t="s">
        <v>346</v>
      </c>
      <c r="C361" s="209" t="s">
        <v>167</v>
      </c>
      <c r="D361" s="171">
        <v>10000664</v>
      </c>
      <c r="E361" s="253" t="s">
        <v>1416</v>
      </c>
      <c r="F361" s="210">
        <v>2111</v>
      </c>
      <c r="G361" s="171">
        <v>3500100200</v>
      </c>
      <c r="H361" s="171">
        <v>1979</v>
      </c>
      <c r="I361" s="213">
        <v>1011361.76</v>
      </c>
      <c r="J361" s="213">
        <v>288472</v>
      </c>
      <c r="K361" s="170">
        <v>2647473.630000005</v>
      </c>
      <c r="L361" s="215">
        <v>1.33</v>
      </c>
      <c r="M361" s="260">
        <v>4195.3140000000003</v>
      </c>
      <c r="N361" s="212">
        <v>199961</v>
      </c>
      <c r="O361" s="171">
        <v>3155</v>
      </c>
      <c r="P361" s="271" t="str">
        <f>IFERROR(VLOOKUP(Tabela1[[#This Row],[TAG]],#REF!,14,FALSE),"")</f>
        <v/>
      </c>
      <c r="Q361" s="204" t="e">
        <f t="shared" si="620"/>
        <v>#VALUE!</v>
      </c>
      <c r="R361" s="204" t="e">
        <f t="shared" si="621"/>
        <v>#VALUE!</v>
      </c>
      <c r="S361" s="204" t="e">
        <f t="shared" si="622"/>
        <v>#VALUE!</v>
      </c>
      <c r="T361" s="204" t="e">
        <f t="shared" si="623"/>
        <v>#VALUE!</v>
      </c>
      <c r="U361" s="204" t="e">
        <f t="shared" si="624"/>
        <v>#VALUE!</v>
      </c>
      <c r="V361" s="204" t="e">
        <f t="shared" si="625"/>
        <v>#VALUE!</v>
      </c>
      <c r="W361" s="304">
        <v>598.42999999999995</v>
      </c>
      <c r="X361" s="304">
        <v>17387.689999999999</v>
      </c>
      <c r="Y361" s="203">
        <v>0.1</v>
      </c>
      <c r="Z361" s="203">
        <f>IF(Tabela1[[#This Row],[Ano Aquisição]]=2023,0,IFERROR(VLOOKUP(H361,inflação!$F:$H,3,FALSE),""))</f>
        <v>2.7877384615384639</v>
      </c>
      <c r="AA361" s="203">
        <v>0.8</v>
      </c>
      <c r="AB361" s="202">
        <f t="shared" si="598"/>
        <v>-1011361.76</v>
      </c>
      <c r="AC361" s="204" t="e">
        <f t="shared" si="626"/>
        <v>#VALUE!</v>
      </c>
      <c r="AD361" s="204" t="e">
        <f t="shared" si="627"/>
        <v>#VALUE!</v>
      </c>
      <c r="AE361" s="204" t="e">
        <f t="shared" si="628"/>
        <v>#VALUE!</v>
      </c>
      <c r="AF361" s="204" t="e">
        <f t="shared" si="629"/>
        <v>#VALUE!</v>
      </c>
      <c r="AG361" s="204" t="e">
        <f t="shared" si="630"/>
        <v>#VALUE!</v>
      </c>
      <c r="AH361" s="204" t="e">
        <f t="shared" si="631"/>
        <v>#VALUE!</v>
      </c>
      <c r="AI361" s="204" t="e">
        <f t="shared" si="632"/>
        <v>#VALUE!</v>
      </c>
      <c r="AJ361" s="205">
        <f t="shared" si="606"/>
        <v>-3830773.8368812334</v>
      </c>
      <c r="AK361" s="204" t="e">
        <f t="shared" si="633"/>
        <v>#VALUE!</v>
      </c>
      <c r="AL361" s="204" t="e">
        <f t="shared" si="634"/>
        <v>#VALUE!</v>
      </c>
      <c r="AM361" s="204" t="e">
        <f t="shared" si="635"/>
        <v>#VALUE!</v>
      </c>
      <c r="AN361" s="204" t="e">
        <f t="shared" si="636"/>
        <v>#VALUE!</v>
      </c>
      <c r="AO361" s="204" t="e">
        <f t="shared" si="637"/>
        <v>#VALUE!</v>
      </c>
      <c r="AP361" s="204" t="e">
        <f t="shared" si="638"/>
        <v>#VALUE!</v>
      </c>
      <c r="AQ361" s="204" t="e">
        <f t="shared" si="639"/>
        <v>#VALUE!</v>
      </c>
      <c r="AR361" s="206" t="e">
        <f t="shared" si="614"/>
        <v>#VALUE!</v>
      </c>
      <c r="AS361" s="170" t="e">
        <f t="shared" si="640"/>
        <v>#VALUE!</v>
      </c>
      <c r="AT361" s="170" t="e">
        <f t="shared" si="641"/>
        <v>#VALUE!</v>
      </c>
      <c r="AU361" s="207" t="e">
        <f t="shared" si="617"/>
        <v>#VALUE!</v>
      </c>
      <c r="AV361" s="208" t="e">
        <f t="shared" si="618"/>
        <v>#VALUE!</v>
      </c>
      <c r="AW361" s="201" t="str">
        <f t="shared" si="619"/>
        <v>Fase de Degradação</v>
      </c>
      <c r="AX361" s="253" t="e">
        <f>VLOOKUP(D361,#REF!,5,FALSE)</f>
        <v>#REF!</v>
      </c>
      <c r="AY361" s="201"/>
      <c r="AZ361" s="273" t="s">
        <v>1224</v>
      </c>
      <c r="BB361">
        <f>IFERROR(VLOOKUP(Tabela1[[#This Row],[Denominação]],[10]Planilha1!$A:$B,2,FALSE),"")</f>
        <v>2647473.630000005</v>
      </c>
      <c r="BC361" s="219"/>
      <c r="BD361" s="219"/>
      <c r="BE361" s="219"/>
      <c r="BF361" s="219"/>
      <c r="BG361" s="219"/>
      <c r="BH361" s="219"/>
      <c r="BI361" s="219"/>
      <c r="BJ361" s="219"/>
      <c r="BK361" s="219"/>
      <c r="BL361" s="219"/>
    </row>
    <row r="362" spans="1:64" ht="15" hidden="1" customHeight="1" x14ac:dyDescent="0.3">
      <c r="A362" s="253">
        <v>361</v>
      </c>
      <c r="B362" s="171" t="s">
        <v>877</v>
      </c>
      <c r="C362" s="209" t="s">
        <v>878</v>
      </c>
      <c r="D362" s="171">
        <v>10000694</v>
      </c>
      <c r="E362" s="253" t="s">
        <v>1417</v>
      </c>
      <c r="F362" s="210">
        <v>2111</v>
      </c>
      <c r="G362" s="171">
        <v>3500100400</v>
      </c>
      <c r="H362" s="171">
        <v>1986</v>
      </c>
      <c r="I362" s="213">
        <v>1804764.28</v>
      </c>
      <c r="J362" s="213">
        <v>639714</v>
      </c>
      <c r="K362" s="170">
        <v>3475709.9699999974</v>
      </c>
      <c r="L362" s="215">
        <v>1.31</v>
      </c>
      <c r="M362" s="260">
        <v>3759.6</v>
      </c>
      <c r="N362" s="212">
        <v>200238</v>
      </c>
      <c r="O362" s="171">
        <v>3383</v>
      </c>
      <c r="P362" s="271" t="str">
        <f>IFERROR(VLOOKUP(Tabela1[[#This Row],[TAG]],#REF!,14,FALSE),"")</f>
        <v/>
      </c>
      <c r="Q362" s="204" t="e">
        <f t="shared" si="620"/>
        <v>#VALUE!</v>
      </c>
      <c r="R362" s="204" t="e">
        <f t="shared" si="621"/>
        <v>#VALUE!</v>
      </c>
      <c r="S362" s="204" t="e">
        <f t="shared" si="622"/>
        <v>#VALUE!</v>
      </c>
      <c r="T362" s="204" t="e">
        <f t="shared" si="623"/>
        <v>#VALUE!</v>
      </c>
      <c r="U362" s="204" t="e">
        <f t="shared" si="624"/>
        <v>#VALUE!</v>
      </c>
      <c r="V362" s="204" t="e">
        <f t="shared" si="625"/>
        <v>#VALUE!</v>
      </c>
      <c r="W362" s="304">
        <v>950.67</v>
      </c>
      <c r="X362" s="304">
        <v>26201.66</v>
      </c>
      <c r="Y362" s="203">
        <v>0.1</v>
      </c>
      <c r="Z362" s="203">
        <f>IF(Tabela1[[#This Row],[Ano Aquisição]]=2023,0,IFERROR(VLOOKUP(H362,inflação!$F:$H,3,FALSE),""))</f>
        <v>2.3433461538461549</v>
      </c>
      <c r="AA362" s="203">
        <v>0.8</v>
      </c>
      <c r="AB362" s="202">
        <f t="shared" si="598"/>
        <v>-1804764.28</v>
      </c>
      <c r="AC362" s="204" t="e">
        <f t="shared" si="626"/>
        <v>#VALUE!</v>
      </c>
      <c r="AD362" s="204" t="e">
        <f t="shared" si="627"/>
        <v>#VALUE!</v>
      </c>
      <c r="AE362" s="204" t="e">
        <f t="shared" si="628"/>
        <v>#VALUE!</v>
      </c>
      <c r="AF362" s="204" t="e">
        <f t="shared" si="629"/>
        <v>#VALUE!</v>
      </c>
      <c r="AG362" s="204" t="e">
        <f t="shared" si="630"/>
        <v>#VALUE!</v>
      </c>
      <c r="AH362" s="204" t="e">
        <f t="shared" si="631"/>
        <v>#VALUE!</v>
      </c>
      <c r="AI362" s="204" t="e">
        <f t="shared" si="632"/>
        <v>#VALUE!</v>
      </c>
      <c r="AJ362" s="205">
        <f t="shared" si="606"/>
        <v>-6033951.7141369246</v>
      </c>
      <c r="AK362" s="204" t="e">
        <f t="shared" si="633"/>
        <v>#VALUE!</v>
      </c>
      <c r="AL362" s="204" t="e">
        <f t="shared" si="634"/>
        <v>#VALUE!</v>
      </c>
      <c r="AM362" s="204" t="e">
        <f t="shared" si="635"/>
        <v>#VALUE!</v>
      </c>
      <c r="AN362" s="204" t="e">
        <f t="shared" si="636"/>
        <v>#VALUE!</v>
      </c>
      <c r="AO362" s="204" t="e">
        <f t="shared" si="637"/>
        <v>#VALUE!</v>
      </c>
      <c r="AP362" s="204" t="e">
        <f t="shared" si="638"/>
        <v>#VALUE!</v>
      </c>
      <c r="AQ362" s="204" t="e">
        <f t="shared" si="639"/>
        <v>#VALUE!</v>
      </c>
      <c r="AR362" s="206" t="e">
        <f t="shared" si="614"/>
        <v>#VALUE!</v>
      </c>
      <c r="AS362" s="170" t="e">
        <f t="shared" si="640"/>
        <v>#VALUE!</v>
      </c>
      <c r="AT362" s="170" t="e">
        <f t="shared" si="641"/>
        <v>#VALUE!</v>
      </c>
      <c r="AU362" s="207" t="e">
        <f t="shared" si="617"/>
        <v>#VALUE!</v>
      </c>
      <c r="AV362" s="208" t="e">
        <f t="shared" si="618"/>
        <v>#VALUE!</v>
      </c>
      <c r="AW362" s="201" t="str">
        <f t="shared" si="619"/>
        <v>Fase de Degradação</v>
      </c>
      <c r="AX362" s="253" t="e">
        <f>VLOOKUP(D362,#REF!,5,FALSE)</f>
        <v>#REF!</v>
      </c>
      <c r="AY362" s="201"/>
      <c r="AZ362" s="273" t="s">
        <v>1224</v>
      </c>
      <c r="BB362">
        <f>IFERROR(VLOOKUP(Tabela1[[#This Row],[Denominação]],[10]Planilha1!$A:$B,2,FALSE),"")</f>
        <v>3475709.9699999974</v>
      </c>
      <c r="BC362" s="219"/>
      <c r="BD362" s="219"/>
      <c r="BE362" s="219"/>
      <c r="BF362" s="219"/>
      <c r="BG362" s="219"/>
      <c r="BH362" s="219"/>
      <c r="BI362" s="219"/>
      <c r="BJ362" s="219"/>
      <c r="BK362" s="219"/>
      <c r="BL362" s="219"/>
    </row>
    <row r="363" spans="1:64" ht="15" hidden="1" customHeight="1" x14ac:dyDescent="0.3">
      <c r="A363" s="268">
        <v>362</v>
      </c>
      <c r="B363" s="171" t="s">
        <v>315</v>
      </c>
      <c r="C363" s="209" t="s">
        <v>136</v>
      </c>
      <c r="D363" s="171">
        <v>10000000</v>
      </c>
      <c r="E363" s="253" t="s">
        <v>1418</v>
      </c>
      <c r="F363" s="210">
        <v>4620</v>
      </c>
      <c r="G363" s="171">
        <v>20079</v>
      </c>
      <c r="H363" s="171">
        <v>1995</v>
      </c>
      <c r="I363" s="213">
        <v>1595030.62</v>
      </c>
      <c r="J363" s="213">
        <v>782020</v>
      </c>
      <c r="K363" s="170">
        <v>8859617.3000000715</v>
      </c>
      <c r="L363" s="215">
        <v>1.35</v>
      </c>
      <c r="M363" s="260">
        <v>3946</v>
      </c>
      <c r="N363" s="212">
        <v>200581</v>
      </c>
      <c r="O363" s="171">
        <v>3938</v>
      </c>
      <c r="P363" s="271" t="str">
        <f>IFERROR(VLOOKUP(Tabela1[[#This Row],[TAG]],#REF!,14,FALSE),"")</f>
        <v/>
      </c>
      <c r="Q363" s="204" t="e">
        <f t="shared" si="620"/>
        <v>#VALUE!</v>
      </c>
      <c r="R363" s="204" t="e">
        <f t="shared" si="621"/>
        <v>#VALUE!</v>
      </c>
      <c r="S363" s="204" t="e">
        <f t="shared" si="622"/>
        <v>#VALUE!</v>
      </c>
      <c r="T363" s="204" t="e">
        <f t="shared" si="623"/>
        <v>#VALUE!</v>
      </c>
      <c r="U363" s="204" t="e">
        <f t="shared" si="624"/>
        <v>#VALUE!</v>
      </c>
      <c r="V363" s="204" t="e">
        <f t="shared" si="625"/>
        <v>#VALUE!</v>
      </c>
      <c r="W363" s="218">
        <v>498.61</v>
      </c>
      <c r="X363" s="218">
        <v>13262.45</v>
      </c>
      <c r="Y363" s="203">
        <v>0.1</v>
      </c>
      <c r="Z363" s="203">
        <f>IF(Tabela1[[#This Row],[Ano Aquisição]]=2023,0,IFERROR(VLOOKUP(H363,inflação!$F:$H,3,FALSE),""))</f>
        <v>1.7719846153846153</v>
      </c>
      <c r="AA363" s="203">
        <v>0.8</v>
      </c>
      <c r="AB363" s="202">
        <f t="shared" si="598"/>
        <v>-1595030.62</v>
      </c>
      <c r="AC363" s="204" t="e">
        <f t="shared" si="626"/>
        <v>#VALUE!</v>
      </c>
      <c r="AD363" s="204" t="e">
        <f t="shared" si="627"/>
        <v>#VALUE!</v>
      </c>
      <c r="AE363" s="204" t="e">
        <f t="shared" si="628"/>
        <v>#VALUE!</v>
      </c>
      <c r="AF363" s="204" t="e">
        <f t="shared" si="629"/>
        <v>#VALUE!</v>
      </c>
      <c r="AG363" s="204" t="e">
        <f t="shared" si="630"/>
        <v>#VALUE!</v>
      </c>
      <c r="AH363" s="204" t="e">
        <f t="shared" si="631"/>
        <v>#VALUE!</v>
      </c>
      <c r="AI363" s="204" t="e">
        <f t="shared" si="632"/>
        <v>#VALUE!</v>
      </c>
      <c r="AJ363" s="205">
        <f t="shared" si="606"/>
        <v>-4421400.3397073848</v>
      </c>
      <c r="AK363" s="204" t="e">
        <f t="shared" si="633"/>
        <v>#VALUE!</v>
      </c>
      <c r="AL363" s="204" t="e">
        <f t="shared" si="634"/>
        <v>#VALUE!</v>
      </c>
      <c r="AM363" s="204" t="e">
        <f t="shared" si="635"/>
        <v>#VALUE!</v>
      </c>
      <c r="AN363" s="204" t="e">
        <f t="shared" si="636"/>
        <v>#VALUE!</v>
      </c>
      <c r="AO363" s="204" t="e">
        <f t="shared" si="637"/>
        <v>#VALUE!</v>
      </c>
      <c r="AP363" s="204" t="e">
        <f t="shared" si="638"/>
        <v>#VALUE!</v>
      </c>
      <c r="AQ363" s="204" t="e">
        <f t="shared" si="639"/>
        <v>#VALUE!</v>
      </c>
      <c r="AR363" s="206" t="e">
        <f t="shared" si="614"/>
        <v>#VALUE!</v>
      </c>
      <c r="AS363" s="170" t="e">
        <f t="shared" si="640"/>
        <v>#VALUE!</v>
      </c>
      <c r="AT363" s="170" t="e">
        <f t="shared" si="641"/>
        <v>#VALUE!</v>
      </c>
      <c r="AU363" s="207" t="e">
        <f t="shared" si="617"/>
        <v>#VALUE!</v>
      </c>
      <c r="AV363" s="208" t="e">
        <f t="shared" si="618"/>
        <v>#VALUE!</v>
      </c>
      <c r="AW363" s="201" t="str">
        <f t="shared" si="619"/>
        <v>Fase de Degradação</v>
      </c>
      <c r="AX363" s="253" t="s">
        <v>1583</v>
      </c>
      <c r="AY363" s="201" t="s">
        <v>1224</v>
      </c>
      <c r="AZ363" s="273" t="s">
        <v>1224</v>
      </c>
      <c r="BB363">
        <f>IFERROR(VLOOKUP(Tabela1[[#This Row],[Denominação]],[10]Planilha1!$A:$B,2,FALSE),"")</f>
        <v>9019693.1100000925</v>
      </c>
      <c r="BC363" s="219"/>
      <c r="BD363" s="219"/>
      <c r="BE363" s="219"/>
      <c r="BF363" s="219"/>
      <c r="BG363" s="219"/>
      <c r="BH363" s="219"/>
      <c r="BI363" s="219"/>
      <c r="BJ363" s="219"/>
      <c r="BK363" s="219"/>
      <c r="BL363" s="219"/>
    </row>
    <row r="364" spans="1:64" ht="15" hidden="1" customHeight="1" x14ac:dyDescent="0.3">
      <c r="A364" s="253">
        <v>363</v>
      </c>
      <c r="B364" s="171" t="s">
        <v>325</v>
      </c>
      <c r="C364" s="209" t="s">
        <v>146</v>
      </c>
      <c r="D364" s="171">
        <v>10005195</v>
      </c>
      <c r="E364" s="253" t="s">
        <v>1419</v>
      </c>
      <c r="F364" s="210">
        <v>2111</v>
      </c>
      <c r="G364" s="171">
        <v>49192</v>
      </c>
      <c r="H364" s="171">
        <v>2008</v>
      </c>
      <c r="I364" s="213">
        <v>2175306.5299999998</v>
      </c>
      <c r="J364" s="213">
        <v>85223</v>
      </c>
      <c r="K364" s="170">
        <v>3538957.1000000038</v>
      </c>
      <c r="L364" s="215">
        <v>1.08</v>
      </c>
      <c r="M364" s="260">
        <v>4805.5212000000001</v>
      </c>
      <c r="N364" s="212">
        <v>131659</v>
      </c>
      <c r="O364" s="171">
        <v>3340</v>
      </c>
      <c r="P364" s="271" t="str">
        <f>IFERROR(VLOOKUP(Tabela1[[#This Row],[TAG]],#REF!,14,FALSE),"")</f>
        <v/>
      </c>
      <c r="Q364" s="204" t="e">
        <f t="shared" si="620"/>
        <v>#VALUE!</v>
      </c>
      <c r="R364" s="204" t="e">
        <f t="shared" si="621"/>
        <v>#VALUE!</v>
      </c>
      <c r="S364" s="204" t="e">
        <f t="shared" si="622"/>
        <v>#VALUE!</v>
      </c>
      <c r="T364" s="204" t="e">
        <f t="shared" si="623"/>
        <v>#VALUE!</v>
      </c>
      <c r="U364" s="204" t="e">
        <f t="shared" si="624"/>
        <v>#VALUE!</v>
      </c>
      <c r="V364" s="204" t="e">
        <f t="shared" si="625"/>
        <v>#VALUE!</v>
      </c>
      <c r="W364" s="304">
        <v>621.92999999999995</v>
      </c>
      <c r="X364" s="304">
        <v>16071.84</v>
      </c>
      <c r="Y364" s="203">
        <v>0.1</v>
      </c>
      <c r="Z364" s="203">
        <f>IF(Tabela1[[#This Row],[Ano Aquisição]]=2023,0,IFERROR(VLOOKUP(H364,inflação!$F:$H,3,FALSE),""))</f>
        <v>0.89119999999999999</v>
      </c>
      <c r="AA364" s="203">
        <v>0.8</v>
      </c>
      <c r="AB364" s="202">
        <f t="shared" si="598"/>
        <v>-2175306.5299999998</v>
      </c>
      <c r="AC364" s="204" t="e">
        <f t="shared" si="626"/>
        <v>#VALUE!</v>
      </c>
      <c r="AD364" s="204" t="e">
        <f t="shared" si="627"/>
        <v>#VALUE!</v>
      </c>
      <c r="AE364" s="204" t="e">
        <f t="shared" si="628"/>
        <v>#VALUE!</v>
      </c>
      <c r="AF364" s="204" t="e">
        <f t="shared" si="629"/>
        <v>#VALUE!</v>
      </c>
      <c r="AG364" s="204" t="e">
        <f t="shared" si="630"/>
        <v>#VALUE!</v>
      </c>
      <c r="AH364" s="204" t="e">
        <f t="shared" si="631"/>
        <v>#VALUE!</v>
      </c>
      <c r="AI364" s="204" t="e">
        <f t="shared" si="632"/>
        <v>#VALUE!</v>
      </c>
      <c r="AJ364" s="205">
        <f t="shared" si="606"/>
        <v>-4113939.7095359997</v>
      </c>
      <c r="AK364" s="204" t="e">
        <f t="shared" si="633"/>
        <v>#VALUE!</v>
      </c>
      <c r="AL364" s="204" t="e">
        <f t="shared" si="634"/>
        <v>#VALUE!</v>
      </c>
      <c r="AM364" s="204" t="e">
        <f t="shared" si="635"/>
        <v>#VALUE!</v>
      </c>
      <c r="AN364" s="204" t="e">
        <f t="shared" si="636"/>
        <v>#VALUE!</v>
      </c>
      <c r="AO364" s="204" t="e">
        <f t="shared" si="637"/>
        <v>#VALUE!</v>
      </c>
      <c r="AP364" s="204" t="e">
        <f t="shared" si="638"/>
        <v>#VALUE!</v>
      </c>
      <c r="AQ364" s="204" t="e">
        <f t="shared" si="639"/>
        <v>#VALUE!</v>
      </c>
      <c r="AR364" s="206" t="e">
        <f t="shared" si="614"/>
        <v>#VALUE!</v>
      </c>
      <c r="AS364" s="170" t="e">
        <f t="shared" si="640"/>
        <v>#VALUE!</v>
      </c>
      <c r="AT364" s="170" t="e">
        <f t="shared" si="641"/>
        <v>#VALUE!</v>
      </c>
      <c r="AU364" s="207" t="e">
        <f t="shared" si="617"/>
        <v>#VALUE!</v>
      </c>
      <c r="AV364" s="208" t="e">
        <f t="shared" si="618"/>
        <v>#VALUE!</v>
      </c>
      <c r="AW364" s="201" t="str">
        <f t="shared" si="619"/>
        <v>Fase de Vida Útil</v>
      </c>
      <c r="AX364" s="253" t="e">
        <f>VLOOKUP(D364,#REF!,5,FALSE)</f>
        <v>#REF!</v>
      </c>
      <c r="AY364" s="201"/>
      <c r="AZ364" s="273" t="s">
        <v>1224</v>
      </c>
      <c r="BB364">
        <f>IFERROR(VLOOKUP(Tabela1[[#This Row],[Denominação]],[10]Planilha1!$A:$B,2,FALSE),"")</f>
        <v>3538957.1000000038</v>
      </c>
      <c r="BC364" s="219"/>
      <c r="BD364" s="219"/>
      <c r="BE364" s="219"/>
      <c r="BF364" s="219"/>
      <c r="BG364" s="219"/>
      <c r="BH364" s="219"/>
      <c r="BI364" s="219"/>
      <c r="BJ364" s="219"/>
      <c r="BK364" s="219"/>
      <c r="BL364" s="219"/>
    </row>
    <row r="365" spans="1:64" ht="15" hidden="1" customHeight="1" x14ac:dyDescent="0.3">
      <c r="A365" s="268">
        <v>364</v>
      </c>
      <c r="B365" s="171" t="s">
        <v>340</v>
      </c>
      <c r="C365" s="209" t="s">
        <v>161</v>
      </c>
      <c r="D365" s="171">
        <v>10006098</v>
      </c>
      <c r="E365" s="253" t="s">
        <v>1420</v>
      </c>
      <c r="F365" s="210">
        <v>2111</v>
      </c>
      <c r="G365" s="171">
        <v>49699</v>
      </c>
      <c r="H365" s="171">
        <v>2012</v>
      </c>
      <c r="I365" s="213">
        <v>2436981.14</v>
      </c>
      <c r="J365" s="213">
        <v>887684</v>
      </c>
      <c r="K365" s="170">
        <v>2013252.640000008</v>
      </c>
      <c r="L365" s="215">
        <v>1.1100000000000001</v>
      </c>
      <c r="M365" s="260">
        <v>4486.0464000000002</v>
      </c>
      <c r="N365" s="212">
        <v>94091</v>
      </c>
      <c r="O365" s="171">
        <v>1906</v>
      </c>
      <c r="P365" s="271" t="str">
        <f>IFERROR(VLOOKUP(Tabela1[[#This Row],[TAG]],#REF!,14,FALSE),"")</f>
        <v/>
      </c>
      <c r="Q365" s="204" t="e">
        <f t="shared" si="620"/>
        <v>#VALUE!</v>
      </c>
      <c r="R365" s="204" t="e">
        <f t="shared" si="621"/>
        <v>#VALUE!</v>
      </c>
      <c r="S365" s="204" t="e">
        <f t="shared" si="622"/>
        <v>#VALUE!</v>
      </c>
      <c r="T365" s="204" t="e">
        <f t="shared" si="623"/>
        <v>#VALUE!</v>
      </c>
      <c r="U365" s="204" t="e">
        <f t="shared" si="624"/>
        <v>#VALUE!</v>
      </c>
      <c r="V365" s="204" t="e">
        <f t="shared" si="625"/>
        <v>#VALUE!</v>
      </c>
      <c r="W365" s="304">
        <v>595.08000000000004</v>
      </c>
      <c r="X365" s="304">
        <v>13887.82</v>
      </c>
      <c r="Y365" s="203">
        <v>0.1</v>
      </c>
      <c r="Z365" s="203">
        <f>IF(Tabela1[[#This Row],[Ano Aquisição]]=2023,0,IFERROR(VLOOKUP(H365,inflação!$F:$H,3,FALSE),""))</f>
        <v>0.66500000000000004</v>
      </c>
      <c r="AA365" s="203">
        <v>0.8</v>
      </c>
      <c r="AB365" s="202">
        <f t="shared" si="598"/>
        <v>-2436981.14</v>
      </c>
      <c r="AC365" s="204" t="e">
        <f t="shared" si="626"/>
        <v>#VALUE!</v>
      </c>
      <c r="AD365" s="204" t="e">
        <f t="shared" si="627"/>
        <v>#VALUE!</v>
      </c>
      <c r="AE365" s="204" t="e">
        <f t="shared" si="628"/>
        <v>#VALUE!</v>
      </c>
      <c r="AF365" s="204" t="e">
        <f t="shared" si="629"/>
        <v>#VALUE!</v>
      </c>
      <c r="AG365" s="204" t="e">
        <f t="shared" si="630"/>
        <v>#VALUE!</v>
      </c>
      <c r="AH365" s="204" t="e">
        <f t="shared" si="631"/>
        <v>#VALUE!</v>
      </c>
      <c r="AI365" s="204" t="e">
        <f t="shared" si="632"/>
        <v>#VALUE!</v>
      </c>
      <c r="AJ365" s="205">
        <f t="shared" si="606"/>
        <v>-4057573.5981000005</v>
      </c>
      <c r="AK365" s="204" t="e">
        <f t="shared" si="633"/>
        <v>#VALUE!</v>
      </c>
      <c r="AL365" s="204" t="e">
        <f t="shared" si="634"/>
        <v>#VALUE!</v>
      </c>
      <c r="AM365" s="204" t="e">
        <f t="shared" si="635"/>
        <v>#VALUE!</v>
      </c>
      <c r="AN365" s="204" t="e">
        <f t="shared" si="636"/>
        <v>#VALUE!</v>
      </c>
      <c r="AO365" s="204" t="e">
        <f t="shared" si="637"/>
        <v>#VALUE!</v>
      </c>
      <c r="AP365" s="204" t="e">
        <f t="shared" si="638"/>
        <v>#VALUE!</v>
      </c>
      <c r="AQ365" s="204" t="e">
        <f t="shared" si="639"/>
        <v>#VALUE!</v>
      </c>
      <c r="AR365" s="206" t="e">
        <f t="shared" si="614"/>
        <v>#VALUE!</v>
      </c>
      <c r="AS365" s="170" t="e">
        <f t="shared" si="640"/>
        <v>#VALUE!</v>
      </c>
      <c r="AT365" s="170" t="e">
        <f t="shared" si="641"/>
        <v>#VALUE!</v>
      </c>
      <c r="AU365" s="207" t="e">
        <f t="shared" si="617"/>
        <v>#VALUE!</v>
      </c>
      <c r="AV365" s="208" t="e">
        <f t="shared" si="618"/>
        <v>#VALUE!</v>
      </c>
      <c r="AW365" s="201" t="str">
        <f t="shared" si="619"/>
        <v>Fase de Degradação</v>
      </c>
      <c r="AX365" s="253" t="e">
        <f>VLOOKUP(D365,#REF!,5,FALSE)</f>
        <v>#REF!</v>
      </c>
      <c r="AY365" s="201"/>
      <c r="AZ365" s="273" t="s">
        <v>1224</v>
      </c>
      <c r="BB365">
        <f>IFERROR(VLOOKUP(Tabela1[[#This Row],[Denominação]],[10]Planilha1!$A:$B,2,FALSE),"")</f>
        <v>2013252.640000008</v>
      </c>
      <c r="BC365" s="219"/>
      <c r="BD365" s="219"/>
      <c r="BE365" s="219"/>
      <c r="BF365" s="219"/>
      <c r="BG365" s="219"/>
      <c r="BH365" s="219"/>
      <c r="BI365" s="219"/>
      <c r="BJ365" s="219"/>
      <c r="BK365" s="219"/>
      <c r="BL365" s="219"/>
    </row>
    <row r="366" spans="1:64" ht="15" hidden="1" customHeight="1" x14ac:dyDescent="0.3">
      <c r="A366" s="253">
        <v>365</v>
      </c>
      <c r="B366" s="171" t="s">
        <v>353</v>
      </c>
      <c r="C366" s="209" t="s">
        <v>174</v>
      </c>
      <c r="D366" s="171">
        <v>10001852</v>
      </c>
      <c r="E366" s="253" t="s">
        <v>1421</v>
      </c>
      <c r="F366" s="210">
        <v>3115</v>
      </c>
      <c r="G366" s="171">
        <v>20366</v>
      </c>
      <c r="H366" s="171">
        <v>2001</v>
      </c>
      <c r="I366" s="213">
        <v>531322.06999999995</v>
      </c>
      <c r="J366" s="213">
        <v>0</v>
      </c>
      <c r="K366" s="170">
        <v>1632116.6299999969</v>
      </c>
      <c r="L366" s="215">
        <v>1.3</v>
      </c>
      <c r="M366" s="334">
        <v>5173</v>
      </c>
      <c r="N366" s="212">
        <v>193351</v>
      </c>
      <c r="O366" s="171">
        <v>1845</v>
      </c>
      <c r="P366" s="271" t="str">
        <f>IFERROR(VLOOKUP(Tabela1[[#This Row],[TAG]],#REF!,14,FALSE),"")</f>
        <v/>
      </c>
      <c r="Q366" s="204" t="e">
        <f t="shared" si="620"/>
        <v>#VALUE!</v>
      </c>
      <c r="R366" s="204" t="e">
        <f t="shared" si="621"/>
        <v>#VALUE!</v>
      </c>
      <c r="S366" s="204" t="e">
        <f t="shared" si="622"/>
        <v>#VALUE!</v>
      </c>
      <c r="T366" s="204" t="e">
        <f t="shared" si="623"/>
        <v>#VALUE!</v>
      </c>
      <c r="U366" s="204" t="e">
        <f t="shared" si="624"/>
        <v>#VALUE!</v>
      </c>
      <c r="V366" s="204" t="e">
        <f t="shared" si="625"/>
        <v>#VALUE!</v>
      </c>
      <c r="W366" s="218">
        <v>551.83000000000004</v>
      </c>
      <c r="X366" s="218">
        <v>5499.42</v>
      </c>
      <c r="Y366" s="203">
        <v>0.1</v>
      </c>
      <c r="Z366" s="203">
        <f>IF(Tabela1[[#This Row],[Ano Aquisição]]=2023,0,IFERROR(VLOOKUP(H366,inflação!$F:$H,3,FALSE),""))</f>
        <v>1.3951</v>
      </c>
      <c r="AA366" s="203">
        <v>0.8</v>
      </c>
      <c r="AB366" s="202">
        <f t="shared" si="598"/>
        <v>-531322.06999999995</v>
      </c>
      <c r="AC366" s="204" t="e">
        <f t="shared" si="626"/>
        <v>#VALUE!</v>
      </c>
      <c r="AD366" s="204" t="e">
        <f t="shared" si="627"/>
        <v>#VALUE!</v>
      </c>
      <c r="AE366" s="204" t="e">
        <f t="shared" si="628"/>
        <v>#VALUE!</v>
      </c>
      <c r="AF366" s="204" t="e">
        <f t="shared" si="629"/>
        <v>#VALUE!</v>
      </c>
      <c r="AG366" s="204" t="e">
        <f t="shared" si="630"/>
        <v>#VALUE!</v>
      </c>
      <c r="AH366" s="204" t="e">
        <f t="shared" si="631"/>
        <v>#VALUE!</v>
      </c>
      <c r="AI366" s="204" t="e">
        <f t="shared" si="632"/>
        <v>#VALUE!</v>
      </c>
      <c r="AJ366" s="205">
        <f t="shared" si="606"/>
        <v>-1272569.4898570001</v>
      </c>
      <c r="AK366" s="204" t="e">
        <f t="shared" si="633"/>
        <v>#VALUE!</v>
      </c>
      <c r="AL366" s="204" t="e">
        <f t="shared" si="634"/>
        <v>#VALUE!</v>
      </c>
      <c r="AM366" s="204" t="e">
        <f t="shared" si="635"/>
        <v>#VALUE!</v>
      </c>
      <c r="AN366" s="204" t="e">
        <f t="shared" si="636"/>
        <v>#VALUE!</v>
      </c>
      <c r="AO366" s="204" t="e">
        <f t="shared" si="637"/>
        <v>#VALUE!</v>
      </c>
      <c r="AP366" s="204" t="e">
        <f t="shared" si="638"/>
        <v>#VALUE!</v>
      </c>
      <c r="AQ366" s="204" t="e">
        <f t="shared" si="639"/>
        <v>#VALUE!</v>
      </c>
      <c r="AR366" s="206" t="e">
        <f t="shared" si="614"/>
        <v>#VALUE!</v>
      </c>
      <c r="AS366" s="170" t="e">
        <f t="shared" si="640"/>
        <v>#VALUE!</v>
      </c>
      <c r="AT366" s="170" t="e">
        <f t="shared" si="641"/>
        <v>#VALUE!</v>
      </c>
      <c r="AU366" s="207" t="e">
        <f t="shared" si="617"/>
        <v>#VALUE!</v>
      </c>
      <c r="AV366" s="208" t="e">
        <f t="shared" si="618"/>
        <v>#VALUE!</v>
      </c>
      <c r="AW366" s="201" t="str">
        <f t="shared" si="619"/>
        <v>Fase de Degradação</v>
      </c>
      <c r="AX366" s="253" t="e">
        <f>VLOOKUP(D366,#REF!,5,FALSE)</f>
        <v>#REF!</v>
      </c>
      <c r="AY366" s="201"/>
      <c r="AZ366" s="273" t="s">
        <v>1224</v>
      </c>
      <c r="BB366">
        <f>IFERROR(VLOOKUP(Tabela1[[#This Row],[Denominação]],[10]Planilha1!$A:$B,2,FALSE),"")</f>
        <v>1632116.6299999969</v>
      </c>
      <c r="BC366" s="219"/>
      <c r="BD366" s="219"/>
      <c r="BE366" s="219"/>
      <c r="BF366" s="219"/>
      <c r="BG366" s="219"/>
      <c r="BH366" s="219"/>
      <c r="BI366" s="219"/>
      <c r="BJ366" s="219"/>
      <c r="BK366" s="219"/>
      <c r="BL366" s="219"/>
    </row>
    <row r="367" spans="1:64" ht="15" hidden="1" customHeight="1" x14ac:dyDescent="0.3">
      <c r="A367" s="268">
        <v>366</v>
      </c>
      <c r="B367" s="171" t="s">
        <v>328</v>
      </c>
      <c r="C367" s="209" t="s">
        <v>149</v>
      </c>
      <c r="D367" s="171">
        <v>10000851</v>
      </c>
      <c r="E367" s="253" t="s">
        <v>1422</v>
      </c>
      <c r="F367" s="210">
        <v>4511</v>
      </c>
      <c r="G367" s="171">
        <v>20139</v>
      </c>
      <c r="H367" s="171">
        <v>1998</v>
      </c>
      <c r="I367" s="213">
        <v>2784493.15</v>
      </c>
      <c r="J367" s="213">
        <v>714022</v>
      </c>
      <c r="K367" s="170">
        <v>3200690.6599999922</v>
      </c>
      <c r="L367" s="215">
        <v>1.18</v>
      </c>
      <c r="M367" s="260">
        <v>4882</v>
      </c>
      <c r="N367" s="212">
        <v>200178</v>
      </c>
      <c r="O367" s="171">
        <v>4094</v>
      </c>
      <c r="P367" s="271" t="str">
        <f>IFERROR(VLOOKUP(Tabela1[[#This Row],[TAG]],#REF!,14,FALSE),"")</f>
        <v/>
      </c>
      <c r="Q367" s="204" t="e">
        <f t="shared" si="620"/>
        <v>#VALUE!</v>
      </c>
      <c r="R367" s="204" t="e">
        <f t="shared" si="621"/>
        <v>#VALUE!</v>
      </c>
      <c r="S367" s="204" t="e">
        <f t="shared" si="622"/>
        <v>#VALUE!</v>
      </c>
      <c r="T367" s="204" t="e">
        <f t="shared" si="623"/>
        <v>#VALUE!</v>
      </c>
      <c r="U367" s="204" t="e">
        <f t="shared" si="624"/>
        <v>#VALUE!</v>
      </c>
      <c r="V367" s="204" t="e">
        <f t="shared" si="625"/>
        <v>#VALUE!</v>
      </c>
      <c r="W367" s="218">
        <v>539.64</v>
      </c>
      <c r="X367" s="218">
        <v>11574.09</v>
      </c>
      <c r="Y367" s="203">
        <v>0.1</v>
      </c>
      <c r="Z367" s="203">
        <f>IF(Tabela1[[#This Row],[Ano Aquisição]]=2023,0,IFERROR(VLOOKUP(H367,inflação!$F:$H,3,FALSE),""))</f>
        <v>1.5607</v>
      </c>
      <c r="AA367" s="203">
        <v>0.8</v>
      </c>
      <c r="AB367" s="202">
        <f t="shared" si="598"/>
        <v>-2784493.15</v>
      </c>
      <c r="AC367" s="204" t="e">
        <f t="shared" si="626"/>
        <v>#VALUE!</v>
      </c>
      <c r="AD367" s="204" t="e">
        <f t="shared" si="627"/>
        <v>#VALUE!</v>
      </c>
      <c r="AE367" s="204" t="e">
        <f t="shared" si="628"/>
        <v>#VALUE!</v>
      </c>
      <c r="AF367" s="204" t="e">
        <f t="shared" si="629"/>
        <v>#VALUE!</v>
      </c>
      <c r="AG367" s="204" t="e">
        <f t="shared" si="630"/>
        <v>#VALUE!</v>
      </c>
      <c r="AH367" s="204" t="e">
        <f t="shared" si="631"/>
        <v>#VALUE!</v>
      </c>
      <c r="AI367" s="204" t="e">
        <f t="shared" si="632"/>
        <v>#VALUE!</v>
      </c>
      <c r="AJ367" s="205">
        <f t="shared" si="606"/>
        <v>-7130251.6092049992</v>
      </c>
      <c r="AK367" s="204" t="e">
        <f t="shared" si="633"/>
        <v>#VALUE!</v>
      </c>
      <c r="AL367" s="204" t="e">
        <f t="shared" si="634"/>
        <v>#VALUE!</v>
      </c>
      <c r="AM367" s="204" t="e">
        <f t="shared" si="635"/>
        <v>#VALUE!</v>
      </c>
      <c r="AN367" s="204" t="e">
        <f t="shared" si="636"/>
        <v>#VALUE!</v>
      </c>
      <c r="AO367" s="204" t="e">
        <f t="shared" si="637"/>
        <v>#VALUE!</v>
      </c>
      <c r="AP367" s="204" t="e">
        <f t="shared" si="638"/>
        <v>#VALUE!</v>
      </c>
      <c r="AQ367" s="204" t="e">
        <f t="shared" si="639"/>
        <v>#VALUE!</v>
      </c>
      <c r="AR367" s="206" t="e">
        <f t="shared" si="614"/>
        <v>#VALUE!</v>
      </c>
      <c r="AS367" s="170" t="e">
        <f t="shared" si="640"/>
        <v>#VALUE!</v>
      </c>
      <c r="AT367" s="170" t="e">
        <f t="shared" si="641"/>
        <v>#VALUE!</v>
      </c>
      <c r="AU367" s="207" t="e">
        <f t="shared" si="617"/>
        <v>#VALUE!</v>
      </c>
      <c r="AV367" s="208" t="e">
        <f t="shared" si="618"/>
        <v>#VALUE!</v>
      </c>
      <c r="AW367" s="201" t="str">
        <f t="shared" si="619"/>
        <v>Fase de Degradação</v>
      </c>
      <c r="AX367" s="253" t="e">
        <f>VLOOKUP(D367,#REF!,5,FALSE)</f>
        <v>#REF!</v>
      </c>
      <c r="AY367" s="201" t="s">
        <v>1224</v>
      </c>
      <c r="AZ367" s="273" t="s">
        <v>1224</v>
      </c>
      <c r="BB367">
        <f>IFERROR(VLOOKUP(Tabela1[[#This Row],[Denominação]],[10]Planilha1!$A:$B,2,FALSE),"")</f>
        <v>3200690.6599999922</v>
      </c>
      <c r="BC367" s="219"/>
      <c r="BD367" s="219"/>
      <c r="BE367" s="219"/>
      <c r="BF367" s="219"/>
      <c r="BG367" s="219"/>
      <c r="BH367" s="219"/>
      <c r="BI367" s="219"/>
      <c r="BJ367" s="219"/>
      <c r="BK367" s="219"/>
      <c r="BL367" s="219"/>
    </row>
    <row r="368" spans="1:64" ht="15" hidden="1" customHeight="1" x14ac:dyDescent="0.3">
      <c r="A368" s="253">
        <v>367</v>
      </c>
      <c r="B368" s="171" t="s">
        <v>35</v>
      </c>
      <c r="C368" s="209" t="s">
        <v>11</v>
      </c>
      <c r="D368" s="171">
        <v>10000857</v>
      </c>
      <c r="E368" s="253" t="s">
        <v>1423</v>
      </c>
      <c r="F368" s="210">
        <v>4511</v>
      </c>
      <c r="G368" s="171">
        <v>20266</v>
      </c>
      <c r="H368" s="171">
        <v>1997</v>
      </c>
      <c r="I368" s="213">
        <v>1562122.71</v>
      </c>
      <c r="J368" s="213">
        <v>0</v>
      </c>
      <c r="K368" s="170">
        <v>3102258.06</v>
      </c>
      <c r="L368" s="215">
        <v>1.36</v>
      </c>
      <c r="M368" s="260">
        <v>3684</v>
      </c>
      <c r="N368" s="212">
        <v>199619</v>
      </c>
      <c r="O368" s="171">
        <v>4536</v>
      </c>
      <c r="P368" s="271" t="str">
        <f>IFERROR(VLOOKUP(Tabela1[[#This Row],[TAG]],#REF!,14,FALSE),"")</f>
        <v/>
      </c>
      <c r="Q368" s="204" t="e">
        <f t="shared" si="620"/>
        <v>#VALUE!</v>
      </c>
      <c r="R368" s="204" t="e">
        <f t="shared" si="621"/>
        <v>#VALUE!</v>
      </c>
      <c r="S368" s="204" t="e">
        <f t="shared" si="622"/>
        <v>#VALUE!</v>
      </c>
      <c r="T368" s="204" t="e">
        <f t="shared" si="623"/>
        <v>#VALUE!</v>
      </c>
      <c r="U368" s="204" t="e">
        <f t="shared" si="624"/>
        <v>#VALUE!</v>
      </c>
      <c r="V368" s="204" t="e">
        <f t="shared" si="625"/>
        <v>#VALUE!</v>
      </c>
      <c r="W368" s="218">
        <v>538.67999999999995</v>
      </c>
      <c r="X368" s="218">
        <v>17612.919999999998</v>
      </c>
      <c r="Y368" s="203">
        <v>0.1</v>
      </c>
      <c r="Z368" s="203">
        <f>IF(Tabela1[[#This Row],[Ano Aquisição]]=2023,0,IFERROR(VLOOKUP(H368,inflação!$F:$H,3,FALSE),""))</f>
        <v>1.6129</v>
      </c>
      <c r="AA368" s="203">
        <v>0.8</v>
      </c>
      <c r="AB368" s="202">
        <f t="shared" si="598"/>
        <v>-1562122.71</v>
      </c>
      <c r="AC368" s="204" t="e">
        <f t="shared" si="626"/>
        <v>#VALUE!</v>
      </c>
      <c r="AD368" s="204" t="e">
        <f t="shared" si="627"/>
        <v>#VALUE!</v>
      </c>
      <c r="AE368" s="204" t="e">
        <f t="shared" si="628"/>
        <v>#VALUE!</v>
      </c>
      <c r="AF368" s="204" t="e">
        <f t="shared" si="629"/>
        <v>#VALUE!</v>
      </c>
      <c r="AG368" s="204" t="e">
        <f t="shared" si="630"/>
        <v>#VALUE!</v>
      </c>
      <c r="AH368" s="204" t="e">
        <f t="shared" si="631"/>
        <v>#VALUE!</v>
      </c>
      <c r="AI368" s="204" t="e">
        <f t="shared" si="632"/>
        <v>#VALUE!</v>
      </c>
      <c r="AJ368" s="205">
        <f t="shared" si="606"/>
        <v>-4081670.4289589995</v>
      </c>
      <c r="AK368" s="204" t="e">
        <f t="shared" si="633"/>
        <v>#VALUE!</v>
      </c>
      <c r="AL368" s="204" t="e">
        <f t="shared" si="634"/>
        <v>#VALUE!</v>
      </c>
      <c r="AM368" s="204" t="e">
        <f t="shared" si="635"/>
        <v>#VALUE!</v>
      </c>
      <c r="AN368" s="204" t="e">
        <f t="shared" si="636"/>
        <v>#VALUE!</v>
      </c>
      <c r="AO368" s="204" t="e">
        <f t="shared" si="637"/>
        <v>#VALUE!</v>
      </c>
      <c r="AP368" s="204" t="e">
        <f t="shared" si="638"/>
        <v>#VALUE!</v>
      </c>
      <c r="AQ368" s="204" t="e">
        <f t="shared" si="639"/>
        <v>#VALUE!</v>
      </c>
      <c r="AR368" s="206" t="e">
        <f t="shared" si="614"/>
        <v>#VALUE!</v>
      </c>
      <c r="AS368" s="170" t="e">
        <f t="shared" si="640"/>
        <v>#VALUE!</v>
      </c>
      <c r="AT368" s="170" t="e">
        <f t="shared" si="641"/>
        <v>#VALUE!</v>
      </c>
      <c r="AU368" s="207" t="e">
        <f t="shared" si="617"/>
        <v>#VALUE!</v>
      </c>
      <c r="AV368" s="208" t="e">
        <f t="shared" si="618"/>
        <v>#VALUE!</v>
      </c>
      <c r="AW368" s="201" t="str">
        <f t="shared" si="619"/>
        <v>Fase de Degradação</v>
      </c>
      <c r="AX368" s="253" t="e">
        <f>VLOOKUP(D368,#REF!,5,FALSE)</f>
        <v>#REF!</v>
      </c>
      <c r="AY368" s="201" t="s">
        <v>1224</v>
      </c>
      <c r="AZ368" s="273" t="s">
        <v>1224</v>
      </c>
      <c r="BB368">
        <f>IFERROR(VLOOKUP(Tabela1[[#This Row],[Denominação]],[10]Planilha1!$A:$B,2,FALSE),"")</f>
        <v>3102258.06</v>
      </c>
      <c r="BC368" s="219"/>
      <c r="BD368" s="219"/>
      <c r="BE368" s="219"/>
      <c r="BF368" s="219"/>
      <c r="BG368" s="219"/>
      <c r="BH368" s="219"/>
      <c r="BI368" s="219"/>
      <c r="BJ368" s="219"/>
      <c r="BK368" s="219"/>
      <c r="BL368" s="219"/>
    </row>
    <row r="369" spans="1:64" ht="15" hidden="1" customHeight="1" x14ac:dyDescent="0.3">
      <c r="A369" s="268">
        <v>368</v>
      </c>
      <c r="B369" s="171" t="s">
        <v>36</v>
      </c>
      <c r="C369" s="209" t="s">
        <v>5</v>
      </c>
      <c r="D369" s="171">
        <v>10000869</v>
      </c>
      <c r="E369" s="253" t="s">
        <v>1424</v>
      </c>
      <c r="F369" s="210">
        <v>4511</v>
      </c>
      <c r="G369" s="171">
        <v>20195</v>
      </c>
      <c r="H369" s="171">
        <v>1995</v>
      </c>
      <c r="I369" s="213">
        <v>1672536.94</v>
      </c>
      <c r="J369" s="213">
        <v>0</v>
      </c>
      <c r="K369" s="170">
        <v>3841698.0200000182</v>
      </c>
      <c r="L369" s="215">
        <v>1.38</v>
      </c>
      <c r="M369" s="260">
        <v>4511</v>
      </c>
      <c r="N369" s="212">
        <v>201265</v>
      </c>
      <c r="O369" s="171">
        <v>5269</v>
      </c>
      <c r="P369" s="271" t="str">
        <f>IFERROR(VLOOKUP(Tabela1[[#This Row],[TAG]],#REF!,14,FALSE),"")</f>
        <v/>
      </c>
      <c r="Q369" s="204" t="e">
        <f t="shared" si="620"/>
        <v>#VALUE!</v>
      </c>
      <c r="R369" s="204" t="e">
        <f t="shared" si="621"/>
        <v>#VALUE!</v>
      </c>
      <c r="S369" s="204" t="e">
        <f t="shared" si="622"/>
        <v>#VALUE!</v>
      </c>
      <c r="T369" s="204" t="e">
        <f t="shared" si="623"/>
        <v>#VALUE!</v>
      </c>
      <c r="U369" s="204" t="e">
        <f t="shared" si="624"/>
        <v>#VALUE!</v>
      </c>
      <c r="V369" s="204" t="e">
        <f t="shared" si="625"/>
        <v>#VALUE!</v>
      </c>
      <c r="W369" s="218">
        <v>602.14</v>
      </c>
      <c r="X369" s="218">
        <v>16483.39</v>
      </c>
      <c r="Y369" s="203">
        <v>0.1</v>
      </c>
      <c r="Z369" s="203">
        <f>IF(Tabela1[[#This Row],[Ano Aquisição]]=2023,0,IFERROR(VLOOKUP(H369,inflação!$F:$H,3,FALSE),""))</f>
        <v>1.7719846153846153</v>
      </c>
      <c r="AA369" s="203">
        <v>0.8</v>
      </c>
      <c r="AB369" s="202">
        <f t="shared" si="598"/>
        <v>-1672536.94</v>
      </c>
      <c r="AC369" s="204" t="e">
        <f t="shared" si="626"/>
        <v>#VALUE!</v>
      </c>
      <c r="AD369" s="204" t="e">
        <f t="shared" si="627"/>
        <v>#VALUE!</v>
      </c>
      <c r="AE369" s="204" t="e">
        <f t="shared" si="628"/>
        <v>#VALUE!</v>
      </c>
      <c r="AF369" s="204" t="e">
        <f t="shared" si="629"/>
        <v>#VALUE!</v>
      </c>
      <c r="AG369" s="204" t="e">
        <f t="shared" si="630"/>
        <v>#VALUE!</v>
      </c>
      <c r="AH369" s="204" t="e">
        <f t="shared" si="631"/>
        <v>#VALUE!</v>
      </c>
      <c r="AI369" s="204" t="e">
        <f t="shared" si="632"/>
        <v>#VALUE!</v>
      </c>
      <c r="AJ369" s="205">
        <f t="shared" si="606"/>
        <v>-4636246.6663424606</v>
      </c>
      <c r="AK369" s="204" t="e">
        <f t="shared" si="633"/>
        <v>#VALUE!</v>
      </c>
      <c r="AL369" s="204" t="e">
        <f t="shared" si="634"/>
        <v>#VALUE!</v>
      </c>
      <c r="AM369" s="204" t="e">
        <f t="shared" si="635"/>
        <v>#VALUE!</v>
      </c>
      <c r="AN369" s="204" t="e">
        <f t="shared" si="636"/>
        <v>#VALUE!</v>
      </c>
      <c r="AO369" s="204" t="e">
        <f t="shared" si="637"/>
        <v>#VALUE!</v>
      </c>
      <c r="AP369" s="204" t="e">
        <f t="shared" si="638"/>
        <v>#VALUE!</v>
      </c>
      <c r="AQ369" s="204" t="e">
        <f t="shared" si="639"/>
        <v>#VALUE!</v>
      </c>
      <c r="AR369" s="206" t="e">
        <f t="shared" si="614"/>
        <v>#VALUE!</v>
      </c>
      <c r="AS369" s="170" t="e">
        <f t="shared" si="640"/>
        <v>#VALUE!</v>
      </c>
      <c r="AT369" s="170" t="e">
        <f t="shared" si="641"/>
        <v>#VALUE!</v>
      </c>
      <c r="AU369" s="207" t="e">
        <f t="shared" si="617"/>
        <v>#VALUE!</v>
      </c>
      <c r="AV369" s="208" t="e">
        <f t="shared" si="618"/>
        <v>#VALUE!</v>
      </c>
      <c r="AW369" s="201" t="str">
        <f t="shared" si="619"/>
        <v>Fase de Degradação</v>
      </c>
      <c r="AX369" s="253" t="e">
        <f>VLOOKUP(D369,#REF!,5,FALSE)</f>
        <v>#REF!</v>
      </c>
      <c r="AY369" s="201" t="s">
        <v>1224</v>
      </c>
      <c r="AZ369" s="273" t="s">
        <v>1224</v>
      </c>
      <c r="BB369">
        <f>IFERROR(VLOOKUP(Tabela1[[#This Row],[Denominação]],[10]Planilha1!$A:$B,2,FALSE),"")</f>
        <v>3841698.0200000182</v>
      </c>
      <c r="BC369" s="219"/>
      <c r="BD369" s="219"/>
      <c r="BE369" s="219"/>
      <c r="BF369" s="219"/>
      <c r="BG369" s="219"/>
      <c r="BH369" s="219"/>
      <c r="BI369" s="219"/>
      <c r="BJ369" s="219"/>
      <c r="BK369" s="219"/>
      <c r="BL369" s="219"/>
    </row>
    <row r="370" spans="1:64" ht="15" hidden="1" customHeight="1" x14ac:dyDescent="0.3">
      <c r="A370" s="253">
        <v>369</v>
      </c>
      <c r="B370" s="171" t="s">
        <v>417</v>
      </c>
      <c r="C370" s="209" t="s">
        <v>238</v>
      </c>
      <c r="D370" s="171">
        <v>10000129</v>
      </c>
      <c r="E370" s="253" t="s">
        <v>1425</v>
      </c>
      <c r="F370" s="210">
        <v>3114</v>
      </c>
      <c r="G370" s="171">
        <v>20171</v>
      </c>
      <c r="H370" s="171">
        <v>1998</v>
      </c>
      <c r="I370" s="213">
        <v>242206.79</v>
      </c>
      <c r="J370" s="213">
        <v>0</v>
      </c>
      <c r="K370" s="170">
        <v>1156636.4799999988</v>
      </c>
      <c r="L370" s="215">
        <v>1.47</v>
      </c>
      <c r="M370" s="334">
        <v>6649</v>
      </c>
      <c r="N370" s="212">
        <v>199092</v>
      </c>
      <c r="O370" s="171">
        <v>1332</v>
      </c>
      <c r="P370" s="271" t="str">
        <f>IFERROR(VLOOKUP(Tabela1[[#This Row],[TAG]],#REF!,14,FALSE),"")</f>
        <v/>
      </c>
      <c r="Q370" s="204" t="e">
        <f t="shared" si="620"/>
        <v>#VALUE!</v>
      </c>
      <c r="R370" s="204" t="e">
        <f t="shared" si="621"/>
        <v>#VALUE!</v>
      </c>
      <c r="S370" s="204" t="e">
        <f t="shared" si="622"/>
        <v>#VALUE!</v>
      </c>
      <c r="T370" s="204" t="e">
        <f t="shared" si="623"/>
        <v>#VALUE!</v>
      </c>
      <c r="U370" s="204" t="e">
        <f t="shared" si="624"/>
        <v>#VALUE!</v>
      </c>
      <c r="V370" s="204" t="e">
        <f t="shared" si="625"/>
        <v>#VALUE!</v>
      </c>
      <c r="W370" s="218">
        <v>509.23</v>
      </c>
      <c r="X370" s="218">
        <v>4801.54</v>
      </c>
      <c r="Y370" s="203">
        <v>0.1</v>
      </c>
      <c r="Z370" s="203">
        <f>IF(Tabela1[[#This Row],[Ano Aquisição]]=2023,0,IFERROR(VLOOKUP(H370,inflação!$F:$H,3,FALSE),""))</f>
        <v>1.5607</v>
      </c>
      <c r="AA370" s="203">
        <v>0.8</v>
      </c>
      <c r="AB370" s="202">
        <f t="shared" si="598"/>
        <v>-242206.79</v>
      </c>
      <c r="AC370" s="204" t="e">
        <f t="shared" si="626"/>
        <v>#VALUE!</v>
      </c>
      <c r="AD370" s="204" t="e">
        <f t="shared" si="627"/>
        <v>#VALUE!</v>
      </c>
      <c r="AE370" s="204" t="e">
        <f t="shared" si="628"/>
        <v>#VALUE!</v>
      </c>
      <c r="AF370" s="204" t="e">
        <f t="shared" si="629"/>
        <v>#VALUE!</v>
      </c>
      <c r="AG370" s="204" t="e">
        <f t="shared" si="630"/>
        <v>#VALUE!</v>
      </c>
      <c r="AH370" s="204" t="e">
        <f t="shared" si="631"/>
        <v>#VALUE!</v>
      </c>
      <c r="AI370" s="204" t="e">
        <f t="shared" si="632"/>
        <v>#VALUE!</v>
      </c>
      <c r="AJ370" s="205">
        <f t="shared" si="606"/>
        <v>-620218.92715299991</v>
      </c>
      <c r="AK370" s="204" t="e">
        <f t="shared" si="633"/>
        <v>#VALUE!</v>
      </c>
      <c r="AL370" s="204" t="e">
        <f t="shared" si="634"/>
        <v>#VALUE!</v>
      </c>
      <c r="AM370" s="204" t="e">
        <f t="shared" si="635"/>
        <v>#VALUE!</v>
      </c>
      <c r="AN370" s="204" t="e">
        <f t="shared" si="636"/>
        <v>#VALUE!</v>
      </c>
      <c r="AO370" s="204" t="e">
        <f t="shared" si="637"/>
        <v>#VALUE!</v>
      </c>
      <c r="AP370" s="204" t="e">
        <f t="shared" si="638"/>
        <v>#VALUE!</v>
      </c>
      <c r="AQ370" s="204" t="e">
        <f t="shared" si="639"/>
        <v>#VALUE!</v>
      </c>
      <c r="AR370" s="206" t="e">
        <f t="shared" si="614"/>
        <v>#VALUE!</v>
      </c>
      <c r="AS370" s="170" t="e">
        <f t="shared" si="640"/>
        <v>#VALUE!</v>
      </c>
      <c r="AT370" s="170" t="e">
        <f t="shared" si="641"/>
        <v>#VALUE!</v>
      </c>
      <c r="AU370" s="207" t="e">
        <f t="shared" si="617"/>
        <v>#VALUE!</v>
      </c>
      <c r="AV370" s="208" t="e">
        <f t="shared" si="618"/>
        <v>#VALUE!</v>
      </c>
      <c r="AW370" s="201" t="str">
        <f t="shared" si="619"/>
        <v>Fase de Degradação</v>
      </c>
      <c r="AX370" s="253" t="e">
        <f>VLOOKUP(D370,#REF!,5,FALSE)</f>
        <v>#REF!</v>
      </c>
      <c r="AY370" s="201"/>
      <c r="AZ370" s="273" t="s">
        <v>1224</v>
      </c>
      <c r="BB370">
        <f>IFERROR(VLOOKUP(Tabela1[[#This Row],[Denominação]],[10]Planilha1!$A:$B,2,FALSE),"")</f>
        <v>1156636.4799999988</v>
      </c>
      <c r="BC370" s="219"/>
      <c r="BD370" s="219"/>
      <c r="BE370" s="219"/>
      <c r="BF370" s="219"/>
      <c r="BG370" s="219"/>
      <c r="BH370" s="219"/>
      <c r="BI370" s="219"/>
      <c r="BJ370" s="219"/>
      <c r="BK370" s="219"/>
      <c r="BL370" s="219"/>
    </row>
    <row r="371" spans="1:64" ht="15" hidden="1" customHeight="1" x14ac:dyDescent="0.3">
      <c r="A371" s="268">
        <v>370</v>
      </c>
      <c r="B371" s="171" t="s">
        <v>52</v>
      </c>
      <c r="C371" s="209" t="s">
        <v>51</v>
      </c>
      <c r="D371" s="171">
        <v>10004068</v>
      </c>
      <c r="E371" s="253" t="s">
        <v>1426</v>
      </c>
      <c r="F371" s="210">
        <v>3116</v>
      </c>
      <c r="G371" s="171">
        <v>33916</v>
      </c>
      <c r="H371" s="171">
        <v>2004</v>
      </c>
      <c r="I371" s="213">
        <v>697243.4</v>
      </c>
      <c r="J371" s="213">
        <v>67395</v>
      </c>
      <c r="K371" s="170">
        <v>1799426.1200000006</v>
      </c>
      <c r="L371" s="215">
        <v>1.62</v>
      </c>
      <c r="M371" s="334">
        <v>3695</v>
      </c>
      <c r="N371" s="212">
        <v>161760</v>
      </c>
      <c r="O371" s="171">
        <v>2029</v>
      </c>
      <c r="P371" s="271" t="str">
        <f>IFERROR(VLOOKUP(Tabela1[[#This Row],[TAG]],#REF!,14,FALSE),"")</f>
        <v/>
      </c>
      <c r="Q371" s="204" t="e">
        <f t="shared" si="620"/>
        <v>#VALUE!</v>
      </c>
      <c r="R371" s="204" t="e">
        <f t="shared" si="621"/>
        <v>#VALUE!</v>
      </c>
      <c r="S371" s="204" t="e">
        <f t="shared" si="622"/>
        <v>#VALUE!</v>
      </c>
      <c r="T371" s="204" t="e">
        <f t="shared" si="623"/>
        <v>#VALUE!</v>
      </c>
      <c r="U371" s="204" t="e">
        <f t="shared" si="624"/>
        <v>#VALUE!</v>
      </c>
      <c r="V371" s="204" t="e">
        <f t="shared" si="625"/>
        <v>#VALUE!</v>
      </c>
      <c r="W371" s="218">
        <v>615.22</v>
      </c>
      <c r="X371" s="218">
        <v>7188.45</v>
      </c>
      <c r="Y371" s="203">
        <v>0.1</v>
      </c>
      <c r="Z371" s="203">
        <f>IF(Tabela1[[#This Row],[Ano Aquisição]]=2023,0,IFERROR(VLOOKUP(H371,inflação!$F:$H,3,FALSE),""))</f>
        <v>1.1001000000000001</v>
      </c>
      <c r="AA371" s="203">
        <v>0.8</v>
      </c>
      <c r="AB371" s="202">
        <f t="shared" si="598"/>
        <v>-697243.4</v>
      </c>
      <c r="AC371" s="204" t="e">
        <f t="shared" si="626"/>
        <v>#VALUE!</v>
      </c>
      <c r="AD371" s="204" t="e">
        <f t="shared" si="627"/>
        <v>#VALUE!</v>
      </c>
      <c r="AE371" s="204" t="e">
        <f t="shared" si="628"/>
        <v>#VALUE!</v>
      </c>
      <c r="AF371" s="204" t="e">
        <f t="shared" si="629"/>
        <v>#VALUE!</v>
      </c>
      <c r="AG371" s="204" t="e">
        <f t="shared" si="630"/>
        <v>#VALUE!</v>
      </c>
      <c r="AH371" s="204" t="e">
        <f t="shared" si="631"/>
        <v>#VALUE!</v>
      </c>
      <c r="AI371" s="204" t="e">
        <f t="shared" si="632"/>
        <v>#VALUE!</v>
      </c>
      <c r="AJ371" s="205">
        <f t="shared" si="606"/>
        <v>-1464280.8643400003</v>
      </c>
      <c r="AK371" s="204" t="e">
        <f t="shared" si="633"/>
        <v>#VALUE!</v>
      </c>
      <c r="AL371" s="204" t="e">
        <f t="shared" si="634"/>
        <v>#VALUE!</v>
      </c>
      <c r="AM371" s="204" t="e">
        <f t="shared" si="635"/>
        <v>#VALUE!</v>
      </c>
      <c r="AN371" s="204" t="e">
        <f t="shared" si="636"/>
        <v>#VALUE!</v>
      </c>
      <c r="AO371" s="204" t="e">
        <f t="shared" si="637"/>
        <v>#VALUE!</v>
      </c>
      <c r="AP371" s="204" t="e">
        <f t="shared" si="638"/>
        <v>#VALUE!</v>
      </c>
      <c r="AQ371" s="204" t="e">
        <f t="shared" si="639"/>
        <v>#VALUE!</v>
      </c>
      <c r="AR371" s="206" t="e">
        <f t="shared" si="614"/>
        <v>#VALUE!</v>
      </c>
      <c r="AS371" s="170" t="e">
        <f t="shared" si="640"/>
        <v>#VALUE!</v>
      </c>
      <c r="AT371" s="170" t="e">
        <f t="shared" si="641"/>
        <v>#VALUE!</v>
      </c>
      <c r="AU371" s="207" t="e">
        <f t="shared" si="617"/>
        <v>#VALUE!</v>
      </c>
      <c r="AV371" s="208" t="e">
        <f t="shared" si="618"/>
        <v>#VALUE!</v>
      </c>
      <c r="AW371" s="201" t="str">
        <f t="shared" si="619"/>
        <v>Fase de Degradação</v>
      </c>
      <c r="AX371" s="253" t="e">
        <f>VLOOKUP(D371,#REF!,5,FALSE)</f>
        <v>#REF!</v>
      </c>
      <c r="AY371" s="201"/>
      <c r="AZ371" s="273" t="s">
        <v>1224</v>
      </c>
      <c r="BB371">
        <f>IFERROR(VLOOKUP(Tabela1[[#This Row],[Denominação]],[10]Planilha1!$A:$B,2,FALSE),"")</f>
        <v>1799426.1200000006</v>
      </c>
      <c r="BC371" s="219"/>
      <c r="BD371" s="219"/>
      <c r="BE371" s="219"/>
      <c r="BF371" s="219"/>
      <c r="BG371" s="219"/>
      <c r="BH371" s="219"/>
      <c r="BI371" s="219"/>
      <c r="BJ371" s="219"/>
      <c r="BK371" s="219"/>
      <c r="BL371" s="219"/>
    </row>
    <row r="372" spans="1:64" ht="15" hidden="1" customHeight="1" x14ac:dyDescent="0.3">
      <c r="A372" s="253">
        <v>371</v>
      </c>
      <c r="B372" s="254" t="s">
        <v>319</v>
      </c>
      <c r="C372" s="267" t="s">
        <v>140</v>
      </c>
      <c r="D372" s="254">
        <v>10004185</v>
      </c>
      <c r="E372" s="253" t="s">
        <v>1427</v>
      </c>
      <c r="F372" s="268">
        <v>4511</v>
      </c>
      <c r="G372" s="254">
        <v>46358</v>
      </c>
      <c r="H372" s="254">
        <v>2005</v>
      </c>
      <c r="I372" s="269">
        <v>2923833.65</v>
      </c>
      <c r="J372" s="269">
        <v>845305</v>
      </c>
      <c r="K372" s="170">
        <v>3625556.1300000055</v>
      </c>
      <c r="L372" s="215">
        <v>1.24</v>
      </c>
      <c r="M372" s="260">
        <v>5078</v>
      </c>
      <c r="N372" s="212">
        <v>156275</v>
      </c>
      <c r="O372" s="171">
        <v>5354</v>
      </c>
      <c r="P372" s="271" t="str">
        <f>IFERROR(VLOOKUP(Tabela1[[#This Row],[TAG]],#REF!,14,FALSE),"")</f>
        <v/>
      </c>
      <c r="Q372" s="204" t="e">
        <f t="shared" si="620"/>
        <v>#VALUE!</v>
      </c>
      <c r="R372" s="204" t="e">
        <f t="shared" si="621"/>
        <v>#VALUE!</v>
      </c>
      <c r="S372" s="204" t="e">
        <f t="shared" si="622"/>
        <v>#VALUE!</v>
      </c>
      <c r="T372" s="204" t="e">
        <f t="shared" si="623"/>
        <v>#VALUE!</v>
      </c>
      <c r="U372" s="204" t="e">
        <f t="shared" si="624"/>
        <v>#VALUE!</v>
      </c>
      <c r="V372" s="204" t="e">
        <f t="shared" si="625"/>
        <v>#VALUE!</v>
      </c>
      <c r="W372" s="218">
        <v>496.1</v>
      </c>
      <c r="X372" s="218">
        <v>18014.150000000001</v>
      </c>
      <c r="Y372" s="203">
        <v>0.1</v>
      </c>
      <c r="Z372" s="203">
        <f>IF(Tabela1[[#This Row],[Ano Aquisição]]=2023,0,IFERROR(VLOOKUP(H372,inflação!$F:$H,3,FALSE),""))</f>
        <v>1.0241</v>
      </c>
      <c r="AA372" s="203">
        <v>0.8</v>
      </c>
      <c r="AB372" s="202">
        <f t="shared" si="598"/>
        <v>-2923833.65</v>
      </c>
      <c r="AC372" s="204" t="e">
        <f t="shared" si="626"/>
        <v>#VALUE!</v>
      </c>
      <c r="AD372" s="204" t="e">
        <f t="shared" si="627"/>
        <v>#VALUE!</v>
      </c>
      <c r="AE372" s="204" t="e">
        <f t="shared" si="628"/>
        <v>#VALUE!</v>
      </c>
      <c r="AF372" s="204" t="e">
        <f t="shared" si="629"/>
        <v>#VALUE!</v>
      </c>
      <c r="AG372" s="204" t="e">
        <f t="shared" si="630"/>
        <v>#VALUE!</v>
      </c>
      <c r="AH372" s="204" t="e">
        <f t="shared" si="631"/>
        <v>#VALUE!</v>
      </c>
      <c r="AI372" s="204" t="e">
        <f t="shared" si="632"/>
        <v>#VALUE!</v>
      </c>
      <c r="AJ372" s="205">
        <f t="shared" si="606"/>
        <v>-5918131.6909649996</v>
      </c>
      <c r="AK372" s="204" t="e">
        <f t="shared" si="633"/>
        <v>#VALUE!</v>
      </c>
      <c r="AL372" s="204" t="e">
        <f t="shared" si="634"/>
        <v>#VALUE!</v>
      </c>
      <c r="AM372" s="204" t="e">
        <f t="shared" si="635"/>
        <v>#VALUE!</v>
      </c>
      <c r="AN372" s="204" t="e">
        <f t="shared" si="636"/>
        <v>#VALUE!</v>
      </c>
      <c r="AO372" s="204" t="e">
        <f t="shared" si="637"/>
        <v>#VALUE!</v>
      </c>
      <c r="AP372" s="204" t="e">
        <f t="shared" si="638"/>
        <v>#VALUE!</v>
      </c>
      <c r="AQ372" s="204" t="e">
        <f t="shared" si="639"/>
        <v>#VALUE!</v>
      </c>
      <c r="AR372" s="206" t="e">
        <f t="shared" si="614"/>
        <v>#VALUE!</v>
      </c>
      <c r="AS372" s="170" t="e">
        <f t="shared" si="640"/>
        <v>#VALUE!</v>
      </c>
      <c r="AT372" s="170" t="e">
        <f t="shared" si="641"/>
        <v>#VALUE!</v>
      </c>
      <c r="AU372" s="207" t="e">
        <f t="shared" si="617"/>
        <v>#VALUE!</v>
      </c>
      <c r="AV372" s="208" t="e">
        <f t="shared" si="618"/>
        <v>#VALUE!</v>
      </c>
      <c r="AW372" s="201" t="str">
        <f t="shared" si="619"/>
        <v>Fase de Degradação</v>
      </c>
      <c r="AX372" s="253" t="e">
        <f>VLOOKUP(D372,#REF!,5,FALSE)</f>
        <v>#REF!</v>
      </c>
      <c r="AY372" s="201" t="s">
        <v>1224</v>
      </c>
      <c r="AZ372" s="273" t="s">
        <v>1224</v>
      </c>
      <c r="BB372">
        <f>IFERROR(VLOOKUP(Tabela1[[#This Row],[Denominação]],[10]Planilha1!$A:$B,2,FALSE),"")</f>
        <v>3625556.1300000055</v>
      </c>
      <c r="BC372" s="219"/>
      <c r="BD372" s="219"/>
      <c r="BE372" s="219"/>
      <c r="BF372" s="219"/>
      <c r="BG372" s="219"/>
      <c r="BH372" s="219"/>
      <c r="BI372" s="219"/>
      <c r="BJ372" s="219"/>
      <c r="BK372" s="219"/>
      <c r="BL372" s="219"/>
    </row>
    <row r="373" spans="1:64" ht="15" hidden="1" customHeight="1" x14ac:dyDescent="0.3">
      <c r="A373" s="268">
        <v>372</v>
      </c>
      <c r="B373" s="171" t="s">
        <v>262</v>
      </c>
      <c r="C373" s="209" t="s">
        <v>263</v>
      </c>
      <c r="D373" s="171">
        <v>10004100</v>
      </c>
      <c r="E373" s="253" t="s">
        <v>1428</v>
      </c>
      <c r="F373" s="210">
        <v>3117</v>
      </c>
      <c r="G373" s="171">
        <v>33955</v>
      </c>
      <c r="H373" s="171">
        <v>2005</v>
      </c>
      <c r="I373" s="213">
        <v>511953.43</v>
      </c>
      <c r="J373" s="213">
        <v>251</v>
      </c>
      <c r="K373" s="170">
        <v>1082818.2099999993</v>
      </c>
      <c r="L373" s="215">
        <v>1.19</v>
      </c>
      <c r="M373" s="334">
        <v>5781</v>
      </c>
      <c r="N373" s="212">
        <v>156212</v>
      </c>
      <c r="O373" s="171">
        <v>1134</v>
      </c>
      <c r="P373" s="271" t="str">
        <f>IFERROR(VLOOKUP(Tabela1[[#This Row],[TAG]],#REF!,14,FALSE),"")</f>
        <v/>
      </c>
      <c r="Q373" s="204" t="e">
        <f t="shared" si="620"/>
        <v>#VALUE!</v>
      </c>
      <c r="R373" s="204" t="e">
        <f t="shared" si="621"/>
        <v>#VALUE!</v>
      </c>
      <c r="S373" s="204" t="e">
        <f t="shared" si="622"/>
        <v>#VALUE!</v>
      </c>
      <c r="T373" s="204" t="e">
        <f t="shared" si="623"/>
        <v>#VALUE!</v>
      </c>
      <c r="U373" s="204" t="e">
        <f t="shared" si="624"/>
        <v>#VALUE!</v>
      </c>
      <c r="V373" s="204" t="e">
        <f t="shared" si="625"/>
        <v>#VALUE!</v>
      </c>
      <c r="W373" s="218">
        <v>777.14</v>
      </c>
      <c r="X373" s="218">
        <v>5385.26</v>
      </c>
      <c r="Y373" s="203">
        <v>0.1</v>
      </c>
      <c r="Z373" s="203">
        <f>IF(Tabela1[[#This Row],[Ano Aquisição]]=2023,0,IFERROR(VLOOKUP(H373,inflação!$F:$H,3,FALSE),""))</f>
        <v>1.0241</v>
      </c>
      <c r="AA373" s="203">
        <v>0.8</v>
      </c>
      <c r="AB373" s="202">
        <f t="shared" si="598"/>
        <v>-511953.43</v>
      </c>
      <c r="AC373" s="204" t="e">
        <f t="shared" si="626"/>
        <v>#VALUE!</v>
      </c>
      <c r="AD373" s="204" t="e">
        <f t="shared" si="627"/>
        <v>#VALUE!</v>
      </c>
      <c r="AE373" s="204" t="e">
        <f t="shared" si="628"/>
        <v>#VALUE!</v>
      </c>
      <c r="AF373" s="204" t="e">
        <f t="shared" si="629"/>
        <v>#VALUE!</v>
      </c>
      <c r="AG373" s="204" t="e">
        <f t="shared" si="630"/>
        <v>#VALUE!</v>
      </c>
      <c r="AH373" s="204" t="e">
        <f t="shared" si="631"/>
        <v>#VALUE!</v>
      </c>
      <c r="AI373" s="204" t="e">
        <f t="shared" si="632"/>
        <v>#VALUE!</v>
      </c>
      <c r="AJ373" s="205">
        <f t="shared" si="606"/>
        <v>-1036244.9376629998</v>
      </c>
      <c r="AK373" s="204" t="e">
        <f t="shared" si="633"/>
        <v>#VALUE!</v>
      </c>
      <c r="AL373" s="204" t="e">
        <f t="shared" si="634"/>
        <v>#VALUE!</v>
      </c>
      <c r="AM373" s="204" t="e">
        <f t="shared" si="635"/>
        <v>#VALUE!</v>
      </c>
      <c r="AN373" s="204" t="e">
        <f t="shared" si="636"/>
        <v>#VALUE!</v>
      </c>
      <c r="AO373" s="204" t="e">
        <f t="shared" si="637"/>
        <v>#VALUE!</v>
      </c>
      <c r="AP373" s="204" t="e">
        <f t="shared" si="638"/>
        <v>#VALUE!</v>
      </c>
      <c r="AQ373" s="204" t="e">
        <f t="shared" si="639"/>
        <v>#VALUE!</v>
      </c>
      <c r="AR373" s="206" t="e">
        <f t="shared" si="614"/>
        <v>#VALUE!</v>
      </c>
      <c r="AS373" s="170" t="e">
        <f t="shared" si="640"/>
        <v>#VALUE!</v>
      </c>
      <c r="AT373" s="170" t="e">
        <f t="shared" si="641"/>
        <v>#VALUE!</v>
      </c>
      <c r="AU373" s="207" t="e">
        <f t="shared" si="617"/>
        <v>#VALUE!</v>
      </c>
      <c r="AV373" s="208" t="e">
        <f t="shared" si="618"/>
        <v>#VALUE!</v>
      </c>
      <c r="AW373" s="201" t="str">
        <f t="shared" si="619"/>
        <v>Fase de Degradação</v>
      </c>
      <c r="AX373" s="253" t="e">
        <f>VLOOKUP(D373,#REF!,5,FALSE)</f>
        <v>#REF!</v>
      </c>
      <c r="AY373" s="201"/>
      <c r="AZ373" s="273" t="s">
        <v>1224</v>
      </c>
      <c r="BB373">
        <f>IFERROR(VLOOKUP(Tabela1[[#This Row],[Denominação]],[10]Planilha1!$A:$B,2,FALSE),"")</f>
        <v>1082818.2099999993</v>
      </c>
      <c r="BC373" s="219"/>
      <c r="BD373" s="219"/>
      <c r="BE373" s="219"/>
      <c r="BF373" s="219"/>
      <c r="BG373" s="219"/>
      <c r="BH373" s="219"/>
      <c r="BI373" s="219"/>
      <c r="BJ373" s="219"/>
      <c r="BK373" s="219"/>
      <c r="BL373" s="219"/>
    </row>
    <row r="374" spans="1:64" ht="15" hidden="1" customHeight="1" x14ac:dyDescent="0.3">
      <c r="A374" s="253">
        <v>373</v>
      </c>
      <c r="B374" s="171" t="s">
        <v>333</v>
      </c>
      <c r="C374" s="209" t="s">
        <v>154</v>
      </c>
      <c r="D374" s="171">
        <v>10004479</v>
      </c>
      <c r="E374" s="253" t="s">
        <v>1429</v>
      </c>
      <c r="F374" s="210">
        <v>4511</v>
      </c>
      <c r="G374" s="171">
        <v>34454</v>
      </c>
      <c r="H374" s="171">
        <v>2006</v>
      </c>
      <c r="I374" s="213">
        <v>2210985.81</v>
      </c>
      <c r="J374" s="213">
        <v>149481</v>
      </c>
      <c r="K374" s="170">
        <v>2885007.7000000337</v>
      </c>
      <c r="L374" s="215">
        <v>1.2</v>
      </c>
      <c r="M374" s="260">
        <v>4968</v>
      </c>
      <c r="N374" s="212">
        <v>146667</v>
      </c>
      <c r="O374" s="171">
        <v>3697</v>
      </c>
      <c r="P374" s="271" t="str">
        <f>IFERROR(VLOOKUP(Tabela1[[#This Row],[TAG]],#REF!,14,FALSE),"")</f>
        <v/>
      </c>
      <c r="Q374" s="204" t="e">
        <f t="shared" si="620"/>
        <v>#VALUE!</v>
      </c>
      <c r="R374" s="204" t="e">
        <f t="shared" si="621"/>
        <v>#VALUE!</v>
      </c>
      <c r="S374" s="204" t="e">
        <f t="shared" si="622"/>
        <v>#VALUE!</v>
      </c>
      <c r="T374" s="204" t="e">
        <f t="shared" si="623"/>
        <v>#VALUE!</v>
      </c>
      <c r="U374" s="204" t="e">
        <f t="shared" si="624"/>
        <v>#VALUE!</v>
      </c>
      <c r="V374" s="204" t="e">
        <f t="shared" si="625"/>
        <v>#VALUE!</v>
      </c>
      <c r="W374" s="218">
        <v>532.64</v>
      </c>
      <c r="X374" s="218">
        <v>13603.76</v>
      </c>
      <c r="Y374" s="203">
        <v>0.1</v>
      </c>
      <c r="Z374" s="203">
        <f>IF(Tabela1[[#This Row],[Ano Aquisição]]=2023,0,IFERROR(VLOOKUP(H374,inflação!$F:$H,3,FALSE),""))</f>
        <v>0.96719999999999995</v>
      </c>
      <c r="AA374" s="203">
        <v>0.8</v>
      </c>
      <c r="AB374" s="202">
        <f t="shared" si="598"/>
        <v>-2210985.81</v>
      </c>
      <c r="AC374" s="204" t="e">
        <f t="shared" si="626"/>
        <v>#VALUE!</v>
      </c>
      <c r="AD374" s="204" t="e">
        <f t="shared" si="627"/>
        <v>#VALUE!</v>
      </c>
      <c r="AE374" s="204" t="e">
        <f t="shared" si="628"/>
        <v>#VALUE!</v>
      </c>
      <c r="AF374" s="204" t="e">
        <f t="shared" si="629"/>
        <v>#VALUE!</v>
      </c>
      <c r="AG374" s="204" t="e">
        <f t="shared" si="630"/>
        <v>#VALUE!</v>
      </c>
      <c r="AH374" s="204" t="e">
        <f t="shared" si="631"/>
        <v>#VALUE!</v>
      </c>
      <c r="AI374" s="204" t="e">
        <f t="shared" si="632"/>
        <v>#VALUE!</v>
      </c>
      <c r="AJ374" s="205">
        <f t="shared" si="606"/>
        <v>-4349451.2854320006</v>
      </c>
      <c r="AK374" s="204" t="e">
        <f t="shared" si="633"/>
        <v>#VALUE!</v>
      </c>
      <c r="AL374" s="204" t="e">
        <f t="shared" si="634"/>
        <v>#VALUE!</v>
      </c>
      <c r="AM374" s="204" t="e">
        <f t="shared" si="635"/>
        <v>#VALUE!</v>
      </c>
      <c r="AN374" s="204" t="e">
        <f t="shared" si="636"/>
        <v>#VALUE!</v>
      </c>
      <c r="AO374" s="204" t="e">
        <f t="shared" si="637"/>
        <v>#VALUE!</v>
      </c>
      <c r="AP374" s="204" t="e">
        <f t="shared" si="638"/>
        <v>#VALUE!</v>
      </c>
      <c r="AQ374" s="204" t="e">
        <f t="shared" si="639"/>
        <v>#VALUE!</v>
      </c>
      <c r="AR374" s="206" t="e">
        <f t="shared" si="614"/>
        <v>#VALUE!</v>
      </c>
      <c r="AS374" s="170" t="e">
        <f t="shared" si="640"/>
        <v>#VALUE!</v>
      </c>
      <c r="AT374" s="170" t="e">
        <f t="shared" si="641"/>
        <v>#VALUE!</v>
      </c>
      <c r="AU374" s="207" t="e">
        <f t="shared" si="617"/>
        <v>#VALUE!</v>
      </c>
      <c r="AV374" s="208" t="e">
        <f t="shared" si="618"/>
        <v>#VALUE!</v>
      </c>
      <c r="AW374" s="201" t="str">
        <f t="shared" si="619"/>
        <v>Fase de Degradação</v>
      </c>
      <c r="AX374" s="253" t="e">
        <f>VLOOKUP(D374,#REF!,5,FALSE)</f>
        <v>#REF!</v>
      </c>
      <c r="AY374" s="201" t="s">
        <v>1224</v>
      </c>
      <c r="AZ374" s="273" t="s">
        <v>1224</v>
      </c>
      <c r="BB374">
        <f>IFERROR(VLOOKUP(Tabela1[[#This Row],[Denominação]],[10]Planilha1!$A:$B,2,FALSE),"")</f>
        <v>2885007.7000000337</v>
      </c>
      <c r="BC374" s="219"/>
      <c r="BD374" s="219"/>
      <c r="BE374" s="219"/>
      <c r="BF374" s="219"/>
      <c r="BG374" s="219"/>
      <c r="BH374" s="219"/>
      <c r="BI374" s="219"/>
      <c r="BJ374" s="219"/>
      <c r="BK374" s="219"/>
      <c r="BL374" s="219"/>
    </row>
    <row r="375" spans="1:64" ht="15" hidden="1" customHeight="1" x14ac:dyDescent="0.3">
      <c r="A375" s="268">
        <v>374</v>
      </c>
      <c r="B375" s="171" t="s">
        <v>324</v>
      </c>
      <c r="C375" s="209" t="s">
        <v>145</v>
      </c>
      <c r="D375" s="171">
        <v>10004508</v>
      </c>
      <c r="E375" s="253" t="s">
        <v>1430</v>
      </c>
      <c r="F375" s="210">
        <v>4511</v>
      </c>
      <c r="G375" s="171">
        <v>34801</v>
      </c>
      <c r="H375" s="171">
        <v>2008</v>
      </c>
      <c r="I375" s="213">
        <v>2141045.23</v>
      </c>
      <c r="J375" s="213">
        <v>260585</v>
      </c>
      <c r="K375" s="170">
        <v>2812253.1100000273</v>
      </c>
      <c r="L375" s="215">
        <v>1.2</v>
      </c>
      <c r="M375" s="260">
        <v>5094</v>
      </c>
      <c r="N375" s="212">
        <v>142957</v>
      </c>
      <c r="O375" s="171">
        <v>3658</v>
      </c>
      <c r="P375" s="271" t="str">
        <f>IFERROR(VLOOKUP(Tabela1[[#This Row],[TAG]],#REF!,14,FALSE),"")</f>
        <v/>
      </c>
      <c r="Q375" s="204" t="e">
        <f t="shared" si="620"/>
        <v>#VALUE!</v>
      </c>
      <c r="R375" s="204" t="e">
        <f t="shared" si="621"/>
        <v>#VALUE!</v>
      </c>
      <c r="S375" s="204" t="e">
        <f t="shared" si="622"/>
        <v>#VALUE!</v>
      </c>
      <c r="T375" s="204" t="e">
        <f t="shared" si="623"/>
        <v>#VALUE!</v>
      </c>
      <c r="U375" s="204" t="e">
        <f t="shared" si="624"/>
        <v>#VALUE!</v>
      </c>
      <c r="V375" s="204" t="e">
        <f t="shared" si="625"/>
        <v>#VALUE!</v>
      </c>
      <c r="W375" s="218">
        <v>614.28</v>
      </c>
      <c r="X375" s="218">
        <v>15279.94</v>
      </c>
      <c r="Y375" s="203">
        <v>0.1</v>
      </c>
      <c r="Z375" s="203">
        <f>IF(Tabela1[[#This Row],[Ano Aquisição]]=2023,0,IFERROR(VLOOKUP(H375,inflação!$F:$H,3,FALSE),""))</f>
        <v>0.89119999999999999</v>
      </c>
      <c r="AA375" s="203">
        <v>0.8</v>
      </c>
      <c r="AB375" s="202">
        <f t="shared" si="598"/>
        <v>-2141045.23</v>
      </c>
      <c r="AC375" s="204" t="e">
        <f t="shared" si="626"/>
        <v>#VALUE!</v>
      </c>
      <c r="AD375" s="204" t="e">
        <f t="shared" si="627"/>
        <v>#VALUE!</v>
      </c>
      <c r="AE375" s="204" t="e">
        <f t="shared" si="628"/>
        <v>#VALUE!</v>
      </c>
      <c r="AF375" s="204" t="e">
        <f t="shared" si="629"/>
        <v>#VALUE!</v>
      </c>
      <c r="AG375" s="204" t="e">
        <f t="shared" si="630"/>
        <v>#VALUE!</v>
      </c>
      <c r="AH375" s="204" t="e">
        <f t="shared" si="631"/>
        <v>#VALUE!</v>
      </c>
      <c r="AI375" s="204" t="e">
        <f t="shared" si="632"/>
        <v>#VALUE!</v>
      </c>
      <c r="AJ375" s="205">
        <f t="shared" si="606"/>
        <v>-4049144.7389759999</v>
      </c>
      <c r="AK375" s="204" t="e">
        <f t="shared" si="633"/>
        <v>#VALUE!</v>
      </c>
      <c r="AL375" s="204" t="e">
        <f t="shared" si="634"/>
        <v>#VALUE!</v>
      </c>
      <c r="AM375" s="204" t="e">
        <f t="shared" si="635"/>
        <v>#VALUE!</v>
      </c>
      <c r="AN375" s="204" t="e">
        <f t="shared" si="636"/>
        <v>#VALUE!</v>
      </c>
      <c r="AO375" s="204" t="e">
        <f t="shared" si="637"/>
        <v>#VALUE!</v>
      </c>
      <c r="AP375" s="204" t="e">
        <f t="shared" si="638"/>
        <v>#VALUE!</v>
      </c>
      <c r="AQ375" s="204" t="e">
        <f t="shared" si="639"/>
        <v>#VALUE!</v>
      </c>
      <c r="AR375" s="206" t="e">
        <f t="shared" si="614"/>
        <v>#VALUE!</v>
      </c>
      <c r="AS375" s="170" t="e">
        <f t="shared" si="640"/>
        <v>#VALUE!</v>
      </c>
      <c r="AT375" s="170" t="e">
        <f t="shared" si="641"/>
        <v>#VALUE!</v>
      </c>
      <c r="AU375" s="207" t="e">
        <f t="shared" si="617"/>
        <v>#VALUE!</v>
      </c>
      <c r="AV375" s="208" t="e">
        <f t="shared" si="618"/>
        <v>#VALUE!</v>
      </c>
      <c r="AW375" s="201" t="str">
        <f t="shared" si="619"/>
        <v>Fase de Degradação</v>
      </c>
      <c r="AX375" s="253" t="e">
        <f>VLOOKUP(D375,#REF!,5,FALSE)</f>
        <v>#REF!</v>
      </c>
      <c r="AY375" s="201" t="s">
        <v>1224</v>
      </c>
      <c r="AZ375" s="273" t="s">
        <v>1224</v>
      </c>
      <c r="BB375">
        <f>IFERROR(VLOOKUP(Tabela1[[#This Row],[Denominação]],[10]Planilha1!$A:$B,2,FALSE),"")</f>
        <v>2812253.1100000273</v>
      </c>
      <c r="BC375" s="219"/>
      <c r="BD375" s="219"/>
      <c r="BE375" s="219"/>
      <c r="BF375" s="219"/>
      <c r="BG375" s="219"/>
      <c r="BH375" s="219"/>
      <c r="BI375" s="219"/>
      <c r="BJ375" s="219"/>
      <c r="BK375" s="219"/>
      <c r="BL375" s="219"/>
    </row>
    <row r="376" spans="1:64" ht="15" hidden="1" customHeight="1" x14ac:dyDescent="0.3">
      <c r="A376" s="253">
        <v>375</v>
      </c>
      <c r="B376" s="171" t="s">
        <v>37</v>
      </c>
      <c r="C376" s="209" t="s">
        <v>3</v>
      </c>
      <c r="D376" s="171">
        <v>10004509</v>
      </c>
      <c r="E376" s="253" t="s">
        <v>1431</v>
      </c>
      <c r="F376" s="210">
        <v>4511</v>
      </c>
      <c r="G376" s="171">
        <v>34797</v>
      </c>
      <c r="H376" s="171">
        <v>2007</v>
      </c>
      <c r="I376" s="213">
        <v>2709838.52</v>
      </c>
      <c r="J376" s="213">
        <v>213134</v>
      </c>
      <c r="K376" s="170">
        <v>4482916.9700000286</v>
      </c>
      <c r="L376" s="215">
        <v>1.27</v>
      </c>
      <c r="M376" s="260">
        <v>4585</v>
      </c>
      <c r="N376" s="212">
        <v>140447</v>
      </c>
      <c r="O376" s="171">
        <v>4788</v>
      </c>
      <c r="P376" s="271" t="str">
        <f>IFERROR(VLOOKUP(Tabela1[[#This Row],[TAG]],#REF!,14,FALSE),"")</f>
        <v/>
      </c>
      <c r="Q376" s="204" t="e">
        <f t="shared" si="620"/>
        <v>#VALUE!</v>
      </c>
      <c r="R376" s="204" t="e">
        <f t="shared" si="621"/>
        <v>#VALUE!</v>
      </c>
      <c r="S376" s="204" t="e">
        <f t="shared" si="622"/>
        <v>#VALUE!</v>
      </c>
      <c r="T376" s="204" t="e">
        <f t="shared" si="623"/>
        <v>#VALUE!</v>
      </c>
      <c r="U376" s="204" t="e">
        <f t="shared" si="624"/>
        <v>#VALUE!</v>
      </c>
      <c r="V376" s="204" t="e">
        <f t="shared" si="625"/>
        <v>#VALUE!</v>
      </c>
      <c r="W376" s="218">
        <v>688.34</v>
      </c>
      <c r="X376" s="218">
        <v>28719.99</v>
      </c>
      <c r="Y376" s="203">
        <v>0.1</v>
      </c>
      <c r="Z376" s="203">
        <f>IF(Tabela1[[#This Row],[Ano Aquisição]]=2023,0,IFERROR(VLOOKUP(H376,inflação!$F:$H,3,FALSE),""))</f>
        <v>0.93579999999999997</v>
      </c>
      <c r="AA376" s="203">
        <v>0.8</v>
      </c>
      <c r="AB376" s="202">
        <f t="shared" si="598"/>
        <v>-2709838.52</v>
      </c>
      <c r="AC376" s="204" t="e">
        <f t="shared" si="626"/>
        <v>#VALUE!</v>
      </c>
      <c r="AD376" s="204" t="e">
        <f t="shared" si="627"/>
        <v>#VALUE!</v>
      </c>
      <c r="AE376" s="204" t="e">
        <f t="shared" si="628"/>
        <v>#VALUE!</v>
      </c>
      <c r="AF376" s="204" t="e">
        <f t="shared" si="629"/>
        <v>#VALUE!</v>
      </c>
      <c r="AG376" s="204" t="e">
        <f t="shared" si="630"/>
        <v>#VALUE!</v>
      </c>
      <c r="AH376" s="204" t="e">
        <f t="shared" si="631"/>
        <v>#VALUE!</v>
      </c>
      <c r="AI376" s="204" t="e">
        <f t="shared" si="632"/>
        <v>#VALUE!</v>
      </c>
      <c r="AJ376" s="205">
        <f t="shared" si="606"/>
        <v>-5245705.4070159998</v>
      </c>
      <c r="AK376" s="204" t="e">
        <f t="shared" si="633"/>
        <v>#VALUE!</v>
      </c>
      <c r="AL376" s="204" t="e">
        <f t="shared" si="634"/>
        <v>#VALUE!</v>
      </c>
      <c r="AM376" s="204" t="e">
        <f t="shared" si="635"/>
        <v>#VALUE!</v>
      </c>
      <c r="AN376" s="204" t="e">
        <f t="shared" si="636"/>
        <v>#VALUE!</v>
      </c>
      <c r="AO376" s="204" t="e">
        <f t="shared" si="637"/>
        <v>#VALUE!</v>
      </c>
      <c r="AP376" s="204" t="e">
        <f t="shared" si="638"/>
        <v>#VALUE!</v>
      </c>
      <c r="AQ376" s="204" t="e">
        <f t="shared" si="639"/>
        <v>#VALUE!</v>
      </c>
      <c r="AR376" s="206" t="e">
        <f t="shared" si="614"/>
        <v>#VALUE!</v>
      </c>
      <c r="AS376" s="170" t="e">
        <f t="shared" si="640"/>
        <v>#VALUE!</v>
      </c>
      <c r="AT376" s="170" t="e">
        <f t="shared" si="641"/>
        <v>#VALUE!</v>
      </c>
      <c r="AU376" s="207" t="e">
        <f t="shared" si="617"/>
        <v>#VALUE!</v>
      </c>
      <c r="AV376" s="208" t="e">
        <f t="shared" si="618"/>
        <v>#VALUE!</v>
      </c>
      <c r="AW376" s="201" t="str">
        <f t="shared" si="619"/>
        <v>Fase de Degradação</v>
      </c>
      <c r="AX376" s="253" t="e">
        <f>VLOOKUP(D376,#REF!,5,FALSE)</f>
        <v>#REF!</v>
      </c>
      <c r="AY376" s="201" t="s">
        <v>1224</v>
      </c>
      <c r="AZ376" s="273" t="s">
        <v>1224</v>
      </c>
      <c r="BB376">
        <f>IFERROR(VLOOKUP(Tabela1[[#This Row],[Denominação]],[10]Planilha1!$A:$B,2,FALSE),"")</f>
        <v>4482916.9700000286</v>
      </c>
      <c r="BC376" s="219"/>
      <c r="BD376" s="219"/>
      <c r="BE376" s="219"/>
      <c r="BF376" s="219"/>
      <c r="BG376" s="219"/>
      <c r="BH376" s="219"/>
      <c r="BI376" s="219"/>
      <c r="BJ376" s="219"/>
      <c r="BK376" s="219"/>
      <c r="BL376" s="219"/>
    </row>
    <row r="377" spans="1:64" ht="15" hidden="1" customHeight="1" x14ac:dyDescent="0.3">
      <c r="A377" s="268">
        <v>376</v>
      </c>
      <c r="B377" s="171" t="s">
        <v>256</v>
      </c>
      <c r="C377" s="209" t="s">
        <v>257</v>
      </c>
      <c r="D377" s="171">
        <v>10005144</v>
      </c>
      <c r="E377" s="253" t="s">
        <v>1432</v>
      </c>
      <c r="F377" s="210">
        <v>3118</v>
      </c>
      <c r="G377" s="171">
        <v>35244</v>
      </c>
      <c r="H377" s="171">
        <v>2007</v>
      </c>
      <c r="I377" s="213">
        <v>549255.34</v>
      </c>
      <c r="J377" s="213">
        <v>93300</v>
      </c>
      <c r="K377" s="170">
        <v>886122.78999999887</v>
      </c>
      <c r="L377" s="215">
        <v>0.96</v>
      </c>
      <c r="M377" s="334">
        <v>6524</v>
      </c>
      <c r="N377" s="212">
        <v>133664</v>
      </c>
      <c r="O377" s="171">
        <v>977</v>
      </c>
      <c r="P377" s="271" t="str">
        <f>IFERROR(VLOOKUP(Tabela1[[#This Row],[TAG]],#REF!,14,FALSE),"")</f>
        <v/>
      </c>
      <c r="Q377" s="204" t="e">
        <f t="shared" si="620"/>
        <v>#VALUE!</v>
      </c>
      <c r="R377" s="204" t="e">
        <f t="shared" si="621"/>
        <v>#VALUE!</v>
      </c>
      <c r="S377" s="204" t="e">
        <f t="shared" si="622"/>
        <v>#VALUE!</v>
      </c>
      <c r="T377" s="204" t="e">
        <f t="shared" si="623"/>
        <v>#VALUE!</v>
      </c>
      <c r="U377" s="204" t="e">
        <f t="shared" si="624"/>
        <v>#VALUE!</v>
      </c>
      <c r="V377" s="204" t="e">
        <f t="shared" si="625"/>
        <v>#VALUE!</v>
      </c>
      <c r="W377" s="218">
        <v>758.51</v>
      </c>
      <c r="X377" s="218">
        <v>4564.38</v>
      </c>
      <c r="Y377" s="203">
        <v>0.1</v>
      </c>
      <c r="Z377" s="203">
        <f>IF(Tabela1[[#This Row],[Ano Aquisição]]=2023,0,IFERROR(VLOOKUP(H377,inflação!$F:$H,3,FALSE),""))</f>
        <v>0.93579999999999997</v>
      </c>
      <c r="AA377" s="203">
        <v>0.8</v>
      </c>
      <c r="AB377" s="202">
        <f t="shared" si="598"/>
        <v>-549255.34</v>
      </c>
      <c r="AC377" s="204" t="e">
        <f t="shared" si="626"/>
        <v>#VALUE!</v>
      </c>
      <c r="AD377" s="204" t="e">
        <f t="shared" si="627"/>
        <v>#VALUE!</v>
      </c>
      <c r="AE377" s="204" t="e">
        <f t="shared" si="628"/>
        <v>#VALUE!</v>
      </c>
      <c r="AF377" s="204" t="e">
        <f t="shared" si="629"/>
        <v>#VALUE!</v>
      </c>
      <c r="AG377" s="204" t="e">
        <f t="shared" si="630"/>
        <v>#VALUE!</v>
      </c>
      <c r="AH377" s="204" t="e">
        <f t="shared" si="631"/>
        <v>#VALUE!</v>
      </c>
      <c r="AI377" s="204" t="e">
        <f t="shared" si="632"/>
        <v>#VALUE!</v>
      </c>
      <c r="AJ377" s="205">
        <f t="shared" si="606"/>
        <v>-1063248.4871719999</v>
      </c>
      <c r="AK377" s="204" t="e">
        <f t="shared" si="633"/>
        <v>#VALUE!</v>
      </c>
      <c r="AL377" s="204" t="e">
        <f t="shared" si="634"/>
        <v>#VALUE!</v>
      </c>
      <c r="AM377" s="204" t="e">
        <f t="shared" si="635"/>
        <v>#VALUE!</v>
      </c>
      <c r="AN377" s="204" t="e">
        <f t="shared" si="636"/>
        <v>#VALUE!</v>
      </c>
      <c r="AO377" s="204" t="e">
        <f t="shared" si="637"/>
        <v>#VALUE!</v>
      </c>
      <c r="AP377" s="204" t="e">
        <f t="shared" si="638"/>
        <v>#VALUE!</v>
      </c>
      <c r="AQ377" s="204" t="e">
        <f t="shared" si="639"/>
        <v>#VALUE!</v>
      </c>
      <c r="AR377" s="206" t="e">
        <f t="shared" si="614"/>
        <v>#VALUE!</v>
      </c>
      <c r="AS377" s="170" t="e">
        <f t="shared" si="640"/>
        <v>#VALUE!</v>
      </c>
      <c r="AT377" s="170" t="e">
        <f t="shared" si="641"/>
        <v>#VALUE!</v>
      </c>
      <c r="AU377" s="207" t="e">
        <f t="shared" si="617"/>
        <v>#VALUE!</v>
      </c>
      <c r="AV377" s="208" t="e">
        <f t="shared" si="618"/>
        <v>#VALUE!</v>
      </c>
      <c r="AW377" s="201" t="str">
        <f t="shared" si="619"/>
        <v>Confiabilidade em Crescimento</v>
      </c>
      <c r="AX377" s="253" t="e">
        <f>VLOOKUP(D377,#REF!,5,FALSE)</f>
        <v>#REF!</v>
      </c>
      <c r="AY377" s="201"/>
      <c r="AZ377" s="273" t="s">
        <v>1224</v>
      </c>
      <c r="BB377">
        <f>IFERROR(VLOOKUP(Tabela1[[#This Row],[Denominação]],[10]Planilha1!$A:$B,2,FALSE),"")</f>
        <v>886122.78999999887</v>
      </c>
      <c r="BC377" s="219"/>
      <c r="BD377" s="219"/>
      <c r="BE377" s="219"/>
      <c r="BF377" s="219"/>
      <c r="BG377" s="219"/>
      <c r="BH377" s="219"/>
      <c r="BI377" s="219"/>
      <c r="BJ377" s="219"/>
      <c r="BK377" s="219"/>
      <c r="BL377" s="219"/>
    </row>
    <row r="378" spans="1:64" ht="15" hidden="1" customHeight="1" x14ac:dyDescent="0.3">
      <c r="A378" s="253">
        <v>377</v>
      </c>
      <c r="B378" s="171" t="s">
        <v>341</v>
      </c>
      <c r="C378" s="209" t="s">
        <v>162</v>
      </c>
      <c r="D378" s="171">
        <v>10005216</v>
      </c>
      <c r="E378" s="253" t="s">
        <v>1433</v>
      </c>
      <c r="F378" s="210">
        <v>3115</v>
      </c>
      <c r="G378" s="171">
        <v>35255</v>
      </c>
      <c r="H378" s="171">
        <v>2008</v>
      </c>
      <c r="I378" s="213">
        <v>828680.12</v>
      </c>
      <c r="J378" s="213">
        <v>63001</v>
      </c>
      <c r="K378" s="170">
        <v>1460914.4199999957</v>
      </c>
      <c r="L378" s="215">
        <v>1.04</v>
      </c>
      <c r="M378" s="334">
        <v>5806</v>
      </c>
      <c r="N378" s="212">
        <v>131642</v>
      </c>
      <c r="O378" s="171">
        <v>1716</v>
      </c>
      <c r="P378" s="271" t="str">
        <f>IFERROR(VLOOKUP(Tabela1[[#This Row],[TAG]],#REF!,14,FALSE),"")</f>
        <v/>
      </c>
      <c r="Q378" s="204" t="e">
        <f t="shared" si="620"/>
        <v>#VALUE!</v>
      </c>
      <c r="R378" s="204" t="e">
        <f t="shared" si="621"/>
        <v>#VALUE!</v>
      </c>
      <c r="S378" s="204" t="e">
        <f t="shared" si="622"/>
        <v>#VALUE!</v>
      </c>
      <c r="T378" s="204" t="e">
        <f t="shared" si="623"/>
        <v>#VALUE!</v>
      </c>
      <c r="U378" s="204" t="e">
        <f t="shared" si="624"/>
        <v>#VALUE!</v>
      </c>
      <c r="V378" s="204" t="e">
        <f t="shared" si="625"/>
        <v>#VALUE!</v>
      </c>
      <c r="W378" s="218">
        <v>661.2</v>
      </c>
      <c r="X378" s="218">
        <v>6503.44</v>
      </c>
      <c r="Y378" s="203">
        <v>0.1</v>
      </c>
      <c r="Z378" s="203">
        <f>IF(Tabela1[[#This Row],[Ano Aquisição]]=2023,0,IFERROR(VLOOKUP(H378,inflação!$F:$H,3,FALSE),""))</f>
        <v>0.89119999999999999</v>
      </c>
      <c r="AA378" s="203">
        <v>0.8</v>
      </c>
      <c r="AB378" s="202">
        <f t="shared" si="598"/>
        <v>-828680.12</v>
      </c>
      <c r="AC378" s="204" t="e">
        <f t="shared" si="626"/>
        <v>#VALUE!</v>
      </c>
      <c r="AD378" s="204" t="e">
        <f t="shared" si="627"/>
        <v>#VALUE!</v>
      </c>
      <c r="AE378" s="204" t="e">
        <f t="shared" si="628"/>
        <v>#VALUE!</v>
      </c>
      <c r="AF378" s="204" t="e">
        <f t="shared" si="629"/>
        <v>#VALUE!</v>
      </c>
      <c r="AG378" s="204" t="e">
        <f t="shared" si="630"/>
        <v>#VALUE!</v>
      </c>
      <c r="AH378" s="204" t="e">
        <f t="shared" si="631"/>
        <v>#VALUE!</v>
      </c>
      <c r="AI378" s="204" t="e">
        <f t="shared" si="632"/>
        <v>#VALUE!</v>
      </c>
      <c r="AJ378" s="205">
        <f t="shared" si="606"/>
        <v>-1567199.8429439999</v>
      </c>
      <c r="AK378" s="204" t="e">
        <f t="shared" si="633"/>
        <v>#VALUE!</v>
      </c>
      <c r="AL378" s="204" t="e">
        <f t="shared" si="634"/>
        <v>#VALUE!</v>
      </c>
      <c r="AM378" s="204" t="e">
        <f t="shared" si="635"/>
        <v>#VALUE!</v>
      </c>
      <c r="AN378" s="204" t="e">
        <f t="shared" si="636"/>
        <v>#VALUE!</v>
      </c>
      <c r="AO378" s="204" t="e">
        <f t="shared" si="637"/>
        <v>#VALUE!</v>
      </c>
      <c r="AP378" s="204" t="e">
        <f t="shared" si="638"/>
        <v>#VALUE!</v>
      </c>
      <c r="AQ378" s="204" t="e">
        <f t="shared" si="639"/>
        <v>#VALUE!</v>
      </c>
      <c r="AR378" s="206" t="e">
        <f t="shared" si="614"/>
        <v>#VALUE!</v>
      </c>
      <c r="AS378" s="170" t="e">
        <f t="shared" si="640"/>
        <v>#VALUE!</v>
      </c>
      <c r="AT378" s="170" t="e">
        <f t="shared" si="641"/>
        <v>#VALUE!</v>
      </c>
      <c r="AU378" s="207" t="e">
        <f t="shared" si="617"/>
        <v>#VALUE!</v>
      </c>
      <c r="AV378" s="208" t="e">
        <f t="shared" si="618"/>
        <v>#VALUE!</v>
      </c>
      <c r="AW378" s="201" t="str">
        <f t="shared" si="619"/>
        <v>Fase de Vida Útil</v>
      </c>
      <c r="AX378" s="253" t="e">
        <f>VLOOKUP(D378,#REF!,5,FALSE)</f>
        <v>#REF!</v>
      </c>
      <c r="AY378" s="201"/>
      <c r="AZ378" s="273" t="s">
        <v>1224</v>
      </c>
      <c r="BB378">
        <f>IFERROR(VLOOKUP(Tabela1[[#This Row],[Denominação]],[10]Planilha1!$A:$B,2,FALSE),"")</f>
        <v>1460914.4199999957</v>
      </c>
      <c r="BC378" s="219"/>
      <c r="BD378" s="219"/>
      <c r="BE378" s="219"/>
      <c r="BF378" s="219"/>
      <c r="BG378" s="219"/>
      <c r="BH378" s="219"/>
      <c r="BI378" s="219"/>
      <c r="BJ378" s="219"/>
      <c r="BK378" s="219"/>
      <c r="BL378" s="219"/>
    </row>
    <row r="379" spans="1:64" ht="15" hidden="1" customHeight="1" x14ac:dyDescent="0.3">
      <c r="A379" s="268">
        <v>378</v>
      </c>
      <c r="B379" s="171" t="s">
        <v>323</v>
      </c>
      <c r="C379" s="209" t="s">
        <v>144</v>
      </c>
      <c r="D379" s="171">
        <v>10005818</v>
      </c>
      <c r="E379" s="253" t="s">
        <v>1434</v>
      </c>
      <c r="F379" s="210">
        <v>4511</v>
      </c>
      <c r="G379" s="171">
        <v>40214</v>
      </c>
      <c r="H379" s="171">
        <v>2011</v>
      </c>
      <c r="I379" s="213">
        <v>1506210.43</v>
      </c>
      <c r="J379" s="213">
        <v>405047</v>
      </c>
      <c r="K379" s="170">
        <v>2488303.5900000101</v>
      </c>
      <c r="L379" s="215">
        <v>1.1299999999999999</v>
      </c>
      <c r="M379" s="260">
        <v>4600</v>
      </c>
      <c r="N379" s="212">
        <v>98987</v>
      </c>
      <c r="O379" s="171">
        <v>3407</v>
      </c>
      <c r="P379" s="271" t="str">
        <f>IFERROR(VLOOKUP(Tabela1[[#This Row],[TAG]],#REF!,14,FALSE),"")</f>
        <v/>
      </c>
      <c r="Q379" s="204" t="e">
        <f t="shared" si="620"/>
        <v>#VALUE!</v>
      </c>
      <c r="R379" s="204" t="e">
        <f t="shared" si="621"/>
        <v>#VALUE!</v>
      </c>
      <c r="S379" s="204" t="e">
        <f t="shared" si="622"/>
        <v>#VALUE!</v>
      </c>
      <c r="T379" s="204" t="e">
        <f t="shared" si="623"/>
        <v>#VALUE!</v>
      </c>
      <c r="U379" s="204" t="e">
        <f t="shared" si="624"/>
        <v>#VALUE!</v>
      </c>
      <c r="V379" s="204" t="e">
        <f t="shared" si="625"/>
        <v>#VALUE!</v>
      </c>
      <c r="W379" s="218">
        <v>584.01</v>
      </c>
      <c r="X379" s="218">
        <v>17824.990000000002</v>
      </c>
      <c r="Y379" s="203">
        <v>0.1</v>
      </c>
      <c r="Z379" s="203">
        <f>IF(Tabela1[[#This Row],[Ano Aquisição]]=2023,0,IFERROR(VLOOKUP(H379,inflação!$F:$H,3,FALSE),""))</f>
        <v>0.73</v>
      </c>
      <c r="AA379" s="203">
        <v>0.8</v>
      </c>
      <c r="AB379" s="202">
        <f t="shared" ref="AB379:AB410" si="642">I379*-1</f>
        <v>-1506210.43</v>
      </c>
      <c r="AC379" s="204" t="e">
        <f t="shared" si="626"/>
        <v>#VALUE!</v>
      </c>
      <c r="AD379" s="204" t="e">
        <f t="shared" si="627"/>
        <v>#VALUE!</v>
      </c>
      <c r="AE379" s="204" t="e">
        <f t="shared" si="628"/>
        <v>#VALUE!</v>
      </c>
      <c r="AF379" s="204" t="e">
        <f t="shared" si="629"/>
        <v>#VALUE!</v>
      </c>
      <c r="AG379" s="204" t="e">
        <f t="shared" si="630"/>
        <v>#VALUE!</v>
      </c>
      <c r="AH379" s="204" t="e">
        <f t="shared" si="631"/>
        <v>#VALUE!</v>
      </c>
      <c r="AI379" s="204" t="e">
        <f t="shared" si="632"/>
        <v>#VALUE!</v>
      </c>
      <c r="AJ379" s="205">
        <f t="shared" ref="AJ379:AJ410" si="643">-(I379*(1+Z379))</f>
        <v>-2605744.0438999999</v>
      </c>
      <c r="AK379" s="204" t="e">
        <f t="shared" si="633"/>
        <v>#VALUE!</v>
      </c>
      <c r="AL379" s="204" t="e">
        <f t="shared" si="634"/>
        <v>#VALUE!</v>
      </c>
      <c r="AM379" s="204" t="e">
        <f t="shared" si="635"/>
        <v>#VALUE!</v>
      </c>
      <c r="AN379" s="204" t="e">
        <f t="shared" si="636"/>
        <v>#VALUE!</v>
      </c>
      <c r="AO379" s="204" t="e">
        <f t="shared" si="637"/>
        <v>#VALUE!</v>
      </c>
      <c r="AP379" s="204" t="e">
        <f t="shared" si="638"/>
        <v>#VALUE!</v>
      </c>
      <c r="AQ379" s="204" t="e">
        <f t="shared" si="639"/>
        <v>#VALUE!</v>
      </c>
      <c r="AR379" s="206" t="e">
        <f t="shared" ref="AR379:AR410" si="644">(NPV(Y379,AK379,AL379,AM379,AN379,AO379,AP379,AQ379)+(SUM(AJ379,(J379*-1))))-(NPV(Y379,AC379,AD379,AE379,AF379,AG379,AH379,AI379))</f>
        <v>#VALUE!</v>
      </c>
      <c r="AS379" s="170" t="e">
        <f t="shared" si="640"/>
        <v>#VALUE!</v>
      </c>
      <c r="AT379" s="170" t="e">
        <f t="shared" si="641"/>
        <v>#VALUE!</v>
      </c>
      <c r="AU379" s="207" t="e">
        <f t="shared" ref="AU379:AU410" si="645">(((AVERAGE(AC379:AI379)/1000)-(AVERAGE(AK379:AQ379)/1000))+(((AJ379/1000)*-1)/7)+((J379/1000)/7))*-1</f>
        <v>#VALUE!</v>
      </c>
      <c r="AV379" s="208" t="e">
        <f t="shared" ref="AV379:AV410" si="646">AU379/(((J379/1000)+((AJ379*-1)/1000)))</f>
        <v>#VALUE!</v>
      </c>
      <c r="AW379" s="201" t="str">
        <f t="shared" ref="AW379:AW410" si="647">IF(L379&gt;1.1,"Fase de Degradação",IF(L379&lt;1,"Confiabilidade em Crescimento","Fase de Vida Útil"))</f>
        <v>Fase de Degradação</v>
      </c>
      <c r="AX379" s="253" t="e">
        <f>VLOOKUP(D379,#REF!,5,FALSE)</f>
        <v>#REF!</v>
      </c>
      <c r="AY379" s="201" t="s">
        <v>1224</v>
      </c>
      <c r="AZ379" s="273" t="s">
        <v>1224</v>
      </c>
      <c r="BB379">
        <f>IFERROR(VLOOKUP(Tabela1[[#This Row],[Denominação]],[10]Planilha1!$A:$B,2,FALSE),"")</f>
        <v>2488303.5900000101</v>
      </c>
      <c r="BC379" s="219"/>
      <c r="BD379" s="219"/>
      <c r="BE379" s="219"/>
      <c r="BF379" s="219"/>
      <c r="BG379" s="219"/>
      <c r="BH379" s="219"/>
      <c r="BI379" s="219"/>
      <c r="BJ379" s="219"/>
      <c r="BK379" s="219"/>
      <c r="BL379" s="219"/>
    </row>
    <row r="380" spans="1:64" ht="15" hidden="1" customHeight="1" x14ac:dyDescent="0.3">
      <c r="A380" s="253">
        <v>379</v>
      </c>
      <c r="B380" s="171" t="s">
        <v>343</v>
      </c>
      <c r="C380" s="209" t="s">
        <v>164</v>
      </c>
      <c r="D380" s="171">
        <v>10005931</v>
      </c>
      <c r="E380" s="253" t="s">
        <v>1435</v>
      </c>
      <c r="F380" s="210">
        <v>3115</v>
      </c>
      <c r="G380" s="171">
        <v>42589</v>
      </c>
      <c r="H380" s="171">
        <v>2012</v>
      </c>
      <c r="I380" s="213">
        <v>628421.76</v>
      </c>
      <c r="J380" s="213">
        <v>203824</v>
      </c>
      <c r="K380" s="170">
        <v>1301409.1499999962</v>
      </c>
      <c r="L380" s="215">
        <v>1.62</v>
      </c>
      <c r="M380" s="334">
        <v>5742</v>
      </c>
      <c r="N380" s="212">
        <v>96731</v>
      </c>
      <c r="O380" s="171">
        <v>1733</v>
      </c>
      <c r="P380" s="271" t="str">
        <f>IFERROR(VLOOKUP(Tabela1[[#This Row],[TAG]],#REF!,14,FALSE),"")</f>
        <v/>
      </c>
      <c r="Q380" s="204" t="e">
        <f t="shared" si="620"/>
        <v>#VALUE!</v>
      </c>
      <c r="R380" s="204" t="e">
        <f t="shared" si="621"/>
        <v>#VALUE!</v>
      </c>
      <c r="S380" s="204" t="e">
        <f t="shared" si="622"/>
        <v>#VALUE!</v>
      </c>
      <c r="T380" s="204" t="e">
        <f t="shared" si="623"/>
        <v>#VALUE!</v>
      </c>
      <c r="U380" s="204" t="e">
        <f t="shared" si="624"/>
        <v>#VALUE!</v>
      </c>
      <c r="V380" s="204" t="e">
        <f t="shared" si="625"/>
        <v>#VALUE!</v>
      </c>
      <c r="W380" s="218">
        <v>565.45000000000005</v>
      </c>
      <c r="X380" s="218">
        <v>8404.56</v>
      </c>
      <c r="Y380" s="203">
        <v>0.1</v>
      </c>
      <c r="Z380" s="203">
        <f>IF(Tabela1[[#This Row],[Ano Aquisição]]=2023,0,IFERROR(VLOOKUP(H380,inflação!$F:$H,3,FALSE),""))</f>
        <v>0.66500000000000004</v>
      </c>
      <c r="AA380" s="203">
        <v>0.8</v>
      </c>
      <c r="AB380" s="202">
        <f t="shared" si="642"/>
        <v>-628421.76</v>
      </c>
      <c r="AC380" s="204" t="e">
        <f t="shared" si="626"/>
        <v>#VALUE!</v>
      </c>
      <c r="AD380" s="204" t="e">
        <f t="shared" si="627"/>
        <v>#VALUE!</v>
      </c>
      <c r="AE380" s="204" t="e">
        <f t="shared" si="628"/>
        <v>#VALUE!</v>
      </c>
      <c r="AF380" s="204" t="e">
        <f t="shared" si="629"/>
        <v>#VALUE!</v>
      </c>
      <c r="AG380" s="204" t="e">
        <f t="shared" si="630"/>
        <v>#VALUE!</v>
      </c>
      <c r="AH380" s="204" t="e">
        <f t="shared" si="631"/>
        <v>#VALUE!</v>
      </c>
      <c r="AI380" s="204" t="e">
        <f t="shared" si="632"/>
        <v>#VALUE!</v>
      </c>
      <c r="AJ380" s="205">
        <f t="shared" si="643"/>
        <v>-1046322.2304</v>
      </c>
      <c r="AK380" s="204" t="e">
        <f t="shared" si="633"/>
        <v>#VALUE!</v>
      </c>
      <c r="AL380" s="204" t="e">
        <f t="shared" si="634"/>
        <v>#VALUE!</v>
      </c>
      <c r="AM380" s="204" t="e">
        <f t="shared" si="635"/>
        <v>#VALUE!</v>
      </c>
      <c r="AN380" s="204" t="e">
        <f t="shared" si="636"/>
        <v>#VALUE!</v>
      </c>
      <c r="AO380" s="204" t="e">
        <f t="shared" si="637"/>
        <v>#VALUE!</v>
      </c>
      <c r="AP380" s="204" t="e">
        <f t="shared" si="638"/>
        <v>#VALUE!</v>
      </c>
      <c r="AQ380" s="204" t="e">
        <f t="shared" si="639"/>
        <v>#VALUE!</v>
      </c>
      <c r="AR380" s="206" t="e">
        <f t="shared" si="644"/>
        <v>#VALUE!</v>
      </c>
      <c r="AS380" s="170" t="e">
        <f t="shared" si="640"/>
        <v>#VALUE!</v>
      </c>
      <c r="AT380" s="170" t="e">
        <f t="shared" si="641"/>
        <v>#VALUE!</v>
      </c>
      <c r="AU380" s="207" t="e">
        <f t="shared" si="645"/>
        <v>#VALUE!</v>
      </c>
      <c r="AV380" s="208" t="e">
        <f t="shared" si="646"/>
        <v>#VALUE!</v>
      </c>
      <c r="AW380" s="201" t="str">
        <f t="shared" si="647"/>
        <v>Fase de Degradação</v>
      </c>
      <c r="AX380" s="253" t="e">
        <f>VLOOKUP(D380,#REF!,5,FALSE)</f>
        <v>#REF!</v>
      </c>
      <c r="AY380" s="201"/>
      <c r="AZ380" s="273" t="s">
        <v>1224</v>
      </c>
      <c r="BB380">
        <f>IFERROR(VLOOKUP(Tabela1[[#This Row],[Denominação]],[10]Planilha1!$A:$B,2,FALSE),"")</f>
        <v>1301409.1499999962</v>
      </c>
      <c r="BC380" s="219"/>
      <c r="BD380" s="219"/>
      <c r="BE380" s="219"/>
      <c r="BF380" s="219"/>
      <c r="BG380" s="219"/>
      <c r="BH380" s="219"/>
      <c r="BI380" s="219"/>
      <c r="BJ380" s="219"/>
      <c r="BK380" s="219"/>
      <c r="BL380" s="219"/>
    </row>
    <row r="381" spans="1:64" ht="15" hidden="1" customHeight="1" x14ac:dyDescent="0.3">
      <c r="A381" s="268">
        <v>380</v>
      </c>
      <c r="B381" s="171" t="s">
        <v>390</v>
      </c>
      <c r="C381" s="209" t="s">
        <v>211</v>
      </c>
      <c r="D381" s="171">
        <v>10003877</v>
      </c>
      <c r="E381" s="253" t="s">
        <v>1436</v>
      </c>
      <c r="F381" s="210">
        <v>2530</v>
      </c>
      <c r="G381" s="171">
        <v>43481</v>
      </c>
      <c r="H381" s="171">
        <v>2013</v>
      </c>
      <c r="I381" s="213">
        <v>494783.56</v>
      </c>
      <c r="J381" s="213">
        <v>192736</v>
      </c>
      <c r="K381" s="170">
        <v>1503701.3400000015</v>
      </c>
      <c r="L381" s="207">
        <v>0.86</v>
      </c>
      <c r="M381" s="307">
        <v>4795.2647999999999</v>
      </c>
      <c r="N381" s="212">
        <v>167138</v>
      </c>
      <c r="O381" s="171">
        <v>947</v>
      </c>
      <c r="P381" s="271" t="str">
        <f>IFERROR(VLOOKUP(Tabela1[[#This Row],[TAG]],#REF!,14,FALSE),"")</f>
        <v/>
      </c>
      <c r="Q381" s="204" t="e">
        <f t="shared" si="620"/>
        <v>#VALUE!</v>
      </c>
      <c r="R381" s="204" t="e">
        <f t="shared" si="621"/>
        <v>#VALUE!</v>
      </c>
      <c r="S381" s="204" t="e">
        <f t="shared" si="622"/>
        <v>#VALUE!</v>
      </c>
      <c r="T381" s="204" t="e">
        <f t="shared" si="623"/>
        <v>#VALUE!</v>
      </c>
      <c r="U381" s="204" t="e">
        <f t="shared" si="624"/>
        <v>#VALUE!</v>
      </c>
      <c r="V381" s="204" t="e">
        <f t="shared" si="625"/>
        <v>#VALUE!</v>
      </c>
      <c r="W381" s="304">
        <v>784.32</v>
      </c>
      <c r="X381" s="304">
        <v>4145.4399999999996</v>
      </c>
      <c r="Y381" s="203">
        <v>0.1</v>
      </c>
      <c r="Z381" s="203">
        <f>IF(Tabela1[[#This Row],[Ano Aquisição]]=2023,0,IFERROR(VLOOKUP(H381,inflação!$F:$H,3,FALSE),""))</f>
        <v>0.60660000000000003</v>
      </c>
      <c r="AA381" s="203">
        <v>0.8</v>
      </c>
      <c r="AB381" s="202">
        <f t="shared" si="642"/>
        <v>-494783.56</v>
      </c>
      <c r="AC381" s="204" t="e">
        <f t="shared" si="626"/>
        <v>#VALUE!</v>
      </c>
      <c r="AD381" s="204" t="e">
        <f t="shared" si="627"/>
        <v>#VALUE!</v>
      </c>
      <c r="AE381" s="204" t="e">
        <f t="shared" si="628"/>
        <v>#VALUE!</v>
      </c>
      <c r="AF381" s="204" t="e">
        <f t="shared" si="629"/>
        <v>#VALUE!</v>
      </c>
      <c r="AG381" s="204" t="e">
        <f t="shared" si="630"/>
        <v>#VALUE!</v>
      </c>
      <c r="AH381" s="204" t="e">
        <f t="shared" si="631"/>
        <v>#VALUE!</v>
      </c>
      <c r="AI381" s="204" t="e">
        <f t="shared" si="632"/>
        <v>#VALUE!</v>
      </c>
      <c r="AJ381" s="205">
        <f t="shared" si="643"/>
        <v>-794919.26749600004</v>
      </c>
      <c r="AK381" s="204" t="e">
        <f t="shared" si="633"/>
        <v>#VALUE!</v>
      </c>
      <c r="AL381" s="204" t="e">
        <f t="shared" si="634"/>
        <v>#VALUE!</v>
      </c>
      <c r="AM381" s="204" t="e">
        <f t="shared" si="635"/>
        <v>#VALUE!</v>
      </c>
      <c r="AN381" s="204" t="e">
        <f t="shared" si="636"/>
        <v>#VALUE!</v>
      </c>
      <c r="AO381" s="204" t="e">
        <f t="shared" si="637"/>
        <v>#VALUE!</v>
      </c>
      <c r="AP381" s="204" t="e">
        <f t="shared" si="638"/>
        <v>#VALUE!</v>
      </c>
      <c r="AQ381" s="204" t="e">
        <f t="shared" si="639"/>
        <v>#VALUE!</v>
      </c>
      <c r="AR381" s="206" t="e">
        <f t="shared" si="644"/>
        <v>#VALUE!</v>
      </c>
      <c r="AS381" s="170" t="e">
        <f t="shared" si="640"/>
        <v>#VALUE!</v>
      </c>
      <c r="AT381" s="170" t="e">
        <f t="shared" si="641"/>
        <v>#VALUE!</v>
      </c>
      <c r="AU381" s="207" t="e">
        <f t="shared" si="645"/>
        <v>#VALUE!</v>
      </c>
      <c r="AV381" s="208" t="e">
        <f t="shared" si="646"/>
        <v>#VALUE!</v>
      </c>
      <c r="AW381" s="201" t="str">
        <f t="shared" si="647"/>
        <v>Confiabilidade em Crescimento</v>
      </c>
      <c r="AX381" s="253" t="e">
        <f>VLOOKUP(D381,#REF!,5,FALSE)</f>
        <v>#REF!</v>
      </c>
      <c r="AY381" s="201"/>
      <c r="AZ381" s="273" t="s">
        <v>1224</v>
      </c>
      <c r="BB381">
        <f>IFERROR(VLOOKUP(Tabela1[[#This Row],[Denominação]],[10]Planilha1!$A:$B,2,FALSE),"")</f>
        <v>1503701.3400000015</v>
      </c>
      <c r="BC381" s="219"/>
      <c r="BD381" s="219"/>
      <c r="BE381" s="219"/>
      <c r="BF381" s="219"/>
      <c r="BG381" s="219"/>
      <c r="BH381" s="219"/>
      <c r="BI381" s="219"/>
      <c r="BJ381" s="219"/>
      <c r="BK381" s="219"/>
      <c r="BL381" s="219"/>
    </row>
    <row r="382" spans="1:64" ht="15" hidden="1" customHeight="1" x14ac:dyDescent="0.3">
      <c r="A382" s="253">
        <v>381</v>
      </c>
      <c r="B382" s="171" t="s">
        <v>342</v>
      </c>
      <c r="C382" s="209" t="s">
        <v>163</v>
      </c>
      <c r="D382" s="171">
        <v>10006187</v>
      </c>
      <c r="E382" s="253" t="s">
        <v>1437</v>
      </c>
      <c r="F382" s="210">
        <v>3112</v>
      </c>
      <c r="G382" s="171">
        <v>42588</v>
      </c>
      <c r="H382" s="171">
        <v>2012</v>
      </c>
      <c r="I382" s="213">
        <v>1786360.15</v>
      </c>
      <c r="J382" s="213">
        <v>638628</v>
      </c>
      <c r="K382" s="170">
        <v>1402642.9799999977</v>
      </c>
      <c r="L382" s="215">
        <v>1.05</v>
      </c>
      <c r="M382" s="212">
        <v>3351</v>
      </c>
      <c r="N382" s="212">
        <v>90903</v>
      </c>
      <c r="O382" s="171">
        <v>1183</v>
      </c>
      <c r="P382" s="271" t="str">
        <f>IFERROR(VLOOKUP(Tabela1[[#This Row],[TAG]],#REF!,14,FALSE),"")</f>
        <v/>
      </c>
      <c r="Q382" s="204" t="e">
        <f t="shared" si="620"/>
        <v>#VALUE!</v>
      </c>
      <c r="R382" s="204" t="e">
        <f t="shared" si="621"/>
        <v>#VALUE!</v>
      </c>
      <c r="S382" s="204" t="e">
        <f t="shared" si="622"/>
        <v>#VALUE!</v>
      </c>
      <c r="T382" s="204" t="e">
        <f t="shared" si="623"/>
        <v>#VALUE!</v>
      </c>
      <c r="U382" s="204" t="e">
        <f t="shared" si="624"/>
        <v>#VALUE!</v>
      </c>
      <c r="V382" s="204" t="e">
        <f t="shared" si="625"/>
        <v>#VALUE!</v>
      </c>
      <c r="W382" s="218">
        <v>732.02</v>
      </c>
      <c r="X382" s="218">
        <v>6266.99</v>
      </c>
      <c r="Y382" s="203">
        <v>0.1</v>
      </c>
      <c r="Z382" s="203">
        <f>IF(Tabela1[[#This Row],[Ano Aquisição]]=2023,0,IFERROR(VLOOKUP(H382,inflação!$F:$H,3,FALSE),""))</f>
        <v>0.66500000000000004</v>
      </c>
      <c r="AA382" s="203">
        <v>0.8</v>
      </c>
      <c r="AB382" s="202">
        <f t="shared" si="642"/>
        <v>-1786360.15</v>
      </c>
      <c r="AC382" s="204" t="e">
        <f t="shared" si="626"/>
        <v>#VALUE!</v>
      </c>
      <c r="AD382" s="204" t="e">
        <f t="shared" si="627"/>
        <v>#VALUE!</v>
      </c>
      <c r="AE382" s="204" t="e">
        <f t="shared" si="628"/>
        <v>#VALUE!</v>
      </c>
      <c r="AF382" s="204" t="e">
        <f t="shared" si="629"/>
        <v>#VALUE!</v>
      </c>
      <c r="AG382" s="204" t="e">
        <f t="shared" si="630"/>
        <v>#VALUE!</v>
      </c>
      <c r="AH382" s="204" t="e">
        <f t="shared" si="631"/>
        <v>#VALUE!</v>
      </c>
      <c r="AI382" s="204" t="e">
        <f t="shared" si="632"/>
        <v>#VALUE!</v>
      </c>
      <c r="AJ382" s="205">
        <f t="shared" si="643"/>
        <v>-2974289.6497499999</v>
      </c>
      <c r="AK382" s="204" t="e">
        <f t="shared" si="633"/>
        <v>#VALUE!</v>
      </c>
      <c r="AL382" s="204" t="e">
        <f t="shared" si="634"/>
        <v>#VALUE!</v>
      </c>
      <c r="AM382" s="204" t="e">
        <f t="shared" si="635"/>
        <v>#VALUE!</v>
      </c>
      <c r="AN382" s="204" t="e">
        <f t="shared" si="636"/>
        <v>#VALUE!</v>
      </c>
      <c r="AO382" s="204" t="e">
        <f t="shared" si="637"/>
        <v>#VALUE!</v>
      </c>
      <c r="AP382" s="204" t="e">
        <f t="shared" si="638"/>
        <v>#VALUE!</v>
      </c>
      <c r="AQ382" s="204" t="e">
        <f t="shared" si="639"/>
        <v>#VALUE!</v>
      </c>
      <c r="AR382" s="206" t="e">
        <f t="shared" si="644"/>
        <v>#VALUE!</v>
      </c>
      <c r="AS382" s="170" t="e">
        <f t="shared" si="640"/>
        <v>#VALUE!</v>
      </c>
      <c r="AT382" s="170" t="e">
        <f t="shared" si="641"/>
        <v>#VALUE!</v>
      </c>
      <c r="AU382" s="207" t="e">
        <f t="shared" si="645"/>
        <v>#VALUE!</v>
      </c>
      <c r="AV382" s="208" t="e">
        <f t="shared" si="646"/>
        <v>#VALUE!</v>
      </c>
      <c r="AW382" s="201" t="str">
        <f t="shared" si="647"/>
        <v>Fase de Vida Útil</v>
      </c>
      <c r="AX382" s="253" t="e">
        <f>VLOOKUP(D382,#REF!,5,FALSE)</f>
        <v>#REF!</v>
      </c>
      <c r="AY382" s="201"/>
      <c r="AZ382" s="273" t="s">
        <v>1224</v>
      </c>
      <c r="BB382">
        <f>IFERROR(VLOOKUP(Tabela1[[#This Row],[Denominação]],[10]Planilha1!$A:$B,2,FALSE),"")</f>
        <v>1402642.9799999977</v>
      </c>
      <c r="BC382" s="219"/>
      <c r="BD382" s="219"/>
      <c r="BE382" s="219"/>
      <c r="BF382" s="219"/>
      <c r="BG382" s="219"/>
      <c r="BH382" s="219"/>
      <c r="BI382" s="219"/>
      <c r="BJ382" s="219"/>
      <c r="BK382" s="219"/>
      <c r="BL382" s="219"/>
    </row>
    <row r="383" spans="1:64" ht="15" hidden="1" customHeight="1" x14ac:dyDescent="0.3">
      <c r="A383" s="268">
        <v>382</v>
      </c>
      <c r="B383" s="171" t="s">
        <v>396</v>
      </c>
      <c r="C383" s="209" t="s">
        <v>217</v>
      </c>
      <c r="D383" s="171">
        <v>10006188</v>
      </c>
      <c r="E383" s="253" t="s">
        <v>1438</v>
      </c>
      <c r="F383" s="210">
        <v>3115</v>
      </c>
      <c r="G383" s="171">
        <v>41532</v>
      </c>
      <c r="H383" s="171">
        <v>2012</v>
      </c>
      <c r="I383" s="213">
        <v>905215.82</v>
      </c>
      <c r="J383" s="213">
        <v>334175</v>
      </c>
      <c r="K383" s="170">
        <v>599187.65000000119</v>
      </c>
      <c r="L383" s="215">
        <v>1.02</v>
      </c>
      <c r="M383" s="212">
        <v>3975</v>
      </c>
      <c r="N383" s="212">
        <v>90534</v>
      </c>
      <c r="O383" s="171">
        <v>783</v>
      </c>
      <c r="P383" s="271" t="str">
        <f>IFERROR(VLOOKUP(Tabela1[[#This Row],[TAG]],#REF!,14,FALSE),"")</f>
        <v/>
      </c>
      <c r="Q383" s="204" t="e">
        <f t="shared" si="620"/>
        <v>#VALUE!</v>
      </c>
      <c r="R383" s="204" t="e">
        <f t="shared" si="621"/>
        <v>#VALUE!</v>
      </c>
      <c r="S383" s="204" t="e">
        <f t="shared" si="622"/>
        <v>#VALUE!</v>
      </c>
      <c r="T383" s="204" t="e">
        <f t="shared" si="623"/>
        <v>#VALUE!</v>
      </c>
      <c r="U383" s="204" t="e">
        <f t="shared" si="624"/>
        <v>#VALUE!</v>
      </c>
      <c r="V383" s="204" t="e">
        <f t="shared" si="625"/>
        <v>#VALUE!</v>
      </c>
      <c r="W383" s="218">
        <v>578.78</v>
      </c>
      <c r="X383" s="218">
        <v>3986.13</v>
      </c>
      <c r="Y383" s="203">
        <v>0.1</v>
      </c>
      <c r="Z383" s="203">
        <f>IF(Tabela1[[#This Row],[Ano Aquisição]]=2023,0,IFERROR(VLOOKUP(H383,inflação!$F:$H,3,FALSE),""))</f>
        <v>0.66500000000000004</v>
      </c>
      <c r="AA383" s="203">
        <v>0.8</v>
      </c>
      <c r="AB383" s="202">
        <f t="shared" si="642"/>
        <v>-905215.82</v>
      </c>
      <c r="AC383" s="204" t="e">
        <f t="shared" si="626"/>
        <v>#VALUE!</v>
      </c>
      <c r="AD383" s="204" t="e">
        <f t="shared" si="627"/>
        <v>#VALUE!</v>
      </c>
      <c r="AE383" s="204" t="e">
        <f t="shared" si="628"/>
        <v>#VALUE!</v>
      </c>
      <c r="AF383" s="204" t="e">
        <f t="shared" si="629"/>
        <v>#VALUE!</v>
      </c>
      <c r="AG383" s="204" t="e">
        <f t="shared" si="630"/>
        <v>#VALUE!</v>
      </c>
      <c r="AH383" s="204" t="e">
        <f t="shared" si="631"/>
        <v>#VALUE!</v>
      </c>
      <c r="AI383" s="204" t="e">
        <f t="shared" si="632"/>
        <v>#VALUE!</v>
      </c>
      <c r="AJ383" s="205">
        <f t="shared" si="643"/>
        <v>-1507184.3403</v>
      </c>
      <c r="AK383" s="204" t="e">
        <f t="shared" si="633"/>
        <v>#VALUE!</v>
      </c>
      <c r="AL383" s="204" t="e">
        <f t="shared" si="634"/>
        <v>#VALUE!</v>
      </c>
      <c r="AM383" s="204" t="e">
        <f t="shared" si="635"/>
        <v>#VALUE!</v>
      </c>
      <c r="AN383" s="204" t="e">
        <f t="shared" si="636"/>
        <v>#VALUE!</v>
      </c>
      <c r="AO383" s="204" t="e">
        <f t="shared" si="637"/>
        <v>#VALUE!</v>
      </c>
      <c r="AP383" s="204" t="e">
        <f t="shared" si="638"/>
        <v>#VALUE!</v>
      </c>
      <c r="AQ383" s="204" t="e">
        <f t="shared" si="639"/>
        <v>#VALUE!</v>
      </c>
      <c r="AR383" s="206" t="e">
        <f t="shared" si="644"/>
        <v>#VALUE!</v>
      </c>
      <c r="AS383" s="170" t="e">
        <f t="shared" si="640"/>
        <v>#VALUE!</v>
      </c>
      <c r="AT383" s="170" t="e">
        <f t="shared" si="641"/>
        <v>#VALUE!</v>
      </c>
      <c r="AU383" s="207" t="e">
        <f t="shared" si="645"/>
        <v>#VALUE!</v>
      </c>
      <c r="AV383" s="208" t="e">
        <f t="shared" si="646"/>
        <v>#VALUE!</v>
      </c>
      <c r="AW383" s="201" t="str">
        <f t="shared" si="647"/>
        <v>Fase de Vida Útil</v>
      </c>
      <c r="AX383" s="253" t="e">
        <f>VLOOKUP(D383,#REF!,5,FALSE)</f>
        <v>#REF!</v>
      </c>
      <c r="AY383" s="201"/>
      <c r="AZ383" s="273" t="s">
        <v>1224</v>
      </c>
      <c r="BB383">
        <f>IFERROR(VLOOKUP(Tabela1[[#This Row],[Denominação]],[10]Planilha1!$A:$B,2,FALSE),"")</f>
        <v>599187.65000000119</v>
      </c>
      <c r="BC383" s="219"/>
      <c r="BD383" s="219"/>
      <c r="BE383" s="219"/>
      <c r="BF383" s="219"/>
      <c r="BG383" s="219"/>
      <c r="BH383" s="219"/>
      <c r="BI383" s="219"/>
      <c r="BJ383" s="219"/>
      <c r="BK383" s="219"/>
      <c r="BL383" s="219"/>
    </row>
    <row r="384" spans="1:64" ht="15" hidden="1" customHeight="1" x14ac:dyDescent="0.3">
      <c r="A384" s="253">
        <v>383</v>
      </c>
      <c r="B384" s="171" t="s">
        <v>393</v>
      </c>
      <c r="C384" s="209" t="s">
        <v>214</v>
      </c>
      <c r="D384" s="171">
        <v>10006189</v>
      </c>
      <c r="E384" s="253" t="s">
        <v>1439</v>
      </c>
      <c r="F384" s="210">
        <v>3117</v>
      </c>
      <c r="G384" s="171">
        <v>42590</v>
      </c>
      <c r="H384" s="171">
        <v>2012</v>
      </c>
      <c r="I384" s="213">
        <v>638882.49</v>
      </c>
      <c r="J384" s="213">
        <v>214855</v>
      </c>
      <c r="K384" s="170">
        <v>723761.76999999979</v>
      </c>
      <c r="L384" s="215">
        <v>1.0900000000000001</v>
      </c>
      <c r="M384" s="212">
        <v>6605</v>
      </c>
      <c r="N384" s="212">
        <v>90797</v>
      </c>
      <c r="O384" s="171">
        <v>648</v>
      </c>
      <c r="P384" s="271" t="str">
        <f>IFERROR(VLOOKUP(Tabela1[[#This Row],[TAG]],#REF!,14,FALSE),"")</f>
        <v/>
      </c>
      <c r="Q384" s="204" t="e">
        <f t="shared" si="620"/>
        <v>#VALUE!</v>
      </c>
      <c r="R384" s="204" t="e">
        <f t="shared" si="621"/>
        <v>#VALUE!</v>
      </c>
      <c r="S384" s="204" t="e">
        <f t="shared" si="622"/>
        <v>#VALUE!</v>
      </c>
      <c r="T384" s="204" t="e">
        <f t="shared" si="623"/>
        <v>#VALUE!</v>
      </c>
      <c r="U384" s="204" t="e">
        <f t="shared" si="624"/>
        <v>#VALUE!</v>
      </c>
      <c r="V384" s="204" t="e">
        <f t="shared" si="625"/>
        <v>#VALUE!</v>
      </c>
      <c r="W384" s="218">
        <v>623.52</v>
      </c>
      <c r="X384" s="218">
        <v>3483.21</v>
      </c>
      <c r="Y384" s="203">
        <v>0.1</v>
      </c>
      <c r="Z384" s="203">
        <f>IF(Tabela1[[#This Row],[Ano Aquisição]]=2023,0,IFERROR(VLOOKUP(H384,inflação!$F:$H,3,FALSE),""))</f>
        <v>0.66500000000000004</v>
      </c>
      <c r="AA384" s="203">
        <v>0.8</v>
      </c>
      <c r="AB384" s="202">
        <f t="shared" si="642"/>
        <v>-638882.49</v>
      </c>
      <c r="AC384" s="204" t="e">
        <f t="shared" si="626"/>
        <v>#VALUE!</v>
      </c>
      <c r="AD384" s="204" t="e">
        <f t="shared" si="627"/>
        <v>#VALUE!</v>
      </c>
      <c r="AE384" s="204" t="e">
        <f t="shared" si="628"/>
        <v>#VALUE!</v>
      </c>
      <c r="AF384" s="204" t="e">
        <f t="shared" si="629"/>
        <v>#VALUE!</v>
      </c>
      <c r="AG384" s="204" t="e">
        <f t="shared" si="630"/>
        <v>#VALUE!</v>
      </c>
      <c r="AH384" s="204" t="e">
        <f t="shared" si="631"/>
        <v>#VALUE!</v>
      </c>
      <c r="AI384" s="204" t="e">
        <f t="shared" si="632"/>
        <v>#VALUE!</v>
      </c>
      <c r="AJ384" s="205">
        <f t="shared" si="643"/>
        <v>-1063739.3458499999</v>
      </c>
      <c r="AK384" s="204" t="e">
        <f t="shared" si="633"/>
        <v>#VALUE!</v>
      </c>
      <c r="AL384" s="204" t="e">
        <f t="shared" si="634"/>
        <v>#VALUE!</v>
      </c>
      <c r="AM384" s="204" t="e">
        <f t="shared" si="635"/>
        <v>#VALUE!</v>
      </c>
      <c r="AN384" s="204" t="e">
        <f t="shared" si="636"/>
        <v>#VALUE!</v>
      </c>
      <c r="AO384" s="204" t="e">
        <f t="shared" si="637"/>
        <v>#VALUE!</v>
      </c>
      <c r="AP384" s="204" t="e">
        <f t="shared" si="638"/>
        <v>#VALUE!</v>
      </c>
      <c r="AQ384" s="204" t="e">
        <f t="shared" si="639"/>
        <v>#VALUE!</v>
      </c>
      <c r="AR384" s="206" t="e">
        <f t="shared" si="644"/>
        <v>#VALUE!</v>
      </c>
      <c r="AS384" s="170" t="e">
        <f t="shared" si="640"/>
        <v>#VALUE!</v>
      </c>
      <c r="AT384" s="170" t="e">
        <f t="shared" si="641"/>
        <v>#VALUE!</v>
      </c>
      <c r="AU384" s="207" t="e">
        <f t="shared" si="645"/>
        <v>#VALUE!</v>
      </c>
      <c r="AV384" s="208" t="e">
        <f t="shared" si="646"/>
        <v>#VALUE!</v>
      </c>
      <c r="AW384" s="201" t="str">
        <f t="shared" si="647"/>
        <v>Fase de Vida Útil</v>
      </c>
      <c r="AX384" s="253" t="e">
        <f>VLOOKUP(D384,#REF!,5,FALSE)</f>
        <v>#REF!</v>
      </c>
      <c r="AY384" s="201"/>
      <c r="AZ384" s="273" t="s">
        <v>1224</v>
      </c>
      <c r="BB384">
        <f>IFERROR(VLOOKUP(Tabela1[[#This Row],[Denominação]],[10]Planilha1!$A:$B,2,FALSE),"")</f>
        <v>723761.76999999979</v>
      </c>
      <c r="BC384" s="219"/>
      <c r="BD384" s="219"/>
      <c r="BE384" s="219"/>
      <c r="BF384" s="219"/>
      <c r="BG384" s="219"/>
      <c r="BH384" s="219"/>
      <c r="BI384" s="219"/>
      <c r="BJ384" s="219"/>
      <c r="BK384" s="219"/>
      <c r="BL384" s="219"/>
    </row>
    <row r="385" spans="1:64" ht="15" hidden="1" customHeight="1" x14ac:dyDescent="0.3">
      <c r="A385" s="268">
        <v>384</v>
      </c>
      <c r="B385" s="171" t="s">
        <v>378</v>
      </c>
      <c r="C385" s="209" t="s">
        <v>199</v>
      </c>
      <c r="D385" s="171">
        <v>10006278</v>
      </c>
      <c r="E385" s="253" t="s">
        <v>1440</v>
      </c>
      <c r="F385" s="210">
        <v>3115</v>
      </c>
      <c r="G385" s="171">
        <v>44591</v>
      </c>
      <c r="H385" s="171">
        <v>2014</v>
      </c>
      <c r="I385" s="213">
        <v>1083245.96</v>
      </c>
      <c r="J385" s="213">
        <v>486336</v>
      </c>
      <c r="K385" s="170">
        <v>888114.44999999914</v>
      </c>
      <c r="L385" s="215">
        <v>1.21</v>
      </c>
      <c r="M385" s="212">
        <v>5972</v>
      </c>
      <c r="N385" s="212">
        <v>77024</v>
      </c>
      <c r="O385" s="171">
        <v>1484</v>
      </c>
      <c r="P385" s="271" t="str">
        <f>IFERROR(VLOOKUP(Tabela1[[#This Row],[TAG]],#REF!,14,FALSE),"")</f>
        <v/>
      </c>
      <c r="Q385" s="204" t="e">
        <f t="shared" si="620"/>
        <v>#VALUE!</v>
      </c>
      <c r="R385" s="204" t="e">
        <f t="shared" si="621"/>
        <v>#VALUE!</v>
      </c>
      <c r="S385" s="204" t="e">
        <f t="shared" si="622"/>
        <v>#VALUE!</v>
      </c>
      <c r="T385" s="204" t="e">
        <f t="shared" si="623"/>
        <v>#VALUE!</v>
      </c>
      <c r="U385" s="204" t="e">
        <f t="shared" si="624"/>
        <v>#VALUE!</v>
      </c>
      <c r="V385" s="204" t="e">
        <f t="shared" si="625"/>
        <v>#VALUE!</v>
      </c>
      <c r="W385" s="218">
        <v>612.98</v>
      </c>
      <c r="X385" s="218">
        <v>9150.74</v>
      </c>
      <c r="Y385" s="203">
        <v>0.1</v>
      </c>
      <c r="Z385" s="203">
        <f>IF(Tabela1[[#This Row],[Ano Aquisição]]=2023,0,IFERROR(VLOOKUP(H385,inflação!$F:$H,3,FALSE),""))</f>
        <v>0.54749999999999999</v>
      </c>
      <c r="AA385" s="203">
        <v>0.8</v>
      </c>
      <c r="AB385" s="202">
        <f t="shared" si="642"/>
        <v>-1083245.96</v>
      </c>
      <c r="AC385" s="204" t="e">
        <f t="shared" si="626"/>
        <v>#VALUE!</v>
      </c>
      <c r="AD385" s="204" t="e">
        <f t="shared" si="627"/>
        <v>#VALUE!</v>
      </c>
      <c r="AE385" s="204" t="e">
        <f t="shared" si="628"/>
        <v>#VALUE!</v>
      </c>
      <c r="AF385" s="204" t="e">
        <f t="shared" si="629"/>
        <v>#VALUE!</v>
      </c>
      <c r="AG385" s="204" t="e">
        <f t="shared" si="630"/>
        <v>#VALUE!</v>
      </c>
      <c r="AH385" s="204" t="e">
        <f t="shared" si="631"/>
        <v>#VALUE!</v>
      </c>
      <c r="AI385" s="204" t="e">
        <f t="shared" si="632"/>
        <v>#VALUE!</v>
      </c>
      <c r="AJ385" s="205">
        <f t="shared" si="643"/>
        <v>-1676323.1230999997</v>
      </c>
      <c r="AK385" s="204" t="e">
        <f t="shared" si="633"/>
        <v>#VALUE!</v>
      </c>
      <c r="AL385" s="204" t="e">
        <f t="shared" si="634"/>
        <v>#VALUE!</v>
      </c>
      <c r="AM385" s="204" t="e">
        <f t="shared" si="635"/>
        <v>#VALUE!</v>
      </c>
      <c r="AN385" s="204" t="e">
        <f t="shared" si="636"/>
        <v>#VALUE!</v>
      </c>
      <c r="AO385" s="204" t="e">
        <f t="shared" si="637"/>
        <v>#VALUE!</v>
      </c>
      <c r="AP385" s="204" t="e">
        <f t="shared" si="638"/>
        <v>#VALUE!</v>
      </c>
      <c r="AQ385" s="204" t="e">
        <f t="shared" si="639"/>
        <v>#VALUE!</v>
      </c>
      <c r="AR385" s="206" t="e">
        <f t="shared" si="644"/>
        <v>#VALUE!</v>
      </c>
      <c r="AS385" s="170" t="e">
        <f t="shared" si="640"/>
        <v>#VALUE!</v>
      </c>
      <c r="AT385" s="170" t="e">
        <f t="shared" si="641"/>
        <v>#VALUE!</v>
      </c>
      <c r="AU385" s="207" t="e">
        <f t="shared" si="645"/>
        <v>#VALUE!</v>
      </c>
      <c r="AV385" s="208" t="e">
        <f t="shared" si="646"/>
        <v>#VALUE!</v>
      </c>
      <c r="AW385" s="201" t="str">
        <f t="shared" si="647"/>
        <v>Fase de Degradação</v>
      </c>
      <c r="AX385" s="253" t="e">
        <f>VLOOKUP(D385,#REF!,5,FALSE)</f>
        <v>#REF!</v>
      </c>
      <c r="AY385" s="201"/>
      <c r="AZ385" s="273" t="s">
        <v>1224</v>
      </c>
      <c r="BB385">
        <f>IFERROR(VLOOKUP(Tabela1[[#This Row],[Denominação]],[10]Planilha1!$A:$B,2,FALSE),"")</f>
        <v>888114.44999999914</v>
      </c>
      <c r="BC385" s="219"/>
      <c r="BD385" s="219"/>
      <c r="BE385" s="219"/>
      <c r="BF385" s="219"/>
      <c r="BG385" s="219"/>
      <c r="BH385" s="219"/>
      <c r="BI385" s="219"/>
      <c r="BJ385" s="219"/>
      <c r="BK385" s="219"/>
      <c r="BL385" s="219"/>
    </row>
    <row r="386" spans="1:64" ht="15" hidden="1" customHeight="1" x14ac:dyDescent="0.3">
      <c r="A386" s="253">
        <v>385</v>
      </c>
      <c r="B386" s="171" t="s">
        <v>611</v>
      </c>
      <c r="C386" s="209" t="s">
        <v>612</v>
      </c>
      <c r="D386" s="171">
        <v>10006382</v>
      </c>
      <c r="E386" s="253" t="s">
        <v>1441</v>
      </c>
      <c r="F386" s="210">
        <v>3117</v>
      </c>
      <c r="G386" s="171">
        <v>46550</v>
      </c>
      <c r="H386" s="171">
        <v>2016</v>
      </c>
      <c r="I386" s="213">
        <v>624733.49</v>
      </c>
      <c r="J386" s="213">
        <v>340474</v>
      </c>
      <c r="K386" s="170">
        <v>666315.1599999998</v>
      </c>
      <c r="L386" s="207">
        <v>0.86</v>
      </c>
      <c r="M386" s="212">
        <v>6441</v>
      </c>
      <c r="N386" s="212">
        <v>62543</v>
      </c>
      <c r="O386" s="171">
        <v>427</v>
      </c>
      <c r="P386" s="271" t="str">
        <f>IFERROR(VLOOKUP(Tabela1[[#This Row],[TAG]],#REF!,14,FALSE),"")</f>
        <v/>
      </c>
      <c r="Q386" s="204" t="e">
        <f t="shared" si="620"/>
        <v>#VALUE!</v>
      </c>
      <c r="R386" s="204" t="e">
        <f t="shared" si="621"/>
        <v>#VALUE!</v>
      </c>
      <c r="S386" s="204" t="e">
        <f t="shared" si="622"/>
        <v>#VALUE!</v>
      </c>
      <c r="T386" s="204" t="e">
        <f t="shared" si="623"/>
        <v>#VALUE!</v>
      </c>
      <c r="U386" s="204" t="e">
        <f t="shared" si="624"/>
        <v>#VALUE!</v>
      </c>
      <c r="V386" s="204" t="e">
        <f t="shared" si="625"/>
        <v>#VALUE!</v>
      </c>
      <c r="W386" s="218">
        <v>984.38</v>
      </c>
      <c r="X386" s="218">
        <v>5842.4</v>
      </c>
      <c r="Y386" s="203">
        <v>0.1</v>
      </c>
      <c r="Z386" s="203">
        <f>IF(Tabela1[[#This Row],[Ano Aquisição]]=2023,0,IFERROR(VLOOKUP(H386,inflação!$F:$H,3,FALSE),""))</f>
        <v>0.37669999999999998</v>
      </c>
      <c r="AA386" s="203">
        <v>0.8</v>
      </c>
      <c r="AB386" s="202">
        <f t="shared" si="642"/>
        <v>-624733.49</v>
      </c>
      <c r="AC386" s="204" t="e">
        <f t="shared" si="626"/>
        <v>#VALUE!</v>
      </c>
      <c r="AD386" s="204" t="e">
        <f t="shared" si="627"/>
        <v>#VALUE!</v>
      </c>
      <c r="AE386" s="204" t="e">
        <f t="shared" si="628"/>
        <v>#VALUE!</v>
      </c>
      <c r="AF386" s="204" t="e">
        <f t="shared" si="629"/>
        <v>#VALUE!</v>
      </c>
      <c r="AG386" s="204" t="e">
        <f t="shared" si="630"/>
        <v>#VALUE!</v>
      </c>
      <c r="AH386" s="204" t="e">
        <f t="shared" si="631"/>
        <v>#VALUE!</v>
      </c>
      <c r="AI386" s="204" t="e">
        <f t="shared" si="632"/>
        <v>#VALUE!</v>
      </c>
      <c r="AJ386" s="205">
        <f t="shared" si="643"/>
        <v>-860070.59568300005</v>
      </c>
      <c r="AK386" s="204" t="e">
        <f t="shared" si="633"/>
        <v>#VALUE!</v>
      </c>
      <c r="AL386" s="204" t="e">
        <f t="shared" si="634"/>
        <v>#VALUE!</v>
      </c>
      <c r="AM386" s="204" t="e">
        <f t="shared" si="635"/>
        <v>#VALUE!</v>
      </c>
      <c r="AN386" s="204" t="e">
        <f t="shared" si="636"/>
        <v>#VALUE!</v>
      </c>
      <c r="AO386" s="204" t="e">
        <f t="shared" si="637"/>
        <v>#VALUE!</v>
      </c>
      <c r="AP386" s="204" t="e">
        <f t="shared" si="638"/>
        <v>#VALUE!</v>
      </c>
      <c r="AQ386" s="204" t="e">
        <f t="shared" si="639"/>
        <v>#VALUE!</v>
      </c>
      <c r="AR386" s="206" t="e">
        <f t="shared" si="644"/>
        <v>#VALUE!</v>
      </c>
      <c r="AS386" s="170" t="e">
        <f t="shared" si="640"/>
        <v>#VALUE!</v>
      </c>
      <c r="AT386" s="170" t="e">
        <f t="shared" si="641"/>
        <v>#VALUE!</v>
      </c>
      <c r="AU386" s="207" t="e">
        <f t="shared" si="645"/>
        <v>#VALUE!</v>
      </c>
      <c r="AV386" s="208" t="e">
        <f t="shared" si="646"/>
        <v>#VALUE!</v>
      </c>
      <c r="AW386" s="201" t="str">
        <f t="shared" si="647"/>
        <v>Confiabilidade em Crescimento</v>
      </c>
      <c r="AX386" s="253" t="e">
        <f>VLOOKUP(D386,#REF!,5,FALSE)</f>
        <v>#REF!</v>
      </c>
      <c r="AY386" s="201"/>
      <c r="AZ386" s="273" t="s">
        <v>1224</v>
      </c>
      <c r="BB386">
        <f>IFERROR(VLOOKUP(Tabela1[[#This Row],[Denominação]],[10]Planilha1!$A:$B,2,FALSE),"")</f>
        <v>666315.1599999998</v>
      </c>
      <c r="BC386" s="219"/>
      <c r="BD386" s="219"/>
      <c r="BE386" s="219"/>
      <c r="BF386" s="219"/>
      <c r="BG386" s="219"/>
      <c r="BH386" s="219"/>
      <c r="BI386" s="219"/>
      <c r="BJ386" s="219"/>
      <c r="BK386" s="219"/>
      <c r="BL386" s="219"/>
    </row>
    <row r="387" spans="1:64" ht="15" hidden="1" customHeight="1" x14ac:dyDescent="0.3">
      <c r="A387" s="268">
        <v>386</v>
      </c>
      <c r="B387" s="171" t="s">
        <v>609</v>
      </c>
      <c r="C387" s="209" t="s">
        <v>610</v>
      </c>
      <c r="D387" s="171">
        <v>20002351</v>
      </c>
      <c r="E387" s="253" t="s">
        <v>1442</v>
      </c>
      <c r="F387" s="210">
        <v>3118</v>
      </c>
      <c r="G387" s="171">
        <v>48102</v>
      </c>
      <c r="H387" s="171">
        <v>2017</v>
      </c>
      <c r="I387" s="213">
        <v>603098.47</v>
      </c>
      <c r="J387" s="213">
        <v>371052</v>
      </c>
      <c r="K387" s="170">
        <v>228912.83</v>
      </c>
      <c r="L387" s="207">
        <v>0.98</v>
      </c>
      <c r="M387" s="212">
        <v>6861</v>
      </c>
      <c r="N387" s="212">
        <v>52997</v>
      </c>
      <c r="O387" s="171">
        <v>255</v>
      </c>
      <c r="P387" s="271" t="str">
        <f>IFERROR(VLOOKUP(Tabela1[[#This Row],[TAG]],#REF!,14,FALSE),"")</f>
        <v/>
      </c>
      <c r="Q387" s="204" t="e">
        <f t="shared" si="620"/>
        <v>#VALUE!</v>
      </c>
      <c r="R387" s="204" t="e">
        <f t="shared" si="621"/>
        <v>#VALUE!</v>
      </c>
      <c r="S387" s="204" t="e">
        <f t="shared" si="622"/>
        <v>#VALUE!</v>
      </c>
      <c r="T387" s="204" t="e">
        <f t="shared" si="623"/>
        <v>#VALUE!</v>
      </c>
      <c r="U387" s="204" t="e">
        <f t="shared" si="624"/>
        <v>#VALUE!</v>
      </c>
      <c r="V387" s="204" t="e">
        <f t="shared" si="625"/>
        <v>#VALUE!</v>
      </c>
      <c r="W387" s="218">
        <v>732.61</v>
      </c>
      <c r="X387" s="218">
        <v>3220.52</v>
      </c>
      <c r="Y387" s="203">
        <v>0.1</v>
      </c>
      <c r="Z387" s="203">
        <f>IF(Tabela1[[#This Row],[Ano Aquisição]]=2023,0,IFERROR(VLOOKUP(H387,inflação!$F:$H,3,FALSE),""))</f>
        <v>0.31379999999999997</v>
      </c>
      <c r="AA387" s="203">
        <v>0.8</v>
      </c>
      <c r="AB387" s="202">
        <f t="shared" si="642"/>
        <v>-603098.47</v>
      </c>
      <c r="AC387" s="204" t="e">
        <f t="shared" si="626"/>
        <v>#VALUE!</v>
      </c>
      <c r="AD387" s="204" t="e">
        <f t="shared" si="627"/>
        <v>#VALUE!</v>
      </c>
      <c r="AE387" s="204" t="e">
        <f t="shared" si="628"/>
        <v>#VALUE!</v>
      </c>
      <c r="AF387" s="204" t="e">
        <f t="shared" si="629"/>
        <v>#VALUE!</v>
      </c>
      <c r="AG387" s="204" t="e">
        <f t="shared" si="630"/>
        <v>#VALUE!</v>
      </c>
      <c r="AH387" s="204" t="e">
        <f t="shared" si="631"/>
        <v>#VALUE!</v>
      </c>
      <c r="AI387" s="204" t="e">
        <f t="shared" si="632"/>
        <v>#VALUE!</v>
      </c>
      <c r="AJ387" s="205">
        <f t="shared" si="643"/>
        <v>-792350.76988599997</v>
      </c>
      <c r="AK387" s="204" t="e">
        <f t="shared" si="633"/>
        <v>#VALUE!</v>
      </c>
      <c r="AL387" s="204" t="e">
        <f t="shared" si="634"/>
        <v>#VALUE!</v>
      </c>
      <c r="AM387" s="204" t="e">
        <f t="shared" si="635"/>
        <v>#VALUE!</v>
      </c>
      <c r="AN387" s="204" t="e">
        <f t="shared" si="636"/>
        <v>#VALUE!</v>
      </c>
      <c r="AO387" s="204" t="e">
        <f t="shared" si="637"/>
        <v>#VALUE!</v>
      </c>
      <c r="AP387" s="204" t="e">
        <f t="shared" si="638"/>
        <v>#VALUE!</v>
      </c>
      <c r="AQ387" s="204" t="e">
        <f t="shared" si="639"/>
        <v>#VALUE!</v>
      </c>
      <c r="AR387" s="206" t="e">
        <f t="shared" si="644"/>
        <v>#VALUE!</v>
      </c>
      <c r="AS387" s="170" t="e">
        <f t="shared" si="640"/>
        <v>#VALUE!</v>
      </c>
      <c r="AT387" s="170" t="e">
        <f t="shared" si="641"/>
        <v>#VALUE!</v>
      </c>
      <c r="AU387" s="207" t="e">
        <f t="shared" si="645"/>
        <v>#VALUE!</v>
      </c>
      <c r="AV387" s="208" t="e">
        <f t="shared" si="646"/>
        <v>#VALUE!</v>
      </c>
      <c r="AW387" s="201" t="str">
        <f t="shared" si="647"/>
        <v>Confiabilidade em Crescimento</v>
      </c>
      <c r="AX387" s="253" t="e">
        <f>VLOOKUP(D387,#REF!,5,FALSE)</f>
        <v>#REF!</v>
      </c>
      <c r="AY387" s="201"/>
      <c r="AZ387" s="273" t="s">
        <v>1224</v>
      </c>
      <c r="BB387">
        <f>IFERROR(VLOOKUP(Tabela1[[#This Row],[Denominação]],[10]Planilha1!$A:$B,2,FALSE),"")</f>
        <v>228912.83</v>
      </c>
      <c r="BC387" s="219"/>
      <c r="BD387" s="219"/>
      <c r="BE387" s="219"/>
      <c r="BF387" s="219"/>
      <c r="BG387" s="219"/>
      <c r="BH387" s="219"/>
      <c r="BI387" s="219"/>
      <c r="BJ387" s="219"/>
      <c r="BK387" s="219"/>
      <c r="BL387" s="219"/>
    </row>
    <row r="388" spans="1:64" ht="15" hidden="1" customHeight="1" x14ac:dyDescent="0.3">
      <c r="A388" s="253">
        <v>387</v>
      </c>
      <c r="B388" s="171" t="s">
        <v>419</v>
      </c>
      <c r="C388" s="209" t="s">
        <v>240</v>
      </c>
      <c r="D388" s="171">
        <v>10006460</v>
      </c>
      <c r="E388" s="253" t="s">
        <v>1443</v>
      </c>
      <c r="F388" s="210">
        <v>3112</v>
      </c>
      <c r="G388" s="171">
        <v>48109</v>
      </c>
      <c r="H388" s="171">
        <v>2017</v>
      </c>
      <c r="I388" s="213">
        <v>1784599.66</v>
      </c>
      <c r="J388" s="213">
        <v>1106840</v>
      </c>
      <c r="K388" s="170">
        <v>1005323.1400000001</v>
      </c>
      <c r="L388" s="215">
        <v>1</v>
      </c>
      <c r="M388" s="212">
        <v>4634</v>
      </c>
      <c r="N388" s="212">
        <v>51704</v>
      </c>
      <c r="O388" s="171">
        <v>788</v>
      </c>
      <c r="P388" s="271" t="str">
        <f>IFERROR(VLOOKUP(Tabela1[[#This Row],[TAG]],#REF!,14,FALSE),"")</f>
        <v/>
      </c>
      <c r="Q388" s="204" t="e">
        <f t="shared" si="620"/>
        <v>#VALUE!</v>
      </c>
      <c r="R388" s="204" t="e">
        <f t="shared" si="621"/>
        <v>#VALUE!</v>
      </c>
      <c r="S388" s="204" t="e">
        <f t="shared" si="622"/>
        <v>#VALUE!</v>
      </c>
      <c r="T388" s="204" t="e">
        <f t="shared" si="623"/>
        <v>#VALUE!</v>
      </c>
      <c r="U388" s="204" t="e">
        <f t="shared" si="624"/>
        <v>#VALUE!</v>
      </c>
      <c r="V388" s="204" t="e">
        <f t="shared" si="625"/>
        <v>#VALUE!</v>
      </c>
      <c r="W388" s="218">
        <v>668.62</v>
      </c>
      <c r="X388" s="218">
        <v>6636.86</v>
      </c>
      <c r="Y388" s="203">
        <v>0.1</v>
      </c>
      <c r="Z388" s="203">
        <f>IF(Tabela1[[#This Row],[Ano Aquisição]]=2023,0,IFERROR(VLOOKUP(H388,inflação!$F:$H,3,FALSE),""))</f>
        <v>0.31379999999999997</v>
      </c>
      <c r="AA388" s="203">
        <v>0.8</v>
      </c>
      <c r="AB388" s="202">
        <f t="shared" si="642"/>
        <v>-1784599.66</v>
      </c>
      <c r="AC388" s="204" t="e">
        <f t="shared" si="626"/>
        <v>#VALUE!</v>
      </c>
      <c r="AD388" s="204" t="e">
        <f t="shared" si="627"/>
        <v>#VALUE!</v>
      </c>
      <c r="AE388" s="204" t="e">
        <f t="shared" si="628"/>
        <v>#VALUE!</v>
      </c>
      <c r="AF388" s="204" t="e">
        <f t="shared" si="629"/>
        <v>#VALUE!</v>
      </c>
      <c r="AG388" s="204" t="e">
        <f t="shared" si="630"/>
        <v>#VALUE!</v>
      </c>
      <c r="AH388" s="204" t="e">
        <f t="shared" si="631"/>
        <v>#VALUE!</v>
      </c>
      <c r="AI388" s="204" t="e">
        <f t="shared" si="632"/>
        <v>#VALUE!</v>
      </c>
      <c r="AJ388" s="205">
        <f t="shared" si="643"/>
        <v>-2344607.0333079998</v>
      </c>
      <c r="AK388" s="204" t="e">
        <f t="shared" si="633"/>
        <v>#VALUE!</v>
      </c>
      <c r="AL388" s="204" t="e">
        <f t="shared" si="634"/>
        <v>#VALUE!</v>
      </c>
      <c r="AM388" s="204" t="e">
        <f t="shared" si="635"/>
        <v>#VALUE!</v>
      </c>
      <c r="AN388" s="204" t="e">
        <f t="shared" si="636"/>
        <v>#VALUE!</v>
      </c>
      <c r="AO388" s="204" t="e">
        <f t="shared" si="637"/>
        <v>#VALUE!</v>
      </c>
      <c r="AP388" s="204" t="e">
        <f t="shared" si="638"/>
        <v>#VALUE!</v>
      </c>
      <c r="AQ388" s="204" t="e">
        <f t="shared" si="639"/>
        <v>#VALUE!</v>
      </c>
      <c r="AR388" s="206" t="e">
        <f t="shared" si="644"/>
        <v>#VALUE!</v>
      </c>
      <c r="AS388" s="170" t="e">
        <f t="shared" si="640"/>
        <v>#VALUE!</v>
      </c>
      <c r="AT388" s="170" t="e">
        <f t="shared" si="641"/>
        <v>#VALUE!</v>
      </c>
      <c r="AU388" s="207" t="e">
        <f t="shared" si="645"/>
        <v>#VALUE!</v>
      </c>
      <c r="AV388" s="208" t="e">
        <f t="shared" si="646"/>
        <v>#VALUE!</v>
      </c>
      <c r="AW388" s="201" t="str">
        <f t="shared" si="647"/>
        <v>Fase de Vida Útil</v>
      </c>
      <c r="AX388" s="253" t="e">
        <f>VLOOKUP(D388,#REF!,5,FALSE)</f>
        <v>#REF!</v>
      </c>
      <c r="AY388" s="201"/>
      <c r="AZ388" s="273" t="s">
        <v>1224</v>
      </c>
      <c r="BB388">
        <f>IFERROR(VLOOKUP(Tabela1[[#This Row],[Denominação]],[10]Planilha1!$A:$B,2,FALSE),"")</f>
        <v>1005323.1400000001</v>
      </c>
      <c r="BC388" s="219"/>
      <c r="BD388" s="219"/>
      <c r="BE388" s="219"/>
      <c r="BF388" s="219"/>
      <c r="BG388" s="219"/>
      <c r="BH388" s="219"/>
      <c r="BI388" s="219"/>
      <c r="BJ388" s="219"/>
      <c r="BK388" s="219"/>
      <c r="BL388" s="219"/>
    </row>
    <row r="389" spans="1:64" ht="15" hidden="1" customHeight="1" x14ac:dyDescent="0.3">
      <c r="A389" s="268">
        <v>388</v>
      </c>
      <c r="B389" s="201" t="s">
        <v>1054</v>
      </c>
      <c r="C389" s="211" t="s">
        <v>1055</v>
      </c>
      <c r="D389" s="201">
        <v>10006672</v>
      </c>
      <c r="E389" s="253" t="s">
        <v>1444</v>
      </c>
      <c r="F389" s="253">
        <v>3112</v>
      </c>
      <c r="G389" s="201">
        <v>56298</v>
      </c>
      <c r="H389" s="201">
        <v>2022</v>
      </c>
      <c r="I389" s="216">
        <v>2200677</v>
      </c>
      <c r="J389" s="214">
        <v>2038415</v>
      </c>
      <c r="K389" s="170">
        <v>116121.41999999998</v>
      </c>
      <c r="L389" s="207">
        <v>2.0099999999999998</v>
      </c>
      <c r="M389" s="212">
        <v>3268</v>
      </c>
      <c r="N389" s="212">
        <v>3477</v>
      </c>
      <c r="O389" s="171">
        <v>29</v>
      </c>
      <c r="P389" s="271" t="str">
        <f>IFERROR(VLOOKUP(Tabela1[[#This Row],[TAG]],#REF!,14,FALSE),"")</f>
        <v/>
      </c>
      <c r="Q389" s="204" t="e">
        <f t="shared" si="620"/>
        <v>#VALUE!</v>
      </c>
      <c r="R389" s="204" t="e">
        <f t="shared" si="621"/>
        <v>#VALUE!</v>
      </c>
      <c r="S389" s="204" t="e">
        <f t="shared" si="622"/>
        <v>#VALUE!</v>
      </c>
      <c r="T389" s="204" t="e">
        <f t="shared" si="623"/>
        <v>#VALUE!</v>
      </c>
      <c r="U389" s="204" t="e">
        <f t="shared" si="624"/>
        <v>#VALUE!</v>
      </c>
      <c r="V389" s="204" t="e">
        <f t="shared" si="625"/>
        <v>#VALUE!</v>
      </c>
      <c r="W389" s="218">
        <v>594.01</v>
      </c>
      <c r="X389" s="218">
        <v>5707.91</v>
      </c>
      <c r="Y389" s="203">
        <v>0.1</v>
      </c>
      <c r="Z389" s="203">
        <f>IF(Tabela1[[#This Row],[Ano Aquisição]]=2023,0,IFERROR(VLOOKUP(H389,inflação!$F:$H,3,FALSE),""))</f>
        <v>5.79E-2</v>
      </c>
      <c r="AA389" s="203">
        <v>0.8</v>
      </c>
      <c r="AB389" s="202">
        <f t="shared" si="642"/>
        <v>-2200677</v>
      </c>
      <c r="AC389" s="204" t="e">
        <f t="shared" si="626"/>
        <v>#VALUE!</v>
      </c>
      <c r="AD389" s="204" t="e">
        <f t="shared" si="627"/>
        <v>#VALUE!</v>
      </c>
      <c r="AE389" s="204" t="e">
        <f t="shared" si="628"/>
        <v>#VALUE!</v>
      </c>
      <c r="AF389" s="204" t="e">
        <f t="shared" si="629"/>
        <v>#VALUE!</v>
      </c>
      <c r="AG389" s="204" t="e">
        <f t="shared" si="630"/>
        <v>#VALUE!</v>
      </c>
      <c r="AH389" s="204" t="e">
        <f t="shared" si="631"/>
        <v>#VALUE!</v>
      </c>
      <c r="AI389" s="204" t="e">
        <f t="shared" si="632"/>
        <v>#VALUE!</v>
      </c>
      <c r="AJ389" s="205">
        <f t="shared" si="643"/>
        <v>-2328096.1983000003</v>
      </c>
      <c r="AK389" s="204" t="e">
        <f t="shared" si="633"/>
        <v>#VALUE!</v>
      </c>
      <c r="AL389" s="204" t="e">
        <f t="shared" si="634"/>
        <v>#VALUE!</v>
      </c>
      <c r="AM389" s="204" t="e">
        <f t="shared" si="635"/>
        <v>#VALUE!</v>
      </c>
      <c r="AN389" s="204" t="e">
        <f t="shared" si="636"/>
        <v>#VALUE!</v>
      </c>
      <c r="AO389" s="204" t="e">
        <f t="shared" si="637"/>
        <v>#VALUE!</v>
      </c>
      <c r="AP389" s="204" t="e">
        <f t="shared" si="638"/>
        <v>#VALUE!</v>
      </c>
      <c r="AQ389" s="204" t="e">
        <f t="shared" si="639"/>
        <v>#VALUE!</v>
      </c>
      <c r="AR389" s="206" t="e">
        <f t="shared" si="644"/>
        <v>#VALUE!</v>
      </c>
      <c r="AS389" s="170" t="e">
        <f t="shared" si="640"/>
        <v>#VALUE!</v>
      </c>
      <c r="AT389" s="170" t="e">
        <f t="shared" si="641"/>
        <v>#VALUE!</v>
      </c>
      <c r="AU389" s="207" t="e">
        <f t="shared" si="645"/>
        <v>#VALUE!</v>
      </c>
      <c r="AV389" s="208" t="e">
        <f t="shared" si="646"/>
        <v>#VALUE!</v>
      </c>
      <c r="AW389" s="201" t="str">
        <f t="shared" si="647"/>
        <v>Fase de Degradação</v>
      </c>
      <c r="AX389" s="253" t="e">
        <f>VLOOKUP(D389,#REF!,5,FALSE)</f>
        <v>#REF!</v>
      </c>
      <c r="AY389" s="201"/>
      <c r="AZ389" s="273" t="s">
        <v>1224</v>
      </c>
      <c r="BB389">
        <f>IFERROR(VLOOKUP(Tabela1[[#This Row],[Denominação]],[10]Planilha1!$A:$B,2,FALSE),"")</f>
        <v>116121.41999999998</v>
      </c>
      <c r="BC389" s="219"/>
      <c r="BD389" s="219"/>
      <c r="BE389" s="219"/>
      <c r="BF389" s="219"/>
      <c r="BG389" s="219"/>
      <c r="BH389" s="219"/>
      <c r="BI389" s="219"/>
      <c r="BJ389" s="219"/>
      <c r="BK389" s="219"/>
      <c r="BL389" s="219"/>
    </row>
    <row r="390" spans="1:64" ht="15" hidden="1" customHeight="1" x14ac:dyDescent="0.3">
      <c r="A390" s="253">
        <v>389</v>
      </c>
      <c r="B390" s="201" t="s">
        <v>1056</v>
      </c>
      <c r="C390" s="256" t="s">
        <v>1057</v>
      </c>
      <c r="D390" s="201">
        <v>10006673</v>
      </c>
      <c r="E390" s="253" t="s">
        <v>1445</v>
      </c>
      <c r="F390" s="253">
        <v>3115</v>
      </c>
      <c r="G390" s="201">
        <v>56296</v>
      </c>
      <c r="H390" s="201">
        <v>2022</v>
      </c>
      <c r="I390" s="216">
        <v>1905171.66</v>
      </c>
      <c r="J390" s="214">
        <v>1764697</v>
      </c>
      <c r="K390" s="170">
        <v>145590.41000000003</v>
      </c>
      <c r="L390" s="207">
        <v>1.27</v>
      </c>
      <c r="M390" s="212">
        <v>2379</v>
      </c>
      <c r="N390" s="212">
        <v>12007</v>
      </c>
      <c r="O390" s="171">
        <v>133</v>
      </c>
      <c r="P390" s="271" t="str">
        <f>IFERROR(VLOOKUP(Tabela1[[#This Row],[TAG]],#REF!,14,FALSE),"")</f>
        <v/>
      </c>
      <c r="Q390" s="204" t="e">
        <f t="shared" si="620"/>
        <v>#VALUE!</v>
      </c>
      <c r="R390" s="204" t="e">
        <f t="shared" si="621"/>
        <v>#VALUE!</v>
      </c>
      <c r="S390" s="204" t="e">
        <f t="shared" si="622"/>
        <v>#VALUE!</v>
      </c>
      <c r="T390" s="204" t="e">
        <f t="shared" si="623"/>
        <v>#VALUE!</v>
      </c>
      <c r="U390" s="204" t="e">
        <f t="shared" si="624"/>
        <v>#VALUE!</v>
      </c>
      <c r="V390" s="204" t="e">
        <f t="shared" si="625"/>
        <v>#VALUE!</v>
      </c>
      <c r="W390" s="218">
        <v>721.78</v>
      </c>
      <c r="X390" s="218">
        <v>4778.95</v>
      </c>
      <c r="Y390" s="203">
        <v>0.1</v>
      </c>
      <c r="Z390" s="203">
        <f>IF(Tabela1[[#This Row],[Ano Aquisição]]=2023,0,IFERROR(VLOOKUP(H390,inflação!$F:$H,3,FALSE),""))</f>
        <v>5.79E-2</v>
      </c>
      <c r="AA390" s="203">
        <v>0.8</v>
      </c>
      <c r="AB390" s="202">
        <f t="shared" si="642"/>
        <v>-1905171.66</v>
      </c>
      <c r="AC390" s="204" t="e">
        <f t="shared" si="626"/>
        <v>#VALUE!</v>
      </c>
      <c r="AD390" s="204" t="e">
        <f t="shared" si="627"/>
        <v>#VALUE!</v>
      </c>
      <c r="AE390" s="204" t="e">
        <f t="shared" si="628"/>
        <v>#VALUE!</v>
      </c>
      <c r="AF390" s="204" t="e">
        <f t="shared" si="629"/>
        <v>#VALUE!</v>
      </c>
      <c r="AG390" s="204" t="e">
        <f t="shared" si="630"/>
        <v>#VALUE!</v>
      </c>
      <c r="AH390" s="204" t="e">
        <f t="shared" si="631"/>
        <v>#VALUE!</v>
      </c>
      <c r="AI390" s="204" t="e">
        <f t="shared" si="632"/>
        <v>#VALUE!</v>
      </c>
      <c r="AJ390" s="205">
        <f t="shared" si="643"/>
        <v>-2015481.0991140001</v>
      </c>
      <c r="AK390" s="204" t="e">
        <f t="shared" si="633"/>
        <v>#VALUE!</v>
      </c>
      <c r="AL390" s="204" t="e">
        <f t="shared" si="634"/>
        <v>#VALUE!</v>
      </c>
      <c r="AM390" s="204" t="e">
        <f t="shared" si="635"/>
        <v>#VALUE!</v>
      </c>
      <c r="AN390" s="204" t="e">
        <f t="shared" si="636"/>
        <v>#VALUE!</v>
      </c>
      <c r="AO390" s="204" t="e">
        <f t="shared" si="637"/>
        <v>#VALUE!</v>
      </c>
      <c r="AP390" s="204" t="e">
        <f t="shared" si="638"/>
        <v>#VALUE!</v>
      </c>
      <c r="AQ390" s="204" t="e">
        <f t="shared" si="639"/>
        <v>#VALUE!</v>
      </c>
      <c r="AR390" s="206" t="e">
        <f t="shared" si="644"/>
        <v>#VALUE!</v>
      </c>
      <c r="AS390" s="170" t="e">
        <f t="shared" si="640"/>
        <v>#VALUE!</v>
      </c>
      <c r="AT390" s="170" t="e">
        <f t="shared" si="641"/>
        <v>#VALUE!</v>
      </c>
      <c r="AU390" s="207" t="e">
        <f t="shared" si="645"/>
        <v>#VALUE!</v>
      </c>
      <c r="AV390" s="208" t="e">
        <f t="shared" si="646"/>
        <v>#VALUE!</v>
      </c>
      <c r="AW390" s="201" t="str">
        <f t="shared" si="647"/>
        <v>Fase de Degradação</v>
      </c>
      <c r="AX390" s="253" t="e">
        <f>VLOOKUP(D390,#REF!,5,FALSE)</f>
        <v>#REF!</v>
      </c>
      <c r="AY390" s="201"/>
      <c r="AZ390" s="273" t="s">
        <v>1224</v>
      </c>
      <c r="BB390">
        <f>IFERROR(VLOOKUP(Tabela1[[#This Row],[Denominação]],[10]Planilha1!$A:$B,2,FALSE),"")</f>
        <v>145590.41000000003</v>
      </c>
      <c r="BC390" s="219"/>
      <c r="BD390" s="219"/>
      <c r="BE390" s="219"/>
      <c r="BF390" s="219"/>
      <c r="BG390" s="219"/>
      <c r="BH390" s="219"/>
      <c r="BI390" s="219"/>
      <c r="BJ390" s="219"/>
      <c r="BK390" s="219"/>
      <c r="BL390" s="219"/>
    </row>
    <row r="391" spans="1:64" ht="15" hidden="1" customHeight="1" x14ac:dyDescent="0.3">
      <c r="A391" s="268">
        <v>390</v>
      </c>
      <c r="B391" s="201" t="s">
        <v>1058</v>
      </c>
      <c r="C391" s="256" t="s">
        <v>1059</v>
      </c>
      <c r="D391" s="201">
        <v>10006674</v>
      </c>
      <c r="E391" s="253" t="s">
        <v>1446</v>
      </c>
      <c r="F391" s="253">
        <v>3115</v>
      </c>
      <c r="G391" s="201">
        <v>56297</v>
      </c>
      <c r="H391" s="201">
        <v>2022</v>
      </c>
      <c r="I391" s="216">
        <v>1905080.02</v>
      </c>
      <c r="J391" s="214">
        <v>1764612</v>
      </c>
      <c r="K391" s="170">
        <v>197012.75</v>
      </c>
      <c r="L391" s="207">
        <v>1.43</v>
      </c>
      <c r="M391" s="212">
        <v>4537</v>
      </c>
      <c r="N391" s="212">
        <v>12279</v>
      </c>
      <c r="O391" s="171">
        <v>111</v>
      </c>
      <c r="P391" s="271" t="str">
        <f>IFERROR(VLOOKUP(Tabela1[[#This Row],[TAG]],#REF!,14,FALSE),"")</f>
        <v/>
      </c>
      <c r="Q391" s="204" t="e">
        <f t="shared" si="620"/>
        <v>#VALUE!</v>
      </c>
      <c r="R391" s="204" t="e">
        <f t="shared" si="621"/>
        <v>#VALUE!</v>
      </c>
      <c r="S391" s="204" t="e">
        <f t="shared" si="622"/>
        <v>#VALUE!</v>
      </c>
      <c r="T391" s="204" t="e">
        <f t="shared" si="623"/>
        <v>#VALUE!</v>
      </c>
      <c r="U391" s="204" t="e">
        <f t="shared" si="624"/>
        <v>#VALUE!</v>
      </c>
      <c r="V391" s="204" t="e">
        <f t="shared" si="625"/>
        <v>#VALUE!</v>
      </c>
      <c r="W391" s="218">
        <v>612.97</v>
      </c>
      <c r="X391" s="218">
        <v>3076.93</v>
      </c>
      <c r="Y391" s="203">
        <v>0.1</v>
      </c>
      <c r="Z391" s="203">
        <f>IF(Tabela1[[#This Row],[Ano Aquisição]]=2023,0,IFERROR(VLOOKUP(H391,inflação!$F:$H,3,FALSE),""))</f>
        <v>5.79E-2</v>
      </c>
      <c r="AA391" s="203">
        <v>0.8</v>
      </c>
      <c r="AB391" s="202">
        <f t="shared" si="642"/>
        <v>-1905080.02</v>
      </c>
      <c r="AC391" s="204" t="e">
        <f t="shared" si="626"/>
        <v>#VALUE!</v>
      </c>
      <c r="AD391" s="204" t="e">
        <f t="shared" si="627"/>
        <v>#VALUE!</v>
      </c>
      <c r="AE391" s="204" t="e">
        <f t="shared" si="628"/>
        <v>#VALUE!</v>
      </c>
      <c r="AF391" s="204" t="e">
        <f t="shared" si="629"/>
        <v>#VALUE!</v>
      </c>
      <c r="AG391" s="204" t="e">
        <f t="shared" si="630"/>
        <v>#VALUE!</v>
      </c>
      <c r="AH391" s="204" t="e">
        <f t="shared" si="631"/>
        <v>#VALUE!</v>
      </c>
      <c r="AI391" s="204" t="e">
        <f t="shared" si="632"/>
        <v>#VALUE!</v>
      </c>
      <c r="AJ391" s="205">
        <f t="shared" si="643"/>
        <v>-2015384.1531580002</v>
      </c>
      <c r="AK391" s="204" t="e">
        <f t="shared" si="633"/>
        <v>#VALUE!</v>
      </c>
      <c r="AL391" s="204" t="e">
        <f t="shared" si="634"/>
        <v>#VALUE!</v>
      </c>
      <c r="AM391" s="204" t="e">
        <f t="shared" si="635"/>
        <v>#VALUE!</v>
      </c>
      <c r="AN391" s="204" t="e">
        <f t="shared" si="636"/>
        <v>#VALUE!</v>
      </c>
      <c r="AO391" s="204" t="e">
        <f t="shared" si="637"/>
        <v>#VALUE!</v>
      </c>
      <c r="AP391" s="204" t="e">
        <f t="shared" si="638"/>
        <v>#VALUE!</v>
      </c>
      <c r="AQ391" s="204" t="e">
        <f t="shared" si="639"/>
        <v>#VALUE!</v>
      </c>
      <c r="AR391" s="206" t="e">
        <f t="shared" si="644"/>
        <v>#VALUE!</v>
      </c>
      <c r="AS391" s="170" t="e">
        <f t="shared" si="640"/>
        <v>#VALUE!</v>
      </c>
      <c r="AT391" s="170" t="e">
        <f t="shared" si="641"/>
        <v>#VALUE!</v>
      </c>
      <c r="AU391" s="207" t="e">
        <f t="shared" si="645"/>
        <v>#VALUE!</v>
      </c>
      <c r="AV391" s="208" t="e">
        <f t="shared" si="646"/>
        <v>#VALUE!</v>
      </c>
      <c r="AW391" s="201" t="str">
        <f t="shared" si="647"/>
        <v>Fase de Degradação</v>
      </c>
      <c r="AX391" s="253" t="e">
        <f>VLOOKUP(D391,#REF!,5,FALSE)</f>
        <v>#REF!</v>
      </c>
      <c r="AY391" s="201"/>
      <c r="AZ391" s="273" t="s">
        <v>1224</v>
      </c>
      <c r="BB391">
        <f>IFERROR(VLOOKUP(Tabela1[[#This Row],[Denominação]],[10]Planilha1!$A:$B,2,FALSE),"")</f>
        <v>197012.75</v>
      </c>
      <c r="BC391" s="219"/>
      <c r="BD391" s="219"/>
      <c r="BE391" s="219"/>
      <c r="BF391" s="219"/>
      <c r="BG391" s="219"/>
      <c r="BH391" s="219"/>
      <c r="BI391" s="219"/>
      <c r="BJ391" s="219"/>
      <c r="BK391" s="219"/>
      <c r="BL391" s="219"/>
    </row>
    <row r="392" spans="1:64" ht="15" hidden="1" customHeight="1" x14ac:dyDescent="0.3">
      <c r="A392" s="253">
        <v>391</v>
      </c>
      <c r="B392" s="171" t="s">
        <v>320</v>
      </c>
      <c r="C392" s="209" t="s">
        <v>141</v>
      </c>
      <c r="D392" s="171">
        <v>10005941</v>
      </c>
      <c r="E392" s="253" t="s">
        <v>1447</v>
      </c>
      <c r="F392" s="210">
        <v>4511</v>
      </c>
      <c r="G392" s="171">
        <v>41631</v>
      </c>
      <c r="H392" s="171">
        <v>2012</v>
      </c>
      <c r="I392" s="213">
        <v>1880986.67</v>
      </c>
      <c r="J392" s="213">
        <v>690260</v>
      </c>
      <c r="K392" s="170">
        <v>2465082.2700000163</v>
      </c>
      <c r="L392" s="215">
        <v>1.03</v>
      </c>
      <c r="M392" s="212">
        <v>4500</v>
      </c>
      <c r="N392" s="212">
        <v>96558</v>
      </c>
      <c r="O392" s="171">
        <v>2857</v>
      </c>
      <c r="P392" s="271" t="str">
        <f>IFERROR(VLOOKUP(Tabela1[[#This Row],[TAG]],#REF!,14,FALSE),"")</f>
        <v/>
      </c>
      <c r="Q392" s="204" t="e">
        <f t="shared" si="620"/>
        <v>#VALUE!</v>
      </c>
      <c r="R392" s="204" t="e">
        <f t="shared" si="621"/>
        <v>#VALUE!</v>
      </c>
      <c r="S392" s="204" t="e">
        <f t="shared" si="622"/>
        <v>#VALUE!</v>
      </c>
      <c r="T392" s="204" t="e">
        <f t="shared" si="623"/>
        <v>#VALUE!</v>
      </c>
      <c r="U392" s="204" t="e">
        <f t="shared" si="624"/>
        <v>#VALUE!</v>
      </c>
      <c r="V392" s="204" t="e">
        <f t="shared" si="625"/>
        <v>#VALUE!</v>
      </c>
      <c r="W392" s="218">
        <v>634.6</v>
      </c>
      <c r="X392" s="218">
        <v>19129.37</v>
      </c>
      <c r="Y392" s="203">
        <v>0.1</v>
      </c>
      <c r="Z392" s="203">
        <f>IF(Tabela1[[#This Row],[Ano Aquisição]]=2023,0,IFERROR(VLOOKUP(H392,inflação!$F:$H,3,FALSE),""))</f>
        <v>0.66500000000000004</v>
      </c>
      <c r="AA392" s="203">
        <v>0.8</v>
      </c>
      <c r="AB392" s="202">
        <f t="shared" si="642"/>
        <v>-1880986.67</v>
      </c>
      <c r="AC392" s="204" t="e">
        <f t="shared" si="626"/>
        <v>#VALUE!</v>
      </c>
      <c r="AD392" s="204" t="e">
        <f t="shared" si="627"/>
        <v>#VALUE!</v>
      </c>
      <c r="AE392" s="204" t="e">
        <f t="shared" si="628"/>
        <v>#VALUE!</v>
      </c>
      <c r="AF392" s="204" t="e">
        <f t="shared" si="629"/>
        <v>#VALUE!</v>
      </c>
      <c r="AG392" s="204" t="e">
        <f t="shared" si="630"/>
        <v>#VALUE!</v>
      </c>
      <c r="AH392" s="204" t="e">
        <f t="shared" si="631"/>
        <v>#VALUE!</v>
      </c>
      <c r="AI392" s="204" t="e">
        <f t="shared" si="632"/>
        <v>#VALUE!</v>
      </c>
      <c r="AJ392" s="205">
        <f t="shared" si="643"/>
        <v>-3131842.8055500002</v>
      </c>
      <c r="AK392" s="204" t="e">
        <f t="shared" si="633"/>
        <v>#VALUE!</v>
      </c>
      <c r="AL392" s="204" t="e">
        <f t="shared" si="634"/>
        <v>#VALUE!</v>
      </c>
      <c r="AM392" s="204" t="e">
        <f t="shared" si="635"/>
        <v>#VALUE!</v>
      </c>
      <c r="AN392" s="204" t="e">
        <f t="shared" si="636"/>
        <v>#VALUE!</v>
      </c>
      <c r="AO392" s="204" t="e">
        <f t="shared" si="637"/>
        <v>#VALUE!</v>
      </c>
      <c r="AP392" s="204" t="e">
        <f t="shared" si="638"/>
        <v>#VALUE!</v>
      </c>
      <c r="AQ392" s="204" t="e">
        <f t="shared" si="639"/>
        <v>#VALUE!</v>
      </c>
      <c r="AR392" s="206" t="e">
        <f t="shared" si="644"/>
        <v>#VALUE!</v>
      </c>
      <c r="AS392" s="170" t="e">
        <f t="shared" si="640"/>
        <v>#VALUE!</v>
      </c>
      <c r="AT392" s="170" t="e">
        <f t="shared" si="641"/>
        <v>#VALUE!</v>
      </c>
      <c r="AU392" s="207" t="e">
        <f t="shared" si="645"/>
        <v>#VALUE!</v>
      </c>
      <c r="AV392" s="208" t="e">
        <f t="shared" si="646"/>
        <v>#VALUE!</v>
      </c>
      <c r="AW392" s="201" t="str">
        <f t="shared" si="647"/>
        <v>Fase de Vida Útil</v>
      </c>
      <c r="AX392" s="253" t="e">
        <f>VLOOKUP(D392,#REF!,5,FALSE)</f>
        <v>#REF!</v>
      </c>
      <c r="AY392" s="201" t="s">
        <v>1224</v>
      </c>
      <c r="AZ392" s="273" t="s">
        <v>1224</v>
      </c>
      <c r="BB392">
        <f>IFERROR(VLOOKUP(Tabela1[[#This Row],[Denominação]],[10]Planilha1!$A:$B,2,FALSE),"")</f>
        <v>2577918.6900000134</v>
      </c>
      <c r="BC392" s="219"/>
      <c r="BD392" s="219"/>
      <c r="BE392" s="219"/>
      <c r="BF392" s="219"/>
      <c r="BG392" s="219"/>
      <c r="BH392" s="219"/>
      <c r="BI392" s="219"/>
      <c r="BJ392" s="219"/>
      <c r="BK392" s="219"/>
      <c r="BL392" s="219"/>
    </row>
    <row r="393" spans="1:64" ht="15" hidden="1" customHeight="1" x14ac:dyDescent="0.3">
      <c r="A393" s="268">
        <v>392</v>
      </c>
      <c r="B393" s="171" t="s">
        <v>317</v>
      </c>
      <c r="C393" s="209" t="s">
        <v>138</v>
      </c>
      <c r="D393" s="171">
        <v>10006224</v>
      </c>
      <c r="E393" s="253" t="s">
        <v>1448</v>
      </c>
      <c r="F393" s="210">
        <v>4511</v>
      </c>
      <c r="G393" s="171">
        <v>43428</v>
      </c>
      <c r="H393" s="171">
        <v>2013</v>
      </c>
      <c r="I393" s="213">
        <v>1941976.41</v>
      </c>
      <c r="J393" s="213">
        <v>681915</v>
      </c>
      <c r="K393" s="170">
        <v>1889714.9500000058</v>
      </c>
      <c r="L393" s="215">
        <v>0.95</v>
      </c>
      <c r="M393" s="212">
        <v>3523</v>
      </c>
      <c r="N393" s="212">
        <v>88558</v>
      </c>
      <c r="O393" s="171">
        <v>2483</v>
      </c>
      <c r="P393" s="271" t="str">
        <f>IFERROR(VLOOKUP(Tabela1[[#This Row],[TAG]],#REF!,14,FALSE),"")</f>
        <v/>
      </c>
      <c r="Q393" s="204" t="e">
        <f t="shared" si="620"/>
        <v>#VALUE!</v>
      </c>
      <c r="R393" s="204" t="e">
        <f t="shared" si="621"/>
        <v>#VALUE!</v>
      </c>
      <c r="S393" s="204" t="e">
        <f t="shared" si="622"/>
        <v>#VALUE!</v>
      </c>
      <c r="T393" s="204" t="e">
        <f t="shared" si="623"/>
        <v>#VALUE!</v>
      </c>
      <c r="U393" s="204" t="e">
        <f t="shared" si="624"/>
        <v>#VALUE!</v>
      </c>
      <c r="V393" s="204" t="e">
        <f t="shared" si="625"/>
        <v>#VALUE!</v>
      </c>
      <c r="W393" s="218">
        <v>533.02</v>
      </c>
      <c r="X393" s="218">
        <v>13625.7</v>
      </c>
      <c r="Y393" s="203">
        <v>0.1</v>
      </c>
      <c r="Z393" s="203">
        <f>IF(Tabela1[[#This Row],[Ano Aquisição]]=2023,0,IFERROR(VLOOKUP(H393,inflação!$F:$H,3,FALSE),""))</f>
        <v>0.60660000000000003</v>
      </c>
      <c r="AA393" s="203">
        <v>0.8</v>
      </c>
      <c r="AB393" s="202">
        <f t="shared" si="642"/>
        <v>-1941976.41</v>
      </c>
      <c r="AC393" s="204" t="e">
        <f t="shared" si="626"/>
        <v>#VALUE!</v>
      </c>
      <c r="AD393" s="204" t="e">
        <f t="shared" si="627"/>
        <v>#VALUE!</v>
      </c>
      <c r="AE393" s="204" t="e">
        <f t="shared" si="628"/>
        <v>#VALUE!</v>
      </c>
      <c r="AF393" s="204" t="e">
        <f t="shared" si="629"/>
        <v>#VALUE!</v>
      </c>
      <c r="AG393" s="204" t="e">
        <f t="shared" si="630"/>
        <v>#VALUE!</v>
      </c>
      <c r="AH393" s="204" t="e">
        <f t="shared" si="631"/>
        <v>#VALUE!</v>
      </c>
      <c r="AI393" s="204" t="e">
        <f t="shared" si="632"/>
        <v>#VALUE!</v>
      </c>
      <c r="AJ393" s="205">
        <f t="shared" si="643"/>
        <v>-3119979.3003059998</v>
      </c>
      <c r="AK393" s="204" t="e">
        <f t="shared" si="633"/>
        <v>#VALUE!</v>
      </c>
      <c r="AL393" s="204" t="e">
        <f t="shared" si="634"/>
        <v>#VALUE!</v>
      </c>
      <c r="AM393" s="204" t="e">
        <f t="shared" si="635"/>
        <v>#VALUE!</v>
      </c>
      <c r="AN393" s="204" t="e">
        <f t="shared" si="636"/>
        <v>#VALUE!</v>
      </c>
      <c r="AO393" s="204" t="e">
        <f t="shared" si="637"/>
        <v>#VALUE!</v>
      </c>
      <c r="AP393" s="204" t="e">
        <f t="shared" si="638"/>
        <v>#VALUE!</v>
      </c>
      <c r="AQ393" s="204" t="e">
        <f t="shared" si="639"/>
        <v>#VALUE!</v>
      </c>
      <c r="AR393" s="206" t="e">
        <f t="shared" si="644"/>
        <v>#VALUE!</v>
      </c>
      <c r="AS393" s="170" t="e">
        <f t="shared" si="640"/>
        <v>#VALUE!</v>
      </c>
      <c r="AT393" s="170" t="e">
        <f t="shared" si="641"/>
        <v>#VALUE!</v>
      </c>
      <c r="AU393" s="207" t="e">
        <f t="shared" si="645"/>
        <v>#VALUE!</v>
      </c>
      <c r="AV393" s="208" t="e">
        <f t="shared" si="646"/>
        <v>#VALUE!</v>
      </c>
      <c r="AW393" s="201" t="str">
        <f t="shared" si="647"/>
        <v>Confiabilidade em Crescimento</v>
      </c>
      <c r="AX393" s="253" t="e">
        <f>VLOOKUP(D393,#REF!,5,FALSE)</f>
        <v>#REF!</v>
      </c>
      <c r="AY393" s="201" t="s">
        <v>1224</v>
      </c>
      <c r="AZ393" s="273" t="s">
        <v>1224</v>
      </c>
      <c r="BB393">
        <f>IFERROR(VLOOKUP(Tabela1[[#This Row],[Denominação]],[10]Planilha1!$A:$B,2,FALSE),"")</f>
        <v>1889714.9500000058</v>
      </c>
      <c r="BC393" s="219"/>
      <c r="BD393" s="219"/>
      <c r="BE393" s="219"/>
      <c r="BF393" s="219"/>
      <c r="BG393" s="219"/>
      <c r="BH393" s="219"/>
      <c r="BI393" s="219"/>
      <c r="BJ393" s="219"/>
      <c r="BK393" s="219"/>
      <c r="BL393" s="219"/>
    </row>
    <row r="394" spans="1:64" ht="15" hidden="1" customHeight="1" x14ac:dyDescent="0.3">
      <c r="A394" s="253">
        <v>393</v>
      </c>
      <c r="B394" s="171" t="s">
        <v>321</v>
      </c>
      <c r="C394" s="209" t="s">
        <v>142</v>
      </c>
      <c r="D394" s="171">
        <v>10005942</v>
      </c>
      <c r="E394" s="253" t="s">
        <v>1449</v>
      </c>
      <c r="F394" s="210">
        <v>4511</v>
      </c>
      <c r="G394" s="171">
        <v>42111</v>
      </c>
      <c r="H394" s="171">
        <v>2012</v>
      </c>
      <c r="I394" s="213">
        <v>1850532.09</v>
      </c>
      <c r="J394" s="213">
        <v>646891</v>
      </c>
      <c r="K394" s="170">
        <v>2342581.7900000112</v>
      </c>
      <c r="L394" s="215">
        <v>0.99</v>
      </c>
      <c r="M394" s="212">
        <v>4698</v>
      </c>
      <c r="N394" s="212">
        <v>96036</v>
      </c>
      <c r="O394" s="171">
        <v>2580</v>
      </c>
      <c r="P394" s="271" t="str">
        <f>IFERROR(VLOOKUP(Tabela1[[#This Row],[TAG]],#REF!,14,FALSE),"")</f>
        <v/>
      </c>
      <c r="Q394" s="204" t="e">
        <f t="shared" si="620"/>
        <v>#VALUE!</v>
      </c>
      <c r="R394" s="204" t="e">
        <f t="shared" si="621"/>
        <v>#VALUE!</v>
      </c>
      <c r="S394" s="204" t="e">
        <f t="shared" si="622"/>
        <v>#VALUE!</v>
      </c>
      <c r="T394" s="204" t="e">
        <f t="shared" si="623"/>
        <v>#VALUE!</v>
      </c>
      <c r="U394" s="204" t="e">
        <f t="shared" si="624"/>
        <v>#VALUE!</v>
      </c>
      <c r="V394" s="204" t="e">
        <f t="shared" si="625"/>
        <v>#VALUE!</v>
      </c>
      <c r="W394" s="218">
        <v>632.26</v>
      </c>
      <c r="X394" s="218">
        <v>16314.99</v>
      </c>
      <c r="Y394" s="203">
        <v>0.1</v>
      </c>
      <c r="Z394" s="203">
        <f>IF(Tabela1[[#This Row],[Ano Aquisição]]=2023,0,IFERROR(VLOOKUP(H394,inflação!$F:$H,3,FALSE),""))</f>
        <v>0.66500000000000004</v>
      </c>
      <c r="AA394" s="203">
        <v>0.8</v>
      </c>
      <c r="AB394" s="202">
        <f t="shared" si="642"/>
        <v>-1850532.09</v>
      </c>
      <c r="AC394" s="204" t="e">
        <f t="shared" si="626"/>
        <v>#VALUE!</v>
      </c>
      <c r="AD394" s="204" t="e">
        <f t="shared" si="627"/>
        <v>#VALUE!</v>
      </c>
      <c r="AE394" s="204" t="e">
        <f t="shared" si="628"/>
        <v>#VALUE!</v>
      </c>
      <c r="AF394" s="204" t="e">
        <f t="shared" si="629"/>
        <v>#VALUE!</v>
      </c>
      <c r="AG394" s="204" t="e">
        <f t="shared" si="630"/>
        <v>#VALUE!</v>
      </c>
      <c r="AH394" s="204" t="e">
        <f t="shared" si="631"/>
        <v>#VALUE!</v>
      </c>
      <c r="AI394" s="204" t="e">
        <f t="shared" si="632"/>
        <v>#VALUE!</v>
      </c>
      <c r="AJ394" s="205">
        <f t="shared" si="643"/>
        <v>-3081135.9298500004</v>
      </c>
      <c r="AK394" s="204" t="e">
        <f t="shared" si="633"/>
        <v>#VALUE!</v>
      </c>
      <c r="AL394" s="204" t="e">
        <f t="shared" si="634"/>
        <v>#VALUE!</v>
      </c>
      <c r="AM394" s="204" t="e">
        <f t="shared" si="635"/>
        <v>#VALUE!</v>
      </c>
      <c r="AN394" s="204" t="e">
        <f t="shared" si="636"/>
        <v>#VALUE!</v>
      </c>
      <c r="AO394" s="204" t="e">
        <f t="shared" si="637"/>
        <v>#VALUE!</v>
      </c>
      <c r="AP394" s="204" t="e">
        <f t="shared" si="638"/>
        <v>#VALUE!</v>
      </c>
      <c r="AQ394" s="204" t="e">
        <f t="shared" si="639"/>
        <v>#VALUE!</v>
      </c>
      <c r="AR394" s="206" t="e">
        <f t="shared" si="644"/>
        <v>#VALUE!</v>
      </c>
      <c r="AS394" s="170" t="e">
        <f t="shared" si="640"/>
        <v>#VALUE!</v>
      </c>
      <c r="AT394" s="170" t="e">
        <f t="shared" si="641"/>
        <v>#VALUE!</v>
      </c>
      <c r="AU394" s="207" t="e">
        <f t="shared" si="645"/>
        <v>#VALUE!</v>
      </c>
      <c r="AV394" s="208" t="e">
        <f t="shared" si="646"/>
        <v>#VALUE!</v>
      </c>
      <c r="AW394" s="201" t="str">
        <f t="shared" si="647"/>
        <v>Confiabilidade em Crescimento</v>
      </c>
      <c r="AX394" s="253" t="e">
        <f>VLOOKUP(D394,#REF!,5,FALSE)</f>
        <v>#REF!</v>
      </c>
      <c r="AY394" s="201" t="s">
        <v>1224</v>
      </c>
      <c r="AZ394" s="273" t="s">
        <v>1224</v>
      </c>
      <c r="BB394">
        <f>IFERROR(VLOOKUP(Tabela1[[#This Row],[Denominação]],[10]Planilha1!$A:$B,2,FALSE),"")</f>
        <v>2478298.7700000098</v>
      </c>
      <c r="BC394" s="219"/>
      <c r="BD394" s="219"/>
      <c r="BE394" s="219"/>
      <c r="BF394" s="219"/>
      <c r="BG394" s="219"/>
      <c r="BH394" s="219"/>
      <c r="BI394" s="219"/>
      <c r="BJ394" s="219"/>
      <c r="BK394" s="219"/>
      <c r="BL394" s="219"/>
    </row>
    <row r="395" spans="1:64" ht="15" hidden="1" customHeight="1" x14ac:dyDescent="0.3">
      <c r="A395" s="268">
        <v>394</v>
      </c>
      <c r="B395" s="171" t="s">
        <v>316</v>
      </c>
      <c r="C395" s="209" t="s">
        <v>137</v>
      </c>
      <c r="D395" s="171">
        <v>10006225</v>
      </c>
      <c r="E395" s="253" t="s">
        <v>1450</v>
      </c>
      <c r="F395" s="210">
        <v>4511</v>
      </c>
      <c r="G395" s="171">
        <v>43418</v>
      </c>
      <c r="H395" s="171">
        <v>2013</v>
      </c>
      <c r="I395" s="213">
        <v>1931864.09</v>
      </c>
      <c r="J395" s="213">
        <v>755007</v>
      </c>
      <c r="K395" s="170">
        <v>2037232.8200000082</v>
      </c>
      <c r="L395" s="215">
        <v>0.96</v>
      </c>
      <c r="M395" s="212">
        <v>4264</v>
      </c>
      <c r="N395" s="212">
        <v>88200</v>
      </c>
      <c r="O395" s="171">
        <v>2578</v>
      </c>
      <c r="P395" s="271" t="str">
        <f>IFERROR(VLOOKUP(Tabela1[[#This Row],[TAG]],#REF!,14,FALSE),"")</f>
        <v/>
      </c>
      <c r="Q395" s="204" t="e">
        <f t="shared" si="620"/>
        <v>#VALUE!</v>
      </c>
      <c r="R395" s="204" t="e">
        <f t="shared" si="621"/>
        <v>#VALUE!</v>
      </c>
      <c r="S395" s="204" t="e">
        <f t="shared" si="622"/>
        <v>#VALUE!</v>
      </c>
      <c r="T395" s="204" t="e">
        <f t="shared" si="623"/>
        <v>#VALUE!</v>
      </c>
      <c r="U395" s="204" t="e">
        <f t="shared" si="624"/>
        <v>#VALUE!</v>
      </c>
      <c r="V395" s="204" t="e">
        <f t="shared" si="625"/>
        <v>#VALUE!</v>
      </c>
      <c r="W395" s="218">
        <v>553.59</v>
      </c>
      <c r="X395" s="218">
        <v>15118.74</v>
      </c>
      <c r="Y395" s="203">
        <v>0.1</v>
      </c>
      <c r="Z395" s="203">
        <f>IF(Tabela1[[#This Row],[Ano Aquisição]]=2023,0,IFERROR(VLOOKUP(H395,inflação!$F:$H,3,FALSE),""))</f>
        <v>0.60660000000000003</v>
      </c>
      <c r="AA395" s="203">
        <v>0.8</v>
      </c>
      <c r="AB395" s="202">
        <f t="shared" si="642"/>
        <v>-1931864.09</v>
      </c>
      <c r="AC395" s="204" t="e">
        <f t="shared" si="626"/>
        <v>#VALUE!</v>
      </c>
      <c r="AD395" s="204" t="e">
        <f t="shared" si="627"/>
        <v>#VALUE!</v>
      </c>
      <c r="AE395" s="204" t="e">
        <f t="shared" si="628"/>
        <v>#VALUE!</v>
      </c>
      <c r="AF395" s="204" t="e">
        <f t="shared" si="629"/>
        <v>#VALUE!</v>
      </c>
      <c r="AG395" s="204" t="e">
        <f t="shared" si="630"/>
        <v>#VALUE!</v>
      </c>
      <c r="AH395" s="204" t="e">
        <f t="shared" si="631"/>
        <v>#VALUE!</v>
      </c>
      <c r="AI395" s="204" t="e">
        <f t="shared" si="632"/>
        <v>#VALUE!</v>
      </c>
      <c r="AJ395" s="205">
        <f t="shared" si="643"/>
        <v>-3103732.846994</v>
      </c>
      <c r="AK395" s="204" t="e">
        <f t="shared" si="633"/>
        <v>#VALUE!</v>
      </c>
      <c r="AL395" s="204" t="e">
        <f t="shared" si="634"/>
        <v>#VALUE!</v>
      </c>
      <c r="AM395" s="204" t="e">
        <f t="shared" si="635"/>
        <v>#VALUE!</v>
      </c>
      <c r="AN395" s="204" t="e">
        <f t="shared" si="636"/>
        <v>#VALUE!</v>
      </c>
      <c r="AO395" s="204" t="e">
        <f t="shared" si="637"/>
        <v>#VALUE!</v>
      </c>
      <c r="AP395" s="204" t="e">
        <f t="shared" si="638"/>
        <v>#VALUE!</v>
      </c>
      <c r="AQ395" s="204" t="e">
        <f t="shared" si="639"/>
        <v>#VALUE!</v>
      </c>
      <c r="AR395" s="206" t="e">
        <f t="shared" si="644"/>
        <v>#VALUE!</v>
      </c>
      <c r="AS395" s="170" t="e">
        <f t="shared" si="640"/>
        <v>#VALUE!</v>
      </c>
      <c r="AT395" s="170" t="e">
        <f t="shared" si="641"/>
        <v>#VALUE!</v>
      </c>
      <c r="AU395" s="207" t="e">
        <f t="shared" si="645"/>
        <v>#VALUE!</v>
      </c>
      <c r="AV395" s="208" t="e">
        <f t="shared" si="646"/>
        <v>#VALUE!</v>
      </c>
      <c r="AW395" s="201" t="str">
        <f t="shared" si="647"/>
        <v>Confiabilidade em Crescimento</v>
      </c>
      <c r="AX395" s="253" t="e">
        <f>VLOOKUP(D395,#REF!,5,FALSE)</f>
        <v>#REF!</v>
      </c>
      <c r="AY395" s="201" t="s">
        <v>1224</v>
      </c>
      <c r="AZ395" s="273" t="s">
        <v>1224</v>
      </c>
      <c r="BB395">
        <f>IFERROR(VLOOKUP(Tabela1[[#This Row],[Denominação]],[10]Planilha1!$A:$B,2,FALSE),"")</f>
        <v>2037232.8200000082</v>
      </c>
      <c r="BC395" s="219"/>
      <c r="BD395" s="219"/>
      <c r="BE395" s="219"/>
      <c r="BF395" s="219"/>
      <c r="BG395" s="219"/>
      <c r="BH395" s="219"/>
      <c r="BI395" s="219"/>
      <c r="BJ395" s="219"/>
      <c r="BK395" s="219"/>
      <c r="BL395" s="219"/>
    </row>
    <row r="396" spans="1:64" ht="15" hidden="1" customHeight="1" x14ac:dyDescent="0.3">
      <c r="A396" s="253">
        <v>395</v>
      </c>
      <c r="B396" s="171" t="s">
        <v>338</v>
      </c>
      <c r="C396" s="209" t="s">
        <v>159</v>
      </c>
      <c r="D396" s="171">
        <v>10006249</v>
      </c>
      <c r="E396" s="253" t="s">
        <v>1451</v>
      </c>
      <c r="F396" s="210">
        <v>4511</v>
      </c>
      <c r="G396" s="171">
        <v>43500</v>
      </c>
      <c r="H396" s="171">
        <v>2012</v>
      </c>
      <c r="I396" s="213">
        <v>1757823.13</v>
      </c>
      <c r="J396" s="213">
        <v>629475</v>
      </c>
      <c r="K396" s="170">
        <v>1875538.2100000011</v>
      </c>
      <c r="L396" s="215">
        <v>0.92</v>
      </c>
      <c r="M396" s="212">
        <v>4434</v>
      </c>
      <c r="N396" s="212">
        <v>86460</v>
      </c>
      <c r="O396" s="171">
        <v>2114</v>
      </c>
      <c r="P396" s="271" t="str">
        <f>IFERROR(VLOOKUP(Tabela1[[#This Row],[TAG]],#REF!,14,FALSE),"")</f>
        <v/>
      </c>
      <c r="Q396" s="204" t="e">
        <f t="shared" si="620"/>
        <v>#VALUE!</v>
      </c>
      <c r="R396" s="204" t="e">
        <f t="shared" si="621"/>
        <v>#VALUE!</v>
      </c>
      <c r="S396" s="204" t="e">
        <f t="shared" si="622"/>
        <v>#VALUE!</v>
      </c>
      <c r="T396" s="204" t="e">
        <f t="shared" si="623"/>
        <v>#VALUE!</v>
      </c>
      <c r="U396" s="204" t="e">
        <f t="shared" si="624"/>
        <v>#VALUE!</v>
      </c>
      <c r="V396" s="204" t="e">
        <f t="shared" si="625"/>
        <v>#VALUE!</v>
      </c>
      <c r="W396" s="218">
        <v>569.9</v>
      </c>
      <c r="X396" s="218">
        <v>13496.44</v>
      </c>
      <c r="Y396" s="203">
        <v>0.1</v>
      </c>
      <c r="Z396" s="203">
        <f>IF(Tabela1[[#This Row],[Ano Aquisição]]=2023,0,IFERROR(VLOOKUP(H396,inflação!$F:$H,3,FALSE),""))</f>
        <v>0.66500000000000004</v>
      </c>
      <c r="AA396" s="203">
        <v>0.8</v>
      </c>
      <c r="AB396" s="202">
        <f t="shared" si="642"/>
        <v>-1757823.13</v>
      </c>
      <c r="AC396" s="204" t="e">
        <f t="shared" si="626"/>
        <v>#VALUE!</v>
      </c>
      <c r="AD396" s="204" t="e">
        <f t="shared" si="627"/>
        <v>#VALUE!</v>
      </c>
      <c r="AE396" s="204" t="e">
        <f t="shared" si="628"/>
        <v>#VALUE!</v>
      </c>
      <c r="AF396" s="204" t="e">
        <f t="shared" si="629"/>
        <v>#VALUE!</v>
      </c>
      <c r="AG396" s="204" t="e">
        <f t="shared" si="630"/>
        <v>#VALUE!</v>
      </c>
      <c r="AH396" s="204" t="e">
        <f t="shared" si="631"/>
        <v>#VALUE!</v>
      </c>
      <c r="AI396" s="204" t="e">
        <f t="shared" si="632"/>
        <v>#VALUE!</v>
      </c>
      <c r="AJ396" s="205">
        <f t="shared" si="643"/>
        <v>-2926775.5114500001</v>
      </c>
      <c r="AK396" s="204" t="e">
        <f t="shared" si="633"/>
        <v>#VALUE!</v>
      </c>
      <c r="AL396" s="204" t="e">
        <f t="shared" si="634"/>
        <v>#VALUE!</v>
      </c>
      <c r="AM396" s="204" t="e">
        <f t="shared" si="635"/>
        <v>#VALUE!</v>
      </c>
      <c r="AN396" s="204" t="e">
        <f t="shared" si="636"/>
        <v>#VALUE!</v>
      </c>
      <c r="AO396" s="204" t="e">
        <f t="shared" si="637"/>
        <v>#VALUE!</v>
      </c>
      <c r="AP396" s="204" t="e">
        <f t="shared" si="638"/>
        <v>#VALUE!</v>
      </c>
      <c r="AQ396" s="204" t="e">
        <f t="shared" si="639"/>
        <v>#VALUE!</v>
      </c>
      <c r="AR396" s="206" t="e">
        <f t="shared" si="644"/>
        <v>#VALUE!</v>
      </c>
      <c r="AS396" s="170" t="e">
        <f t="shared" si="640"/>
        <v>#VALUE!</v>
      </c>
      <c r="AT396" s="170" t="e">
        <f t="shared" si="641"/>
        <v>#VALUE!</v>
      </c>
      <c r="AU396" s="207" t="e">
        <f t="shared" si="645"/>
        <v>#VALUE!</v>
      </c>
      <c r="AV396" s="208" t="e">
        <f t="shared" si="646"/>
        <v>#VALUE!</v>
      </c>
      <c r="AW396" s="201" t="str">
        <f t="shared" si="647"/>
        <v>Confiabilidade em Crescimento</v>
      </c>
      <c r="AX396" s="253" t="e">
        <f>VLOOKUP(D396,#REF!,5,FALSE)</f>
        <v>#REF!</v>
      </c>
      <c r="AY396" s="201" t="s">
        <v>1224</v>
      </c>
      <c r="AZ396" s="273" t="s">
        <v>1224</v>
      </c>
      <c r="BB396">
        <f>IFERROR(VLOOKUP(Tabela1[[#This Row],[Denominação]],[10]Planilha1!$A:$B,2,FALSE),"")</f>
        <v>1875538.2100000011</v>
      </c>
      <c r="BC396" s="219"/>
      <c r="BD396" s="219"/>
      <c r="BE396" s="219"/>
      <c r="BF396" s="219"/>
      <c r="BG396" s="219"/>
      <c r="BH396" s="219"/>
      <c r="BI396" s="219"/>
      <c r="BJ396" s="219"/>
      <c r="BK396" s="219"/>
      <c r="BL396" s="219"/>
    </row>
    <row r="397" spans="1:64" ht="15" hidden="1" customHeight="1" x14ac:dyDescent="0.3">
      <c r="A397" s="268">
        <v>396</v>
      </c>
      <c r="B397" s="171" t="s">
        <v>335</v>
      </c>
      <c r="C397" s="209" t="s">
        <v>156</v>
      </c>
      <c r="D397" s="171">
        <v>10006442</v>
      </c>
      <c r="E397" s="253" t="s">
        <v>1452</v>
      </c>
      <c r="F397" s="210">
        <v>4511</v>
      </c>
      <c r="G397" s="171">
        <v>46743</v>
      </c>
      <c r="H397" s="171">
        <v>2016</v>
      </c>
      <c r="I397" s="213">
        <v>2904303.76</v>
      </c>
      <c r="J397" s="213">
        <v>1627113</v>
      </c>
      <c r="K397" s="170">
        <v>1120398.690000002</v>
      </c>
      <c r="L397" s="215">
        <v>1.02</v>
      </c>
      <c r="M397" s="212">
        <v>4812</v>
      </c>
      <c r="N397" s="212">
        <v>55059</v>
      </c>
      <c r="O397" s="171">
        <v>1192</v>
      </c>
      <c r="P397" s="271" t="str">
        <f>IFERROR(VLOOKUP(Tabela1[[#This Row],[TAG]],#REF!,14,FALSE),"")</f>
        <v/>
      </c>
      <c r="Q397" s="204" t="e">
        <f t="shared" si="620"/>
        <v>#VALUE!</v>
      </c>
      <c r="R397" s="204" t="e">
        <f t="shared" si="621"/>
        <v>#VALUE!</v>
      </c>
      <c r="S397" s="204" t="e">
        <f t="shared" si="622"/>
        <v>#VALUE!</v>
      </c>
      <c r="T397" s="204" t="e">
        <f t="shared" si="623"/>
        <v>#VALUE!</v>
      </c>
      <c r="U397" s="204" t="e">
        <f t="shared" si="624"/>
        <v>#VALUE!</v>
      </c>
      <c r="V397" s="204" t="e">
        <f t="shared" si="625"/>
        <v>#VALUE!</v>
      </c>
      <c r="W397" s="218">
        <v>571.78</v>
      </c>
      <c r="X397" s="218">
        <v>12536.77</v>
      </c>
      <c r="Y397" s="203">
        <v>0.1</v>
      </c>
      <c r="Z397" s="203">
        <f>IF(Tabela1[[#This Row],[Ano Aquisição]]=2023,0,IFERROR(VLOOKUP(H397,inflação!$F:$H,3,FALSE),""))</f>
        <v>0.37669999999999998</v>
      </c>
      <c r="AA397" s="203">
        <v>0.8</v>
      </c>
      <c r="AB397" s="202">
        <f t="shared" si="642"/>
        <v>-2904303.76</v>
      </c>
      <c r="AC397" s="204" t="e">
        <f t="shared" si="626"/>
        <v>#VALUE!</v>
      </c>
      <c r="AD397" s="204" t="e">
        <f t="shared" si="627"/>
        <v>#VALUE!</v>
      </c>
      <c r="AE397" s="204" t="e">
        <f t="shared" si="628"/>
        <v>#VALUE!</v>
      </c>
      <c r="AF397" s="204" t="e">
        <f t="shared" si="629"/>
        <v>#VALUE!</v>
      </c>
      <c r="AG397" s="204" t="e">
        <f t="shared" si="630"/>
        <v>#VALUE!</v>
      </c>
      <c r="AH397" s="204" t="e">
        <f t="shared" si="631"/>
        <v>#VALUE!</v>
      </c>
      <c r="AI397" s="204" t="e">
        <f t="shared" si="632"/>
        <v>#VALUE!</v>
      </c>
      <c r="AJ397" s="205">
        <f t="shared" si="643"/>
        <v>-3998354.9863919998</v>
      </c>
      <c r="AK397" s="204" t="e">
        <f t="shared" si="633"/>
        <v>#VALUE!</v>
      </c>
      <c r="AL397" s="204" t="e">
        <f t="shared" si="634"/>
        <v>#VALUE!</v>
      </c>
      <c r="AM397" s="204" t="e">
        <f t="shared" si="635"/>
        <v>#VALUE!</v>
      </c>
      <c r="AN397" s="204" t="e">
        <f t="shared" si="636"/>
        <v>#VALUE!</v>
      </c>
      <c r="AO397" s="204" t="e">
        <f t="shared" si="637"/>
        <v>#VALUE!</v>
      </c>
      <c r="AP397" s="204" t="e">
        <f t="shared" si="638"/>
        <v>#VALUE!</v>
      </c>
      <c r="AQ397" s="204" t="e">
        <f t="shared" si="639"/>
        <v>#VALUE!</v>
      </c>
      <c r="AR397" s="206" t="e">
        <f t="shared" si="644"/>
        <v>#VALUE!</v>
      </c>
      <c r="AS397" s="170" t="e">
        <f t="shared" si="640"/>
        <v>#VALUE!</v>
      </c>
      <c r="AT397" s="170" t="e">
        <f t="shared" si="641"/>
        <v>#VALUE!</v>
      </c>
      <c r="AU397" s="207" t="e">
        <f t="shared" si="645"/>
        <v>#VALUE!</v>
      </c>
      <c r="AV397" s="208" t="e">
        <f t="shared" si="646"/>
        <v>#VALUE!</v>
      </c>
      <c r="AW397" s="201" t="str">
        <f t="shared" si="647"/>
        <v>Fase de Vida Útil</v>
      </c>
      <c r="AX397" s="253" t="e">
        <f>VLOOKUP(D397,#REF!,5,FALSE)</f>
        <v>#REF!</v>
      </c>
      <c r="AY397" s="201" t="s">
        <v>1224</v>
      </c>
      <c r="AZ397" s="273" t="s">
        <v>1224</v>
      </c>
      <c r="BB397">
        <f>IFERROR(VLOOKUP(Tabela1[[#This Row],[Denominação]],[10]Planilha1!$A:$B,2,FALSE),"")</f>
        <v>1120398.690000002</v>
      </c>
      <c r="BC397" s="219"/>
      <c r="BD397" s="219"/>
      <c r="BE397" s="219"/>
      <c r="BF397" s="219"/>
      <c r="BG397" s="219"/>
      <c r="BH397" s="219"/>
      <c r="BI397" s="219"/>
      <c r="BJ397" s="219"/>
      <c r="BK397" s="219"/>
      <c r="BL397" s="219"/>
    </row>
    <row r="398" spans="1:64" ht="15" hidden="1" customHeight="1" x14ac:dyDescent="0.3">
      <c r="A398" s="253">
        <v>397</v>
      </c>
      <c r="B398" s="171" t="s">
        <v>344</v>
      </c>
      <c r="C398" s="209" t="s">
        <v>165</v>
      </c>
      <c r="D398" s="171">
        <v>10006331</v>
      </c>
      <c r="E398" s="253" t="s">
        <v>1453</v>
      </c>
      <c r="F398" s="210">
        <v>4511</v>
      </c>
      <c r="G398" s="171">
        <v>45438</v>
      </c>
      <c r="H398" s="171">
        <v>2015</v>
      </c>
      <c r="I398" s="213">
        <v>2234675.9700000002</v>
      </c>
      <c r="J398" s="213">
        <v>998535</v>
      </c>
      <c r="K398" s="170">
        <v>1724837.1500000069</v>
      </c>
      <c r="L398" s="215">
        <v>1.1100000000000001</v>
      </c>
      <c r="M398" s="212">
        <v>4480</v>
      </c>
      <c r="N398" s="212">
        <v>69880</v>
      </c>
      <c r="O398" s="171">
        <v>1600</v>
      </c>
      <c r="P398" s="271" t="str">
        <f>IFERROR(VLOOKUP(Tabela1[[#This Row],[TAG]],#REF!,14,FALSE),"")</f>
        <v/>
      </c>
      <c r="Q398" s="204" t="e">
        <f t="shared" si="620"/>
        <v>#VALUE!</v>
      </c>
      <c r="R398" s="204" t="e">
        <f t="shared" si="621"/>
        <v>#VALUE!</v>
      </c>
      <c r="S398" s="204" t="e">
        <f t="shared" si="622"/>
        <v>#VALUE!</v>
      </c>
      <c r="T398" s="204" t="e">
        <f t="shared" si="623"/>
        <v>#VALUE!</v>
      </c>
      <c r="U398" s="204" t="e">
        <f t="shared" si="624"/>
        <v>#VALUE!</v>
      </c>
      <c r="V398" s="204" t="e">
        <f t="shared" si="625"/>
        <v>#VALUE!</v>
      </c>
      <c r="W398" s="218">
        <v>704.54</v>
      </c>
      <c r="X398" s="218">
        <v>17205.32</v>
      </c>
      <c r="Y398" s="203">
        <v>0.1</v>
      </c>
      <c r="Z398" s="203">
        <f>IF(Tabela1[[#This Row],[Ano Aquisição]]=2023,0,IFERROR(VLOOKUP(H398,inflação!$F:$H,3,FALSE),""))</f>
        <v>0.4834</v>
      </c>
      <c r="AA398" s="203">
        <v>0.8</v>
      </c>
      <c r="AB398" s="202">
        <f t="shared" si="642"/>
        <v>-2234675.9700000002</v>
      </c>
      <c r="AC398" s="204" t="e">
        <f t="shared" si="626"/>
        <v>#VALUE!</v>
      </c>
      <c r="AD398" s="204" t="e">
        <f t="shared" si="627"/>
        <v>#VALUE!</v>
      </c>
      <c r="AE398" s="204" t="e">
        <f t="shared" si="628"/>
        <v>#VALUE!</v>
      </c>
      <c r="AF398" s="204" t="e">
        <f t="shared" si="629"/>
        <v>#VALUE!</v>
      </c>
      <c r="AG398" s="204" t="e">
        <f t="shared" si="630"/>
        <v>#VALUE!</v>
      </c>
      <c r="AH398" s="204" t="e">
        <f t="shared" si="631"/>
        <v>#VALUE!</v>
      </c>
      <c r="AI398" s="204" t="e">
        <f t="shared" si="632"/>
        <v>#VALUE!</v>
      </c>
      <c r="AJ398" s="205">
        <f t="shared" si="643"/>
        <v>-3314918.3338980004</v>
      </c>
      <c r="AK398" s="204" t="e">
        <f t="shared" si="633"/>
        <v>#VALUE!</v>
      </c>
      <c r="AL398" s="204" t="e">
        <f t="shared" si="634"/>
        <v>#VALUE!</v>
      </c>
      <c r="AM398" s="204" t="e">
        <f t="shared" si="635"/>
        <v>#VALUE!</v>
      </c>
      <c r="AN398" s="204" t="e">
        <f t="shared" si="636"/>
        <v>#VALUE!</v>
      </c>
      <c r="AO398" s="204" t="e">
        <f t="shared" si="637"/>
        <v>#VALUE!</v>
      </c>
      <c r="AP398" s="204" t="e">
        <f t="shared" si="638"/>
        <v>#VALUE!</v>
      </c>
      <c r="AQ398" s="204" t="e">
        <f t="shared" si="639"/>
        <v>#VALUE!</v>
      </c>
      <c r="AR398" s="206" t="e">
        <f t="shared" si="644"/>
        <v>#VALUE!</v>
      </c>
      <c r="AS398" s="170" t="e">
        <f t="shared" si="640"/>
        <v>#VALUE!</v>
      </c>
      <c r="AT398" s="170" t="e">
        <f t="shared" si="641"/>
        <v>#VALUE!</v>
      </c>
      <c r="AU398" s="207" t="e">
        <f t="shared" si="645"/>
        <v>#VALUE!</v>
      </c>
      <c r="AV398" s="208" t="e">
        <f t="shared" si="646"/>
        <v>#VALUE!</v>
      </c>
      <c r="AW398" s="201" t="str">
        <f t="shared" si="647"/>
        <v>Fase de Degradação</v>
      </c>
      <c r="AX398" s="253" t="e">
        <f>VLOOKUP(D398,#REF!,5,FALSE)</f>
        <v>#REF!</v>
      </c>
      <c r="AY398" s="201" t="s">
        <v>1224</v>
      </c>
      <c r="AZ398" s="273" t="s">
        <v>1224</v>
      </c>
      <c r="BB398">
        <f>IFERROR(VLOOKUP(Tabela1[[#This Row],[Denominação]],[10]Planilha1!$A:$B,2,FALSE),"")</f>
        <v>1724837.1500000069</v>
      </c>
      <c r="BC398" s="219"/>
      <c r="BD398" s="219"/>
      <c r="BE398" s="219"/>
      <c r="BF398" s="219"/>
      <c r="BG398" s="219"/>
      <c r="BH398" s="219"/>
      <c r="BI398" s="219"/>
      <c r="BJ398" s="219"/>
      <c r="BK398" s="219"/>
      <c r="BL398" s="219"/>
    </row>
    <row r="399" spans="1:64" ht="15" hidden="1" customHeight="1" x14ac:dyDescent="0.3">
      <c r="A399" s="268">
        <v>398</v>
      </c>
      <c r="B399" s="201" t="s">
        <v>799</v>
      </c>
      <c r="C399" s="211" t="s">
        <v>800</v>
      </c>
      <c r="D399" s="201">
        <v>10006581</v>
      </c>
      <c r="E399" s="253" t="s">
        <v>1454</v>
      </c>
      <c r="F399" s="253">
        <v>4511</v>
      </c>
      <c r="G399" s="201">
        <v>50328</v>
      </c>
      <c r="H399" s="201">
        <v>2018</v>
      </c>
      <c r="I399" s="216">
        <v>3433563.83</v>
      </c>
      <c r="J399" s="214">
        <v>2473210</v>
      </c>
      <c r="K399" s="170">
        <v>797819.56999999937</v>
      </c>
      <c r="L399" s="207">
        <v>1.23</v>
      </c>
      <c r="M399" s="212">
        <v>4179</v>
      </c>
      <c r="N399" s="212">
        <v>35905</v>
      </c>
      <c r="O399" s="171">
        <v>880</v>
      </c>
      <c r="P399" s="271" t="str">
        <f>IFERROR(VLOOKUP(Tabela1[[#This Row],[TAG]],#REF!,14,FALSE),"")</f>
        <v/>
      </c>
      <c r="Q399" s="204" t="e">
        <f t="shared" si="620"/>
        <v>#VALUE!</v>
      </c>
      <c r="R399" s="204" t="e">
        <f t="shared" si="621"/>
        <v>#VALUE!</v>
      </c>
      <c r="S399" s="204" t="e">
        <f t="shared" si="622"/>
        <v>#VALUE!</v>
      </c>
      <c r="T399" s="204" t="e">
        <f t="shared" si="623"/>
        <v>#VALUE!</v>
      </c>
      <c r="U399" s="204" t="e">
        <f t="shared" si="624"/>
        <v>#VALUE!</v>
      </c>
      <c r="V399" s="204" t="e">
        <f t="shared" si="625"/>
        <v>#VALUE!</v>
      </c>
      <c r="W399" s="218">
        <v>630.66999999999996</v>
      </c>
      <c r="X399" s="218">
        <v>15657.81</v>
      </c>
      <c r="Y399" s="203">
        <v>0.1</v>
      </c>
      <c r="Z399" s="203">
        <f>IF(Tabela1[[#This Row],[Ano Aquisição]]=2023,0,IFERROR(VLOOKUP(H399,inflação!$F:$H,3,FALSE),""))</f>
        <v>0.2843</v>
      </c>
      <c r="AA399" s="203">
        <v>0.8</v>
      </c>
      <c r="AB399" s="202">
        <f t="shared" si="642"/>
        <v>-3433563.83</v>
      </c>
      <c r="AC399" s="204" t="e">
        <f t="shared" si="626"/>
        <v>#VALUE!</v>
      </c>
      <c r="AD399" s="204" t="e">
        <f t="shared" si="627"/>
        <v>#VALUE!</v>
      </c>
      <c r="AE399" s="204" t="e">
        <f t="shared" si="628"/>
        <v>#VALUE!</v>
      </c>
      <c r="AF399" s="204" t="e">
        <f t="shared" si="629"/>
        <v>#VALUE!</v>
      </c>
      <c r="AG399" s="204" t="e">
        <f t="shared" si="630"/>
        <v>#VALUE!</v>
      </c>
      <c r="AH399" s="204" t="e">
        <f t="shared" si="631"/>
        <v>#VALUE!</v>
      </c>
      <c r="AI399" s="204" t="e">
        <f t="shared" si="632"/>
        <v>#VALUE!</v>
      </c>
      <c r="AJ399" s="205">
        <f t="shared" si="643"/>
        <v>-4409726.0268689999</v>
      </c>
      <c r="AK399" s="204" t="e">
        <f t="shared" si="633"/>
        <v>#VALUE!</v>
      </c>
      <c r="AL399" s="204" t="e">
        <f t="shared" si="634"/>
        <v>#VALUE!</v>
      </c>
      <c r="AM399" s="204" t="e">
        <f t="shared" si="635"/>
        <v>#VALUE!</v>
      </c>
      <c r="AN399" s="204" t="e">
        <f t="shared" si="636"/>
        <v>#VALUE!</v>
      </c>
      <c r="AO399" s="204" t="e">
        <f t="shared" si="637"/>
        <v>#VALUE!</v>
      </c>
      <c r="AP399" s="204" t="e">
        <f t="shared" si="638"/>
        <v>#VALUE!</v>
      </c>
      <c r="AQ399" s="204" t="e">
        <f t="shared" si="639"/>
        <v>#VALUE!</v>
      </c>
      <c r="AR399" s="206" t="e">
        <f t="shared" si="644"/>
        <v>#VALUE!</v>
      </c>
      <c r="AS399" s="170" t="e">
        <f t="shared" si="640"/>
        <v>#VALUE!</v>
      </c>
      <c r="AT399" s="170" t="e">
        <f t="shared" si="641"/>
        <v>#VALUE!</v>
      </c>
      <c r="AU399" s="207" t="e">
        <f t="shared" si="645"/>
        <v>#VALUE!</v>
      </c>
      <c r="AV399" s="208" t="e">
        <f t="shared" si="646"/>
        <v>#VALUE!</v>
      </c>
      <c r="AW399" s="201" t="str">
        <f t="shared" si="647"/>
        <v>Fase de Degradação</v>
      </c>
      <c r="AX399" s="253" t="e">
        <f>VLOOKUP(D399,#REF!,5,FALSE)</f>
        <v>#REF!</v>
      </c>
      <c r="AY399" s="201" t="s">
        <v>1224</v>
      </c>
      <c r="AZ399" s="273" t="s">
        <v>1224</v>
      </c>
      <c r="BB399">
        <f>IFERROR(VLOOKUP(Tabela1[[#This Row],[Denominação]],[10]Planilha1!$A:$B,2,FALSE),"")</f>
        <v>897723.26999999897</v>
      </c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</row>
    <row r="400" spans="1:64" ht="15" hidden="1" customHeight="1" x14ac:dyDescent="0.3">
      <c r="A400" s="253">
        <v>399</v>
      </c>
      <c r="B400" s="201" t="s">
        <v>1060</v>
      </c>
      <c r="C400" s="211" t="s">
        <v>1061</v>
      </c>
      <c r="D400" s="201">
        <v>10006793</v>
      </c>
      <c r="E400" s="253" t="s">
        <v>1455</v>
      </c>
      <c r="F400" s="253">
        <v>4511</v>
      </c>
      <c r="G400" s="201">
        <v>56643</v>
      </c>
      <c r="H400" s="201">
        <v>2021</v>
      </c>
      <c r="I400" s="216">
        <v>4831934.7699999996</v>
      </c>
      <c r="J400" s="214">
        <v>4541123</v>
      </c>
      <c r="K400" s="170">
        <v>241942.26</v>
      </c>
      <c r="L400" s="207">
        <v>0.98</v>
      </c>
      <c r="M400" s="212">
        <v>4062</v>
      </c>
      <c r="N400" s="212">
        <v>10214</v>
      </c>
      <c r="O400" s="171">
        <v>210</v>
      </c>
      <c r="P400" s="271" t="str">
        <f>IFERROR(VLOOKUP(Tabela1[[#This Row],[TAG]],#REF!,14,FALSE),"")</f>
        <v/>
      </c>
      <c r="Q400" s="204" t="e">
        <f>P400+P400</f>
        <v>#VALUE!</v>
      </c>
      <c r="R400" s="204" t="e">
        <f t="shared" si="621"/>
        <v>#VALUE!</v>
      </c>
      <c r="S400" s="204" t="e">
        <f t="shared" si="622"/>
        <v>#VALUE!</v>
      </c>
      <c r="T400" s="204" t="e">
        <f t="shared" si="623"/>
        <v>#VALUE!</v>
      </c>
      <c r="U400" s="204" t="e">
        <f t="shared" si="624"/>
        <v>#VALUE!</v>
      </c>
      <c r="V400" s="204" t="e">
        <f t="shared" si="625"/>
        <v>#VALUE!</v>
      </c>
      <c r="W400" s="218">
        <v>814.43</v>
      </c>
      <c r="X400" s="218">
        <v>14927.8</v>
      </c>
      <c r="Y400" s="203">
        <v>0.1</v>
      </c>
      <c r="Z400" s="203">
        <f>IF(Tabela1[[#This Row],[Ano Aquisição]]=2023,0,IFERROR(VLOOKUP(H400,inflação!$F:$H,3,FALSE),""))</f>
        <v>0.1585</v>
      </c>
      <c r="AA400" s="203">
        <v>0.8</v>
      </c>
      <c r="AB400" s="202">
        <f t="shared" si="642"/>
        <v>-4831934.7699999996</v>
      </c>
      <c r="AC400" s="204" t="e">
        <f t="shared" si="626"/>
        <v>#VALUE!</v>
      </c>
      <c r="AD400" s="204" t="e">
        <f t="shared" si="627"/>
        <v>#VALUE!</v>
      </c>
      <c r="AE400" s="204" t="e">
        <f t="shared" si="628"/>
        <v>#VALUE!</v>
      </c>
      <c r="AF400" s="204" t="e">
        <f t="shared" si="629"/>
        <v>#VALUE!</v>
      </c>
      <c r="AG400" s="204" t="e">
        <f t="shared" si="630"/>
        <v>#VALUE!</v>
      </c>
      <c r="AH400" s="204" t="e">
        <f t="shared" si="631"/>
        <v>#VALUE!</v>
      </c>
      <c r="AI400" s="204" t="e">
        <f t="shared" si="632"/>
        <v>#VALUE!</v>
      </c>
      <c r="AJ400" s="205">
        <f t="shared" si="643"/>
        <v>-5597796.4310449995</v>
      </c>
      <c r="AK400" s="204" t="e">
        <f t="shared" si="633"/>
        <v>#VALUE!</v>
      </c>
      <c r="AL400" s="204" t="e">
        <f t="shared" si="634"/>
        <v>#VALUE!</v>
      </c>
      <c r="AM400" s="204" t="e">
        <f t="shared" si="635"/>
        <v>#VALUE!</v>
      </c>
      <c r="AN400" s="204" t="e">
        <f t="shared" si="636"/>
        <v>#VALUE!</v>
      </c>
      <c r="AO400" s="204" t="e">
        <f t="shared" si="637"/>
        <v>#VALUE!</v>
      </c>
      <c r="AP400" s="204" t="e">
        <f t="shared" si="638"/>
        <v>#VALUE!</v>
      </c>
      <c r="AQ400" s="204" t="e">
        <f t="shared" si="639"/>
        <v>#VALUE!</v>
      </c>
      <c r="AR400" s="206" t="e">
        <f t="shared" si="644"/>
        <v>#VALUE!</v>
      </c>
      <c r="AS400" s="170" t="e">
        <f t="shared" si="640"/>
        <v>#VALUE!</v>
      </c>
      <c r="AT400" s="170" t="e">
        <f t="shared" si="641"/>
        <v>#VALUE!</v>
      </c>
      <c r="AU400" s="207" t="e">
        <f t="shared" si="645"/>
        <v>#VALUE!</v>
      </c>
      <c r="AV400" s="208" t="e">
        <f t="shared" si="646"/>
        <v>#VALUE!</v>
      </c>
      <c r="AW400" s="201" t="str">
        <f t="shared" si="647"/>
        <v>Confiabilidade em Crescimento</v>
      </c>
      <c r="AX400" s="253" t="e">
        <f>VLOOKUP(D400,#REF!,5,FALSE)</f>
        <v>#REF!</v>
      </c>
      <c r="AY400" s="201" t="s">
        <v>1224</v>
      </c>
      <c r="AZ400" s="273" t="s">
        <v>1224</v>
      </c>
      <c r="BB400">
        <f>IFERROR(VLOOKUP(Tabela1[[#This Row],[Denominação]],[10]Planilha1!$A:$B,2,FALSE),"")</f>
        <v>241942.26</v>
      </c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</row>
    <row r="401" spans="1:64" ht="15" hidden="1" customHeight="1" x14ac:dyDescent="0.3">
      <c r="A401" s="268">
        <v>400</v>
      </c>
      <c r="B401" s="201" t="s">
        <v>1062</v>
      </c>
      <c r="C401" s="211" t="s">
        <v>1063</v>
      </c>
      <c r="D401" s="201">
        <v>10006720</v>
      </c>
      <c r="E401" s="253" t="s">
        <v>1456</v>
      </c>
      <c r="F401" s="253">
        <v>4511</v>
      </c>
      <c r="G401" s="201">
        <v>56053</v>
      </c>
      <c r="H401" s="201">
        <v>2021</v>
      </c>
      <c r="I401" s="216">
        <v>4651950.47</v>
      </c>
      <c r="J401" s="214">
        <v>4261666</v>
      </c>
      <c r="K401" s="170">
        <v>286924.26999999961</v>
      </c>
      <c r="L401" s="207">
        <v>0.91</v>
      </c>
      <c r="M401" s="212">
        <v>4555</v>
      </c>
      <c r="N401" s="212">
        <v>12576</v>
      </c>
      <c r="O401" s="171">
        <v>254</v>
      </c>
      <c r="P401" s="271" t="str">
        <f>IFERROR(VLOOKUP(Tabela1[[#This Row],[TAG]],#REF!,14,FALSE),"")</f>
        <v/>
      </c>
      <c r="Q401" s="204" t="e">
        <f>P401+P401</f>
        <v>#VALUE!</v>
      </c>
      <c r="R401" s="204" t="e">
        <f t="shared" si="621"/>
        <v>#VALUE!</v>
      </c>
      <c r="S401" s="204" t="e">
        <f t="shared" si="622"/>
        <v>#VALUE!</v>
      </c>
      <c r="T401" s="204" t="e">
        <f t="shared" si="623"/>
        <v>#VALUE!</v>
      </c>
      <c r="U401" s="204" t="e">
        <f t="shared" si="624"/>
        <v>#VALUE!</v>
      </c>
      <c r="V401" s="204" t="e">
        <f t="shared" si="625"/>
        <v>#VALUE!</v>
      </c>
      <c r="W401" s="218">
        <v>697.4</v>
      </c>
      <c r="X401" s="218">
        <v>13718</v>
      </c>
      <c r="Y401" s="203">
        <v>0.1</v>
      </c>
      <c r="Z401" s="203">
        <f>IF(Tabela1[[#This Row],[Ano Aquisição]]=2023,0,IFERROR(VLOOKUP(H401,inflação!$F:$H,3,FALSE),""))</f>
        <v>0.1585</v>
      </c>
      <c r="AA401" s="203">
        <v>0.8</v>
      </c>
      <c r="AB401" s="202">
        <f t="shared" si="642"/>
        <v>-4651950.47</v>
      </c>
      <c r="AC401" s="204" t="e">
        <f t="shared" si="626"/>
        <v>#VALUE!</v>
      </c>
      <c r="AD401" s="204" t="e">
        <f t="shared" si="627"/>
        <v>#VALUE!</v>
      </c>
      <c r="AE401" s="204" t="e">
        <f t="shared" si="628"/>
        <v>#VALUE!</v>
      </c>
      <c r="AF401" s="204" t="e">
        <f t="shared" si="629"/>
        <v>#VALUE!</v>
      </c>
      <c r="AG401" s="204" t="e">
        <f t="shared" si="630"/>
        <v>#VALUE!</v>
      </c>
      <c r="AH401" s="204" t="e">
        <f t="shared" si="631"/>
        <v>#VALUE!</v>
      </c>
      <c r="AI401" s="204" t="e">
        <f t="shared" si="632"/>
        <v>#VALUE!</v>
      </c>
      <c r="AJ401" s="205">
        <f t="shared" si="643"/>
        <v>-5389284.6194949998</v>
      </c>
      <c r="AK401" s="204" t="e">
        <f t="shared" si="633"/>
        <v>#VALUE!</v>
      </c>
      <c r="AL401" s="204" t="e">
        <f t="shared" si="634"/>
        <v>#VALUE!</v>
      </c>
      <c r="AM401" s="204" t="e">
        <f t="shared" si="635"/>
        <v>#VALUE!</v>
      </c>
      <c r="AN401" s="204" t="e">
        <f t="shared" si="636"/>
        <v>#VALUE!</v>
      </c>
      <c r="AO401" s="204" t="e">
        <f t="shared" si="637"/>
        <v>#VALUE!</v>
      </c>
      <c r="AP401" s="204" t="e">
        <f t="shared" si="638"/>
        <v>#VALUE!</v>
      </c>
      <c r="AQ401" s="204" t="e">
        <f t="shared" si="639"/>
        <v>#VALUE!</v>
      </c>
      <c r="AR401" s="206" t="e">
        <f t="shared" si="644"/>
        <v>#VALUE!</v>
      </c>
      <c r="AS401" s="170" t="e">
        <f t="shared" si="640"/>
        <v>#VALUE!</v>
      </c>
      <c r="AT401" s="170" t="e">
        <f t="shared" si="641"/>
        <v>#VALUE!</v>
      </c>
      <c r="AU401" s="207" t="e">
        <f t="shared" si="645"/>
        <v>#VALUE!</v>
      </c>
      <c r="AV401" s="208" t="e">
        <f t="shared" si="646"/>
        <v>#VALUE!</v>
      </c>
      <c r="AW401" s="201" t="str">
        <f t="shared" si="647"/>
        <v>Confiabilidade em Crescimento</v>
      </c>
      <c r="AX401" s="253" t="e">
        <f>VLOOKUP(D401,#REF!,5,FALSE)</f>
        <v>#REF!</v>
      </c>
      <c r="AY401" s="201" t="s">
        <v>1224</v>
      </c>
      <c r="AZ401" s="273" t="s">
        <v>1224</v>
      </c>
      <c r="BB401">
        <f>IFERROR(VLOOKUP(Tabela1[[#This Row],[Denominação]],[10]Planilha1!$A:$B,2,FALSE),"")</f>
        <v>286924.26999999961</v>
      </c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</row>
    <row r="402" spans="1:64" ht="15" hidden="1" customHeight="1" x14ac:dyDescent="0.3">
      <c r="A402" s="253">
        <v>401</v>
      </c>
      <c r="B402" s="255" t="s">
        <v>1837</v>
      </c>
      <c r="C402" s="211" t="s">
        <v>1706</v>
      </c>
      <c r="D402" s="201">
        <v>10006866</v>
      </c>
      <c r="E402" s="253" t="s">
        <v>1776</v>
      </c>
      <c r="F402" s="253">
        <v>4511</v>
      </c>
      <c r="G402" s="201">
        <v>58893</v>
      </c>
      <c r="H402" s="201">
        <v>2022</v>
      </c>
      <c r="I402" s="216">
        <v>5257504.57</v>
      </c>
      <c r="J402" s="214">
        <v>5111462</v>
      </c>
      <c r="K402" s="170">
        <v>123196.65999999997</v>
      </c>
      <c r="L402" s="207">
        <v>1.74</v>
      </c>
      <c r="M402" s="212">
        <v>3199</v>
      </c>
      <c r="N402" s="212">
        <v>3342</v>
      </c>
      <c r="O402" s="171">
        <v>50</v>
      </c>
      <c r="P402" s="271" t="str">
        <f>IFERROR(VLOOKUP(Tabela1[[#This Row],[TAG]],#REF!,14,FALSE),"")</f>
        <v/>
      </c>
      <c r="Q402" s="204" t="e">
        <f>P402+P402</f>
        <v>#VALUE!</v>
      </c>
      <c r="R402" s="204" t="e">
        <f t="shared" ref="R402:R404" si="648">Q402+P402</f>
        <v>#VALUE!</v>
      </c>
      <c r="S402" s="204" t="e">
        <f t="shared" ref="S402:S404" si="649">R402+P402</f>
        <v>#VALUE!</v>
      </c>
      <c r="T402" s="204" t="e">
        <f t="shared" ref="T402:T404" si="650">S402+P402</f>
        <v>#VALUE!</v>
      </c>
      <c r="U402" s="204" t="e">
        <f t="shared" ref="U402:U404" si="651">T402+P402</f>
        <v>#VALUE!</v>
      </c>
      <c r="V402" s="204" t="e">
        <f t="shared" ref="V402:V404" si="652">U402+P402</f>
        <v>#VALUE!</v>
      </c>
      <c r="W402" s="218">
        <v>1759.52</v>
      </c>
      <c r="X402" s="218">
        <v>20909.37</v>
      </c>
      <c r="Y402" s="203">
        <v>0.1</v>
      </c>
      <c r="Z402" s="203">
        <f>IF(Tabela1[[#This Row],[Ano Aquisição]]=2023,0,IFERROR(VLOOKUP(H402,inflação!$F:$H,3,FALSE),""))</f>
        <v>5.79E-2</v>
      </c>
      <c r="AA402" s="203">
        <v>0.8</v>
      </c>
      <c r="AB402" s="202">
        <f t="shared" si="642"/>
        <v>-5257504.57</v>
      </c>
      <c r="AC402" s="204" t="e">
        <f t="shared" ref="AC402:AC404" si="653">-(((P402*$W402)+($X402*12))*((1+$Y402)^AC$1))</f>
        <v>#VALUE!</v>
      </c>
      <c r="AD402" s="204" t="e">
        <f t="shared" ref="AD402:AD404" si="654">-((((Q402-P402)*$W402)+($X402*12))*((1+$Y402)^AD$1))</f>
        <v>#VALUE!</v>
      </c>
      <c r="AE402" s="204" t="e">
        <f t="shared" ref="AE402:AE404" si="655">-((((R402-Q402)*$W402)+($X402*12))*((1+$Y402)^AE$1))</f>
        <v>#VALUE!</v>
      </c>
      <c r="AF402" s="204" t="e">
        <f t="shared" ref="AF402:AF404" si="656">-((((S402-R402)*$W402)+($X402*12))*((1+$Y402)^AF$1))</f>
        <v>#VALUE!</v>
      </c>
      <c r="AG402" s="204" t="e">
        <f t="shared" ref="AG402:AG404" si="657">-((((T402-S402)*$W402)+($X402*12))*((1+$Y402)^AG$1))</f>
        <v>#VALUE!</v>
      </c>
      <c r="AH402" s="204" t="e">
        <f t="shared" ref="AH402:AH404" si="658">-((((U402-T402)*$W402)+($X402*12))*((1+$Y402)^AH$1))</f>
        <v>#VALUE!</v>
      </c>
      <c r="AI402" s="204" t="e">
        <f t="shared" ref="AI402:AI404" si="659">-((((V402-U402)*$W402)+($X402*12))*((1+$Y402)^AI$1))</f>
        <v>#VALUE!</v>
      </c>
      <c r="AJ402" s="205">
        <f t="shared" si="643"/>
        <v>-5561914.0846030004</v>
      </c>
      <c r="AK402" s="204" t="e">
        <f t="shared" ref="AK402:AK404" si="660">AC402*(1-$AA402)</f>
        <v>#VALUE!</v>
      </c>
      <c r="AL402" s="204" t="e">
        <f t="shared" ref="AL402:AL404" si="661">AD402*(1-$AA402)</f>
        <v>#VALUE!</v>
      </c>
      <c r="AM402" s="204" t="e">
        <f t="shared" ref="AM402:AM404" si="662">AE402*(1-$AA402)</f>
        <v>#VALUE!</v>
      </c>
      <c r="AN402" s="204" t="e">
        <f t="shared" ref="AN402:AN404" si="663">AF402*(1-$AA402)</f>
        <v>#VALUE!</v>
      </c>
      <c r="AO402" s="204" t="e">
        <f t="shared" ref="AO402:AO404" si="664">AG402*(1-$AA402)</f>
        <v>#VALUE!</v>
      </c>
      <c r="AP402" s="204" t="e">
        <f t="shared" ref="AP402:AP404" si="665">AH402*(1-$AA402)</f>
        <v>#VALUE!</v>
      </c>
      <c r="AQ402" s="204" t="e">
        <f t="shared" ref="AQ402:AQ404" si="666">AI402*(1-$AA402)</f>
        <v>#VALUE!</v>
      </c>
      <c r="AR402" s="206" t="e">
        <f t="shared" si="644"/>
        <v>#VALUE!</v>
      </c>
      <c r="AS402" s="170" t="e">
        <f t="shared" ref="AS402:AS404" si="667">SUM(AC402:AI402)</f>
        <v>#VALUE!</v>
      </c>
      <c r="AT402" s="170" t="e">
        <f t="shared" ref="AT402:AT404" si="668">SUM(AK402:AQ402)</f>
        <v>#VALUE!</v>
      </c>
      <c r="AU402" s="207" t="e">
        <f t="shared" si="645"/>
        <v>#VALUE!</v>
      </c>
      <c r="AV402" s="208" t="e">
        <f t="shared" si="646"/>
        <v>#VALUE!</v>
      </c>
      <c r="AW402" s="201" t="str">
        <f t="shared" si="647"/>
        <v>Fase de Degradação</v>
      </c>
      <c r="AX402" s="253" t="e">
        <f>VLOOKUP(D402,#REF!,5,FALSE)</f>
        <v>#REF!</v>
      </c>
      <c r="AY402" s="201" t="s">
        <v>1224</v>
      </c>
      <c r="AZ402" s="273" t="s">
        <v>1224</v>
      </c>
      <c r="BB402">
        <f>IFERROR(VLOOKUP(Tabela1[[#This Row],[Denominação]],[10]Planilha1!$A:$B,2,FALSE),"")</f>
        <v>123196.65999999997</v>
      </c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</row>
    <row r="403" spans="1:64" ht="15" hidden="1" customHeight="1" x14ac:dyDescent="0.3">
      <c r="A403" s="268">
        <v>402</v>
      </c>
      <c r="B403" s="255" t="s">
        <v>1838</v>
      </c>
      <c r="C403" s="211" t="s">
        <v>1707</v>
      </c>
      <c r="D403" s="201">
        <v>10006875</v>
      </c>
      <c r="E403" s="253" t="s">
        <v>1777</v>
      </c>
      <c r="F403" s="253">
        <v>4511</v>
      </c>
      <c r="G403" s="201">
        <v>58894</v>
      </c>
      <c r="H403" s="201">
        <v>2022</v>
      </c>
      <c r="I403" s="216">
        <v>5257637.6500000004</v>
      </c>
      <c r="J403" s="214">
        <v>5111592</v>
      </c>
      <c r="K403" s="170">
        <v>218901.77999999997</v>
      </c>
      <c r="L403" s="207">
        <v>0.97</v>
      </c>
      <c r="M403" s="212">
        <v>3199</v>
      </c>
      <c r="N403" s="212">
        <v>3836</v>
      </c>
      <c r="O403" s="171">
        <v>110</v>
      </c>
      <c r="P403" s="271" t="str">
        <f>IFERROR(VLOOKUP(Tabela1[[#This Row],[TAG]],#REF!,14,FALSE),"")</f>
        <v/>
      </c>
      <c r="Q403" s="204" t="e">
        <f t="shared" ref="Q403" si="669">P403+P403</f>
        <v>#VALUE!</v>
      </c>
      <c r="R403" s="204" t="e">
        <f t="shared" si="648"/>
        <v>#VALUE!</v>
      </c>
      <c r="S403" s="204" t="e">
        <f t="shared" si="649"/>
        <v>#VALUE!</v>
      </c>
      <c r="T403" s="204" t="e">
        <f t="shared" si="650"/>
        <v>#VALUE!</v>
      </c>
      <c r="U403" s="204" t="e">
        <f t="shared" si="651"/>
        <v>#VALUE!</v>
      </c>
      <c r="V403" s="204" t="e">
        <f t="shared" si="652"/>
        <v>#VALUE!</v>
      </c>
      <c r="W403" s="218">
        <v>1086.93</v>
      </c>
      <c r="X403" s="218">
        <v>24787.06</v>
      </c>
      <c r="Y403" s="203">
        <v>0.1</v>
      </c>
      <c r="Z403" s="203">
        <f>IF(Tabela1[[#This Row],[Ano Aquisição]]=2023,0,IFERROR(VLOOKUP(H403,inflação!$F:$H,3,FALSE),""))</f>
        <v>5.79E-2</v>
      </c>
      <c r="AA403" s="203">
        <v>0.8</v>
      </c>
      <c r="AB403" s="202">
        <f t="shared" si="642"/>
        <v>-5257637.6500000004</v>
      </c>
      <c r="AC403" s="204" t="e">
        <f t="shared" si="653"/>
        <v>#VALUE!</v>
      </c>
      <c r="AD403" s="204" t="e">
        <f t="shared" si="654"/>
        <v>#VALUE!</v>
      </c>
      <c r="AE403" s="204" t="e">
        <f t="shared" si="655"/>
        <v>#VALUE!</v>
      </c>
      <c r="AF403" s="204" t="e">
        <f t="shared" si="656"/>
        <v>#VALUE!</v>
      </c>
      <c r="AG403" s="204" t="e">
        <f t="shared" si="657"/>
        <v>#VALUE!</v>
      </c>
      <c r="AH403" s="204" t="e">
        <f t="shared" si="658"/>
        <v>#VALUE!</v>
      </c>
      <c r="AI403" s="204" t="e">
        <f t="shared" si="659"/>
        <v>#VALUE!</v>
      </c>
      <c r="AJ403" s="205">
        <f t="shared" si="643"/>
        <v>-5562054.8699350003</v>
      </c>
      <c r="AK403" s="204" t="e">
        <f t="shared" si="660"/>
        <v>#VALUE!</v>
      </c>
      <c r="AL403" s="204" t="e">
        <f t="shared" si="661"/>
        <v>#VALUE!</v>
      </c>
      <c r="AM403" s="204" t="e">
        <f t="shared" si="662"/>
        <v>#VALUE!</v>
      </c>
      <c r="AN403" s="204" t="e">
        <f t="shared" si="663"/>
        <v>#VALUE!</v>
      </c>
      <c r="AO403" s="204" t="e">
        <f t="shared" si="664"/>
        <v>#VALUE!</v>
      </c>
      <c r="AP403" s="204" t="e">
        <f t="shared" si="665"/>
        <v>#VALUE!</v>
      </c>
      <c r="AQ403" s="204" t="e">
        <f t="shared" si="666"/>
        <v>#VALUE!</v>
      </c>
      <c r="AR403" s="206" t="e">
        <f t="shared" si="644"/>
        <v>#VALUE!</v>
      </c>
      <c r="AS403" s="170" t="e">
        <f t="shared" si="667"/>
        <v>#VALUE!</v>
      </c>
      <c r="AT403" s="170" t="e">
        <f t="shared" si="668"/>
        <v>#VALUE!</v>
      </c>
      <c r="AU403" s="207" t="e">
        <f t="shared" si="645"/>
        <v>#VALUE!</v>
      </c>
      <c r="AV403" s="208" t="e">
        <f t="shared" si="646"/>
        <v>#VALUE!</v>
      </c>
      <c r="AW403" s="201" t="str">
        <f t="shared" si="647"/>
        <v>Confiabilidade em Crescimento</v>
      </c>
      <c r="AX403" s="253" t="e">
        <f>VLOOKUP(D403,#REF!,5,FALSE)</f>
        <v>#REF!</v>
      </c>
      <c r="AY403" s="201" t="s">
        <v>1224</v>
      </c>
      <c r="AZ403" s="273" t="s">
        <v>1224</v>
      </c>
      <c r="BB403">
        <f>IFERROR(VLOOKUP(Tabela1[[#This Row],[Denominação]],[10]Planilha1!$A:$B,2,FALSE),"")</f>
        <v>218901.77999999997</v>
      </c>
      <c r="BC403" s="219"/>
      <c r="BD403" s="219"/>
      <c r="BE403" s="219"/>
      <c r="BF403" s="219"/>
      <c r="BG403" s="219"/>
      <c r="BH403" s="219"/>
      <c r="BI403" s="219"/>
      <c r="BJ403" s="219"/>
      <c r="BK403" s="219"/>
      <c r="BL403" s="219"/>
    </row>
    <row r="404" spans="1:64" ht="15" hidden="1" customHeight="1" x14ac:dyDescent="0.3">
      <c r="A404" s="253">
        <v>403</v>
      </c>
      <c r="B404" s="255" t="s">
        <v>1839</v>
      </c>
      <c r="C404" s="211" t="s">
        <v>1708</v>
      </c>
      <c r="D404" s="201">
        <v>10006876</v>
      </c>
      <c r="E404" s="253" t="s">
        <v>1778</v>
      </c>
      <c r="F404" s="253">
        <v>4511</v>
      </c>
      <c r="G404" s="201">
        <v>58813</v>
      </c>
      <c r="H404" s="201">
        <v>2022</v>
      </c>
      <c r="I404" s="216">
        <v>4297228.9000000004</v>
      </c>
      <c r="J404" s="214">
        <v>4177861</v>
      </c>
      <c r="K404" s="170">
        <v>41378.789999999986</v>
      </c>
      <c r="L404" s="207">
        <v>1.4</v>
      </c>
      <c r="M404" s="212">
        <v>2725</v>
      </c>
      <c r="N404" s="212">
        <v>3843</v>
      </c>
      <c r="O404" s="171">
        <v>66</v>
      </c>
      <c r="P404" s="271" t="str">
        <f>IFERROR(VLOOKUP(Tabela1[[#This Row],[TAG]],#REF!,14,FALSE),"")</f>
        <v/>
      </c>
      <c r="Q404" s="204" t="e">
        <f>P404+P404</f>
        <v>#VALUE!</v>
      </c>
      <c r="R404" s="204" t="e">
        <f t="shared" si="648"/>
        <v>#VALUE!</v>
      </c>
      <c r="S404" s="204" t="e">
        <f t="shared" si="649"/>
        <v>#VALUE!</v>
      </c>
      <c r="T404" s="204" t="e">
        <f t="shared" si="650"/>
        <v>#VALUE!</v>
      </c>
      <c r="U404" s="204" t="e">
        <f t="shared" si="651"/>
        <v>#VALUE!</v>
      </c>
      <c r="V404" s="204" t="e">
        <f t="shared" si="652"/>
        <v>#VALUE!</v>
      </c>
      <c r="W404" s="218">
        <v>380.76</v>
      </c>
      <c r="X404" s="218">
        <v>4256.0200000000004</v>
      </c>
      <c r="Y404" s="203">
        <v>0.1</v>
      </c>
      <c r="Z404" s="203">
        <f>IF(Tabela1[[#This Row],[Ano Aquisição]]=2023,0,IFERROR(VLOOKUP(H404,inflação!$F:$H,3,FALSE),""))</f>
        <v>5.79E-2</v>
      </c>
      <c r="AA404" s="203">
        <v>0.8</v>
      </c>
      <c r="AB404" s="202">
        <f t="shared" si="642"/>
        <v>-4297228.9000000004</v>
      </c>
      <c r="AC404" s="204" t="e">
        <f t="shared" si="653"/>
        <v>#VALUE!</v>
      </c>
      <c r="AD404" s="204" t="e">
        <f t="shared" si="654"/>
        <v>#VALUE!</v>
      </c>
      <c r="AE404" s="204" t="e">
        <f t="shared" si="655"/>
        <v>#VALUE!</v>
      </c>
      <c r="AF404" s="204" t="e">
        <f t="shared" si="656"/>
        <v>#VALUE!</v>
      </c>
      <c r="AG404" s="204" t="e">
        <f t="shared" si="657"/>
        <v>#VALUE!</v>
      </c>
      <c r="AH404" s="204" t="e">
        <f t="shared" si="658"/>
        <v>#VALUE!</v>
      </c>
      <c r="AI404" s="204" t="e">
        <f t="shared" si="659"/>
        <v>#VALUE!</v>
      </c>
      <c r="AJ404" s="205">
        <f t="shared" si="643"/>
        <v>-4546038.4533100007</v>
      </c>
      <c r="AK404" s="204" t="e">
        <f t="shared" si="660"/>
        <v>#VALUE!</v>
      </c>
      <c r="AL404" s="204" t="e">
        <f t="shared" si="661"/>
        <v>#VALUE!</v>
      </c>
      <c r="AM404" s="204" t="e">
        <f t="shared" si="662"/>
        <v>#VALUE!</v>
      </c>
      <c r="AN404" s="204" t="e">
        <f t="shared" si="663"/>
        <v>#VALUE!</v>
      </c>
      <c r="AO404" s="204" t="e">
        <f t="shared" si="664"/>
        <v>#VALUE!</v>
      </c>
      <c r="AP404" s="204" t="e">
        <f t="shared" si="665"/>
        <v>#VALUE!</v>
      </c>
      <c r="AQ404" s="204" t="e">
        <f t="shared" si="666"/>
        <v>#VALUE!</v>
      </c>
      <c r="AR404" s="206" t="e">
        <f t="shared" si="644"/>
        <v>#VALUE!</v>
      </c>
      <c r="AS404" s="170" t="e">
        <f t="shared" si="667"/>
        <v>#VALUE!</v>
      </c>
      <c r="AT404" s="170" t="e">
        <f t="shared" si="668"/>
        <v>#VALUE!</v>
      </c>
      <c r="AU404" s="207" t="e">
        <f t="shared" si="645"/>
        <v>#VALUE!</v>
      </c>
      <c r="AV404" s="208" t="e">
        <f t="shared" si="646"/>
        <v>#VALUE!</v>
      </c>
      <c r="AW404" s="201" t="str">
        <f t="shared" si="647"/>
        <v>Fase de Degradação</v>
      </c>
      <c r="AX404" s="253" t="e">
        <f>VLOOKUP(D404,#REF!,5,FALSE)</f>
        <v>#REF!</v>
      </c>
      <c r="AY404" s="201" t="s">
        <v>1224</v>
      </c>
      <c r="AZ404" s="273" t="s">
        <v>1224</v>
      </c>
      <c r="BB404">
        <f>IFERROR(VLOOKUP(Tabela1[[#This Row],[Denominação]],[10]Planilha1!$A:$B,2,FALSE),"")</f>
        <v>41378.789999999986</v>
      </c>
      <c r="BC404" s="219"/>
      <c r="BD404" s="219"/>
      <c r="BE404" s="219"/>
      <c r="BF404" s="219"/>
      <c r="BG404" s="219"/>
      <c r="BH404" s="219"/>
      <c r="BI404" s="219"/>
      <c r="BJ404" s="219"/>
      <c r="BK404" s="219"/>
      <c r="BL404" s="219"/>
    </row>
    <row r="405" spans="1:64" ht="15" hidden="1" customHeight="1" x14ac:dyDescent="0.3">
      <c r="A405" s="268">
        <v>404</v>
      </c>
      <c r="B405" s="171" t="s">
        <v>588</v>
      </c>
      <c r="C405" s="209" t="s">
        <v>589</v>
      </c>
      <c r="D405" s="171">
        <v>10003287</v>
      </c>
      <c r="E405" s="253" t="s">
        <v>1457</v>
      </c>
      <c r="F405" s="210">
        <v>3349</v>
      </c>
      <c r="G405" s="171">
        <v>20546</v>
      </c>
      <c r="H405" s="171">
        <v>2003</v>
      </c>
      <c r="I405" s="213">
        <v>134588.04999999999</v>
      </c>
      <c r="J405" s="213">
        <v>0</v>
      </c>
      <c r="K405" s="170">
        <v>514783.08000000007</v>
      </c>
      <c r="L405" s="207">
        <v>2.35</v>
      </c>
      <c r="M405" s="212">
        <v>4800</v>
      </c>
      <c r="N405" s="212">
        <v>167224</v>
      </c>
      <c r="O405" s="171">
        <v>630</v>
      </c>
      <c r="P405" s="271" t="str">
        <f>IFERROR(VLOOKUP(Tabela1[[#This Row],[TAG]],#REF!,14,FALSE),"")</f>
        <v/>
      </c>
      <c r="Q405" s="204" t="e">
        <f t="shared" ref="Q405:Q416" si="670">P405+P405</f>
        <v>#VALUE!</v>
      </c>
      <c r="R405" s="204" t="e">
        <f t="shared" ref="R405:R416" si="671">Q405+P405</f>
        <v>#VALUE!</v>
      </c>
      <c r="S405" s="204" t="e">
        <f t="shared" ref="S405:S416" si="672">R405+P405</f>
        <v>#VALUE!</v>
      </c>
      <c r="T405" s="204" t="e">
        <f t="shared" ref="T405:T416" si="673">S405+P405</f>
        <v>#VALUE!</v>
      </c>
      <c r="U405" s="204" t="e">
        <f t="shared" ref="U405:U416" si="674">T405+P405</f>
        <v>#VALUE!</v>
      </c>
      <c r="V405" s="204" t="e">
        <f t="shared" ref="V405:V416" si="675">U405+P405</f>
        <v>#VALUE!</v>
      </c>
      <c r="W405" s="218">
        <v>388.7</v>
      </c>
      <c r="X405" s="218">
        <v>1912.42</v>
      </c>
      <c r="Y405" s="203">
        <v>0.1</v>
      </c>
      <c r="Z405" s="203">
        <f>IF(Tabela1[[#This Row],[Ano Aquisição]]=2023,0,IFERROR(VLOOKUP(H405,inflação!$F:$H,3,FALSE),""))</f>
        <v>1.1931</v>
      </c>
      <c r="AA405" s="203">
        <v>0.8</v>
      </c>
      <c r="AB405" s="202">
        <f t="shared" si="642"/>
        <v>-134588.04999999999</v>
      </c>
      <c r="AC405" s="204" t="e">
        <f t="shared" ref="AC405:AC416" si="676">-(((P405*$W405)+($X405*12))*((1+$Y405)^AC$1))</f>
        <v>#VALUE!</v>
      </c>
      <c r="AD405" s="204" t="e">
        <f t="shared" ref="AD405:AD416" si="677">-((((Q405-P405)*$W405)+($X405*12))*((1+$Y405)^AD$1))</f>
        <v>#VALUE!</v>
      </c>
      <c r="AE405" s="204" t="e">
        <f t="shared" ref="AE405:AE416" si="678">-((((R405-Q405)*$W405)+($X405*12))*((1+$Y405)^AE$1))</f>
        <v>#VALUE!</v>
      </c>
      <c r="AF405" s="204" t="e">
        <f t="shared" ref="AF405:AF416" si="679">-((((S405-R405)*$W405)+($X405*12))*((1+$Y405)^AF$1))</f>
        <v>#VALUE!</v>
      </c>
      <c r="AG405" s="204" t="e">
        <f t="shared" ref="AG405:AG416" si="680">-((((T405-S405)*$W405)+($X405*12))*((1+$Y405)^AG$1))</f>
        <v>#VALUE!</v>
      </c>
      <c r="AH405" s="204" t="e">
        <f t="shared" ref="AH405:AH416" si="681">-((((U405-T405)*$W405)+($X405*12))*((1+$Y405)^AH$1))</f>
        <v>#VALUE!</v>
      </c>
      <c r="AI405" s="204" t="e">
        <f t="shared" ref="AI405:AI416" si="682">-((((V405-U405)*$W405)+($X405*12))*((1+$Y405)^AI$1))</f>
        <v>#VALUE!</v>
      </c>
      <c r="AJ405" s="205">
        <f t="shared" si="643"/>
        <v>-295165.052455</v>
      </c>
      <c r="AK405" s="204" t="e">
        <f t="shared" ref="AK405:AK416" si="683">AC405*(1-$AA405)</f>
        <v>#VALUE!</v>
      </c>
      <c r="AL405" s="204" t="e">
        <f t="shared" ref="AL405:AL416" si="684">AD405*(1-$AA405)</f>
        <v>#VALUE!</v>
      </c>
      <c r="AM405" s="204" t="e">
        <f t="shared" ref="AM405:AM416" si="685">AE405*(1-$AA405)</f>
        <v>#VALUE!</v>
      </c>
      <c r="AN405" s="204" t="e">
        <f t="shared" ref="AN405:AN416" si="686">AF405*(1-$AA405)</f>
        <v>#VALUE!</v>
      </c>
      <c r="AO405" s="204" t="e">
        <f t="shared" ref="AO405:AO416" si="687">AG405*(1-$AA405)</f>
        <v>#VALUE!</v>
      </c>
      <c r="AP405" s="204" t="e">
        <f t="shared" ref="AP405:AP416" si="688">AH405*(1-$AA405)</f>
        <v>#VALUE!</v>
      </c>
      <c r="AQ405" s="204" t="e">
        <f t="shared" ref="AQ405:AQ416" si="689">AI405*(1-$AA405)</f>
        <v>#VALUE!</v>
      </c>
      <c r="AR405" s="206" t="e">
        <f t="shared" si="644"/>
        <v>#VALUE!</v>
      </c>
      <c r="AS405" s="170" t="e">
        <f t="shared" ref="AS405:AS416" si="690">SUM(AC405:AI405)</f>
        <v>#VALUE!</v>
      </c>
      <c r="AT405" s="170" t="e">
        <f t="shared" ref="AT405:AT416" si="691">SUM(AK405:AQ405)</f>
        <v>#VALUE!</v>
      </c>
      <c r="AU405" s="207" t="e">
        <f t="shared" si="645"/>
        <v>#VALUE!</v>
      </c>
      <c r="AV405" s="208" t="e">
        <f t="shared" si="646"/>
        <v>#VALUE!</v>
      </c>
      <c r="AW405" s="201" t="str">
        <f t="shared" si="647"/>
        <v>Fase de Degradação</v>
      </c>
      <c r="AX405" s="253" t="e">
        <f>VLOOKUP(D405,#REF!,5,FALSE)</f>
        <v>#REF!</v>
      </c>
      <c r="AY405" s="201"/>
      <c r="AZ405" s="273" t="s">
        <v>1224</v>
      </c>
      <c r="BB405">
        <f>IFERROR(VLOOKUP(Tabela1[[#This Row],[Denominação]],[10]Planilha1!$A:$B,2,FALSE),"")</f>
        <v>514783.08000000007</v>
      </c>
      <c r="BC405" s="219"/>
      <c r="BD405" s="219"/>
      <c r="BE405" s="219"/>
      <c r="BF405" s="219"/>
      <c r="BG405" s="219"/>
      <c r="BH405" s="219"/>
      <c r="BI405" s="219"/>
      <c r="BJ405" s="219"/>
      <c r="BK405" s="219"/>
      <c r="BL405" s="219"/>
    </row>
    <row r="406" spans="1:64" ht="15" hidden="1" customHeight="1" x14ac:dyDescent="0.3">
      <c r="A406" s="253">
        <v>405</v>
      </c>
      <c r="B406" s="254" t="s">
        <v>421</v>
      </c>
      <c r="C406" s="267" t="s">
        <v>243</v>
      </c>
      <c r="D406" s="254">
        <v>10003208</v>
      </c>
      <c r="E406" s="253" t="s">
        <v>1458</v>
      </c>
      <c r="F406" s="268">
        <v>4614</v>
      </c>
      <c r="G406" s="254" t="s">
        <v>875</v>
      </c>
      <c r="H406" s="254">
        <v>2003</v>
      </c>
      <c r="I406" s="269">
        <v>467055.57</v>
      </c>
      <c r="J406" s="269">
        <v>0</v>
      </c>
      <c r="K406" s="170">
        <v>1146502.6699999983</v>
      </c>
      <c r="L406" s="215">
        <v>1.51</v>
      </c>
      <c r="M406" s="212">
        <v>3200</v>
      </c>
      <c r="N406" s="212">
        <v>176032</v>
      </c>
      <c r="O406" s="171">
        <v>1548</v>
      </c>
      <c r="P406" s="271" t="str">
        <f>IFERROR(VLOOKUP(Tabela1[[#This Row],[TAG]],#REF!,14,FALSE),"")</f>
        <v/>
      </c>
      <c r="Q406" s="204" t="e">
        <f t="shared" si="670"/>
        <v>#VALUE!</v>
      </c>
      <c r="R406" s="204" t="e">
        <f t="shared" si="671"/>
        <v>#VALUE!</v>
      </c>
      <c r="S406" s="204" t="e">
        <f t="shared" si="672"/>
        <v>#VALUE!</v>
      </c>
      <c r="T406" s="204" t="e">
        <f t="shared" si="673"/>
        <v>#VALUE!</v>
      </c>
      <c r="U406" s="204" t="e">
        <f t="shared" si="674"/>
        <v>#VALUE!</v>
      </c>
      <c r="V406" s="204" t="e">
        <f t="shared" si="675"/>
        <v>#VALUE!</v>
      </c>
      <c r="W406" s="218">
        <v>569.54</v>
      </c>
      <c r="X406" s="218">
        <v>4656.6400000000003</v>
      </c>
      <c r="Y406" s="203">
        <v>0.1</v>
      </c>
      <c r="Z406" s="203">
        <f>IF(Tabela1[[#This Row],[Ano Aquisição]]=2023,0,IFERROR(VLOOKUP(H406,inflação!$F:$H,3,FALSE),""))</f>
        <v>1.1931</v>
      </c>
      <c r="AA406" s="203">
        <v>0.8</v>
      </c>
      <c r="AB406" s="202">
        <f t="shared" si="642"/>
        <v>-467055.57</v>
      </c>
      <c r="AC406" s="204" t="e">
        <f t="shared" si="676"/>
        <v>#VALUE!</v>
      </c>
      <c r="AD406" s="204" t="e">
        <f t="shared" si="677"/>
        <v>#VALUE!</v>
      </c>
      <c r="AE406" s="204" t="e">
        <f t="shared" si="678"/>
        <v>#VALUE!</v>
      </c>
      <c r="AF406" s="204" t="e">
        <f t="shared" si="679"/>
        <v>#VALUE!</v>
      </c>
      <c r="AG406" s="204" t="e">
        <f t="shared" si="680"/>
        <v>#VALUE!</v>
      </c>
      <c r="AH406" s="204" t="e">
        <f t="shared" si="681"/>
        <v>#VALUE!</v>
      </c>
      <c r="AI406" s="204" t="e">
        <f t="shared" si="682"/>
        <v>#VALUE!</v>
      </c>
      <c r="AJ406" s="205">
        <f t="shared" si="643"/>
        <v>-1024299.5705670002</v>
      </c>
      <c r="AK406" s="204" t="e">
        <f t="shared" si="683"/>
        <v>#VALUE!</v>
      </c>
      <c r="AL406" s="204" t="e">
        <f t="shared" si="684"/>
        <v>#VALUE!</v>
      </c>
      <c r="AM406" s="204" t="e">
        <f t="shared" si="685"/>
        <v>#VALUE!</v>
      </c>
      <c r="AN406" s="204" t="e">
        <f t="shared" si="686"/>
        <v>#VALUE!</v>
      </c>
      <c r="AO406" s="204" t="e">
        <f t="shared" si="687"/>
        <v>#VALUE!</v>
      </c>
      <c r="AP406" s="204" t="e">
        <f t="shared" si="688"/>
        <v>#VALUE!</v>
      </c>
      <c r="AQ406" s="204" t="e">
        <f t="shared" si="689"/>
        <v>#VALUE!</v>
      </c>
      <c r="AR406" s="206" t="e">
        <f t="shared" si="644"/>
        <v>#VALUE!</v>
      </c>
      <c r="AS406" s="170" t="e">
        <f t="shared" si="690"/>
        <v>#VALUE!</v>
      </c>
      <c r="AT406" s="170" t="e">
        <f t="shared" si="691"/>
        <v>#VALUE!</v>
      </c>
      <c r="AU406" s="207" t="e">
        <f t="shared" si="645"/>
        <v>#VALUE!</v>
      </c>
      <c r="AV406" s="208" t="e">
        <f t="shared" si="646"/>
        <v>#VALUE!</v>
      </c>
      <c r="AW406" s="201" t="str">
        <f t="shared" si="647"/>
        <v>Fase de Degradação</v>
      </c>
      <c r="AX406" s="253" t="e">
        <f>VLOOKUP(D406,#REF!,5,FALSE)</f>
        <v>#REF!</v>
      </c>
      <c r="AY406" s="201" t="s">
        <v>1224</v>
      </c>
      <c r="AZ406" s="273" t="s">
        <v>1224</v>
      </c>
      <c r="BB406">
        <f>IFERROR(VLOOKUP(Tabela1[[#This Row],[Denominação]],[10]Planilha1!$A:$B,2,FALSE),"")</f>
        <v>1146502.6699999983</v>
      </c>
      <c r="BC406" s="219"/>
      <c r="BD406" s="219"/>
      <c r="BE406" s="219"/>
      <c r="BF406" s="219"/>
      <c r="BG406" s="219"/>
      <c r="BH406" s="219"/>
      <c r="BI406" s="219"/>
      <c r="BJ406" s="219"/>
      <c r="BK406" s="219"/>
      <c r="BL406" s="219"/>
    </row>
    <row r="407" spans="1:64" ht="15" hidden="1" customHeight="1" x14ac:dyDescent="0.3">
      <c r="A407" s="268">
        <v>406</v>
      </c>
      <c r="B407" s="171" t="s">
        <v>258</v>
      </c>
      <c r="C407" s="209" t="s">
        <v>259</v>
      </c>
      <c r="D407" s="171">
        <v>10003950</v>
      </c>
      <c r="E407" s="253" t="s">
        <v>1459</v>
      </c>
      <c r="F407" s="210">
        <v>4614</v>
      </c>
      <c r="G407" s="171">
        <v>20674</v>
      </c>
      <c r="H407" s="171">
        <v>2003</v>
      </c>
      <c r="I407" s="213">
        <v>465861</v>
      </c>
      <c r="J407" s="213">
        <v>62035</v>
      </c>
      <c r="K407" s="170">
        <v>948980.86000000034</v>
      </c>
      <c r="L407" s="215">
        <v>1.17</v>
      </c>
      <c r="M407" s="212">
        <v>3200</v>
      </c>
      <c r="N407" s="212">
        <v>148214</v>
      </c>
      <c r="O407" s="171">
        <v>1249</v>
      </c>
      <c r="P407" s="271" t="str">
        <f>IFERROR(VLOOKUP(Tabela1[[#This Row],[TAG]],#REF!,14,FALSE),"")</f>
        <v/>
      </c>
      <c r="Q407" s="204" t="e">
        <f>P407+P407</f>
        <v>#VALUE!</v>
      </c>
      <c r="R407" s="204" t="e">
        <f t="shared" si="671"/>
        <v>#VALUE!</v>
      </c>
      <c r="S407" s="204" t="e">
        <f t="shared" si="672"/>
        <v>#VALUE!</v>
      </c>
      <c r="T407" s="204" t="e">
        <f t="shared" si="673"/>
        <v>#VALUE!</v>
      </c>
      <c r="U407" s="204" t="e">
        <f t="shared" si="674"/>
        <v>#VALUE!</v>
      </c>
      <c r="V407" s="204" t="e">
        <f t="shared" si="675"/>
        <v>#VALUE!</v>
      </c>
      <c r="W407" s="218">
        <v>503.27</v>
      </c>
      <c r="X407" s="218">
        <v>5167.3900000000003</v>
      </c>
      <c r="Y407" s="203">
        <v>0.1</v>
      </c>
      <c r="Z407" s="203">
        <f>IF(Tabela1[[#This Row],[Ano Aquisição]]=2023,0,IFERROR(VLOOKUP(H407,inflação!$F:$H,3,FALSE),""))</f>
        <v>1.1931</v>
      </c>
      <c r="AA407" s="203">
        <v>0.8</v>
      </c>
      <c r="AB407" s="202">
        <f t="shared" si="642"/>
        <v>-465861</v>
      </c>
      <c r="AC407" s="204" t="e">
        <f t="shared" si="676"/>
        <v>#VALUE!</v>
      </c>
      <c r="AD407" s="204" t="e">
        <f t="shared" si="677"/>
        <v>#VALUE!</v>
      </c>
      <c r="AE407" s="204" t="e">
        <f t="shared" si="678"/>
        <v>#VALUE!</v>
      </c>
      <c r="AF407" s="204" t="e">
        <f t="shared" si="679"/>
        <v>#VALUE!</v>
      </c>
      <c r="AG407" s="204" t="e">
        <f t="shared" si="680"/>
        <v>#VALUE!</v>
      </c>
      <c r="AH407" s="204" t="e">
        <f t="shared" si="681"/>
        <v>#VALUE!</v>
      </c>
      <c r="AI407" s="204" t="e">
        <f t="shared" si="682"/>
        <v>#VALUE!</v>
      </c>
      <c r="AJ407" s="205">
        <f t="shared" si="643"/>
        <v>-1021679.7591000001</v>
      </c>
      <c r="AK407" s="204" t="e">
        <f t="shared" si="683"/>
        <v>#VALUE!</v>
      </c>
      <c r="AL407" s="204" t="e">
        <f t="shared" si="684"/>
        <v>#VALUE!</v>
      </c>
      <c r="AM407" s="204" t="e">
        <f t="shared" si="685"/>
        <v>#VALUE!</v>
      </c>
      <c r="AN407" s="204" t="e">
        <f t="shared" si="686"/>
        <v>#VALUE!</v>
      </c>
      <c r="AO407" s="204" t="e">
        <f t="shared" si="687"/>
        <v>#VALUE!</v>
      </c>
      <c r="AP407" s="204" t="e">
        <f t="shared" si="688"/>
        <v>#VALUE!</v>
      </c>
      <c r="AQ407" s="204" t="e">
        <f t="shared" si="689"/>
        <v>#VALUE!</v>
      </c>
      <c r="AR407" s="206" t="e">
        <f t="shared" si="644"/>
        <v>#VALUE!</v>
      </c>
      <c r="AS407" s="170" t="e">
        <f t="shared" si="690"/>
        <v>#VALUE!</v>
      </c>
      <c r="AT407" s="170" t="e">
        <f t="shared" si="691"/>
        <v>#VALUE!</v>
      </c>
      <c r="AU407" s="207" t="e">
        <f t="shared" si="645"/>
        <v>#VALUE!</v>
      </c>
      <c r="AV407" s="208" t="e">
        <f t="shared" si="646"/>
        <v>#VALUE!</v>
      </c>
      <c r="AW407" s="201" t="str">
        <f t="shared" si="647"/>
        <v>Fase de Degradação</v>
      </c>
      <c r="AX407" s="253" t="e">
        <f>VLOOKUP(D407,#REF!,5,FALSE)</f>
        <v>#REF!</v>
      </c>
      <c r="AY407" s="201" t="s">
        <v>1224</v>
      </c>
      <c r="AZ407" s="273" t="s">
        <v>1224</v>
      </c>
      <c r="BB407">
        <f>IFERROR(VLOOKUP(Tabela1[[#This Row],[Denominação]],[10]Planilha1!$A:$B,2,FALSE),"")</f>
        <v>948980.86000000034</v>
      </c>
      <c r="BC407" s="219"/>
      <c r="BD407" s="219"/>
      <c r="BE407" s="219"/>
      <c r="BF407" s="219"/>
      <c r="BG407" s="219"/>
      <c r="BH407" s="219"/>
      <c r="BI407" s="219"/>
      <c r="BJ407" s="219"/>
      <c r="BK407" s="219"/>
      <c r="BL407" s="219"/>
    </row>
    <row r="408" spans="1:64" ht="15" hidden="1" customHeight="1" x14ac:dyDescent="0.3">
      <c r="A408" s="253">
        <v>407</v>
      </c>
      <c r="B408" s="201" t="s">
        <v>1064</v>
      </c>
      <c r="C408" s="211" t="s">
        <v>1065</v>
      </c>
      <c r="D408" s="201">
        <v>10005494</v>
      </c>
      <c r="E408" s="253" t="s">
        <v>1460</v>
      </c>
      <c r="F408" s="253">
        <v>4716</v>
      </c>
      <c r="G408" s="201">
        <v>51017</v>
      </c>
      <c r="H408" s="201">
        <v>2008</v>
      </c>
      <c r="I408" s="216">
        <v>33025.07</v>
      </c>
      <c r="J408" s="214">
        <v>6281</v>
      </c>
      <c r="K408" s="170">
        <v>18304.18</v>
      </c>
      <c r="L408" s="207">
        <v>0.59</v>
      </c>
      <c r="M408" s="212">
        <v>4500</v>
      </c>
      <c r="N408" s="212">
        <v>122749</v>
      </c>
      <c r="O408" s="171">
        <v>46</v>
      </c>
      <c r="P408" s="271" t="str">
        <f>IFERROR(VLOOKUP(Tabela1[[#This Row],[TAG]],#REF!,14,FALSE),"")</f>
        <v/>
      </c>
      <c r="Q408" s="204" t="e">
        <f t="shared" si="670"/>
        <v>#VALUE!</v>
      </c>
      <c r="R408" s="204" t="e">
        <f t="shared" si="671"/>
        <v>#VALUE!</v>
      </c>
      <c r="S408" s="204" t="e">
        <f t="shared" si="672"/>
        <v>#VALUE!</v>
      </c>
      <c r="T408" s="204" t="e">
        <f t="shared" si="673"/>
        <v>#VALUE!</v>
      </c>
      <c r="U408" s="204" t="e">
        <f t="shared" si="674"/>
        <v>#VALUE!</v>
      </c>
      <c r="V408" s="204" t="e">
        <f t="shared" si="675"/>
        <v>#VALUE!</v>
      </c>
      <c r="W408" s="218">
        <v>289.66000000000003</v>
      </c>
      <c r="X408" s="218">
        <v>446.52</v>
      </c>
      <c r="Y408" s="203">
        <v>0.1</v>
      </c>
      <c r="Z408" s="203">
        <f>IF(Tabela1[[#This Row],[Ano Aquisição]]=2023,0,IFERROR(VLOOKUP(H408,inflação!$F:$H,3,FALSE),""))</f>
        <v>0.89119999999999999</v>
      </c>
      <c r="AA408" s="203">
        <v>0.8</v>
      </c>
      <c r="AB408" s="202">
        <f t="shared" si="642"/>
        <v>-33025.07</v>
      </c>
      <c r="AC408" s="204" t="e">
        <f t="shared" si="676"/>
        <v>#VALUE!</v>
      </c>
      <c r="AD408" s="204" t="e">
        <f t="shared" si="677"/>
        <v>#VALUE!</v>
      </c>
      <c r="AE408" s="204" t="e">
        <f t="shared" si="678"/>
        <v>#VALUE!</v>
      </c>
      <c r="AF408" s="204" t="e">
        <f t="shared" si="679"/>
        <v>#VALUE!</v>
      </c>
      <c r="AG408" s="204" t="e">
        <f t="shared" si="680"/>
        <v>#VALUE!</v>
      </c>
      <c r="AH408" s="204" t="e">
        <f t="shared" si="681"/>
        <v>#VALUE!</v>
      </c>
      <c r="AI408" s="204" t="e">
        <f t="shared" si="682"/>
        <v>#VALUE!</v>
      </c>
      <c r="AJ408" s="205">
        <f t="shared" si="643"/>
        <v>-62457.012384000001</v>
      </c>
      <c r="AK408" s="204" t="e">
        <f t="shared" si="683"/>
        <v>#VALUE!</v>
      </c>
      <c r="AL408" s="204" t="e">
        <f t="shared" si="684"/>
        <v>#VALUE!</v>
      </c>
      <c r="AM408" s="204" t="e">
        <f t="shared" si="685"/>
        <v>#VALUE!</v>
      </c>
      <c r="AN408" s="204" t="e">
        <f t="shared" si="686"/>
        <v>#VALUE!</v>
      </c>
      <c r="AO408" s="204" t="e">
        <f t="shared" si="687"/>
        <v>#VALUE!</v>
      </c>
      <c r="AP408" s="204" t="e">
        <f t="shared" si="688"/>
        <v>#VALUE!</v>
      </c>
      <c r="AQ408" s="204" t="e">
        <f t="shared" si="689"/>
        <v>#VALUE!</v>
      </c>
      <c r="AR408" s="206" t="e">
        <f t="shared" si="644"/>
        <v>#VALUE!</v>
      </c>
      <c r="AS408" s="170" t="e">
        <f t="shared" si="690"/>
        <v>#VALUE!</v>
      </c>
      <c r="AT408" s="170" t="e">
        <f t="shared" si="691"/>
        <v>#VALUE!</v>
      </c>
      <c r="AU408" s="207" t="e">
        <f t="shared" si="645"/>
        <v>#VALUE!</v>
      </c>
      <c r="AV408" s="208" t="e">
        <f t="shared" si="646"/>
        <v>#VALUE!</v>
      </c>
      <c r="AW408" s="201" t="str">
        <f t="shared" si="647"/>
        <v>Confiabilidade em Crescimento</v>
      </c>
      <c r="AX408" s="253" t="e">
        <f>VLOOKUP(D408,#REF!,5,FALSE)</f>
        <v>#REF!</v>
      </c>
      <c r="AY408" s="201"/>
      <c r="AZ408" s="273" t="s">
        <v>1224</v>
      </c>
      <c r="BB408">
        <f>IFERROR(VLOOKUP(Tabela1[[#This Row],[Denominação]],[10]Planilha1!$A:$B,2,FALSE),"")</f>
        <v>18304.18</v>
      </c>
      <c r="BC408" s="219"/>
      <c r="BD408" s="219"/>
      <c r="BE408" s="219"/>
      <c r="BF408" s="219"/>
      <c r="BG408" s="219"/>
      <c r="BH408" s="219"/>
      <c r="BI408" s="219"/>
      <c r="BJ408" s="219"/>
      <c r="BK408" s="219"/>
      <c r="BL408" s="219"/>
    </row>
    <row r="409" spans="1:64" ht="15" hidden="1" customHeight="1" x14ac:dyDescent="0.3">
      <c r="A409" s="268">
        <v>408</v>
      </c>
      <c r="B409" s="171" t="s">
        <v>691</v>
      </c>
      <c r="C409" s="209" t="s">
        <v>692</v>
      </c>
      <c r="D409" s="171">
        <v>10005497</v>
      </c>
      <c r="E409" s="253" t="s">
        <v>1461</v>
      </c>
      <c r="F409" s="210">
        <v>4716</v>
      </c>
      <c r="G409" s="171">
        <v>51018</v>
      </c>
      <c r="H409" s="171">
        <v>2008</v>
      </c>
      <c r="I409" s="213">
        <v>33055.839999999997</v>
      </c>
      <c r="J409" s="214">
        <v>6281</v>
      </c>
      <c r="K409" s="170">
        <v>57882.729999999974</v>
      </c>
      <c r="L409" s="207">
        <v>0.94</v>
      </c>
      <c r="M409" s="212">
        <v>4500</v>
      </c>
      <c r="N409" s="212">
        <v>121723</v>
      </c>
      <c r="O409" s="171">
        <v>118</v>
      </c>
      <c r="P409" s="271" t="str">
        <f>IFERROR(VLOOKUP(Tabela1[[#This Row],[TAG]],#REF!,14,FALSE),"")</f>
        <v/>
      </c>
      <c r="Q409" s="204" t="e">
        <f t="shared" si="670"/>
        <v>#VALUE!</v>
      </c>
      <c r="R409" s="204" t="e">
        <f t="shared" si="671"/>
        <v>#VALUE!</v>
      </c>
      <c r="S409" s="204" t="e">
        <f t="shared" si="672"/>
        <v>#VALUE!</v>
      </c>
      <c r="T409" s="204" t="e">
        <f t="shared" si="673"/>
        <v>#VALUE!</v>
      </c>
      <c r="U409" s="204" t="e">
        <f t="shared" si="674"/>
        <v>#VALUE!</v>
      </c>
      <c r="V409" s="204" t="e">
        <f t="shared" si="675"/>
        <v>#VALUE!</v>
      </c>
      <c r="W409" s="218">
        <v>292.20999999999998</v>
      </c>
      <c r="X409" s="218">
        <v>665.76</v>
      </c>
      <c r="Y409" s="203">
        <v>0.1</v>
      </c>
      <c r="Z409" s="203">
        <f>IF(Tabela1[[#This Row],[Ano Aquisição]]=2023,0,IFERROR(VLOOKUP(H409,inflação!$F:$H,3,FALSE),""))</f>
        <v>0.89119999999999999</v>
      </c>
      <c r="AA409" s="203">
        <v>0.8</v>
      </c>
      <c r="AB409" s="202">
        <f t="shared" si="642"/>
        <v>-33055.839999999997</v>
      </c>
      <c r="AC409" s="204" t="e">
        <f t="shared" si="676"/>
        <v>#VALUE!</v>
      </c>
      <c r="AD409" s="204" t="e">
        <f t="shared" si="677"/>
        <v>#VALUE!</v>
      </c>
      <c r="AE409" s="204" t="e">
        <f t="shared" si="678"/>
        <v>#VALUE!</v>
      </c>
      <c r="AF409" s="204" t="e">
        <f t="shared" si="679"/>
        <v>#VALUE!</v>
      </c>
      <c r="AG409" s="204" t="e">
        <f t="shared" si="680"/>
        <v>#VALUE!</v>
      </c>
      <c r="AH409" s="204" t="e">
        <f t="shared" si="681"/>
        <v>#VALUE!</v>
      </c>
      <c r="AI409" s="204" t="e">
        <f t="shared" si="682"/>
        <v>#VALUE!</v>
      </c>
      <c r="AJ409" s="205">
        <f t="shared" si="643"/>
        <v>-62515.204607999993</v>
      </c>
      <c r="AK409" s="204" t="e">
        <f t="shared" si="683"/>
        <v>#VALUE!</v>
      </c>
      <c r="AL409" s="204" t="e">
        <f t="shared" si="684"/>
        <v>#VALUE!</v>
      </c>
      <c r="AM409" s="204" t="e">
        <f t="shared" si="685"/>
        <v>#VALUE!</v>
      </c>
      <c r="AN409" s="204" t="e">
        <f t="shared" si="686"/>
        <v>#VALUE!</v>
      </c>
      <c r="AO409" s="204" t="e">
        <f t="shared" si="687"/>
        <v>#VALUE!</v>
      </c>
      <c r="AP409" s="204" t="e">
        <f t="shared" si="688"/>
        <v>#VALUE!</v>
      </c>
      <c r="AQ409" s="204" t="e">
        <f t="shared" si="689"/>
        <v>#VALUE!</v>
      </c>
      <c r="AR409" s="206" t="e">
        <f t="shared" si="644"/>
        <v>#VALUE!</v>
      </c>
      <c r="AS409" s="170" t="e">
        <f t="shared" si="690"/>
        <v>#VALUE!</v>
      </c>
      <c r="AT409" s="170" t="e">
        <f t="shared" si="691"/>
        <v>#VALUE!</v>
      </c>
      <c r="AU409" s="207" t="e">
        <f t="shared" si="645"/>
        <v>#VALUE!</v>
      </c>
      <c r="AV409" s="208" t="e">
        <f t="shared" si="646"/>
        <v>#VALUE!</v>
      </c>
      <c r="AW409" s="201" t="str">
        <f t="shared" si="647"/>
        <v>Confiabilidade em Crescimento</v>
      </c>
      <c r="AX409" s="253" t="e">
        <f>VLOOKUP(D409,#REF!,5,FALSE)</f>
        <v>#REF!</v>
      </c>
      <c r="AY409" s="201"/>
      <c r="AZ409" s="273" t="s">
        <v>1224</v>
      </c>
      <c r="BB409">
        <f>IFERROR(VLOOKUP(Tabela1[[#This Row],[Denominação]],[10]Planilha1!$A:$B,2,FALSE),"")</f>
        <v>57882.729999999974</v>
      </c>
      <c r="BC409" s="219"/>
      <c r="BD409" s="219"/>
      <c r="BE409" s="219"/>
      <c r="BF409" s="219"/>
      <c r="BG409" s="219"/>
      <c r="BH409" s="219"/>
      <c r="BI409" s="219"/>
      <c r="BJ409" s="219"/>
      <c r="BK409" s="219"/>
      <c r="BL409" s="219"/>
    </row>
    <row r="410" spans="1:64" ht="15" hidden="1" customHeight="1" x14ac:dyDescent="0.3">
      <c r="A410" s="253">
        <v>409</v>
      </c>
      <c r="B410" s="201" t="s">
        <v>1066</v>
      </c>
      <c r="C410" s="211" t="s">
        <v>1067</v>
      </c>
      <c r="D410" s="201">
        <v>10005499</v>
      </c>
      <c r="E410" s="253" t="s">
        <v>1462</v>
      </c>
      <c r="F410" s="253">
        <v>4716</v>
      </c>
      <c r="G410" s="201">
        <v>35659</v>
      </c>
      <c r="H410" s="201">
        <v>2008</v>
      </c>
      <c r="I410" s="216">
        <v>8565.89</v>
      </c>
      <c r="J410" s="214">
        <v>0</v>
      </c>
      <c r="K410" s="170">
        <v>41138.090000000004</v>
      </c>
      <c r="L410" s="207">
        <v>1.42</v>
      </c>
      <c r="M410" s="212">
        <v>4500</v>
      </c>
      <c r="N410" s="212">
        <v>121378</v>
      </c>
      <c r="O410" s="171">
        <v>102</v>
      </c>
      <c r="P410" s="271" t="str">
        <f>IFERROR(VLOOKUP(Tabela1[[#This Row],[TAG]],#REF!,14,FALSE),"")</f>
        <v/>
      </c>
      <c r="Q410" s="204" t="e">
        <f t="shared" si="670"/>
        <v>#VALUE!</v>
      </c>
      <c r="R410" s="204" t="e">
        <f t="shared" si="671"/>
        <v>#VALUE!</v>
      </c>
      <c r="S410" s="204" t="e">
        <f t="shared" si="672"/>
        <v>#VALUE!</v>
      </c>
      <c r="T410" s="204" t="e">
        <f t="shared" si="673"/>
        <v>#VALUE!</v>
      </c>
      <c r="U410" s="204" t="e">
        <f t="shared" si="674"/>
        <v>#VALUE!</v>
      </c>
      <c r="V410" s="204" t="e">
        <f t="shared" si="675"/>
        <v>#VALUE!</v>
      </c>
      <c r="W410" s="218">
        <v>328.5</v>
      </c>
      <c r="X410" s="218">
        <v>472.61</v>
      </c>
      <c r="Y410" s="203">
        <v>0.1</v>
      </c>
      <c r="Z410" s="203">
        <f>IF(Tabela1[[#This Row],[Ano Aquisição]]=2023,0,IFERROR(VLOOKUP(H410,inflação!$F:$H,3,FALSE),""))</f>
        <v>0.89119999999999999</v>
      </c>
      <c r="AA410" s="203">
        <v>0.8</v>
      </c>
      <c r="AB410" s="202">
        <f t="shared" si="642"/>
        <v>-8565.89</v>
      </c>
      <c r="AC410" s="204" t="e">
        <f t="shared" si="676"/>
        <v>#VALUE!</v>
      </c>
      <c r="AD410" s="204" t="e">
        <f t="shared" si="677"/>
        <v>#VALUE!</v>
      </c>
      <c r="AE410" s="204" t="e">
        <f t="shared" si="678"/>
        <v>#VALUE!</v>
      </c>
      <c r="AF410" s="204" t="e">
        <f t="shared" si="679"/>
        <v>#VALUE!</v>
      </c>
      <c r="AG410" s="204" t="e">
        <f t="shared" si="680"/>
        <v>#VALUE!</v>
      </c>
      <c r="AH410" s="204" t="e">
        <f t="shared" si="681"/>
        <v>#VALUE!</v>
      </c>
      <c r="AI410" s="204" t="e">
        <f t="shared" si="682"/>
        <v>#VALUE!</v>
      </c>
      <c r="AJ410" s="205">
        <f t="shared" si="643"/>
        <v>-16199.811167999998</v>
      </c>
      <c r="AK410" s="204" t="e">
        <f t="shared" si="683"/>
        <v>#VALUE!</v>
      </c>
      <c r="AL410" s="204" t="e">
        <f t="shared" si="684"/>
        <v>#VALUE!</v>
      </c>
      <c r="AM410" s="204" t="e">
        <f t="shared" si="685"/>
        <v>#VALUE!</v>
      </c>
      <c r="AN410" s="204" t="e">
        <f t="shared" si="686"/>
        <v>#VALUE!</v>
      </c>
      <c r="AO410" s="204" t="e">
        <f t="shared" si="687"/>
        <v>#VALUE!</v>
      </c>
      <c r="AP410" s="204" t="e">
        <f t="shared" si="688"/>
        <v>#VALUE!</v>
      </c>
      <c r="AQ410" s="204" t="e">
        <f t="shared" si="689"/>
        <v>#VALUE!</v>
      </c>
      <c r="AR410" s="206" t="e">
        <f t="shared" si="644"/>
        <v>#VALUE!</v>
      </c>
      <c r="AS410" s="170" t="e">
        <f t="shared" si="690"/>
        <v>#VALUE!</v>
      </c>
      <c r="AT410" s="170" t="e">
        <f t="shared" si="691"/>
        <v>#VALUE!</v>
      </c>
      <c r="AU410" s="207" t="e">
        <f t="shared" si="645"/>
        <v>#VALUE!</v>
      </c>
      <c r="AV410" s="208" t="e">
        <f t="shared" si="646"/>
        <v>#VALUE!</v>
      </c>
      <c r="AW410" s="201" t="str">
        <f t="shared" si="647"/>
        <v>Fase de Degradação</v>
      </c>
      <c r="AX410" s="253" t="e">
        <f>VLOOKUP(D410,#REF!,5,FALSE)</f>
        <v>#REF!</v>
      </c>
      <c r="AY410" s="201"/>
      <c r="AZ410" s="273" t="s">
        <v>1224</v>
      </c>
      <c r="BB410">
        <f>IFERROR(VLOOKUP(Tabela1[[#This Row],[Denominação]],[10]Planilha1!$A:$B,2,FALSE),"")</f>
        <v>41138.090000000004</v>
      </c>
      <c r="BC410" s="219"/>
      <c r="BD410" s="219"/>
      <c r="BE410" s="219"/>
      <c r="BF410" s="219"/>
      <c r="BG410" s="219"/>
      <c r="BH410" s="219"/>
      <c r="BI410" s="219"/>
      <c r="BJ410" s="219"/>
      <c r="BK410" s="219"/>
      <c r="BL410" s="219"/>
    </row>
    <row r="411" spans="1:64" ht="15" hidden="1" customHeight="1" x14ac:dyDescent="0.3">
      <c r="A411" s="268">
        <v>410</v>
      </c>
      <c r="B411" s="171" t="s">
        <v>631</v>
      </c>
      <c r="C411" s="209" t="s">
        <v>632</v>
      </c>
      <c r="D411" s="171">
        <v>10005501</v>
      </c>
      <c r="E411" s="253" t="s">
        <v>1463</v>
      </c>
      <c r="F411" s="210">
        <v>4711</v>
      </c>
      <c r="G411" s="171">
        <v>35667</v>
      </c>
      <c r="H411" s="171">
        <v>2008</v>
      </c>
      <c r="I411" s="213">
        <v>59609.7</v>
      </c>
      <c r="J411" s="213">
        <v>0</v>
      </c>
      <c r="K411" s="170">
        <v>224699.44999999995</v>
      </c>
      <c r="L411" s="207">
        <v>1.19</v>
      </c>
      <c r="M411" s="212">
        <v>4500</v>
      </c>
      <c r="N411" s="212">
        <v>122175</v>
      </c>
      <c r="O411" s="171">
        <v>403</v>
      </c>
      <c r="P411" s="271" t="str">
        <f>IFERROR(VLOOKUP(Tabela1[[#This Row],[TAG]],#REF!,14,FALSE),"")</f>
        <v/>
      </c>
      <c r="Q411" s="204" t="e">
        <f t="shared" si="670"/>
        <v>#VALUE!</v>
      </c>
      <c r="R411" s="204" t="e">
        <f t="shared" si="671"/>
        <v>#VALUE!</v>
      </c>
      <c r="S411" s="204" t="e">
        <f t="shared" si="672"/>
        <v>#VALUE!</v>
      </c>
      <c r="T411" s="204" t="e">
        <f t="shared" si="673"/>
        <v>#VALUE!</v>
      </c>
      <c r="U411" s="204" t="e">
        <f t="shared" si="674"/>
        <v>#VALUE!</v>
      </c>
      <c r="V411" s="204" t="e">
        <f t="shared" si="675"/>
        <v>#VALUE!</v>
      </c>
      <c r="W411" s="218">
        <v>344.28</v>
      </c>
      <c r="X411" s="218">
        <v>1778.81</v>
      </c>
      <c r="Y411" s="203">
        <v>0.1</v>
      </c>
      <c r="Z411" s="203">
        <f>IF(Tabela1[[#This Row],[Ano Aquisição]]=2023,0,IFERROR(VLOOKUP(H411,inflação!$F:$H,3,FALSE),""))</f>
        <v>0.89119999999999999</v>
      </c>
      <c r="AA411" s="203">
        <v>0.8</v>
      </c>
      <c r="AB411" s="202">
        <f t="shared" ref="AB411:AB426" si="692">I411*-1</f>
        <v>-59609.7</v>
      </c>
      <c r="AC411" s="204" t="e">
        <f t="shared" si="676"/>
        <v>#VALUE!</v>
      </c>
      <c r="AD411" s="204" t="e">
        <f t="shared" si="677"/>
        <v>#VALUE!</v>
      </c>
      <c r="AE411" s="204" t="e">
        <f t="shared" si="678"/>
        <v>#VALUE!</v>
      </c>
      <c r="AF411" s="204" t="e">
        <f t="shared" si="679"/>
        <v>#VALUE!</v>
      </c>
      <c r="AG411" s="204" t="e">
        <f t="shared" si="680"/>
        <v>#VALUE!</v>
      </c>
      <c r="AH411" s="204" t="e">
        <f t="shared" si="681"/>
        <v>#VALUE!</v>
      </c>
      <c r="AI411" s="204" t="e">
        <f t="shared" si="682"/>
        <v>#VALUE!</v>
      </c>
      <c r="AJ411" s="205">
        <f t="shared" ref="AJ411:AJ426" si="693">-(I411*(1+Z411))</f>
        <v>-112733.86464</v>
      </c>
      <c r="AK411" s="204" t="e">
        <f t="shared" si="683"/>
        <v>#VALUE!</v>
      </c>
      <c r="AL411" s="204" t="e">
        <f t="shared" si="684"/>
        <v>#VALUE!</v>
      </c>
      <c r="AM411" s="204" t="e">
        <f t="shared" si="685"/>
        <v>#VALUE!</v>
      </c>
      <c r="AN411" s="204" t="e">
        <f t="shared" si="686"/>
        <v>#VALUE!</v>
      </c>
      <c r="AO411" s="204" t="e">
        <f t="shared" si="687"/>
        <v>#VALUE!</v>
      </c>
      <c r="AP411" s="204" t="e">
        <f t="shared" si="688"/>
        <v>#VALUE!</v>
      </c>
      <c r="AQ411" s="204" t="e">
        <f t="shared" si="689"/>
        <v>#VALUE!</v>
      </c>
      <c r="AR411" s="206" t="e">
        <f t="shared" ref="AR411:AR442" si="694">(NPV(Y411,AK411,AL411,AM411,AN411,AO411,AP411,AQ411)+(SUM(AJ411,(J411*-1))))-(NPV(Y411,AC411,AD411,AE411,AF411,AG411,AH411,AI411))</f>
        <v>#VALUE!</v>
      </c>
      <c r="AS411" s="170" t="e">
        <f t="shared" si="690"/>
        <v>#VALUE!</v>
      </c>
      <c r="AT411" s="170" t="e">
        <f t="shared" si="691"/>
        <v>#VALUE!</v>
      </c>
      <c r="AU411" s="207" t="e">
        <f t="shared" ref="AU411:AU426" si="695">(((AVERAGE(AC411:AI411)/1000)-(AVERAGE(AK411:AQ411)/1000))+(((AJ411/1000)*-1)/7)+((J411/1000)/7))*-1</f>
        <v>#VALUE!</v>
      </c>
      <c r="AV411" s="208" t="e">
        <f t="shared" ref="AV411:AV442" si="696">AU411/(((J411/1000)+((AJ411*-1)/1000)))</f>
        <v>#VALUE!</v>
      </c>
      <c r="AW411" s="201" t="str">
        <f t="shared" ref="AW411:AW426" si="697">IF(L411&gt;1.1,"Fase de Degradação",IF(L411&lt;1,"Confiabilidade em Crescimento","Fase de Vida Útil"))</f>
        <v>Fase de Degradação</v>
      </c>
      <c r="AX411" s="253" t="e">
        <f>VLOOKUP(D411,#REF!,5,FALSE)</f>
        <v>#REF!</v>
      </c>
      <c r="AY411" s="201"/>
      <c r="AZ411" s="273" t="s">
        <v>1224</v>
      </c>
      <c r="BB411">
        <f>IFERROR(VLOOKUP(Tabela1[[#This Row],[Denominação]],[10]Planilha1!$A:$B,2,FALSE),"")</f>
        <v>224699.44999999995</v>
      </c>
      <c r="BC411" s="219"/>
      <c r="BD411" s="219"/>
      <c r="BE411" s="219"/>
      <c r="BF411" s="219"/>
      <c r="BG411" s="219"/>
      <c r="BH411" s="219"/>
      <c r="BI411" s="219"/>
      <c r="BJ411" s="219"/>
      <c r="BK411" s="219"/>
      <c r="BL411" s="219"/>
    </row>
    <row r="412" spans="1:64" ht="15" hidden="1" customHeight="1" x14ac:dyDescent="0.3">
      <c r="A412" s="253">
        <v>411</v>
      </c>
      <c r="B412" s="171" t="s">
        <v>307</v>
      </c>
      <c r="C412" s="209" t="s">
        <v>308</v>
      </c>
      <c r="D412" s="171">
        <v>10005502</v>
      </c>
      <c r="E412" s="253" t="s">
        <v>1464</v>
      </c>
      <c r="F412" s="210">
        <v>4711</v>
      </c>
      <c r="G412" s="171">
        <v>35201</v>
      </c>
      <c r="H412" s="171">
        <v>2008</v>
      </c>
      <c r="I412" s="213">
        <v>59609.7</v>
      </c>
      <c r="J412" s="213">
        <v>0</v>
      </c>
      <c r="K412" s="170">
        <v>294904.7099999995</v>
      </c>
      <c r="L412" s="207">
        <v>1.34</v>
      </c>
      <c r="M412" s="212">
        <v>4500</v>
      </c>
      <c r="N412" s="212">
        <v>122468</v>
      </c>
      <c r="O412" s="171">
        <v>519</v>
      </c>
      <c r="P412" s="271" t="str">
        <f>IFERROR(VLOOKUP(Tabela1[[#This Row],[TAG]],#REF!,14,FALSE),"")</f>
        <v/>
      </c>
      <c r="Q412" s="204" t="e">
        <f t="shared" si="670"/>
        <v>#VALUE!</v>
      </c>
      <c r="R412" s="204" t="e">
        <f t="shared" si="671"/>
        <v>#VALUE!</v>
      </c>
      <c r="S412" s="204" t="e">
        <f t="shared" si="672"/>
        <v>#VALUE!</v>
      </c>
      <c r="T412" s="204" t="e">
        <f t="shared" si="673"/>
        <v>#VALUE!</v>
      </c>
      <c r="U412" s="204" t="e">
        <f t="shared" si="674"/>
        <v>#VALUE!</v>
      </c>
      <c r="V412" s="204" t="e">
        <f t="shared" si="675"/>
        <v>#VALUE!</v>
      </c>
      <c r="W412" s="218">
        <v>450.54</v>
      </c>
      <c r="X412" s="218">
        <v>2283.0500000000002</v>
      </c>
      <c r="Y412" s="203">
        <v>0.1</v>
      </c>
      <c r="Z412" s="203">
        <f>IF(Tabela1[[#This Row],[Ano Aquisição]]=2023,0,IFERROR(VLOOKUP(H412,inflação!$F:$H,3,FALSE),""))</f>
        <v>0.89119999999999999</v>
      </c>
      <c r="AA412" s="203">
        <v>0.8</v>
      </c>
      <c r="AB412" s="202">
        <f t="shared" si="692"/>
        <v>-59609.7</v>
      </c>
      <c r="AC412" s="204" t="e">
        <f t="shared" si="676"/>
        <v>#VALUE!</v>
      </c>
      <c r="AD412" s="204" t="e">
        <f t="shared" si="677"/>
        <v>#VALUE!</v>
      </c>
      <c r="AE412" s="204" t="e">
        <f t="shared" si="678"/>
        <v>#VALUE!</v>
      </c>
      <c r="AF412" s="204" t="e">
        <f t="shared" si="679"/>
        <v>#VALUE!</v>
      </c>
      <c r="AG412" s="204" t="e">
        <f t="shared" si="680"/>
        <v>#VALUE!</v>
      </c>
      <c r="AH412" s="204" t="e">
        <f t="shared" si="681"/>
        <v>#VALUE!</v>
      </c>
      <c r="AI412" s="204" t="e">
        <f t="shared" si="682"/>
        <v>#VALUE!</v>
      </c>
      <c r="AJ412" s="205">
        <f t="shared" si="693"/>
        <v>-112733.86464</v>
      </c>
      <c r="AK412" s="204" t="e">
        <f t="shared" si="683"/>
        <v>#VALUE!</v>
      </c>
      <c r="AL412" s="204" t="e">
        <f t="shared" si="684"/>
        <v>#VALUE!</v>
      </c>
      <c r="AM412" s="204" t="e">
        <f t="shared" si="685"/>
        <v>#VALUE!</v>
      </c>
      <c r="AN412" s="204" t="e">
        <f t="shared" si="686"/>
        <v>#VALUE!</v>
      </c>
      <c r="AO412" s="204" t="e">
        <f t="shared" si="687"/>
        <v>#VALUE!</v>
      </c>
      <c r="AP412" s="204" t="e">
        <f t="shared" si="688"/>
        <v>#VALUE!</v>
      </c>
      <c r="AQ412" s="204" t="e">
        <f t="shared" si="689"/>
        <v>#VALUE!</v>
      </c>
      <c r="AR412" s="206" t="e">
        <f t="shared" si="694"/>
        <v>#VALUE!</v>
      </c>
      <c r="AS412" s="170" t="e">
        <f t="shared" si="690"/>
        <v>#VALUE!</v>
      </c>
      <c r="AT412" s="170" t="e">
        <f t="shared" si="691"/>
        <v>#VALUE!</v>
      </c>
      <c r="AU412" s="207" t="e">
        <f t="shared" si="695"/>
        <v>#VALUE!</v>
      </c>
      <c r="AV412" s="208" t="e">
        <f t="shared" si="696"/>
        <v>#VALUE!</v>
      </c>
      <c r="AW412" s="201" t="str">
        <f t="shared" si="697"/>
        <v>Fase de Degradação</v>
      </c>
      <c r="AX412" s="253" t="e">
        <f>VLOOKUP(D412,#REF!,5,FALSE)</f>
        <v>#REF!</v>
      </c>
      <c r="AY412" s="201"/>
      <c r="AZ412" s="273" t="s">
        <v>1224</v>
      </c>
      <c r="BB412">
        <f>IFERROR(VLOOKUP(Tabela1[[#This Row],[Denominação]],[10]Planilha1!$A:$B,2,FALSE),"")</f>
        <v>294904.7099999995</v>
      </c>
      <c r="BC412" s="219"/>
      <c r="BD412" s="219"/>
      <c r="BE412" s="219"/>
      <c r="BF412" s="219"/>
      <c r="BG412" s="219"/>
      <c r="BH412" s="219"/>
      <c r="BI412" s="219"/>
      <c r="BJ412" s="219"/>
      <c r="BK412" s="219"/>
      <c r="BL412" s="219"/>
    </row>
    <row r="413" spans="1:64" ht="15" hidden="1" customHeight="1" x14ac:dyDescent="0.3">
      <c r="A413" s="268">
        <v>412</v>
      </c>
      <c r="B413" s="171" t="s">
        <v>679</v>
      </c>
      <c r="C413" s="209" t="s">
        <v>680</v>
      </c>
      <c r="D413" s="171">
        <v>10005686</v>
      </c>
      <c r="E413" s="253" t="s">
        <v>1465</v>
      </c>
      <c r="F413" s="210">
        <v>4716</v>
      </c>
      <c r="G413" s="171">
        <v>40190</v>
      </c>
      <c r="H413" s="171">
        <v>2011</v>
      </c>
      <c r="I413" s="213">
        <v>193626.91</v>
      </c>
      <c r="J413" s="213">
        <v>15821</v>
      </c>
      <c r="K413" s="170">
        <v>296101.80999999994</v>
      </c>
      <c r="L413" s="207">
        <v>1.33</v>
      </c>
      <c r="M413" s="212">
        <v>4500</v>
      </c>
      <c r="N413" s="212">
        <v>109233</v>
      </c>
      <c r="O413" s="171">
        <v>468</v>
      </c>
      <c r="P413" s="271" t="str">
        <f>IFERROR(VLOOKUP(Tabela1[[#This Row],[TAG]],#REF!,14,FALSE),"")</f>
        <v/>
      </c>
      <c r="Q413" s="204" t="e">
        <f t="shared" si="670"/>
        <v>#VALUE!</v>
      </c>
      <c r="R413" s="204" t="e">
        <f t="shared" si="671"/>
        <v>#VALUE!</v>
      </c>
      <c r="S413" s="204" t="e">
        <f t="shared" si="672"/>
        <v>#VALUE!</v>
      </c>
      <c r="T413" s="204" t="e">
        <f t="shared" si="673"/>
        <v>#VALUE!</v>
      </c>
      <c r="U413" s="204" t="e">
        <f t="shared" si="674"/>
        <v>#VALUE!</v>
      </c>
      <c r="V413" s="204" t="e">
        <f t="shared" si="675"/>
        <v>#VALUE!</v>
      </c>
      <c r="W413" s="218">
        <v>487.47</v>
      </c>
      <c r="X413" s="218">
        <v>3798.93</v>
      </c>
      <c r="Y413" s="203">
        <v>0.1</v>
      </c>
      <c r="Z413" s="203">
        <f>IF(Tabela1[[#This Row],[Ano Aquisição]]=2023,0,IFERROR(VLOOKUP(H413,inflação!$F:$H,3,FALSE),""))</f>
        <v>0.73</v>
      </c>
      <c r="AA413" s="203">
        <v>0.8</v>
      </c>
      <c r="AB413" s="202">
        <f t="shared" si="692"/>
        <v>-193626.91</v>
      </c>
      <c r="AC413" s="204" t="e">
        <f t="shared" si="676"/>
        <v>#VALUE!</v>
      </c>
      <c r="AD413" s="204" t="e">
        <f t="shared" si="677"/>
        <v>#VALUE!</v>
      </c>
      <c r="AE413" s="204" t="e">
        <f t="shared" si="678"/>
        <v>#VALUE!</v>
      </c>
      <c r="AF413" s="204" t="e">
        <f t="shared" si="679"/>
        <v>#VALUE!</v>
      </c>
      <c r="AG413" s="204" t="e">
        <f t="shared" si="680"/>
        <v>#VALUE!</v>
      </c>
      <c r="AH413" s="204" t="e">
        <f t="shared" si="681"/>
        <v>#VALUE!</v>
      </c>
      <c r="AI413" s="204" t="e">
        <f t="shared" si="682"/>
        <v>#VALUE!</v>
      </c>
      <c r="AJ413" s="205">
        <f t="shared" si="693"/>
        <v>-334974.55430000002</v>
      </c>
      <c r="AK413" s="204" t="e">
        <f t="shared" si="683"/>
        <v>#VALUE!</v>
      </c>
      <c r="AL413" s="204" t="e">
        <f t="shared" si="684"/>
        <v>#VALUE!</v>
      </c>
      <c r="AM413" s="204" t="e">
        <f t="shared" si="685"/>
        <v>#VALUE!</v>
      </c>
      <c r="AN413" s="204" t="e">
        <f t="shared" si="686"/>
        <v>#VALUE!</v>
      </c>
      <c r="AO413" s="204" t="e">
        <f t="shared" si="687"/>
        <v>#VALUE!</v>
      </c>
      <c r="AP413" s="204" t="e">
        <f t="shared" si="688"/>
        <v>#VALUE!</v>
      </c>
      <c r="AQ413" s="204" t="e">
        <f t="shared" si="689"/>
        <v>#VALUE!</v>
      </c>
      <c r="AR413" s="206" t="e">
        <f t="shared" si="694"/>
        <v>#VALUE!</v>
      </c>
      <c r="AS413" s="170" t="e">
        <f t="shared" si="690"/>
        <v>#VALUE!</v>
      </c>
      <c r="AT413" s="170" t="e">
        <f t="shared" si="691"/>
        <v>#VALUE!</v>
      </c>
      <c r="AU413" s="207" t="e">
        <f t="shared" si="695"/>
        <v>#VALUE!</v>
      </c>
      <c r="AV413" s="208" t="e">
        <f t="shared" si="696"/>
        <v>#VALUE!</v>
      </c>
      <c r="AW413" s="201" t="str">
        <f t="shared" si="697"/>
        <v>Fase de Degradação</v>
      </c>
      <c r="AX413" s="253" t="e">
        <f>VLOOKUP(D413,#REF!,5,FALSE)</f>
        <v>#REF!</v>
      </c>
      <c r="AY413" s="201"/>
      <c r="AZ413" s="273" t="s">
        <v>1224</v>
      </c>
      <c r="BB413">
        <f>IFERROR(VLOOKUP(Tabela1[[#This Row],[Denominação]],[10]Planilha1!$A:$B,2,FALSE),"")</f>
        <v>296101.80999999994</v>
      </c>
      <c r="BC413" s="219"/>
      <c r="BD413" s="219"/>
      <c r="BE413" s="219"/>
      <c r="BF413" s="219"/>
      <c r="BG413" s="219"/>
      <c r="BH413" s="219"/>
      <c r="BI413" s="219"/>
      <c r="BJ413" s="219"/>
      <c r="BK413" s="219"/>
      <c r="BL413" s="219"/>
    </row>
    <row r="414" spans="1:64" ht="15" hidden="1" customHeight="1" x14ac:dyDescent="0.3">
      <c r="A414" s="253">
        <v>413</v>
      </c>
      <c r="B414" s="171" t="s">
        <v>305</v>
      </c>
      <c r="C414" s="209" t="s">
        <v>306</v>
      </c>
      <c r="D414" s="171">
        <v>10006091</v>
      </c>
      <c r="E414" s="253" t="s">
        <v>1466</v>
      </c>
      <c r="F414" s="210">
        <v>4716</v>
      </c>
      <c r="G414" s="171">
        <v>42465</v>
      </c>
      <c r="H414" s="171">
        <v>2012</v>
      </c>
      <c r="I414" s="213">
        <v>226271.91</v>
      </c>
      <c r="J414" s="213">
        <v>29915</v>
      </c>
      <c r="K414" s="170">
        <v>464888.95999999996</v>
      </c>
      <c r="L414" s="207">
        <v>1.61</v>
      </c>
      <c r="M414" s="212">
        <v>4500</v>
      </c>
      <c r="N414" s="212">
        <v>92171</v>
      </c>
      <c r="O414" s="171">
        <v>820</v>
      </c>
      <c r="P414" s="271" t="str">
        <f>IFERROR(VLOOKUP(Tabela1[[#This Row],[TAG]],#REF!,14,FALSE),"")</f>
        <v/>
      </c>
      <c r="Q414" s="204" t="e">
        <f t="shared" si="670"/>
        <v>#VALUE!</v>
      </c>
      <c r="R414" s="204" t="e">
        <f t="shared" si="671"/>
        <v>#VALUE!</v>
      </c>
      <c r="S414" s="204" t="e">
        <f t="shared" si="672"/>
        <v>#VALUE!</v>
      </c>
      <c r="T414" s="204" t="e">
        <f t="shared" si="673"/>
        <v>#VALUE!</v>
      </c>
      <c r="U414" s="204" t="e">
        <f t="shared" si="674"/>
        <v>#VALUE!</v>
      </c>
      <c r="V414" s="204" t="e">
        <f t="shared" si="675"/>
        <v>#VALUE!</v>
      </c>
      <c r="W414" s="218">
        <v>490.44</v>
      </c>
      <c r="X414" s="218">
        <v>6561.18</v>
      </c>
      <c r="Y414" s="203">
        <v>0.1</v>
      </c>
      <c r="Z414" s="203">
        <f>IF(Tabela1[[#This Row],[Ano Aquisição]]=2023,0,IFERROR(VLOOKUP(H414,inflação!$F:$H,3,FALSE),""))</f>
        <v>0.66500000000000004</v>
      </c>
      <c r="AA414" s="203">
        <v>0.8</v>
      </c>
      <c r="AB414" s="202">
        <f t="shared" si="692"/>
        <v>-226271.91</v>
      </c>
      <c r="AC414" s="204" t="e">
        <f t="shared" si="676"/>
        <v>#VALUE!</v>
      </c>
      <c r="AD414" s="204" t="e">
        <f t="shared" si="677"/>
        <v>#VALUE!</v>
      </c>
      <c r="AE414" s="204" t="e">
        <f t="shared" si="678"/>
        <v>#VALUE!</v>
      </c>
      <c r="AF414" s="204" t="e">
        <f t="shared" si="679"/>
        <v>#VALUE!</v>
      </c>
      <c r="AG414" s="204" t="e">
        <f t="shared" si="680"/>
        <v>#VALUE!</v>
      </c>
      <c r="AH414" s="204" t="e">
        <f t="shared" si="681"/>
        <v>#VALUE!</v>
      </c>
      <c r="AI414" s="204" t="e">
        <f t="shared" si="682"/>
        <v>#VALUE!</v>
      </c>
      <c r="AJ414" s="205">
        <f t="shared" si="693"/>
        <v>-376742.73015000002</v>
      </c>
      <c r="AK414" s="204" t="e">
        <f t="shared" si="683"/>
        <v>#VALUE!</v>
      </c>
      <c r="AL414" s="204" t="e">
        <f t="shared" si="684"/>
        <v>#VALUE!</v>
      </c>
      <c r="AM414" s="204" t="e">
        <f t="shared" si="685"/>
        <v>#VALUE!</v>
      </c>
      <c r="AN414" s="204" t="e">
        <f t="shared" si="686"/>
        <v>#VALUE!</v>
      </c>
      <c r="AO414" s="204" t="e">
        <f t="shared" si="687"/>
        <v>#VALUE!</v>
      </c>
      <c r="AP414" s="204" t="e">
        <f t="shared" si="688"/>
        <v>#VALUE!</v>
      </c>
      <c r="AQ414" s="204" t="e">
        <f t="shared" si="689"/>
        <v>#VALUE!</v>
      </c>
      <c r="AR414" s="206" t="e">
        <f t="shared" si="694"/>
        <v>#VALUE!</v>
      </c>
      <c r="AS414" s="170" t="e">
        <f t="shared" si="690"/>
        <v>#VALUE!</v>
      </c>
      <c r="AT414" s="170" t="e">
        <f t="shared" si="691"/>
        <v>#VALUE!</v>
      </c>
      <c r="AU414" s="207" t="e">
        <f t="shared" si="695"/>
        <v>#VALUE!</v>
      </c>
      <c r="AV414" s="208" t="e">
        <f t="shared" si="696"/>
        <v>#VALUE!</v>
      </c>
      <c r="AW414" s="201" t="str">
        <f t="shared" si="697"/>
        <v>Fase de Degradação</v>
      </c>
      <c r="AX414" s="253" t="e">
        <f>VLOOKUP(D414,#REF!,5,FALSE)</f>
        <v>#REF!</v>
      </c>
      <c r="AY414" s="201"/>
      <c r="AZ414" s="273" t="s">
        <v>1224</v>
      </c>
      <c r="BB414">
        <f>IFERROR(VLOOKUP(Tabela1[[#This Row],[Denominação]],[10]Planilha1!$A:$B,2,FALSE),"")</f>
        <v>464888.95999999996</v>
      </c>
      <c r="BC414" s="219"/>
      <c r="BD414" s="219"/>
      <c r="BE414" s="219"/>
      <c r="BF414" s="219"/>
      <c r="BG414" s="219"/>
      <c r="BH414" s="219"/>
      <c r="BI414" s="219"/>
      <c r="BJ414" s="219"/>
      <c r="BK414" s="219"/>
      <c r="BL414" s="219"/>
    </row>
    <row r="415" spans="1:64" ht="15" hidden="1" customHeight="1" x14ac:dyDescent="0.3">
      <c r="A415" s="268">
        <v>414</v>
      </c>
      <c r="B415" s="171" t="s">
        <v>352</v>
      </c>
      <c r="C415" s="209" t="s">
        <v>173</v>
      </c>
      <c r="D415" s="171">
        <v>10006097</v>
      </c>
      <c r="E415" s="253" t="s">
        <v>1467</v>
      </c>
      <c r="F415" s="210">
        <v>2566</v>
      </c>
      <c r="G415" s="171">
        <v>42603</v>
      </c>
      <c r="H415" s="171">
        <v>2012</v>
      </c>
      <c r="I415" s="213">
        <v>376196.24</v>
      </c>
      <c r="J415" s="213">
        <v>71363</v>
      </c>
      <c r="K415" s="170">
        <v>1305617.2100000004</v>
      </c>
      <c r="L415" s="215">
        <v>1.58</v>
      </c>
      <c r="M415" s="307">
        <v>4863.5652</v>
      </c>
      <c r="N415" s="212">
        <v>89180</v>
      </c>
      <c r="O415" s="171">
        <v>266</v>
      </c>
      <c r="P415" s="271" t="str">
        <f>IFERROR(VLOOKUP(Tabela1[[#This Row],[TAG]],#REF!,14,FALSE),"")</f>
        <v/>
      </c>
      <c r="Q415" s="204" t="e">
        <f t="shared" si="670"/>
        <v>#VALUE!</v>
      </c>
      <c r="R415" s="204" t="e">
        <f t="shared" si="671"/>
        <v>#VALUE!</v>
      </c>
      <c r="S415" s="204" t="e">
        <f t="shared" si="672"/>
        <v>#VALUE!</v>
      </c>
      <c r="T415" s="204" t="e">
        <f t="shared" si="673"/>
        <v>#VALUE!</v>
      </c>
      <c r="U415" s="204" t="e">
        <f t="shared" si="674"/>
        <v>#VALUE!</v>
      </c>
      <c r="V415" s="204" t="e">
        <f t="shared" si="675"/>
        <v>#VALUE!</v>
      </c>
      <c r="W415" s="304">
        <v>599.58000000000004</v>
      </c>
      <c r="X415" s="304">
        <v>7771.589722222212</v>
      </c>
      <c r="Y415" s="203">
        <v>0.1</v>
      </c>
      <c r="Z415" s="203">
        <f>IF(Tabela1[[#This Row],[Ano Aquisição]]=2023,0,IFERROR(VLOOKUP(H415,inflação!$F:$H,3,FALSE),""))</f>
        <v>0.66500000000000004</v>
      </c>
      <c r="AA415" s="203">
        <v>0.8</v>
      </c>
      <c r="AB415" s="202">
        <f t="shared" si="692"/>
        <v>-376196.24</v>
      </c>
      <c r="AC415" s="204" t="e">
        <f t="shared" si="676"/>
        <v>#VALUE!</v>
      </c>
      <c r="AD415" s="204" t="e">
        <f t="shared" si="677"/>
        <v>#VALUE!</v>
      </c>
      <c r="AE415" s="204" t="e">
        <f t="shared" si="678"/>
        <v>#VALUE!</v>
      </c>
      <c r="AF415" s="204" t="e">
        <f t="shared" si="679"/>
        <v>#VALUE!</v>
      </c>
      <c r="AG415" s="204" t="e">
        <f t="shared" si="680"/>
        <v>#VALUE!</v>
      </c>
      <c r="AH415" s="204" t="e">
        <f t="shared" si="681"/>
        <v>#VALUE!</v>
      </c>
      <c r="AI415" s="204" t="e">
        <f t="shared" si="682"/>
        <v>#VALUE!</v>
      </c>
      <c r="AJ415" s="205">
        <f t="shared" si="693"/>
        <v>-626366.73959999997</v>
      </c>
      <c r="AK415" s="204" t="e">
        <f t="shared" si="683"/>
        <v>#VALUE!</v>
      </c>
      <c r="AL415" s="204" t="e">
        <f t="shared" si="684"/>
        <v>#VALUE!</v>
      </c>
      <c r="AM415" s="204" t="e">
        <f t="shared" si="685"/>
        <v>#VALUE!</v>
      </c>
      <c r="AN415" s="204" t="e">
        <f t="shared" si="686"/>
        <v>#VALUE!</v>
      </c>
      <c r="AO415" s="204" t="e">
        <f t="shared" si="687"/>
        <v>#VALUE!</v>
      </c>
      <c r="AP415" s="204" t="e">
        <f t="shared" si="688"/>
        <v>#VALUE!</v>
      </c>
      <c r="AQ415" s="204" t="e">
        <f t="shared" si="689"/>
        <v>#VALUE!</v>
      </c>
      <c r="AR415" s="206" t="e">
        <f t="shared" si="694"/>
        <v>#VALUE!</v>
      </c>
      <c r="AS415" s="170" t="e">
        <f t="shared" si="690"/>
        <v>#VALUE!</v>
      </c>
      <c r="AT415" s="170" t="e">
        <f t="shared" si="691"/>
        <v>#VALUE!</v>
      </c>
      <c r="AU415" s="207" t="e">
        <f t="shared" si="695"/>
        <v>#VALUE!</v>
      </c>
      <c r="AV415" s="208" t="e">
        <f t="shared" si="696"/>
        <v>#VALUE!</v>
      </c>
      <c r="AW415" s="201" t="str">
        <f t="shared" si="697"/>
        <v>Fase de Degradação</v>
      </c>
      <c r="AX415" s="253" t="e">
        <f>VLOOKUP(D415,#REF!,5,FALSE)</f>
        <v>#REF!</v>
      </c>
      <c r="AY415" s="201"/>
      <c r="AZ415" s="273" t="s">
        <v>1224</v>
      </c>
      <c r="BB415">
        <f>IFERROR(VLOOKUP(Tabela1[[#This Row],[Denominação]],[10]Planilha1!$A:$B,2,FALSE),"")</f>
        <v>1305617.2100000004</v>
      </c>
      <c r="BC415" s="219"/>
      <c r="BD415" s="219"/>
      <c r="BE415" s="219"/>
      <c r="BF415" s="219"/>
      <c r="BG415" s="219"/>
      <c r="BH415" s="219"/>
      <c r="BI415" s="219"/>
      <c r="BJ415" s="219"/>
      <c r="BK415" s="219"/>
      <c r="BL415" s="219"/>
    </row>
    <row r="416" spans="1:64" ht="15" hidden="1" customHeight="1" x14ac:dyDescent="0.3">
      <c r="A416" s="253">
        <v>415</v>
      </c>
      <c r="B416" s="255" t="s">
        <v>801</v>
      </c>
      <c r="C416" s="256" t="s">
        <v>802</v>
      </c>
      <c r="D416" s="255">
        <v>10006615</v>
      </c>
      <c r="E416" s="253" t="s">
        <v>1468</v>
      </c>
      <c r="F416" s="257">
        <v>4614</v>
      </c>
      <c r="G416" s="254">
        <v>51417</v>
      </c>
      <c r="H416" s="255">
        <v>2019</v>
      </c>
      <c r="I416" s="258">
        <v>1098717.56</v>
      </c>
      <c r="J416" s="269">
        <v>733367</v>
      </c>
      <c r="K416" s="170">
        <v>592878.60000000056</v>
      </c>
      <c r="L416" s="207">
        <v>1.31</v>
      </c>
      <c r="M416" s="212">
        <v>3200</v>
      </c>
      <c r="N416" s="171">
        <v>31980</v>
      </c>
      <c r="O416" s="171">
        <v>333</v>
      </c>
      <c r="P416" s="271" t="str">
        <f>IFERROR(VLOOKUP(Tabela1[[#This Row],[TAG]],#REF!,14,FALSE),"")</f>
        <v/>
      </c>
      <c r="Q416" s="204" t="e">
        <f t="shared" si="670"/>
        <v>#VALUE!</v>
      </c>
      <c r="R416" s="204" t="e">
        <f t="shared" si="671"/>
        <v>#VALUE!</v>
      </c>
      <c r="S416" s="204" t="e">
        <f t="shared" si="672"/>
        <v>#VALUE!</v>
      </c>
      <c r="T416" s="204" t="e">
        <f t="shared" si="673"/>
        <v>#VALUE!</v>
      </c>
      <c r="U416" s="204" t="e">
        <f t="shared" si="674"/>
        <v>#VALUE!</v>
      </c>
      <c r="V416" s="204" t="e">
        <f t="shared" si="675"/>
        <v>#VALUE!</v>
      </c>
      <c r="W416" s="218">
        <v>564.67999999999995</v>
      </c>
      <c r="X416" s="218">
        <v>4857.87</v>
      </c>
      <c r="Y416" s="203">
        <v>0.1</v>
      </c>
      <c r="Z416" s="203">
        <f>IF(Tabela1[[#This Row],[Ano Aquisição]]=2023,0,IFERROR(VLOOKUP(H416,inflação!$F:$H,3,FALSE),""))</f>
        <v>0.24679999999999999</v>
      </c>
      <c r="AA416" s="203">
        <v>0.8</v>
      </c>
      <c r="AB416" s="202">
        <f t="shared" si="692"/>
        <v>-1098717.56</v>
      </c>
      <c r="AC416" s="204" t="e">
        <f t="shared" si="676"/>
        <v>#VALUE!</v>
      </c>
      <c r="AD416" s="204" t="e">
        <f t="shared" si="677"/>
        <v>#VALUE!</v>
      </c>
      <c r="AE416" s="204" t="e">
        <f t="shared" si="678"/>
        <v>#VALUE!</v>
      </c>
      <c r="AF416" s="204" t="e">
        <f t="shared" si="679"/>
        <v>#VALUE!</v>
      </c>
      <c r="AG416" s="204" t="e">
        <f t="shared" si="680"/>
        <v>#VALUE!</v>
      </c>
      <c r="AH416" s="204" t="e">
        <f t="shared" si="681"/>
        <v>#VALUE!</v>
      </c>
      <c r="AI416" s="204" t="e">
        <f t="shared" si="682"/>
        <v>#VALUE!</v>
      </c>
      <c r="AJ416" s="205">
        <f t="shared" si="693"/>
        <v>-1369881.0538079999</v>
      </c>
      <c r="AK416" s="204" t="e">
        <f t="shared" si="683"/>
        <v>#VALUE!</v>
      </c>
      <c r="AL416" s="204" t="e">
        <f t="shared" si="684"/>
        <v>#VALUE!</v>
      </c>
      <c r="AM416" s="204" t="e">
        <f t="shared" si="685"/>
        <v>#VALUE!</v>
      </c>
      <c r="AN416" s="204" t="e">
        <f t="shared" si="686"/>
        <v>#VALUE!</v>
      </c>
      <c r="AO416" s="204" t="e">
        <f t="shared" si="687"/>
        <v>#VALUE!</v>
      </c>
      <c r="AP416" s="204" t="e">
        <f t="shared" si="688"/>
        <v>#VALUE!</v>
      </c>
      <c r="AQ416" s="204" t="e">
        <f t="shared" si="689"/>
        <v>#VALUE!</v>
      </c>
      <c r="AR416" s="206" t="e">
        <f t="shared" si="694"/>
        <v>#VALUE!</v>
      </c>
      <c r="AS416" s="170" t="e">
        <f t="shared" si="690"/>
        <v>#VALUE!</v>
      </c>
      <c r="AT416" s="170" t="e">
        <f t="shared" si="691"/>
        <v>#VALUE!</v>
      </c>
      <c r="AU416" s="207" t="e">
        <f t="shared" si="695"/>
        <v>#VALUE!</v>
      </c>
      <c r="AV416" s="208" t="e">
        <f t="shared" si="696"/>
        <v>#VALUE!</v>
      </c>
      <c r="AW416" s="201" t="str">
        <f t="shared" si="697"/>
        <v>Fase de Degradação</v>
      </c>
      <c r="AX416" s="253" t="e">
        <f>VLOOKUP(D416,#REF!,5,FALSE)</f>
        <v>#REF!</v>
      </c>
      <c r="AY416" s="201" t="s">
        <v>1224</v>
      </c>
      <c r="AZ416" s="273" t="s">
        <v>1224</v>
      </c>
      <c r="BB416">
        <f>IFERROR(VLOOKUP(Tabela1[[#This Row],[Denominação]],[10]Planilha1!$A:$B,2,FALSE),"")</f>
        <v>592878.60000000056</v>
      </c>
      <c r="BC416" s="219"/>
      <c r="BD416" s="219"/>
      <c r="BE416" s="219"/>
      <c r="BF416" s="219"/>
      <c r="BG416" s="219"/>
      <c r="BH416" s="219"/>
      <c r="BI416" s="219"/>
      <c r="BJ416" s="219"/>
      <c r="BK416" s="219"/>
      <c r="BL416" s="219"/>
    </row>
    <row r="417" spans="1:64" ht="15" hidden="1" customHeight="1" x14ac:dyDescent="0.3">
      <c r="A417" s="268">
        <v>416</v>
      </c>
      <c r="B417" s="255" t="s">
        <v>1840</v>
      </c>
      <c r="C417" s="256" t="s">
        <v>1709</v>
      </c>
      <c r="D417" s="255">
        <v>10006895</v>
      </c>
      <c r="E417" s="253" t="s">
        <v>1779</v>
      </c>
      <c r="F417" s="257">
        <v>4614</v>
      </c>
      <c r="G417" s="254">
        <v>57923</v>
      </c>
      <c r="H417" s="255">
        <v>2022</v>
      </c>
      <c r="I417" s="258">
        <v>1471068.28</v>
      </c>
      <c r="J417" s="269">
        <v>1405687</v>
      </c>
      <c r="K417" s="170">
        <v>20267.48</v>
      </c>
      <c r="L417" s="207">
        <v>1.03</v>
      </c>
      <c r="M417" s="212">
        <v>3200</v>
      </c>
      <c r="N417" s="171">
        <v>4959</v>
      </c>
      <c r="O417" s="171">
        <v>30</v>
      </c>
      <c r="P417" s="271" t="str">
        <f>IFERROR(VLOOKUP(Tabela1[[#This Row],[TAG]],#REF!,14,FALSE),"")</f>
        <v/>
      </c>
      <c r="Q417" s="204" t="e">
        <f t="shared" ref="Q417" si="698">P417+P417</f>
        <v>#VALUE!</v>
      </c>
      <c r="R417" s="204" t="e">
        <f t="shared" ref="R417" si="699">Q417+P417</f>
        <v>#VALUE!</v>
      </c>
      <c r="S417" s="204" t="e">
        <f t="shared" ref="S417" si="700">R417+P417</f>
        <v>#VALUE!</v>
      </c>
      <c r="T417" s="204" t="e">
        <f t="shared" ref="T417" si="701">S417+P417</f>
        <v>#VALUE!</v>
      </c>
      <c r="U417" s="204" t="e">
        <f t="shared" ref="U417" si="702">T417+P417</f>
        <v>#VALUE!</v>
      </c>
      <c r="V417" s="204" t="e">
        <f t="shared" ref="V417" si="703">U417+P417</f>
        <v>#VALUE!</v>
      </c>
      <c r="W417" s="218">
        <v>474.73</v>
      </c>
      <c r="X417" s="218">
        <v>1955.03</v>
      </c>
      <c r="Y417" s="203">
        <v>0.1</v>
      </c>
      <c r="Z417" s="203">
        <f>IF(Tabela1[[#This Row],[Ano Aquisição]]=2023,0,IFERROR(VLOOKUP(H417,inflação!$F:$H,3,FALSE),""))</f>
        <v>5.79E-2</v>
      </c>
      <c r="AA417" s="203">
        <v>0.8</v>
      </c>
      <c r="AB417" s="202">
        <f t="shared" si="692"/>
        <v>-1471068.28</v>
      </c>
      <c r="AC417" s="204" t="e">
        <f t="shared" ref="AC417" si="704">-(((P417*$W417)+($X417*12))*((1+$Y417)^AC$1))</f>
        <v>#VALUE!</v>
      </c>
      <c r="AD417" s="204" t="e">
        <f t="shared" ref="AD417" si="705">-((((Q417-P417)*$W417)+($X417*12))*((1+$Y417)^AD$1))</f>
        <v>#VALUE!</v>
      </c>
      <c r="AE417" s="204" t="e">
        <f t="shared" ref="AE417" si="706">-((((R417-Q417)*$W417)+($X417*12))*((1+$Y417)^AE$1))</f>
        <v>#VALUE!</v>
      </c>
      <c r="AF417" s="204" t="e">
        <f t="shared" ref="AF417" si="707">-((((S417-R417)*$W417)+($X417*12))*((1+$Y417)^AF$1))</f>
        <v>#VALUE!</v>
      </c>
      <c r="AG417" s="204" t="e">
        <f t="shared" ref="AG417" si="708">-((((T417-S417)*$W417)+($X417*12))*((1+$Y417)^AG$1))</f>
        <v>#VALUE!</v>
      </c>
      <c r="AH417" s="204" t="e">
        <f t="shared" ref="AH417" si="709">-((((U417-T417)*$W417)+($X417*12))*((1+$Y417)^AH$1))</f>
        <v>#VALUE!</v>
      </c>
      <c r="AI417" s="204" t="e">
        <f t="shared" ref="AI417" si="710">-((((V417-U417)*$W417)+($X417*12))*((1+$Y417)^AI$1))</f>
        <v>#VALUE!</v>
      </c>
      <c r="AJ417" s="205">
        <f t="shared" si="693"/>
        <v>-1556243.133412</v>
      </c>
      <c r="AK417" s="204" t="e">
        <f t="shared" ref="AK417" si="711">AC417*(1-$AA417)</f>
        <v>#VALUE!</v>
      </c>
      <c r="AL417" s="204" t="e">
        <f t="shared" ref="AL417" si="712">AD417*(1-$AA417)</f>
        <v>#VALUE!</v>
      </c>
      <c r="AM417" s="204" t="e">
        <f t="shared" ref="AM417" si="713">AE417*(1-$AA417)</f>
        <v>#VALUE!</v>
      </c>
      <c r="AN417" s="204" t="e">
        <f t="shared" ref="AN417" si="714">AF417*(1-$AA417)</f>
        <v>#VALUE!</v>
      </c>
      <c r="AO417" s="204" t="e">
        <f t="shared" ref="AO417" si="715">AG417*(1-$AA417)</f>
        <v>#VALUE!</v>
      </c>
      <c r="AP417" s="204" t="e">
        <f t="shared" ref="AP417" si="716">AH417*(1-$AA417)</f>
        <v>#VALUE!</v>
      </c>
      <c r="AQ417" s="204" t="e">
        <f t="shared" ref="AQ417" si="717">AI417*(1-$AA417)</f>
        <v>#VALUE!</v>
      </c>
      <c r="AR417" s="206" t="e">
        <f t="shared" si="694"/>
        <v>#VALUE!</v>
      </c>
      <c r="AS417" s="170" t="e">
        <f t="shared" ref="AS417" si="718">SUM(AC417:AI417)</f>
        <v>#VALUE!</v>
      </c>
      <c r="AT417" s="170" t="e">
        <f t="shared" ref="AT417" si="719">SUM(AK417:AQ417)</f>
        <v>#VALUE!</v>
      </c>
      <c r="AU417" s="207" t="e">
        <f t="shared" si="695"/>
        <v>#VALUE!</v>
      </c>
      <c r="AV417" s="208" t="e">
        <f t="shared" si="696"/>
        <v>#VALUE!</v>
      </c>
      <c r="AW417" s="201" t="str">
        <f t="shared" si="697"/>
        <v>Fase de Vida Útil</v>
      </c>
      <c r="AX417" s="253" t="e">
        <f>VLOOKUP(D417,#REF!,5,FALSE)</f>
        <v>#REF!</v>
      </c>
      <c r="AY417" s="201" t="s">
        <v>1224</v>
      </c>
      <c r="AZ417" s="273" t="s">
        <v>1224</v>
      </c>
      <c r="BB417">
        <f>IFERROR(VLOOKUP(Tabela1[[#This Row],[Denominação]],[10]Planilha1!$A:$B,2,FALSE),"")</f>
        <v>48254.5</v>
      </c>
      <c r="BC417" s="219"/>
      <c r="BD417" s="219"/>
      <c r="BE417" s="219"/>
      <c r="BF417" s="219"/>
      <c r="BG417" s="219"/>
      <c r="BH417" s="219"/>
      <c r="BI417" s="219"/>
      <c r="BJ417" s="219"/>
      <c r="BK417" s="219"/>
      <c r="BL417" s="219"/>
    </row>
    <row r="418" spans="1:64" ht="15" customHeight="1" x14ac:dyDescent="0.3">
      <c r="A418" s="253">
        <v>417</v>
      </c>
      <c r="B418" s="171" t="s">
        <v>38</v>
      </c>
      <c r="C418" s="209" t="s">
        <v>7</v>
      </c>
      <c r="D418" s="171">
        <v>10000510</v>
      </c>
      <c r="E418" s="253" t="s">
        <v>1469</v>
      </c>
      <c r="F418" s="210">
        <v>2513</v>
      </c>
      <c r="G418" s="171">
        <v>20089</v>
      </c>
      <c r="H418" s="171">
        <v>1996</v>
      </c>
      <c r="I418" s="213">
        <v>1728354.38</v>
      </c>
      <c r="J418" s="213">
        <v>73495</v>
      </c>
      <c r="K418" s="477">
        <v>6433089</v>
      </c>
      <c r="L418" s="478">
        <v>1.1200000000000001</v>
      </c>
      <c r="M418" s="320">
        <v>6300</v>
      </c>
      <c r="N418" s="474">
        <v>227089</v>
      </c>
      <c r="O418" s="475">
        <v>3875</v>
      </c>
      <c r="P418" s="476">
        <v>120</v>
      </c>
      <c r="Q418" s="204">
        <f t="shared" ref="Q418:Q425" si="720">P418+P418</f>
        <v>240</v>
      </c>
      <c r="R418" s="204">
        <f t="shared" ref="R418:R425" si="721">Q418+P418</f>
        <v>360</v>
      </c>
      <c r="S418" s="204">
        <f t="shared" ref="S418:S425" si="722">R418+P418</f>
        <v>480</v>
      </c>
      <c r="T418" s="204">
        <f t="shared" ref="T418:T425" si="723">S418+P418</f>
        <v>600</v>
      </c>
      <c r="U418" s="204">
        <f t="shared" ref="U418:U425" si="724">T418+P418</f>
        <v>720</v>
      </c>
      <c r="V418" s="204">
        <f t="shared" ref="V418:V425" si="725">U418+P418</f>
        <v>840</v>
      </c>
      <c r="W418" s="473">
        <v>905.15</v>
      </c>
      <c r="X418" s="473">
        <v>1428.09</v>
      </c>
      <c r="Y418" s="203">
        <v>0.1</v>
      </c>
      <c r="Z418" s="203">
        <f>IF(Tabela1[[#This Row],[Ano Aquisição]]=2023,0,IFERROR(VLOOKUP(H418,inflação!$F:$H,3,FALSE),""))</f>
        <v>1.7084999999999999</v>
      </c>
      <c r="AA418" s="203">
        <v>0.8</v>
      </c>
      <c r="AB418" s="202">
        <f t="shared" si="692"/>
        <v>-1728354.38</v>
      </c>
      <c r="AC418" s="204">
        <f t="shared" ref="AC418:AC425" si="726">-(((P418*$W418)+($X418*12))*((1+$Y418)^AC$1))</f>
        <v>-138330.58800000002</v>
      </c>
      <c r="AD418" s="204">
        <f t="shared" ref="AD418:AI425" si="727">-((((Q418-P418)*$W418)+($X418*12))*((1+$Y418)^AD$1))</f>
        <v>-152163.64680000002</v>
      </c>
      <c r="AE418" s="204">
        <f t="shared" si="727"/>
        <v>-167380.01148000004</v>
      </c>
      <c r="AF418" s="204">
        <f t="shared" si="727"/>
        <v>-184118.01262800005</v>
      </c>
      <c r="AG418" s="204">
        <f t="shared" si="727"/>
        <v>-202529.81389080008</v>
      </c>
      <c r="AH418" s="204">
        <f t="shared" si="727"/>
        <v>-222782.79527988011</v>
      </c>
      <c r="AI418" s="204">
        <f t="shared" si="727"/>
        <v>-245061.07480786816</v>
      </c>
      <c r="AJ418" s="205">
        <f t="shared" si="693"/>
        <v>-4681247.8382299999</v>
      </c>
      <c r="AK418" s="204">
        <f t="shared" ref="AK418:AQ425" si="728">AC418*(1-$AA418)</f>
        <v>-27666.117599999998</v>
      </c>
      <c r="AL418" s="204">
        <f t="shared" si="728"/>
        <v>-30432.729359999998</v>
      </c>
      <c r="AM418" s="204">
        <f t="shared" si="728"/>
        <v>-33476.002295999999</v>
      </c>
      <c r="AN418" s="204">
        <f t="shared" si="728"/>
        <v>-36823.602525599999</v>
      </c>
      <c r="AO418" s="204">
        <f t="shared" si="728"/>
        <v>-40505.962778160007</v>
      </c>
      <c r="AP418" s="204">
        <f t="shared" si="728"/>
        <v>-44556.559055976009</v>
      </c>
      <c r="AQ418" s="204">
        <f t="shared" si="728"/>
        <v>-49012.21496157362</v>
      </c>
      <c r="AR418" s="206">
        <f t="shared" si="694"/>
        <v>-4050514.3902299996</v>
      </c>
      <c r="AS418" s="170">
        <f t="shared" ref="AS418:AS425" si="729">SUM(AC418:AI418)</f>
        <v>-1312365.9428865483</v>
      </c>
      <c r="AT418" s="170">
        <f t="shared" ref="AT418:AT425" si="730">SUM(AK418:AQ418)</f>
        <v>-262473.1885773096</v>
      </c>
      <c r="AU418" s="207">
        <f t="shared" si="695"/>
        <v>-529.26429770296591</v>
      </c>
      <c r="AV418" s="208">
        <f t="shared" si="696"/>
        <v>-0.11131291758777638</v>
      </c>
      <c r="AW418" s="201" t="str">
        <f t="shared" si="697"/>
        <v>Fase de Degradação</v>
      </c>
      <c r="AX418" s="253" t="e">
        <f>VLOOKUP(D418,#REF!,5,FALSE)</f>
        <v>#REF!</v>
      </c>
      <c r="AY418" s="201"/>
      <c r="AZ418" s="273" t="s">
        <v>1224</v>
      </c>
      <c r="BB418">
        <f>IFERROR(VLOOKUP(Tabela1[[#This Row],[Denominação]],[10]Planilha1!$A:$B,2,FALSE),"")</f>
        <v>4717426.110000005</v>
      </c>
      <c r="BC418" s="219"/>
      <c r="BD418" s="219"/>
      <c r="BE418" s="219"/>
      <c r="BF418" s="219"/>
      <c r="BG418" s="219"/>
      <c r="BH418" s="219"/>
      <c r="BI418" s="219"/>
      <c r="BJ418" s="219"/>
      <c r="BK418" s="219"/>
      <c r="BL418" s="219"/>
    </row>
    <row r="419" spans="1:64" ht="15" customHeight="1" x14ac:dyDescent="0.3">
      <c r="A419" s="268">
        <v>418</v>
      </c>
      <c r="B419" s="171" t="s">
        <v>39</v>
      </c>
      <c r="C419" s="209" t="s">
        <v>1</v>
      </c>
      <c r="D419" s="171">
        <v>10004228</v>
      </c>
      <c r="E419" s="253" t="s">
        <v>1470</v>
      </c>
      <c r="F419" s="210">
        <v>2513</v>
      </c>
      <c r="G419" s="171">
        <v>33966</v>
      </c>
      <c r="H419" s="171">
        <v>2005</v>
      </c>
      <c r="I419" s="213">
        <v>2131320.17</v>
      </c>
      <c r="J419" s="213">
        <v>19665</v>
      </c>
      <c r="K419" s="170">
        <v>5301215.5499999886</v>
      </c>
      <c r="L419" s="215">
        <v>1.0900000000000001</v>
      </c>
      <c r="M419" s="320">
        <v>6300</v>
      </c>
      <c r="N419" s="212">
        <v>151145</v>
      </c>
      <c r="O419" s="171">
        <v>1729</v>
      </c>
      <c r="P419" s="271" t="str">
        <f>IFERROR(VLOOKUP(Tabela1[[#This Row],[TAG]],#REF!,14,FALSE),"")</f>
        <v/>
      </c>
      <c r="Q419" s="204" t="e">
        <f t="shared" si="720"/>
        <v>#VALUE!</v>
      </c>
      <c r="R419" s="204" t="e">
        <f t="shared" si="721"/>
        <v>#VALUE!</v>
      </c>
      <c r="S419" s="204" t="e">
        <f t="shared" si="722"/>
        <v>#VALUE!</v>
      </c>
      <c r="T419" s="204" t="e">
        <f t="shared" si="723"/>
        <v>#VALUE!</v>
      </c>
      <c r="U419" s="204" t="e">
        <f t="shared" si="724"/>
        <v>#VALUE!</v>
      </c>
      <c r="V419" s="204" t="e">
        <f t="shared" si="725"/>
        <v>#VALUE!</v>
      </c>
      <c r="W419" s="304">
        <v>745.71</v>
      </c>
      <c r="X419" s="304">
        <v>14908.12</v>
      </c>
      <c r="Y419" s="203">
        <v>0.1</v>
      </c>
      <c r="Z419" s="203">
        <f>IF(Tabela1[[#This Row],[Ano Aquisição]]=2023,0,IFERROR(VLOOKUP(H419,inflação!$F:$H,3,FALSE),""))</f>
        <v>1.0241</v>
      </c>
      <c r="AA419" s="203">
        <v>0.8</v>
      </c>
      <c r="AB419" s="202">
        <f t="shared" si="692"/>
        <v>-2131320.17</v>
      </c>
      <c r="AC419" s="204" t="e">
        <f t="shared" si="726"/>
        <v>#VALUE!</v>
      </c>
      <c r="AD419" s="204" t="e">
        <f t="shared" si="727"/>
        <v>#VALUE!</v>
      </c>
      <c r="AE419" s="204" t="e">
        <f t="shared" si="727"/>
        <v>#VALUE!</v>
      </c>
      <c r="AF419" s="204" t="e">
        <f t="shared" si="727"/>
        <v>#VALUE!</v>
      </c>
      <c r="AG419" s="204" t="e">
        <f t="shared" si="727"/>
        <v>#VALUE!</v>
      </c>
      <c r="AH419" s="204" t="e">
        <f t="shared" si="727"/>
        <v>#VALUE!</v>
      </c>
      <c r="AI419" s="204" t="e">
        <f t="shared" si="727"/>
        <v>#VALUE!</v>
      </c>
      <c r="AJ419" s="205">
        <f t="shared" si="693"/>
        <v>-4314005.1560969995</v>
      </c>
      <c r="AK419" s="204" t="e">
        <f t="shared" si="728"/>
        <v>#VALUE!</v>
      </c>
      <c r="AL419" s="204" t="e">
        <f t="shared" si="728"/>
        <v>#VALUE!</v>
      </c>
      <c r="AM419" s="204" t="e">
        <f t="shared" si="728"/>
        <v>#VALUE!</v>
      </c>
      <c r="AN419" s="204" t="e">
        <f t="shared" si="728"/>
        <v>#VALUE!</v>
      </c>
      <c r="AO419" s="204" t="e">
        <f t="shared" si="728"/>
        <v>#VALUE!</v>
      </c>
      <c r="AP419" s="204" t="e">
        <f t="shared" si="728"/>
        <v>#VALUE!</v>
      </c>
      <c r="AQ419" s="204" t="e">
        <f t="shared" si="728"/>
        <v>#VALUE!</v>
      </c>
      <c r="AR419" s="206" t="e">
        <f t="shared" si="694"/>
        <v>#VALUE!</v>
      </c>
      <c r="AS419" s="170" t="e">
        <f t="shared" si="729"/>
        <v>#VALUE!</v>
      </c>
      <c r="AT419" s="170" t="e">
        <f t="shared" si="730"/>
        <v>#VALUE!</v>
      </c>
      <c r="AU419" s="207" t="e">
        <f t="shared" si="695"/>
        <v>#VALUE!</v>
      </c>
      <c r="AV419" s="208" t="e">
        <f t="shared" si="696"/>
        <v>#VALUE!</v>
      </c>
      <c r="AW419" s="201" t="str">
        <f t="shared" si="697"/>
        <v>Fase de Vida Útil</v>
      </c>
      <c r="AX419" s="253" t="e">
        <f>VLOOKUP(D419,#REF!,5,FALSE)</f>
        <v>#REF!</v>
      </c>
      <c r="AY419" s="201"/>
      <c r="AZ419" s="273" t="s">
        <v>1224</v>
      </c>
      <c r="BB419">
        <f>IFERROR(VLOOKUP(Tabela1[[#This Row],[Denominação]],[10]Planilha1!$A:$B,2,FALSE),"")</f>
        <v>5301215.5499999886</v>
      </c>
      <c r="BC419" s="219"/>
      <c r="BD419" s="219"/>
      <c r="BE419" s="219"/>
      <c r="BF419" s="219"/>
      <c r="BG419" s="219"/>
      <c r="BH419" s="219"/>
      <c r="BI419" s="219"/>
      <c r="BJ419" s="219"/>
      <c r="BK419" s="219"/>
      <c r="BL419" s="219"/>
    </row>
    <row r="420" spans="1:64" ht="15" customHeight="1" x14ac:dyDescent="0.3">
      <c r="A420" s="253">
        <v>419</v>
      </c>
      <c r="B420" s="171" t="s">
        <v>345</v>
      </c>
      <c r="C420" s="209" t="s">
        <v>166</v>
      </c>
      <c r="D420" s="171">
        <v>10006430</v>
      </c>
      <c r="E420" s="253" t="s">
        <v>1472</v>
      </c>
      <c r="F420" s="210">
        <v>2513</v>
      </c>
      <c r="G420" s="171">
        <v>47154</v>
      </c>
      <c r="H420" s="171">
        <v>2016</v>
      </c>
      <c r="I420" s="213">
        <v>2020657.94</v>
      </c>
      <c r="J420" s="213">
        <v>586423</v>
      </c>
      <c r="K420" s="477">
        <v>2277322</v>
      </c>
      <c r="L420" s="478">
        <v>1.24</v>
      </c>
      <c r="M420" s="320">
        <v>6300</v>
      </c>
      <c r="N420" s="474">
        <v>81837</v>
      </c>
      <c r="O420" s="475">
        <v>2357</v>
      </c>
      <c r="P420" s="476">
        <v>227</v>
      </c>
      <c r="Q420" s="204">
        <f t="shared" si="720"/>
        <v>454</v>
      </c>
      <c r="R420" s="204">
        <f t="shared" si="721"/>
        <v>681</v>
      </c>
      <c r="S420" s="204">
        <f t="shared" si="722"/>
        <v>908</v>
      </c>
      <c r="T420" s="204">
        <f t="shared" si="723"/>
        <v>1135</v>
      </c>
      <c r="U420" s="204">
        <f t="shared" si="724"/>
        <v>1362</v>
      </c>
      <c r="V420" s="204">
        <f t="shared" si="725"/>
        <v>1589</v>
      </c>
      <c r="W420" s="473">
        <v>695.81</v>
      </c>
      <c r="X420" s="473">
        <v>1767.79</v>
      </c>
      <c r="Y420" s="203">
        <v>0.1</v>
      </c>
      <c r="Z420" s="203">
        <f>IF(Tabela1[[#This Row],[Ano Aquisição]]=2023,0,IFERROR(VLOOKUP(H420,inflação!$F:$H,3,FALSE),""))</f>
        <v>0.37669999999999998</v>
      </c>
      <c r="AA420" s="203">
        <v>0.8</v>
      </c>
      <c r="AB420" s="202">
        <f t="shared" si="692"/>
        <v>-2020657.94</v>
      </c>
      <c r="AC420" s="204">
        <f t="shared" si="726"/>
        <v>-197078.58500000002</v>
      </c>
      <c r="AD420" s="204">
        <f t="shared" si="727"/>
        <v>-216786.44350000005</v>
      </c>
      <c r="AE420" s="204">
        <f t="shared" si="727"/>
        <v>-238465.08785000007</v>
      </c>
      <c r="AF420" s="204">
        <f t="shared" si="727"/>
        <v>-262311.59663500008</v>
      </c>
      <c r="AG420" s="204">
        <f t="shared" si="727"/>
        <v>-288542.75629850011</v>
      </c>
      <c r="AH420" s="204">
        <f t="shared" si="727"/>
        <v>-317397.03192835016</v>
      </c>
      <c r="AI420" s="204">
        <f t="shared" si="727"/>
        <v>-349136.73512118525</v>
      </c>
      <c r="AJ420" s="205">
        <f t="shared" si="693"/>
        <v>-2781839.7859979998</v>
      </c>
      <c r="AK420" s="204">
        <f t="shared" si="728"/>
        <v>-39415.716999999997</v>
      </c>
      <c r="AL420" s="204">
        <f t="shared" si="728"/>
        <v>-43357.288699999997</v>
      </c>
      <c r="AM420" s="204">
        <f t="shared" si="728"/>
        <v>-47693.017570000004</v>
      </c>
      <c r="AN420" s="204">
        <f t="shared" si="728"/>
        <v>-52462.319327000005</v>
      </c>
      <c r="AO420" s="204">
        <f t="shared" si="728"/>
        <v>-57708.551259700012</v>
      </c>
      <c r="AP420" s="204">
        <f t="shared" si="728"/>
        <v>-63479.406385670016</v>
      </c>
      <c r="AQ420" s="204">
        <f t="shared" si="728"/>
        <v>-69827.347024237039</v>
      </c>
      <c r="AR420" s="206">
        <f t="shared" si="694"/>
        <v>-2364953.6259979997</v>
      </c>
      <c r="AS420" s="170">
        <f t="shared" si="729"/>
        <v>-1869718.2363330356</v>
      </c>
      <c r="AT420" s="170">
        <f t="shared" si="730"/>
        <v>-373943.64726660709</v>
      </c>
      <c r="AU420" s="207">
        <f t="shared" si="695"/>
        <v>-267.49831384736734</v>
      </c>
      <c r="AV420" s="208">
        <f t="shared" si="696"/>
        <v>-7.9417293377276932E-2</v>
      </c>
      <c r="AW420" s="201" t="str">
        <f t="shared" si="697"/>
        <v>Fase de Degradação</v>
      </c>
      <c r="AX420" s="253" t="e">
        <f>VLOOKUP(D420,#REF!,5,FALSE)</f>
        <v>#REF!</v>
      </c>
      <c r="AY420" s="201"/>
      <c r="AZ420" s="273" t="s">
        <v>1224</v>
      </c>
      <c r="BB420">
        <f>IFERROR(VLOOKUP(Tabela1[[#This Row],[Denominação]],[10]Planilha1!$A:$B,2,FALSE),"")</f>
        <v>1367549.4799999974</v>
      </c>
      <c r="BC420" s="219"/>
      <c r="BD420" s="219"/>
      <c r="BE420" s="219"/>
      <c r="BF420" s="219"/>
      <c r="BG420" s="219"/>
      <c r="BH420" s="219"/>
      <c r="BI420" s="219"/>
      <c r="BJ420" s="219"/>
      <c r="BK420" s="219"/>
      <c r="BL420" s="219"/>
    </row>
    <row r="421" spans="1:64" ht="15" hidden="1" customHeight="1" x14ac:dyDescent="0.3">
      <c r="A421" s="268">
        <v>420</v>
      </c>
      <c r="B421" s="171" t="s">
        <v>677</v>
      </c>
      <c r="C421" s="209" t="s">
        <v>678</v>
      </c>
      <c r="D421" s="171">
        <v>10006501</v>
      </c>
      <c r="E421" s="253" t="s">
        <v>1471</v>
      </c>
      <c r="F421" s="210">
        <v>2549</v>
      </c>
      <c r="G421" s="171">
        <v>48671</v>
      </c>
      <c r="H421" s="171">
        <v>2017</v>
      </c>
      <c r="I421" s="213">
        <v>125950.69</v>
      </c>
      <c r="J421" s="213">
        <v>57722</v>
      </c>
      <c r="K421" s="170">
        <v>82284.390000000058</v>
      </c>
      <c r="L421" s="207">
        <v>1.1399999999999999</v>
      </c>
      <c r="M421" s="307">
        <v>6300</v>
      </c>
      <c r="N421" s="212">
        <v>45384</v>
      </c>
      <c r="O421" s="171">
        <v>149</v>
      </c>
      <c r="P421" s="271" t="str">
        <f>IFERROR(VLOOKUP(Tabela1[[#This Row],[TAG]],#REF!,14,FALSE),"")</f>
        <v/>
      </c>
      <c r="Q421" s="204" t="e">
        <f t="shared" si="720"/>
        <v>#VALUE!</v>
      </c>
      <c r="R421" s="204" t="e">
        <f t="shared" si="721"/>
        <v>#VALUE!</v>
      </c>
      <c r="S421" s="204" t="e">
        <f t="shared" si="722"/>
        <v>#VALUE!</v>
      </c>
      <c r="T421" s="204" t="e">
        <f t="shared" si="723"/>
        <v>#VALUE!</v>
      </c>
      <c r="U421" s="204" t="e">
        <f t="shared" si="724"/>
        <v>#VALUE!</v>
      </c>
      <c r="V421" s="204" t="e">
        <f t="shared" si="725"/>
        <v>#VALUE!</v>
      </c>
      <c r="W421" s="304">
        <v>404.81</v>
      </c>
      <c r="X421" s="304">
        <v>1514.46</v>
      </c>
      <c r="Y421" s="203">
        <v>0.1</v>
      </c>
      <c r="Z421" s="203">
        <f>IF(Tabela1[[#This Row],[Ano Aquisição]]=2023,0,IFERROR(VLOOKUP(H421,inflação!$F:$H,3,FALSE),""))</f>
        <v>0.31379999999999997</v>
      </c>
      <c r="AA421" s="203">
        <v>0.8</v>
      </c>
      <c r="AB421" s="202">
        <f t="shared" si="692"/>
        <v>-125950.69</v>
      </c>
      <c r="AC421" s="204" t="e">
        <f t="shared" si="726"/>
        <v>#VALUE!</v>
      </c>
      <c r="AD421" s="204" t="e">
        <f t="shared" si="727"/>
        <v>#VALUE!</v>
      </c>
      <c r="AE421" s="204" t="e">
        <f t="shared" si="727"/>
        <v>#VALUE!</v>
      </c>
      <c r="AF421" s="204" t="e">
        <f t="shared" si="727"/>
        <v>#VALUE!</v>
      </c>
      <c r="AG421" s="204" t="e">
        <f t="shared" si="727"/>
        <v>#VALUE!</v>
      </c>
      <c r="AH421" s="204" t="e">
        <f t="shared" si="727"/>
        <v>#VALUE!</v>
      </c>
      <c r="AI421" s="204" t="e">
        <f t="shared" si="727"/>
        <v>#VALUE!</v>
      </c>
      <c r="AJ421" s="205">
        <f t="shared" si="693"/>
        <v>-165474.01652200002</v>
      </c>
      <c r="AK421" s="204" t="e">
        <f t="shared" si="728"/>
        <v>#VALUE!</v>
      </c>
      <c r="AL421" s="204" t="e">
        <f t="shared" si="728"/>
        <v>#VALUE!</v>
      </c>
      <c r="AM421" s="204" t="e">
        <f t="shared" si="728"/>
        <v>#VALUE!</v>
      </c>
      <c r="AN421" s="204" t="e">
        <f t="shared" si="728"/>
        <v>#VALUE!</v>
      </c>
      <c r="AO421" s="204" t="e">
        <f t="shared" si="728"/>
        <v>#VALUE!</v>
      </c>
      <c r="AP421" s="204" t="e">
        <f t="shared" si="728"/>
        <v>#VALUE!</v>
      </c>
      <c r="AQ421" s="204" t="e">
        <f t="shared" si="728"/>
        <v>#VALUE!</v>
      </c>
      <c r="AR421" s="206" t="e">
        <f t="shared" si="694"/>
        <v>#VALUE!</v>
      </c>
      <c r="AS421" s="170" t="e">
        <f t="shared" si="729"/>
        <v>#VALUE!</v>
      </c>
      <c r="AT421" s="170" t="e">
        <f t="shared" si="730"/>
        <v>#VALUE!</v>
      </c>
      <c r="AU421" s="207" t="e">
        <f t="shared" si="695"/>
        <v>#VALUE!</v>
      </c>
      <c r="AV421" s="208" t="e">
        <f t="shared" si="696"/>
        <v>#VALUE!</v>
      </c>
      <c r="AW421" s="201" t="str">
        <f t="shared" si="697"/>
        <v>Fase de Degradação</v>
      </c>
      <c r="AX421" s="253" t="e">
        <f>VLOOKUP(D421,#REF!,5,FALSE)</f>
        <v>#REF!</v>
      </c>
      <c r="AY421" s="201"/>
      <c r="AZ421" s="273" t="s">
        <v>1224</v>
      </c>
      <c r="BB421">
        <f>IFERROR(VLOOKUP(Tabela1[[#This Row],[Denominação]],[10]Planilha1!$A:$B,2,FALSE),"")</f>
        <v>82284.390000000058</v>
      </c>
      <c r="BC421" s="219"/>
      <c r="BD421" s="219"/>
      <c r="BE421" s="219"/>
      <c r="BF421" s="219"/>
      <c r="BG421" s="219"/>
      <c r="BH421" s="219"/>
      <c r="BI421" s="219"/>
      <c r="BJ421" s="219"/>
      <c r="BK421" s="219"/>
      <c r="BL421" s="219"/>
    </row>
    <row r="422" spans="1:64" ht="15" customHeight="1" x14ac:dyDescent="0.3">
      <c r="A422" s="253">
        <v>421</v>
      </c>
      <c r="B422" s="171" t="s">
        <v>645</v>
      </c>
      <c r="C422" s="209" t="s">
        <v>646</v>
      </c>
      <c r="D422" s="171">
        <v>10006502</v>
      </c>
      <c r="E422" s="253" t="s">
        <v>1473</v>
      </c>
      <c r="F422" s="210">
        <v>2516</v>
      </c>
      <c r="G422" s="171">
        <v>49327</v>
      </c>
      <c r="H422" s="171">
        <v>2018</v>
      </c>
      <c r="I422" s="213">
        <v>1937750.51</v>
      </c>
      <c r="J422" s="213">
        <v>973810</v>
      </c>
      <c r="K422" s="170">
        <v>843232.5899999995</v>
      </c>
      <c r="L422" s="207">
        <v>1.44</v>
      </c>
      <c r="M422" s="320">
        <v>6300</v>
      </c>
      <c r="N422" s="212">
        <v>42922</v>
      </c>
      <c r="O422" s="171">
        <v>774</v>
      </c>
      <c r="P422" s="271" t="str">
        <f>IFERROR(VLOOKUP(Tabela1[[#This Row],[TAG]],#REF!,14,FALSE),"")</f>
        <v/>
      </c>
      <c r="Q422" s="204" t="e">
        <f t="shared" si="720"/>
        <v>#VALUE!</v>
      </c>
      <c r="R422" s="204" t="e">
        <f t="shared" si="721"/>
        <v>#VALUE!</v>
      </c>
      <c r="S422" s="204" t="e">
        <f t="shared" si="722"/>
        <v>#VALUE!</v>
      </c>
      <c r="T422" s="204" t="e">
        <f t="shared" si="723"/>
        <v>#VALUE!</v>
      </c>
      <c r="U422" s="204" t="e">
        <f t="shared" si="724"/>
        <v>#VALUE!</v>
      </c>
      <c r="V422" s="204" t="e">
        <f t="shared" si="725"/>
        <v>#VALUE!</v>
      </c>
      <c r="W422" s="304">
        <v>698.81</v>
      </c>
      <c r="X422" s="304">
        <v>14931.89</v>
      </c>
      <c r="Y422" s="203">
        <v>0.1</v>
      </c>
      <c r="Z422" s="203">
        <f>IF(Tabela1[[#This Row],[Ano Aquisição]]=2023,0,IFERROR(VLOOKUP(H422,inflação!$F:$H,3,FALSE),""))</f>
        <v>0.2843</v>
      </c>
      <c r="AA422" s="203">
        <v>0.8</v>
      </c>
      <c r="AB422" s="202">
        <f t="shared" si="692"/>
        <v>-1937750.51</v>
      </c>
      <c r="AC422" s="204" t="e">
        <f t="shared" si="726"/>
        <v>#VALUE!</v>
      </c>
      <c r="AD422" s="204" t="e">
        <f t="shared" si="727"/>
        <v>#VALUE!</v>
      </c>
      <c r="AE422" s="204" t="e">
        <f t="shared" si="727"/>
        <v>#VALUE!</v>
      </c>
      <c r="AF422" s="204" t="e">
        <f t="shared" si="727"/>
        <v>#VALUE!</v>
      </c>
      <c r="AG422" s="204" t="e">
        <f t="shared" si="727"/>
        <v>#VALUE!</v>
      </c>
      <c r="AH422" s="204" t="e">
        <f t="shared" si="727"/>
        <v>#VALUE!</v>
      </c>
      <c r="AI422" s="204" t="e">
        <f t="shared" si="727"/>
        <v>#VALUE!</v>
      </c>
      <c r="AJ422" s="205">
        <f t="shared" si="693"/>
        <v>-2488652.9799930002</v>
      </c>
      <c r="AK422" s="204" t="e">
        <f t="shared" si="728"/>
        <v>#VALUE!</v>
      </c>
      <c r="AL422" s="204" t="e">
        <f t="shared" si="728"/>
        <v>#VALUE!</v>
      </c>
      <c r="AM422" s="204" t="e">
        <f t="shared" si="728"/>
        <v>#VALUE!</v>
      </c>
      <c r="AN422" s="204" t="e">
        <f t="shared" si="728"/>
        <v>#VALUE!</v>
      </c>
      <c r="AO422" s="204" t="e">
        <f t="shared" si="728"/>
        <v>#VALUE!</v>
      </c>
      <c r="AP422" s="204" t="e">
        <f t="shared" si="728"/>
        <v>#VALUE!</v>
      </c>
      <c r="AQ422" s="204" t="e">
        <f t="shared" si="728"/>
        <v>#VALUE!</v>
      </c>
      <c r="AR422" s="206" t="e">
        <f t="shared" si="694"/>
        <v>#VALUE!</v>
      </c>
      <c r="AS422" s="170" t="e">
        <f t="shared" si="729"/>
        <v>#VALUE!</v>
      </c>
      <c r="AT422" s="170" t="e">
        <f t="shared" si="730"/>
        <v>#VALUE!</v>
      </c>
      <c r="AU422" s="207" t="e">
        <f t="shared" si="695"/>
        <v>#VALUE!</v>
      </c>
      <c r="AV422" s="208" t="e">
        <f t="shared" si="696"/>
        <v>#VALUE!</v>
      </c>
      <c r="AW422" s="201" t="str">
        <f t="shared" si="697"/>
        <v>Fase de Degradação</v>
      </c>
      <c r="AX422" s="253" t="e">
        <f>VLOOKUP(D422,#REF!,5,FALSE)</f>
        <v>#REF!</v>
      </c>
      <c r="AY422" s="201"/>
      <c r="AZ422" s="273" t="s">
        <v>1224</v>
      </c>
      <c r="BB422">
        <f>IFERROR(VLOOKUP(Tabela1[[#This Row],[Denominação]],[10]Planilha1!$A:$B,2,FALSE),"")</f>
        <v>843232.5899999995</v>
      </c>
      <c r="BC422" s="219"/>
      <c r="BD422" s="219"/>
      <c r="BE422" s="219"/>
      <c r="BF422" s="219"/>
      <c r="BG422" s="219"/>
      <c r="BH422" s="219"/>
      <c r="BI422" s="219"/>
      <c r="BJ422" s="219"/>
      <c r="BK422" s="219"/>
      <c r="BL422" s="219"/>
    </row>
    <row r="423" spans="1:64" ht="15" hidden="1" customHeight="1" x14ac:dyDescent="0.3">
      <c r="A423" s="268">
        <v>422</v>
      </c>
      <c r="B423" s="171" t="s">
        <v>703</v>
      </c>
      <c r="C423" s="209" t="s">
        <v>704</v>
      </c>
      <c r="D423" s="171">
        <v>10006541</v>
      </c>
      <c r="E423" s="253" t="s">
        <v>1272</v>
      </c>
      <c r="F423" s="210">
        <v>4023</v>
      </c>
      <c r="G423" s="171">
        <v>49680</v>
      </c>
      <c r="H423" s="171">
        <v>2018</v>
      </c>
      <c r="I423" s="213">
        <v>158710.24</v>
      </c>
      <c r="J423" s="213">
        <v>83318</v>
      </c>
      <c r="K423" s="170">
        <v>88442.330000000016</v>
      </c>
      <c r="L423" s="207">
        <v>0.96</v>
      </c>
      <c r="M423" s="212">
        <v>4547</v>
      </c>
      <c r="N423" s="212">
        <v>42548</v>
      </c>
      <c r="O423" s="171">
        <v>62</v>
      </c>
      <c r="P423" s="271" t="str">
        <f>IFERROR(VLOOKUP(Tabela1[[#This Row],[TAG]],#REF!,14,FALSE),"")</f>
        <v/>
      </c>
      <c r="Q423" s="204" t="e">
        <f t="shared" si="720"/>
        <v>#VALUE!</v>
      </c>
      <c r="R423" s="204" t="e">
        <f t="shared" si="721"/>
        <v>#VALUE!</v>
      </c>
      <c r="S423" s="204" t="e">
        <f t="shared" si="722"/>
        <v>#VALUE!</v>
      </c>
      <c r="T423" s="204" t="e">
        <f t="shared" si="723"/>
        <v>#VALUE!</v>
      </c>
      <c r="U423" s="204" t="e">
        <f t="shared" si="724"/>
        <v>#VALUE!</v>
      </c>
      <c r="V423" s="204" t="e">
        <f t="shared" si="725"/>
        <v>#VALUE!</v>
      </c>
      <c r="W423" s="218">
        <v>388.01</v>
      </c>
      <c r="X423" s="218">
        <v>444.83</v>
      </c>
      <c r="Y423" s="203">
        <v>0.1</v>
      </c>
      <c r="Z423" s="203">
        <f>IF(Tabela1[[#This Row],[Ano Aquisição]]=2023,0,IFERROR(VLOOKUP(H423,inflação!$F:$H,3,FALSE),""))</f>
        <v>0.2843</v>
      </c>
      <c r="AA423" s="203">
        <v>0.8</v>
      </c>
      <c r="AB423" s="202">
        <f t="shared" si="692"/>
        <v>-158710.24</v>
      </c>
      <c r="AC423" s="204" t="e">
        <f t="shared" si="726"/>
        <v>#VALUE!</v>
      </c>
      <c r="AD423" s="204" t="e">
        <f t="shared" si="727"/>
        <v>#VALUE!</v>
      </c>
      <c r="AE423" s="204" t="e">
        <f t="shared" si="727"/>
        <v>#VALUE!</v>
      </c>
      <c r="AF423" s="204" t="e">
        <f t="shared" si="727"/>
        <v>#VALUE!</v>
      </c>
      <c r="AG423" s="204" t="e">
        <f t="shared" si="727"/>
        <v>#VALUE!</v>
      </c>
      <c r="AH423" s="204" t="e">
        <f t="shared" si="727"/>
        <v>#VALUE!</v>
      </c>
      <c r="AI423" s="204" t="e">
        <f t="shared" si="727"/>
        <v>#VALUE!</v>
      </c>
      <c r="AJ423" s="205">
        <f t="shared" si="693"/>
        <v>-203831.56123199998</v>
      </c>
      <c r="AK423" s="204" t="e">
        <f t="shared" si="728"/>
        <v>#VALUE!</v>
      </c>
      <c r="AL423" s="204" t="e">
        <f t="shared" si="728"/>
        <v>#VALUE!</v>
      </c>
      <c r="AM423" s="204" t="e">
        <f t="shared" si="728"/>
        <v>#VALUE!</v>
      </c>
      <c r="AN423" s="204" t="e">
        <f t="shared" si="728"/>
        <v>#VALUE!</v>
      </c>
      <c r="AO423" s="204" t="e">
        <f t="shared" si="728"/>
        <v>#VALUE!</v>
      </c>
      <c r="AP423" s="204" t="e">
        <f t="shared" si="728"/>
        <v>#VALUE!</v>
      </c>
      <c r="AQ423" s="204" t="e">
        <f t="shared" si="728"/>
        <v>#VALUE!</v>
      </c>
      <c r="AR423" s="206" t="e">
        <f t="shared" si="694"/>
        <v>#VALUE!</v>
      </c>
      <c r="AS423" s="170" t="e">
        <f t="shared" si="729"/>
        <v>#VALUE!</v>
      </c>
      <c r="AT423" s="170" t="e">
        <f t="shared" si="730"/>
        <v>#VALUE!</v>
      </c>
      <c r="AU423" s="207" t="e">
        <f t="shared" si="695"/>
        <v>#VALUE!</v>
      </c>
      <c r="AV423" s="208" t="e">
        <f t="shared" si="696"/>
        <v>#VALUE!</v>
      </c>
      <c r="AW423" s="201" t="str">
        <f t="shared" si="697"/>
        <v>Confiabilidade em Crescimento</v>
      </c>
      <c r="AX423" s="253" t="e">
        <f>VLOOKUP(D423,#REF!,5,FALSE)</f>
        <v>#REF!</v>
      </c>
      <c r="AY423" s="201"/>
      <c r="AZ423" s="273" t="s">
        <v>1224</v>
      </c>
      <c r="BB423">
        <f>IFERROR(VLOOKUP(Tabela1[[#This Row],[Denominação]],[10]Planilha1!$A:$B,2,FALSE),"")</f>
        <v>88442.330000000016</v>
      </c>
      <c r="BC423" s="219"/>
      <c r="BD423" s="219"/>
      <c r="BE423" s="219"/>
      <c r="BF423" s="219"/>
      <c r="BG423" s="219"/>
      <c r="BH423" s="219"/>
      <c r="BI423" s="219"/>
      <c r="BJ423" s="219"/>
      <c r="BK423" s="219"/>
      <c r="BL423" s="219"/>
    </row>
    <row r="424" spans="1:64" ht="15" hidden="1" customHeight="1" x14ac:dyDescent="0.3">
      <c r="A424" s="253">
        <v>423</v>
      </c>
      <c r="B424" s="201" t="s">
        <v>803</v>
      </c>
      <c r="C424" s="211" t="s">
        <v>804</v>
      </c>
      <c r="D424" s="201">
        <v>20003529</v>
      </c>
      <c r="E424" s="253" t="s">
        <v>1474</v>
      </c>
      <c r="F424" s="253">
        <v>2534</v>
      </c>
      <c r="G424" s="201">
        <v>51925</v>
      </c>
      <c r="H424" s="201">
        <v>2019</v>
      </c>
      <c r="I424" s="216">
        <v>180846.83</v>
      </c>
      <c r="J424" s="214">
        <v>127928.47</v>
      </c>
      <c r="K424" s="170">
        <v>59931.37000000001</v>
      </c>
      <c r="L424" s="207">
        <v>1.1100000000000001</v>
      </c>
      <c r="M424" s="320">
        <v>5406</v>
      </c>
      <c r="N424" s="212">
        <v>34494</v>
      </c>
      <c r="O424" s="171">
        <v>27</v>
      </c>
      <c r="P424" s="271" t="str">
        <f>IFERROR(VLOOKUP(Tabela1[[#This Row],[TAG]],#REF!,14,FALSE),"")</f>
        <v/>
      </c>
      <c r="Q424" s="204" t="e">
        <f t="shared" si="720"/>
        <v>#VALUE!</v>
      </c>
      <c r="R424" s="204" t="e">
        <f t="shared" si="721"/>
        <v>#VALUE!</v>
      </c>
      <c r="S424" s="204" t="e">
        <f t="shared" si="722"/>
        <v>#VALUE!</v>
      </c>
      <c r="T424" s="204" t="e">
        <f t="shared" si="723"/>
        <v>#VALUE!</v>
      </c>
      <c r="U424" s="204" t="e">
        <f t="shared" si="724"/>
        <v>#VALUE!</v>
      </c>
      <c r="V424" s="204" t="e">
        <f t="shared" si="725"/>
        <v>#VALUE!</v>
      </c>
      <c r="W424" s="304">
        <v>486.32</v>
      </c>
      <c r="X424" s="304">
        <v>580.63</v>
      </c>
      <c r="Y424" s="203">
        <v>0.1</v>
      </c>
      <c r="Z424" s="203">
        <f>IF(Tabela1[[#This Row],[Ano Aquisição]]=2023,0,IFERROR(VLOOKUP(H424,inflação!$F:$H,3,FALSE),""))</f>
        <v>0.24679999999999999</v>
      </c>
      <c r="AA424" s="203">
        <v>0.8</v>
      </c>
      <c r="AB424" s="202">
        <f t="shared" si="692"/>
        <v>-180846.83</v>
      </c>
      <c r="AC424" s="204" t="e">
        <f t="shared" si="726"/>
        <v>#VALUE!</v>
      </c>
      <c r="AD424" s="204" t="e">
        <f t="shared" si="727"/>
        <v>#VALUE!</v>
      </c>
      <c r="AE424" s="204" t="e">
        <f t="shared" si="727"/>
        <v>#VALUE!</v>
      </c>
      <c r="AF424" s="204" t="e">
        <f t="shared" si="727"/>
        <v>#VALUE!</v>
      </c>
      <c r="AG424" s="204" t="e">
        <f t="shared" si="727"/>
        <v>#VALUE!</v>
      </c>
      <c r="AH424" s="204" t="e">
        <f t="shared" si="727"/>
        <v>#VALUE!</v>
      </c>
      <c r="AI424" s="204" t="e">
        <f t="shared" si="727"/>
        <v>#VALUE!</v>
      </c>
      <c r="AJ424" s="205">
        <f t="shared" si="693"/>
        <v>-225479.82764399998</v>
      </c>
      <c r="AK424" s="204" t="e">
        <f t="shared" si="728"/>
        <v>#VALUE!</v>
      </c>
      <c r="AL424" s="204" t="e">
        <f t="shared" si="728"/>
        <v>#VALUE!</v>
      </c>
      <c r="AM424" s="204" t="e">
        <f t="shared" si="728"/>
        <v>#VALUE!</v>
      </c>
      <c r="AN424" s="204" t="e">
        <f t="shared" si="728"/>
        <v>#VALUE!</v>
      </c>
      <c r="AO424" s="204" t="e">
        <f t="shared" si="728"/>
        <v>#VALUE!</v>
      </c>
      <c r="AP424" s="204" t="e">
        <f t="shared" si="728"/>
        <v>#VALUE!</v>
      </c>
      <c r="AQ424" s="204" t="e">
        <f t="shared" si="728"/>
        <v>#VALUE!</v>
      </c>
      <c r="AR424" s="206" t="e">
        <f t="shared" si="694"/>
        <v>#VALUE!</v>
      </c>
      <c r="AS424" s="170" t="e">
        <f t="shared" si="729"/>
        <v>#VALUE!</v>
      </c>
      <c r="AT424" s="170" t="e">
        <f t="shared" si="730"/>
        <v>#VALUE!</v>
      </c>
      <c r="AU424" s="207" t="e">
        <f t="shared" si="695"/>
        <v>#VALUE!</v>
      </c>
      <c r="AV424" s="208" t="e">
        <f t="shared" si="696"/>
        <v>#VALUE!</v>
      </c>
      <c r="AW424" s="201" t="str">
        <f t="shared" si="697"/>
        <v>Fase de Degradação</v>
      </c>
      <c r="AX424" s="253" t="e">
        <f>VLOOKUP(D424,#REF!,5,FALSE)</f>
        <v>#REF!</v>
      </c>
      <c r="AY424" s="201"/>
      <c r="AZ424" s="273" t="s">
        <v>1224</v>
      </c>
      <c r="BB424">
        <f>IFERROR(VLOOKUP(Tabela1[[#This Row],[Denominação]],[10]Planilha1!$A:$B,2,FALSE),"")</f>
        <v>59931.37000000001</v>
      </c>
      <c r="BC424" s="219"/>
      <c r="BD424" s="219"/>
      <c r="BE424" s="219"/>
      <c r="BF424" s="219"/>
      <c r="BG424" s="219"/>
      <c r="BH424" s="219"/>
      <c r="BI424" s="219"/>
      <c r="BJ424" s="219"/>
      <c r="BK424" s="219"/>
      <c r="BL424" s="219"/>
    </row>
    <row r="425" spans="1:64" ht="15" hidden="1" customHeight="1" x14ac:dyDescent="0.3">
      <c r="A425" s="268">
        <v>424</v>
      </c>
      <c r="B425" s="255" t="s">
        <v>1841</v>
      </c>
      <c r="C425" s="211" t="s">
        <v>1710</v>
      </c>
      <c r="D425" s="201">
        <v>20004035</v>
      </c>
      <c r="E425" s="253" t="s">
        <v>1278</v>
      </c>
      <c r="F425" s="253">
        <v>1073</v>
      </c>
      <c r="G425" s="201">
        <v>50461</v>
      </c>
      <c r="H425" s="201">
        <v>2018</v>
      </c>
      <c r="I425" s="216">
        <v>149010.54999999999</v>
      </c>
      <c r="J425" s="214">
        <v>90836</v>
      </c>
      <c r="K425" s="170">
        <v>9486.0399999999991</v>
      </c>
      <c r="L425" s="207">
        <v>1.41</v>
      </c>
      <c r="M425" s="212">
        <v>4116</v>
      </c>
      <c r="N425" s="212">
        <v>24886</v>
      </c>
      <c r="O425" s="171">
        <v>17</v>
      </c>
      <c r="P425" s="271" t="str">
        <f>IFERROR(VLOOKUP(Tabela1[[#This Row],[TAG]],#REF!,14,FALSE),"")</f>
        <v/>
      </c>
      <c r="Q425" s="204" t="e">
        <f t="shared" si="720"/>
        <v>#VALUE!</v>
      </c>
      <c r="R425" s="204" t="e">
        <f t="shared" si="721"/>
        <v>#VALUE!</v>
      </c>
      <c r="S425" s="204" t="e">
        <f t="shared" si="722"/>
        <v>#VALUE!</v>
      </c>
      <c r="T425" s="204" t="e">
        <f t="shared" si="723"/>
        <v>#VALUE!</v>
      </c>
      <c r="U425" s="204" t="e">
        <f t="shared" si="724"/>
        <v>#VALUE!</v>
      </c>
      <c r="V425" s="204" t="e">
        <f t="shared" si="725"/>
        <v>#VALUE!</v>
      </c>
      <c r="W425" s="218">
        <v>684.85</v>
      </c>
      <c r="X425" s="170">
        <v>378.49</v>
      </c>
      <c r="Y425" s="203">
        <v>0.1</v>
      </c>
      <c r="Z425" s="203">
        <f>IF(Tabela1[[#This Row],[Ano Aquisição]]=2023,0,IFERROR(VLOOKUP(H425,inflação!$F:$H,3,FALSE),""))</f>
        <v>0.2843</v>
      </c>
      <c r="AA425" s="203">
        <v>0.8</v>
      </c>
      <c r="AB425" s="202">
        <f t="shared" si="692"/>
        <v>-149010.54999999999</v>
      </c>
      <c r="AC425" s="204" t="e">
        <f t="shared" si="726"/>
        <v>#VALUE!</v>
      </c>
      <c r="AD425" s="204" t="e">
        <f t="shared" si="727"/>
        <v>#VALUE!</v>
      </c>
      <c r="AE425" s="204" t="e">
        <f t="shared" si="727"/>
        <v>#VALUE!</v>
      </c>
      <c r="AF425" s="204" t="e">
        <f t="shared" si="727"/>
        <v>#VALUE!</v>
      </c>
      <c r="AG425" s="204" t="e">
        <f t="shared" si="727"/>
        <v>#VALUE!</v>
      </c>
      <c r="AH425" s="204" t="e">
        <f t="shared" si="727"/>
        <v>#VALUE!</v>
      </c>
      <c r="AI425" s="204" t="e">
        <f t="shared" si="727"/>
        <v>#VALUE!</v>
      </c>
      <c r="AJ425" s="205">
        <f t="shared" si="693"/>
        <v>-191374.249365</v>
      </c>
      <c r="AK425" s="204" t="e">
        <f t="shared" si="728"/>
        <v>#VALUE!</v>
      </c>
      <c r="AL425" s="204" t="e">
        <f t="shared" si="728"/>
        <v>#VALUE!</v>
      </c>
      <c r="AM425" s="204" t="e">
        <f t="shared" si="728"/>
        <v>#VALUE!</v>
      </c>
      <c r="AN425" s="204" t="e">
        <f t="shared" si="728"/>
        <v>#VALUE!</v>
      </c>
      <c r="AO425" s="204" t="e">
        <f t="shared" si="728"/>
        <v>#VALUE!</v>
      </c>
      <c r="AP425" s="204" t="e">
        <f t="shared" si="728"/>
        <v>#VALUE!</v>
      </c>
      <c r="AQ425" s="204" t="e">
        <f t="shared" si="728"/>
        <v>#VALUE!</v>
      </c>
      <c r="AR425" s="206" t="e">
        <f t="shared" si="694"/>
        <v>#VALUE!</v>
      </c>
      <c r="AS425" s="170" t="e">
        <f t="shared" si="729"/>
        <v>#VALUE!</v>
      </c>
      <c r="AT425" s="170" t="e">
        <f t="shared" si="730"/>
        <v>#VALUE!</v>
      </c>
      <c r="AU425" s="207" t="e">
        <f t="shared" si="695"/>
        <v>#VALUE!</v>
      </c>
      <c r="AV425" s="208" t="e">
        <f t="shared" si="696"/>
        <v>#VALUE!</v>
      </c>
      <c r="AW425" s="201" t="str">
        <f t="shared" si="697"/>
        <v>Fase de Degradação</v>
      </c>
      <c r="AX425" s="253" t="e">
        <f>VLOOKUP(D425,#REF!,5,FALSE)</f>
        <v>#REF!</v>
      </c>
      <c r="AY425" s="201"/>
      <c r="AZ425" s="273" t="s">
        <v>1224</v>
      </c>
      <c r="BB425">
        <f>IFERROR(VLOOKUP(Tabela1[[#This Row],[Denominação]],[10]Planilha1!$A:$B,2,FALSE),"")</f>
        <v>9486.0399999999991</v>
      </c>
      <c r="BC425" s="219"/>
      <c r="BD425" s="219"/>
      <c r="BE425" s="219"/>
      <c r="BF425" s="219"/>
      <c r="BG425" s="219"/>
      <c r="BH425" s="219"/>
      <c r="BI425" s="219"/>
      <c r="BJ425" s="219"/>
      <c r="BK425" s="219"/>
      <c r="BL425" s="219"/>
    </row>
    <row r="426" spans="1:64" ht="15" customHeight="1" x14ac:dyDescent="0.3">
      <c r="A426" s="253">
        <v>425</v>
      </c>
      <c r="B426" s="255" t="s">
        <v>1842</v>
      </c>
      <c r="C426" s="211" t="s">
        <v>1711</v>
      </c>
      <c r="D426" s="201">
        <v>10006897</v>
      </c>
      <c r="E426" s="253" t="s">
        <v>1780</v>
      </c>
      <c r="F426" s="253">
        <v>2513</v>
      </c>
      <c r="G426" s="201">
        <v>58019</v>
      </c>
      <c r="H426" s="201">
        <v>2022</v>
      </c>
      <c r="I426" s="216">
        <v>3733052.6</v>
      </c>
      <c r="J426" s="214">
        <v>3577508</v>
      </c>
      <c r="K426" s="170">
        <v>138936.10999999984</v>
      </c>
      <c r="L426" s="207">
        <v>0.91</v>
      </c>
      <c r="M426" s="320">
        <v>4877</v>
      </c>
      <c r="N426" s="212">
        <v>4994</v>
      </c>
      <c r="O426" s="171">
        <v>93</v>
      </c>
      <c r="P426" s="271" t="str">
        <f>IFERROR(VLOOKUP(Tabela1[[#This Row],[TAG]],#REF!,14,FALSE),"")</f>
        <v/>
      </c>
      <c r="Q426" s="204" t="e">
        <f t="shared" ref="Q426" si="731">P426+P426</f>
        <v>#VALUE!</v>
      </c>
      <c r="R426" s="204" t="e">
        <f t="shared" ref="R426" si="732">Q426+P426</f>
        <v>#VALUE!</v>
      </c>
      <c r="S426" s="204" t="e">
        <f t="shared" ref="S426" si="733">R426+P426</f>
        <v>#VALUE!</v>
      </c>
      <c r="T426" s="204" t="e">
        <f t="shared" ref="T426" si="734">S426+P426</f>
        <v>#VALUE!</v>
      </c>
      <c r="U426" s="204" t="e">
        <f t="shared" ref="U426" si="735">T426+P426</f>
        <v>#VALUE!</v>
      </c>
      <c r="V426" s="204" t="e">
        <f t="shared" ref="V426" si="736">U426+P426</f>
        <v>#VALUE!</v>
      </c>
      <c r="W426" s="473">
        <v>795.89</v>
      </c>
      <c r="X426" s="473">
        <v>2292.06</v>
      </c>
      <c r="Y426" s="203">
        <v>0.1</v>
      </c>
      <c r="Z426" s="203">
        <f>IF(Tabela1[[#This Row],[Ano Aquisição]]=2023,0,IFERROR(VLOOKUP(H426,inflação!$F:$H,3,FALSE),""))</f>
        <v>5.79E-2</v>
      </c>
      <c r="AA426" s="203">
        <v>0.8</v>
      </c>
      <c r="AB426" s="202">
        <f t="shared" si="692"/>
        <v>-3733052.6</v>
      </c>
      <c r="AC426" s="204" t="e">
        <f t="shared" ref="AC426" si="737">-(((P426*$W426)+($X426*12))*((1+$Y426)^AC$1))</f>
        <v>#VALUE!</v>
      </c>
      <c r="AD426" s="204" t="e">
        <f t="shared" ref="AD426" si="738">-((((Q426-P426)*$W426)+($X426*12))*((1+$Y426)^AD$1))</f>
        <v>#VALUE!</v>
      </c>
      <c r="AE426" s="204" t="e">
        <f t="shared" ref="AE426" si="739">-((((R426-Q426)*$W426)+($X426*12))*((1+$Y426)^AE$1))</f>
        <v>#VALUE!</v>
      </c>
      <c r="AF426" s="204" t="e">
        <f t="shared" ref="AF426" si="740">-((((S426-R426)*$W426)+($X426*12))*((1+$Y426)^AF$1))</f>
        <v>#VALUE!</v>
      </c>
      <c r="AG426" s="204" t="e">
        <f t="shared" ref="AG426" si="741">-((((T426-S426)*$W426)+($X426*12))*((1+$Y426)^AG$1))</f>
        <v>#VALUE!</v>
      </c>
      <c r="AH426" s="204" t="e">
        <f t="shared" ref="AH426" si="742">-((((U426-T426)*$W426)+($X426*12))*((1+$Y426)^AH$1))</f>
        <v>#VALUE!</v>
      </c>
      <c r="AI426" s="204" t="e">
        <f t="shared" ref="AI426" si="743">-((((V426-U426)*$W426)+($X426*12))*((1+$Y426)^AI$1))</f>
        <v>#VALUE!</v>
      </c>
      <c r="AJ426" s="205">
        <f t="shared" si="693"/>
        <v>-3949196.3455400001</v>
      </c>
      <c r="AK426" s="204" t="e">
        <f t="shared" ref="AK426" si="744">AC426*(1-$AA426)</f>
        <v>#VALUE!</v>
      </c>
      <c r="AL426" s="204" t="e">
        <f t="shared" ref="AL426" si="745">AD426*(1-$AA426)</f>
        <v>#VALUE!</v>
      </c>
      <c r="AM426" s="204" t="e">
        <f t="shared" ref="AM426" si="746">AE426*(1-$AA426)</f>
        <v>#VALUE!</v>
      </c>
      <c r="AN426" s="204" t="e">
        <f t="shared" ref="AN426" si="747">AF426*(1-$AA426)</f>
        <v>#VALUE!</v>
      </c>
      <c r="AO426" s="204" t="e">
        <f t="shared" ref="AO426" si="748">AG426*(1-$AA426)</f>
        <v>#VALUE!</v>
      </c>
      <c r="AP426" s="204" t="e">
        <f t="shared" ref="AP426" si="749">AH426*(1-$AA426)</f>
        <v>#VALUE!</v>
      </c>
      <c r="AQ426" s="204" t="e">
        <f t="shared" ref="AQ426" si="750">AI426*(1-$AA426)</f>
        <v>#VALUE!</v>
      </c>
      <c r="AR426" s="206" t="e">
        <f t="shared" si="694"/>
        <v>#VALUE!</v>
      </c>
      <c r="AS426" s="170" t="e">
        <f t="shared" ref="AS426" si="751">SUM(AC426:AI426)</f>
        <v>#VALUE!</v>
      </c>
      <c r="AT426" s="170" t="e">
        <f t="shared" ref="AT426" si="752">SUM(AK426:AQ426)</f>
        <v>#VALUE!</v>
      </c>
      <c r="AU426" s="207" t="e">
        <f t="shared" si="695"/>
        <v>#VALUE!</v>
      </c>
      <c r="AV426" s="208" t="e">
        <f t="shared" si="696"/>
        <v>#VALUE!</v>
      </c>
      <c r="AW426" s="201" t="str">
        <f t="shared" si="697"/>
        <v>Confiabilidade em Crescimento</v>
      </c>
      <c r="AX426" s="253" t="e">
        <f>VLOOKUP(D426,#REF!,5,FALSE)</f>
        <v>#REF!</v>
      </c>
      <c r="AY426" s="201"/>
      <c r="AZ426" s="273" t="s">
        <v>1224</v>
      </c>
      <c r="BB426">
        <f>IFERROR(VLOOKUP(Tabela1[[#This Row],[Denominação]],[10]Planilha1!$A:$B,2,FALSE),"")</f>
        <v>138936.10999999984</v>
      </c>
      <c r="BC426" s="219"/>
      <c r="BD426" s="219"/>
      <c r="BE426" s="219"/>
      <c r="BF426" s="219"/>
      <c r="BG426" s="219"/>
      <c r="BH426" s="219"/>
      <c r="BI426" s="219"/>
      <c r="BJ426" s="219"/>
      <c r="BK426" s="219"/>
      <c r="BL426" s="219"/>
    </row>
    <row r="427" spans="1:64" ht="15" hidden="1" customHeight="1" x14ac:dyDescent="0.3">
      <c r="A427" s="268">
        <v>426</v>
      </c>
      <c r="B427" s="300" t="s">
        <v>1843</v>
      </c>
      <c r="C427" s="318" t="s">
        <v>1712</v>
      </c>
      <c r="D427" s="315">
        <v>10006933</v>
      </c>
      <c r="E427" s="299" t="s">
        <v>1272</v>
      </c>
      <c r="F427" s="299">
        <v>4023</v>
      </c>
      <c r="G427" s="315">
        <v>59267</v>
      </c>
      <c r="H427" s="315">
        <v>2023</v>
      </c>
      <c r="I427" s="329">
        <v>206226.06</v>
      </c>
      <c r="J427" s="330">
        <v>201315</v>
      </c>
      <c r="K427" s="326"/>
      <c r="L427" s="319"/>
      <c r="M427" s="320">
        <v>4547</v>
      </c>
      <c r="N427" s="320"/>
      <c r="O427" s="321"/>
      <c r="P427" s="271" t="str">
        <f>IFERROR(VLOOKUP(Tabela1[[#This Row],[TAG]],#REF!,14,FALSE),"")</f>
        <v/>
      </c>
      <c r="Q427" s="323"/>
      <c r="R427" s="323"/>
      <c r="S427" s="323"/>
      <c r="T427" s="323"/>
      <c r="U427" s="323"/>
      <c r="V427" s="323"/>
      <c r="W427" s="304" t="s">
        <v>1666</v>
      </c>
      <c r="X427" s="304" t="s">
        <v>1666</v>
      </c>
      <c r="Y427" s="322"/>
      <c r="Z427" s="322">
        <f>IF(Tabela1[[#This Row],[Ano Aquisição]]=2023,0,IFERROR(VLOOKUP(H427,inflação!$F:$H,3,FALSE),""))</f>
        <v>0</v>
      </c>
      <c r="AA427" s="322"/>
      <c r="AB427" s="310"/>
      <c r="AC427" s="323"/>
      <c r="AD427" s="323"/>
      <c r="AE427" s="323"/>
      <c r="AF427" s="323"/>
      <c r="AG427" s="323"/>
      <c r="AH427" s="323"/>
      <c r="AI427" s="323"/>
      <c r="AJ427" s="324"/>
      <c r="AK427" s="323"/>
      <c r="AL427" s="323"/>
      <c r="AM427" s="323"/>
      <c r="AN427" s="323"/>
      <c r="AO427" s="323"/>
      <c r="AP427" s="323"/>
      <c r="AQ427" s="323"/>
      <c r="AR427" s="325"/>
      <c r="AS427" s="326"/>
      <c r="AT427" s="326"/>
      <c r="AU427" s="319"/>
      <c r="AV427" s="327"/>
      <c r="AW427" s="315"/>
      <c r="AX427" s="299" t="e">
        <f>VLOOKUP(D427,#REF!,5,FALSE)</f>
        <v>#REF!</v>
      </c>
      <c r="AY427" s="315"/>
      <c r="AZ427" s="316" t="s">
        <v>1224</v>
      </c>
      <c r="BB427" t="str">
        <f>IFERROR(VLOOKUP(Tabela1[[#This Row],[Denominação]],[10]Planilha1!$A:$B,2,FALSE),"")</f>
        <v/>
      </c>
      <c r="BC427" s="219"/>
      <c r="BD427" s="219"/>
      <c r="BE427" s="219"/>
      <c r="BF427" s="219"/>
      <c r="BG427" s="219"/>
      <c r="BH427" s="219"/>
      <c r="BI427" s="219"/>
      <c r="BJ427" s="219"/>
      <c r="BK427" s="219"/>
      <c r="BL427" s="219"/>
    </row>
    <row r="428" spans="1:64" ht="15" hidden="1" customHeight="1" x14ac:dyDescent="0.3">
      <c r="A428" s="253">
        <v>427</v>
      </c>
      <c r="B428" s="201" t="s">
        <v>1068</v>
      </c>
      <c r="C428" s="211" t="s">
        <v>1069</v>
      </c>
      <c r="D428" s="201">
        <v>10001650</v>
      </c>
      <c r="E428" s="253" t="s">
        <v>1475</v>
      </c>
      <c r="F428" s="253">
        <v>3338</v>
      </c>
      <c r="G428" s="201">
        <v>20525</v>
      </c>
      <c r="H428" s="201">
        <v>2002</v>
      </c>
      <c r="I428" s="216">
        <v>67146.38</v>
      </c>
      <c r="J428" s="214">
        <v>0</v>
      </c>
      <c r="K428" s="170">
        <v>81918.679999999935</v>
      </c>
      <c r="L428" s="207">
        <v>1.4</v>
      </c>
      <c r="M428" s="212">
        <v>4392</v>
      </c>
      <c r="N428" s="212">
        <v>188751</v>
      </c>
      <c r="O428" s="171">
        <v>154</v>
      </c>
      <c r="P428" s="271" t="str">
        <f>IFERROR(VLOOKUP(Tabela1[[#This Row],[TAG]],#REF!,14,FALSE),"")</f>
        <v/>
      </c>
      <c r="Q428" s="204" t="e">
        <f t="shared" ref="Q428:Q433" si="753">P428+P428</f>
        <v>#VALUE!</v>
      </c>
      <c r="R428" s="204" t="e">
        <f t="shared" ref="R428:R434" si="754">Q428+P428</f>
        <v>#VALUE!</v>
      </c>
      <c r="S428" s="204" t="e">
        <f t="shared" ref="S428:S434" si="755">R428+P428</f>
        <v>#VALUE!</v>
      </c>
      <c r="T428" s="204" t="e">
        <f t="shared" ref="T428:T434" si="756">S428+P428</f>
        <v>#VALUE!</v>
      </c>
      <c r="U428" s="204" t="e">
        <f t="shared" ref="U428:U434" si="757">T428+P428</f>
        <v>#VALUE!</v>
      </c>
      <c r="V428" s="204" t="e">
        <f t="shared" ref="V428:V434" si="758">U428+P428</f>
        <v>#VALUE!</v>
      </c>
      <c r="W428" s="218">
        <v>424.62</v>
      </c>
      <c r="X428" s="218">
        <v>548.61</v>
      </c>
      <c r="Y428" s="203">
        <v>0.1</v>
      </c>
      <c r="Z428" s="203">
        <f>IF(Tabela1[[#This Row],[Ano Aquisição]]=2023,0,IFERROR(VLOOKUP(H428,inflação!$F:$H,3,FALSE),""))</f>
        <v>1.3184</v>
      </c>
      <c r="AA428" s="203">
        <v>0.8</v>
      </c>
      <c r="AB428" s="202">
        <f t="shared" ref="AB428:AB469" si="759">I428*-1</f>
        <v>-67146.38</v>
      </c>
      <c r="AC428" s="204" t="e">
        <f t="shared" ref="AC428:AC433" si="760">-(((P428*$W428)+($X428*12))*((1+$Y428)^AC$1))</f>
        <v>#VALUE!</v>
      </c>
      <c r="AD428" s="204" t="e">
        <f t="shared" ref="AD428:AI434" si="761">-((((Q428-P428)*$W428)+($X428*12))*((1+$Y428)^AD$1))</f>
        <v>#VALUE!</v>
      </c>
      <c r="AE428" s="204" t="e">
        <f t="shared" si="761"/>
        <v>#VALUE!</v>
      </c>
      <c r="AF428" s="204" t="e">
        <f t="shared" si="761"/>
        <v>#VALUE!</v>
      </c>
      <c r="AG428" s="204" t="e">
        <f t="shared" si="761"/>
        <v>#VALUE!</v>
      </c>
      <c r="AH428" s="204" t="e">
        <f t="shared" si="761"/>
        <v>#VALUE!</v>
      </c>
      <c r="AI428" s="204" t="e">
        <f t="shared" si="761"/>
        <v>#VALUE!</v>
      </c>
      <c r="AJ428" s="205">
        <f t="shared" ref="AJ428:AJ469" si="762">-(I428*(1+Z428))</f>
        <v>-155672.167392</v>
      </c>
      <c r="AK428" s="204" t="e">
        <f t="shared" ref="AK428:AQ434" si="763">AC428*(1-$AA428)</f>
        <v>#VALUE!</v>
      </c>
      <c r="AL428" s="204" t="e">
        <f t="shared" si="763"/>
        <v>#VALUE!</v>
      </c>
      <c r="AM428" s="204" t="e">
        <f t="shared" si="763"/>
        <v>#VALUE!</v>
      </c>
      <c r="AN428" s="204" t="e">
        <f t="shared" si="763"/>
        <v>#VALUE!</v>
      </c>
      <c r="AO428" s="204" t="e">
        <f t="shared" si="763"/>
        <v>#VALUE!</v>
      </c>
      <c r="AP428" s="204" t="e">
        <f t="shared" si="763"/>
        <v>#VALUE!</v>
      </c>
      <c r="AQ428" s="204" t="e">
        <f t="shared" si="763"/>
        <v>#VALUE!</v>
      </c>
      <c r="AR428" s="206" t="e">
        <f t="shared" ref="AR428:AR469" si="764">(NPV(Y428,AK428,AL428,AM428,AN428,AO428,AP428,AQ428)+(SUM(AJ428,(J428*-1))))-(NPV(Y428,AC428,AD428,AE428,AF428,AG428,AH428,AI428))</f>
        <v>#VALUE!</v>
      </c>
      <c r="AS428" s="170" t="e">
        <f t="shared" ref="AS428:AS433" si="765">SUM(AC428:AI428)</f>
        <v>#VALUE!</v>
      </c>
      <c r="AT428" s="170" t="e">
        <f t="shared" ref="AT428:AT433" si="766">SUM(AK428:AQ428)</f>
        <v>#VALUE!</v>
      </c>
      <c r="AU428" s="207" t="e">
        <f t="shared" ref="AU428:AU469" si="767">(((AVERAGE(AC428:AI428)/1000)-(AVERAGE(AK428:AQ428)/1000))+(((AJ428/1000)*-1)/7)+((J428/1000)/7))*-1</f>
        <v>#VALUE!</v>
      </c>
      <c r="AV428" s="208" t="e">
        <f t="shared" ref="AV428:AV469" si="768">AU428/(((J428/1000)+((AJ428*-1)/1000)))</f>
        <v>#VALUE!</v>
      </c>
      <c r="AW428" s="201" t="str">
        <f t="shared" ref="AW428:AW469" si="769">IF(L428&gt;1.1,"Fase de Degradação",IF(L428&lt;1,"Confiabilidade em Crescimento","Fase de Vida Útil"))</f>
        <v>Fase de Degradação</v>
      </c>
      <c r="AX428" s="253" t="e">
        <f>VLOOKUP(D428,#REF!,5,FALSE)</f>
        <v>#REF!</v>
      </c>
      <c r="AY428" s="201"/>
      <c r="AZ428" s="273" t="s">
        <v>1224</v>
      </c>
      <c r="BB428">
        <f>IFERROR(VLOOKUP(Tabela1[[#This Row],[Denominação]],[10]Planilha1!$A:$B,2,FALSE),"")</f>
        <v>81918.679999999935</v>
      </c>
      <c r="BC428" s="219"/>
      <c r="BD428" s="219"/>
      <c r="BE428" s="219"/>
      <c r="BF428" s="219"/>
      <c r="BG428" s="219"/>
      <c r="BH428" s="219"/>
      <c r="BI428" s="219"/>
      <c r="BJ428" s="219"/>
      <c r="BK428" s="219"/>
      <c r="BL428" s="219"/>
    </row>
    <row r="429" spans="1:64" ht="15" hidden="1" customHeight="1" x14ac:dyDescent="0.3">
      <c r="A429" s="268">
        <v>428</v>
      </c>
      <c r="B429" s="201" t="s">
        <v>1070</v>
      </c>
      <c r="C429" s="211" t="s">
        <v>1071</v>
      </c>
      <c r="D429" s="201">
        <v>10004224</v>
      </c>
      <c r="E429" s="253" t="s">
        <v>1476</v>
      </c>
      <c r="F429" s="253">
        <v>2568</v>
      </c>
      <c r="G429" s="201">
        <v>34071</v>
      </c>
      <c r="H429" s="201">
        <v>2006</v>
      </c>
      <c r="I429" s="216">
        <v>119045.67</v>
      </c>
      <c r="J429" s="214">
        <v>0</v>
      </c>
      <c r="K429" s="170">
        <v>123172.56000000001</v>
      </c>
      <c r="L429" s="207">
        <v>1.23</v>
      </c>
      <c r="M429" s="307">
        <v>4863.5652</v>
      </c>
      <c r="N429" s="212">
        <v>146917</v>
      </c>
      <c r="O429" s="171">
        <v>136</v>
      </c>
      <c r="P429" s="271" t="str">
        <f>IFERROR(VLOOKUP(Tabela1[[#This Row],[TAG]],#REF!,14,FALSE),"")</f>
        <v/>
      </c>
      <c r="Q429" s="204" t="e">
        <f t="shared" si="753"/>
        <v>#VALUE!</v>
      </c>
      <c r="R429" s="204" t="e">
        <f t="shared" si="754"/>
        <v>#VALUE!</v>
      </c>
      <c r="S429" s="204" t="e">
        <f t="shared" si="755"/>
        <v>#VALUE!</v>
      </c>
      <c r="T429" s="204" t="e">
        <f t="shared" si="756"/>
        <v>#VALUE!</v>
      </c>
      <c r="U429" s="204" t="e">
        <f t="shared" si="757"/>
        <v>#VALUE!</v>
      </c>
      <c r="V429" s="204" t="e">
        <f t="shared" si="758"/>
        <v>#VALUE!</v>
      </c>
      <c r="W429" s="304">
        <v>457.93</v>
      </c>
      <c r="X429" s="304">
        <v>894.65</v>
      </c>
      <c r="Y429" s="203">
        <v>0.1</v>
      </c>
      <c r="Z429" s="203">
        <f>IF(Tabela1[[#This Row],[Ano Aquisição]]=2023,0,IFERROR(VLOOKUP(H429,inflação!$F:$H,3,FALSE),""))</f>
        <v>0.96719999999999995</v>
      </c>
      <c r="AA429" s="203">
        <v>0.8</v>
      </c>
      <c r="AB429" s="202">
        <f t="shared" si="759"/>
        <v>-119045.67</v>
      </c>
      <c r="AC429" s="204" t="e">
        <f t="shared" si="760"/>
        <v>#VALUE!</v>
      </c>
      <c r="AD429" s="204" t="e">
        <f t="shared" si="761"/>
        <v>#VALUE!</v>
      </c>
      <c r="AE429" s="204" t="e">
        <f t="shared" si="761"/>
        <v>#VALUE!</v>
      </c>
      <c r="AF429" s="204" t="e">
        <f t="shared" si="761"/>
        <v>#VALUE!</v>
      </c>
      <c r="AG429" s="204" t="e">
        <f t="shared" si="761"/>
        <v>#VALUE!</v>
      </c>
      <c r="AH429" s="204" t="e">
        <f t="shared" si="761"/>
        <v>#VALUE!</v>
      </c>
      <c r="AI429" s="204" t="e">
        <f t="shared" si="761"/>
        <v>#VALUE!</v>
      </c>
      <c r="AJ429" s="205">
        <f t="shared" si="762"/>
        <v>-234186.642024</v>
      </c>
      <c r="AK429" s="204" t="e">
        <f t="shared" si="763"/>
        <v>#VALUE!</v>
      </c>
      <c r="AL429" s="204" t="e">
        <f t="shared" si="763"/>
        <v>#VALUE!</v>
      </c>
      <c r="AM429" s="204" t="e">
        <f t="shared" si="763"/>
        <v>#VALUE!</v>
      </c>
      <c r="AN429" s="204" t="e">
        <f t="shared" si="763"/>
        <v>#VALUE!</v>
      </c>
      <c r="AO429" s="204" t="e">
        <f t="shared" si="763"/>
        <v>#VALUE!</v>
      </c>
      <c r="AP429" s="204" t="e">
        <f t="shared" si="763"/>
        <v>#VALUE!</v>
      </c>
      <c r="AQ429" s="204" t="e">
        <f t="shared" si="763"/>
        <v>#VALUE!</v>
      </c>
      <c r="AR429" s="206" t="e">
        <f t="shared" si="764"/>
        <v>#VALUE!</v>
      </c>
      <c r="AS429" s="170" t="e">
        <f t="shared" si="765"/>
        <v>#VALUE!</v>
      </c>
      <c r="AT429" s="170" t="e">
        <f t="shared" si="766"/>
        <v>#VALUE!</v>
      </c>
      <c r="AU429" s="207" t="e">
        <f t="shared" si="767"/>
        <v>#VALUE!</v>
      </c>
      <c r="AV429" s="208" t="e">
        <f t="shared" si="768"/>
        <v>#VALUE!</v>
      </c>
      <c r="AW429" s="201" t="str">
        <f t="shared" si="769"/>
        <v>Fase de Degradação</v>
      </c>
      <c r="AX429" s="253" t="e">
        <f>VLOOKUP(D429,#REF!,5,FALSE)</f>
        <v>#REF!</v>
      </c>
      <c r="AY429" s="201"/>
      <c r="AZ429" s="273" t="s">
        <v>1224</v>
      </c>
      <c r="BB429">
        <f>IFERROR(VLOOKUP(Tabela1[[#This Row],[Denominação]],[10]Planilha1!$A:$B,2,FALSE),"")</f>
        <v>123172.56000000001</v>
      </c>
      <c r="BC429" s="219"/>
      <c r="BD429" s="219"/>
      <c r="BE429" s="219"/>
      <c r="BF429" s="219"/>
      <c r="BG429" s="219"/>
      <c r="BH429" s="219"/>
      <c r="BI429" s="219"/>
      <c r="BJ429" s="219"/>
      <c r="BK429" s="219"/>
      <c r="BL429" s="219"/>
    </row>
    <row r="430" spans="1:64" ht="15" hidden="1" customHeight="1" x14ac:dyDescent="0.3">
      <c r="A430" s="253">
        <v>429</v>
      </c>
      <c r="B430" s="201" t="s">
        <v>1072</v>
      </c>
      <c r="C430" s="211" t="s">
        <v>1073</v>
      </c>
      <c r="D430" s="201">
        <v>10006096</v>
      </c>
      <c r="E430" s="253" t="s">
        <v>1477</v>
      </c>
      <c r="F430" s="253">
        <v>2537</v>
      </c>
      <c r="G430" s="201">
        <v>42617</v>
      </c>
      <c r="H430" s="201">
        <v>2012</v>
      </c>
      <c r="I430" s="216">
        <v>386984.23</v>
      </c>
      <c r="J430" s="214">
        <v>0</v>
      </c>
      <c r="K430" s="170">
        <v>239048.17</v>
      </c>
      <c r="L430" s="207">
        <v>0.94</v>
      </c>
      <c r="M430" s="307">
        <v>4795.2647999999999</v>
      </c>
      <c r="N430" s="212">
        <v>86012</v>
      </c>
      <c r="O430" s="171">
        <v>198</v>
      </c>
      <c r="P430" s="271" t="str">
        <f>IFERROR(VLOOKUP(Tabela1[[#This Row],[TAG]],#REF!,14,FALSE),"")</f>
        <v/>
      </c>
      <c r="Q430" s="204" t="e">
        <f t="shared" si="753"/>
        <v>#VALUE!</v>
      </c>
      <c r="R430" s="204" t="e">
        <f t="shared" si="754"/>
        <v>#VALUE!</v>
      </c>
      <c r="S430" s="204" t="e">
        <f t="shared" si="755"/>
        <v>#VALUE!</v>
      </c>
      <c r="T430" s="204" t="e">
        <f t="shared" si="756"/>
        <v>#VALUE!</v>
      </c>
      <c r="U430" s="204" t="e">
        <f t="shared" si="757"/>
        <v>#VALUE!</v>
      </c>
      <c r="V430" s="204" t="e">
        <f t="shared" si="758"/>
        <v>#VALUE!</v>
      </c>
      <c r="W430" s="304">
        <v>441.05</v>
      </c>
      <c r="X430" s="304">
        <v>512.35</v>
      </c>
      <c r="Y430" s="203">
        <v>0.1</v>
      </c>
      <c r="Z430" s="203">
        <f>IF(Tabela1[[#This Row],[Ano Aquisição]]=2023,0,IFERROR(VLOOKUP(H430,inflação!$F:$H,3,FALSE),""))</f>
        <v>0.66500000000000004</v>
      </c>
      <c r="AA430" s="203">
        <v>0.8</v>
      </c>
      <c r="AB430" s="202">
        <f t="shared" si="759"/>
        <v>-386984.23</v>
      </c>
      <c r="AC430" s="204" t="e">
        <f t="shared" si="760"/>
        <v>#VALUE!</v>
      </c>
      <c r="AD430" s="204" t="e">
        <f t="shared" si="761"/>
        <v>#VALUE!</v>
      </c>
      <c r="AE430" s="204" t="e">
        <f t="shared" si="761"/>
        <v>#VALUE!</v>
      </c>
      <c r="AF430" s="204" t="e">
        <f t="shared" si="761"/>
        <v>#VALUE!</v>
      </c>
      <c r="AG430" s="204" t="e">
        <f t="shared" si="761"/>
        <v>#VALUE!</v>
      </c>
      <c r="AH430" s="204" t="e">
        <f t="shared" si="761"/>
        <v>#VALUE!</v>
      </c>
      <c r="AI430" s="204" t="e">
        <f t="shared" si="761"/>
        <v>#VALUE!</v>
      </c>
      <c r="AJ430" s="205">
        <f t="shared" si="762"/>
        <v>-644328.74294999999</v>
      </c>
      <c r="AK430" s="204" t="e">
        <f t="shared" si="763"/>
        <v>#VALUE!</v>
      </c>
      <c r="AL430" s="204" t="e">
        <f t="shared" si="763"/>
        <v>#VALUE!</v>
      </c>
      <c r="AM430" s="204" t="e">
        <f t="shared" si="763"/>
        <v>#VALUE!</v>
      </c>
      <c r="AN430" s="204" t="e">
        <f t="shared" si="763"/>
        <v>#VALUE!</v>
      </c>
      <c r="AO430" s="204" t="e">
        <f t="shared" si="763"/>
        <v>#VALUE!</v>
      </c>
      <c r="AP430" s="204" t="e">
        <f t="shared" si="763"/>
        <v>#VALUE!</v>
      </c>
      <c r="AQ430" s="204" t="e">
        <f t="shared" si="763"/>
        <v>#VALUE!</v>
      </c>
      <c r="AR430" s="206" t="e">
        <f t="shared" si="764"/>
        <v>#VALUE!</v>
      </c>
      <c r="AS430" s="170" t="e">
        <f t="shared" si="765"/>
        <v>#VALUE!</v>
      </c>
      <c r="AT430" s="170" t="e">
        <f t="shared" si="766"/>
        <v>#VALUE!</v>
      </c>
      <c r="AU430" s="207" t="e">
        <f t="shared" si="767"/>
        <v>#VALUE!</v>
      </c>
      <c r="AV430" s="208" t="e">
        <f t="shared" si="768"/>
        <v>#VALUE!</v>
      </c>
      <c r="AW430" s="201" t="str">
        <f t="shared" si="769"/>
        <v>Confiabilidade em Crescimento</v>
      </c>
      <c r="AX430" s="253" t="e">
        <f>VLOOKUP(D430,#REF!,5,FALSE)</f>
        <v>#REF!</v>
      </c>
      <c r="AY430" s="201"/>
      <c r="AZ430" s="273" t="s">
        <v>1224</v>
      </c>
      <c r="BB430">
        <f>IFERROR(VLOOKUP(Tabela1[[#This Row],[Denominação]],[10]Planilha1!$A:$B,2,FALSE),"")</f>
        <v>239048.17</v>
      </c>
      <c r="BC430" s="219"/>
      <c r="BD430" s="219"/>
      <c r="BE430" s="219"/>
      <c r="BF430" s="219"/>
      <c r="BG430" s="219"/>
      <c r="BH430" s="219"/>
      <c r="BI430" s="219"/>
      <c r="BJ430" s="219"/>
      <c r="BK430" s="219"/>
      <c r="BL430" s="219"/>
    </row>
    <row r="431" spans="1:64" ht="15" hidden="1" customHeight="1" x14ac:dyDescent="0.3">
      <c r="A431" s="268">
        <v>430</v>
      </c>
      <c r="B431" s="201" t="s">
        <v>1074</v>
      </c>
      <c r="C431" s="211" t="s">
        <v>1075</v>
      </c>
      <c r="D431" s="201">
        <v>10005281</v>
      </c>
      <c r="E431" s="253" t="s">
        <v>1478</v>
      </c>
      <c r="F431" s="253">
        <v>3338</v>
      </c>
      <c r="G431" s="201">
        <v>35280</v>
      </c>
      <c r="H431" s="201">
        <v>2008</v>
      </c>
      <c r="I431" s="216">
        <v>161017.63</v>
      </c>
      <c r="J431" s="214">
        <v>0</v>
      </c>
      <c r="K431" s="170">
        <v>163374.80999999991</v>
      </c>
      <c r="L431" s="207">
        <v>1.34</v>
      </c>
      <c r="M431" s="212">
        <v>4392</v>
      </c>
      <c r="N431" s="212">
        <v>127917</v>
      </c>
      <c r="O431" s="171">
        <v>239</v>
      </c>
      <c r="P431" s="271" t="str">
        <f>IFERROR(VLOOKUP(Tabela1[[#This Row],[TAG]],#REF!,14,FALSE),"")</f>
        <v/>
      </c>
      <c r="Q431" s="204" t="e">
        <f t="shared" si="753"/>
        <v>#VALUE!</v>
      </c>
      <c r="R431" s="204" t="e">
        <f t="shared" si="754"/>
        <v>#VALUE!</v>
      </c>
      <c r="S431" s="204" t="e">
        <f t="shared" si="755"/>
        <v>#VALUE!</v>
      </c>
      <c r="T431" s="204" t="e">
        <f t="shared" si="756"/>
        <v>#VALUE!</v>
      </c>
      <c r="U431" s="204" t="e">
        <f t="shared" si="757"/>
        <v>#VALUE!</v>
      </c>
      <c r="V431" s="204" t="e">
        <f t="shared" si="758"/>
        <v>#VALUE!</v>
      </c>
      <c r="W431" s="218">
        <v>536.01</v>
      </c>
      <c r="X431" s="218">
        <v>1371.86</v>
      </c>
      <c r="Y431" s="203">
        <v>0.1</v>
      </c>
      <c r="Z431" s="203">
        <f>IF(Tabela1[[#This Row],[Ano Aquisição]]=2023,0,IFERROR(VLOOKUP(H431,inflação!$F:$H,3,FALSE),""))</f>
        <v>0.89119999999999999</v>
      </c>
      <c r="AA431" s="203">
        <v>0.8</v>
      </c>
      <c r="AB431" s="202">
        <f t="shared" si="759"/>
        <v>-161017.63</v>
      </c>
      <c r="AC431" s="204" t="e">
        <f t="shared" si="760"/>
        <v>#VALUE!</v>
      </c>
      <c r="AD431" s="204" t="e">
        <f t="shared" si="761"/>
        <v>#VALUE!</v>
      </c>
      <c r="AE431" s="204" t="e">
        <f t="shared" si="761"/>
        <v>#VALUE!</v>
      </c>
      <c r="AF431" s="204" t="e">
        <f t="shared" si="761"/>
        <v>#VALUE!</v>
      </c>
      <c r="AG431" s="204" t="e">
        <f t="shared" si="761"/>
        <v>#VALUE!</v>
      </c>
      <c r="AH431" s="204" t="e">
        <f t="shared" si="761"/>
        <v>#VALUE!</v>
      </c>
      <c r="AI431" s="204" t="e">
        <f t="shared" si="761"/>
        <v>#VALUE!</v>
      </c>
      <c r="AJ431" s="205">
        <f t="shared" si="762"/>
        <v>-304516.54185600003</v>
      </c>
      <c r="AK431" s="204" t="e">
        <f t="shared" si="763"/>
        <v>#VALUE!</v>
      </c>
      <c r="AL431" s="204" t="e">
        <f t="shared" si="763"/>
        <v>#VALUE!</v>
      </c>
      <c r="AM431" s="204" t="e">
        <f t="shared" si="763"/>
        <v>#VALUE!</v>
      </c>
      <c r="AN431" s="204" t="e">
        <f t="shared" si="763"/>
        <v>#VALUE!</v>
      </c>
      <c r="AO431" s="204" t="e">
        <f t="shared" si="763"/>
        <v>#VALUE!</v>
      </c>
      <c r="AP431" s="204" t="e">
        <f t="shared" si="763"/>
        <v>#VALUE!</v>
      </c>
      <c r="AQ431" s="204" t="e">
        <f t="shared" si="763"/>
        <v>#VALUE!</v>
      </c>
      <c r="AR431" s="206" t="e">
        <f t="shared" si="764"/>
        <v>#VALUE!</v>
      </c>
      <c r="AS431" s="170" t="e">
        <f t="shared" si="765"/>
        <v>#VALUE!</v>
      </c>
      <c r="AT431" s="170" t="e">
        <f t="shared" si="766"/>
        <v>#VALUE!</v>
      </c>
      <c r="AU431" s="207" t="e">
        <f t="shared" si="767"/>
        <v>#VALUE!</v>
      </c>
      <c r="AV431" s="208" t="e">
        <f t="shared" si="768"/>
        <v>#VALUE!</v>
      </c>
      <c r="AW431" s="201" t="str">
        <f t="shared" si="769"/>
        <v>Fase de Degradação</v>
      </c>
      <c r="AX431" s="253" t="e">
        <f>VLOOKUP(D431,#REF!,5,FALSE)</f>
        <v>#REF!</v>
      </c>
      <c r="AY431" s="201"/>
      <c r="AZ431" s="273" t="s">
        <v>1224</v>
      </c>
      <c r="BB431">
        <f>IFERROR(VLOOKUP(Tabela1[[#This Row],[Denominação]],[10]Planilha1!$A:$B,2,FALSE),"")</f>
        <v>163374.80999999991</v>
      </c>
      <c r="BC431" s="219"/>
      <c r="BD431" s="219"/>
      <c r="BE431" s="219"/>
      <c r="BF431" s="219"/>
      <c r="BG431" s="219"/>
      <c r="BH431" s="219"/>
      <c r="BI431" s="219"/>
      <c r="BJ431" s="219"/>
      <c r="BK431" s="219"/>
      <c r="BL431" s="219"/>
    </row>
    <row r="432" spans="1:64" ht="15" hidden="1" customHeight="1" x14ac:dyDescent="0.3">
      <c r="A432" s="253">
        <v>431</v>
      </c>
      <c r="B432" s="201" t="s">
        <v>1076</v>
      </c>
      <c r="C432" s="211" t="s">
        <v>1077</v>
      </c>
      <c r="D432" s="201">
        <v>10005282</v>
      </c>
      <c r="E432" s="253" t="s">
        <v>1479</v>
      </c>
      <c r="F432" s="253">
        <v>3338</v>
      </c>
      <c r="G432" s="201">
        <v>35281</v>
      </c>
      <c r="H432" s="201">
        <v>2008</v>
      </c>
      <c r="I432" s="216">
        <v>162603.85999999999</v>
      </c>
      <c r="J432" s="214">
        <v>0</v>
      </c>
      <c r="K432" s="170">
        <v>172581.72000000012</v>
      </c>
      <c r="L432" s="207">
        <v>1.18</v>
      </c>
      <c r="M432" s="212">
        <v>4392</v>
      </c>
      <c r="N432" s="212">
        <v>126093</v>
      </c>
      <c r="O432" s="171">
        <v>299</v>
      </c>
      <c r="P432" s="271" t="str">
        <f>IFERROR(VLOOKUP(Tabela1[[#This Row],[TAG]],#REF!,14,FALSE),"")</f>
        <v/>
      </c>
      <c r="Q432" s="204" t="e">
        <f t="shared" si="753"/>
        <v>#VALUE!</v>
      </c>
      <c r="R432" s="204" t="e">
        <f t="shared" si="754"/>
        <v>#VALUE!</v>
      </c>
      <c r="S432" s="204" t="e">
        <f t="shared" si="755"/>
        <v>#VALUE!</v>
      </c>
      <c r="T432" s="204" t="e">
        <f t="shared" si="756"/>
        <v>#VALUE!</v>
      </c>
      <c r="U432" s="204" t="e">
        <f t="shared" si="757"/>
        <v>#VALUE!</v>
      </c>
      <c r="V432" s="204" t="e">
        <f t="shared" si="758"/>
        <v>#VALUE!</v>
      </c>
      <c r="W432" s="218">
        <v>445.84</v>
      </c>
      <c r="X432" s="218">
        <v>1305.56</v>
      </c>
      <c r="Y432" s="203">
        <v>0.1</v>
      </c>
      <c r="Z432" s="203">
        <f>IF(Tabela1[[#This Row],[Ano Aquisição]]=2023,0,IFERROR(VLOOKUP(H432,inflação!$F:$H,3,FALSE),""))</f>
        <v>0.89119999999999999</v>
      </c>
      <c r="AA432" s="203">
        <v>0.8</v>
      </c>
      <c r="AB432" s="202">
        <f t="shared" si="759"/>
        <v>-162603.85999999999</v>
      </c>
      <c r="AC432" s="204" t="e">
        <f t="shared" si="760"/>
        <v>#VALUE!</v>
      </c>
      <c r="AD432" s="204" t="e">
        <f t="shared" si="761"/>
        <v>#VALUE!</v>
      </c>
      <c r="AE432" s="204" t="e">
        <f t="shared" si="761"/>
        <v>#VALUE!</v>
      </c>
      <c r="AF432" s="204" t="e">
        <f t="shared" si="761"/>
        <v>#VALUE!</v>
      </c>
      <c r="AG432" s="204" t="e">
        <f t="shared" si="761"/>
        <v>#VALUE!</v>
      </c>
      <c r="AH432" s="204" t="e">
        <f t="shared" si="761"/>
        <v>#VALUE!</v>
      </c>
      <c r="AI432" s="204" t="e">
        <f t="shared" si="761"/>
        <v>#VALUE!</v>
      </c>
      <c r="AJ432" s="205">
        <f t="shared" si="762"/>
        <v>-307516.42003199999</v>
      </c>
      <c r="AK432" s="204" t="e">
        <f t="shared" si="763"/>
        <v>#VALUE!</v>
      </c>
      <c r="AL432" s="204" t="e">
        <f t="shared" si="763"/>
        <v>#VALUE!</v>
      </c>
      <c r="AM432" s="204" t="e">
        <f t="shared" si="763"/>
        <v>#VALUE!</v>
      </c>
      <c r="AN432" s="204" t="e">
        <f t="shared" si="763"/>
        <v>#VALUE!</v>
      </c>
      <c r="AO432" s="204" t="e">
        <f t="shared" si="763"/>
        <v>#VALUE!</v>
      </c>
      <c r="AP432" s="204" t="e">
        <f t="shared" si="763"/>
        <v>#VALUE!</v>
      </c>
      <c r="AQ432" s="204" t="e">
        <f t="shared" si="763"/>
        <v>#VALUE!</v>
      </c>
      <c r="AR432" s="206" t="e">
        <f t="shared" si="764"/>
        <v>#VALUE!</v>
      </c>
      <c r="AS432" s="170" t="e">
        <f t="shared" si="765"/>
        <v>#VALUE!</v>
      </c>
      <c r="AT432" s="170" t="e">
        <f t="shared" si="766"/>
        <v>#VALUE!</v>
      </c>
      <c r="AU432" s="207" t="e">
        <f t="shared" si="767"/>
        <v>#VALUE!</v>
      </c>
      <c r="AV432" s="208" t="e">
        <f t="shared" si="768"/>
        <v>#VALUE!</v>
      </c>
      <c r="AW432" s="201" t="str">
        <f t="shared" si="769"/>
        <v>Fase de Degradação</v>
      </c>
      <c r="AX432" s="253" t="e">
        <f>VLOOKUP(D432,#REF!,5,FALSE)</f>
        <v>#REF!</v>
      </c>
      <c r="AY432" s="201"/>
      <c r="AZ432" s="273" t="s">
        <v>1224</v>
      </c>
      <c r="BB432">
        <f>IFERROR(VLOOKUP(Tabela1[[#This Row],[Denominação]],[10]Planilha1!$A:$B,2,FALSE),"")</f>
        <v>172581.72000000012</v>
      </c>
      <c r="BC432" s="219"/>
      <c r="BD432" s="219"/>
      <c r="BE432" s="219"/>
      <c r="BF432" s="219"/>
      <c r="BG432" s="219"/>
      <c r="BH432" s="219"/>
      <c r="BI432" s="219"/>
      <c r="BJ432" s="219"/>
      <c r="BK432" s="219"/>
      <c r="BL432" s="219"/>
    </row>
    <row r="433" spans="1:64" ht="15" hidden="1" customHeight="1" x14ac:dyDescent="0.3">
      <c r="A433" s="268">
        <v>432</v>
      </c>
      <c r="B433" s="201" t="s">
        <v>1078</v>
      </c>
      <c r="C433" s="211" t="s">
        <v>1079</v>
      </c>
      <c r="D433" s="201">
        <v>20001365</v>
      </c>
      <c r="E433" s="253" t="s">
        <v>1480</v>
      </c>
      <c r="F433" s="253">
        <v>1075</v>
      </c>
      <c r="G433" s="201">
        <v>42602</v>
      </c>
      <c r="H433" s="201">
        <v>2012</v>
      </c>
      <c r="I433" s="216">
        <v>576791.1</v>
      </c>
      <c r="J433" s="214">
        <v>162750</v>
      </c>
      <c r="K433" s="170">
        <v>889030.37999999954</v>
      </c>
      <c r="L433" s="207">
        <v>0.8</v>
      </c>
      <c r="M433" s="212">
        <v>4116</v>
      </c>
      <c r="N433" s="212">
        <v>89107</v>
      </c>
      <c r="O433" s="171">
        <v>523</v>
      </c>
      <c r="P433" s="271" t="str">
        <f>IFERROR(VLOOKUP(Tabela1[[#This Row],[TAG]],#REF!,14,FALSE),"")</f>
        <v/>
      </c>
      <c r="Q433" s="204" t="e">
        <f t="shared" si="753"/>
        <v>#VALUE!</v>
      </c>
      <c r="R433" s="204" t="e">
        <f t="shared" si="754"/>
        <v>#VALUE!</v>
      </c>
      <c r="S433" s="204" t="e">
        <f t="shared" si="755"/>
        <v>#VALUE!</v>
      </c>
      <c r="T433" s="204" t="e">
        <f t="shared" si="756"/>
        <v>#VALUE!</v>
      </c>
      <c r="U433" s="204" t="e">
        <f t="shared" si="757"/>
        <v>#VALUE!</v>
      </c>
      <c r="V433" s="204" t="e">
        <f t="shared" si="758"/>
        <v>#VALUE!</v>
      </c>
      <c r="W433" s="218">
        <v>2435.96</v>
      </c>
      <c r="X433" s="170">
        <v>2959.69</v>
      </c>
      <c r="Y433" s="203">
        <v>0.1</v>
      </c>
      <c r="Z433" s="203">
        <f>IF(Tabela1[[#This Row],[Ano Aquisição]]=2023,0,IFERROR(VLOOKUP(H433,inflação!$F:$H,3,FALSE),""))</f>
        <v>0.66500000000000004</v>
      </c>
      <c r="AA433" s="203">
        <v>0.8</v>
      </c>
      <c r="AB433" s="202">
        <f t="shared" si="759"/>
        <v>-576791.1</v>
      </c>
      <c r="AC433" s="204" t="e">
        <f t="shared" si="760"/>
        <v>#VALUE!</v>
      </c>
      <c r="AD433" s="204" t="e">
        <f t="shared" si="761"/>
        <v>#VALUE!</v>
      </c>
      <c r="AE433" s="204" t="e">
        <f t="shared" si="761"/>
        <v>#VALUE!</v>
      </c>
      <c r="AF433" s="204" t="e">
        <f t="shared" si="761"/>
        <v>#VALUE!</v>
      </c>
      <c r="AG433" s="204" t="e">
        <f t="shared" si="761"/>
        <v>#VALUE!</v>
      </c>
      <c r="AH433" s="204" t="e">
        <f t="shared" si="761"/>
        <v>#VALUE!</v>
      </c>
      <c r="AI433" s="204" t="e">
        <f t="shared" si="761"/>
        <v>#VALUE!</v>
      </c>
      <c r="AJ433" s="205">
        <f t="shared" si="762"/>
        <v>-960357.18149999995</v>
      </c>
      <c r="AK433" s="204" t="e">
        <f t="shared" si="763"/>
        <v>#VALUE!</v>
      </c>
      <c r="AL433" s="204" t="e">
        <f t="shared" si="763"/>
        <v>#VALUE!</v>
      </c>
      <c r="AM433" s="204" t="e">
        <f t="shared" si="763"/>
        <v>#VALUE!</v>
      </c>
      <c r="AN433" s="204" t="e">
        <f t="shared" si="763"/>
        <v>#VALUE!</v>
      </c>
      <c r="AO433" s="204" t="e">
        <f t="shared" si="763"/>
        <v>#VALUE!</v>
      </c>
      <c r="AP433" s="204" t="e">
        <f t="shared" si="763"/>
        <v>#VALUE!</v>
      </c>
      <c r="AQ433" s="204" t="e">
        <f t="shared" si="763"/>
        <v>#VALUE!</v>
      </c>
      <c r="AR433" s="206" t="e">
        <f t="shared" si="764"/>
        <v>#VALUE!</v>
      </c>
      <c r="AS433" s="170" t="e">
        <f t="shared" si="765"/>
        <v>#VALUE!</v>
      </c>
      <c r="AT433" s="170" t="e">
        <f t="shared" si="766"/>
        <v>#VALUE!</v>
      </c>
      <c r="AU433" s="207" t="e">
        <f t="shared" si="767"/>
        <v>#VALUE!</v>
      </c>
      <c r="AV433" s="208" t="e">
        <f t="shared" si="768"/>
        <v>#VALUE!</v>
      </c>
      <c r="AW433" s="201" t="str">
        <f t="shared" si="769"/>
        <v>Confiabilidade em Crescimento</v>
      </c>
      <c r="AX433" s="253" t="e">
        <f>VLOOKUP(D433,#REF!,5,FALSE)</f>
        <v>#REF!</v>
      </c>
      <c r="AY433" s="201"/>
      <c r="AZ433" s="273" t="s">
        <v>1224</v>
      </c>
      <c r="BB433">
        <f>IFERROR(VLOOKUP(Tabela1[[#This Row],[Denominação]],[10]Planilha1!$A:$B,2,FALSE),"")</f>
        <v>889030.37999999954</v>
      </c>
      <c r="BC433" s="219"/>
      <c r="BD433" s="219"/>
      <c r="BE433" s="219"/>
      <c r="BF433" s="219"/>
      <c r="BG433" s="219"/>
      <c r="BH433" s="219"/>
      <c r="BI433" s="219"/>
      <c r="BJ433" s="219"/>
      <c r="BK433" s="219"/>
      <c r="BL433" s="219"/>
    </row>
    <row r="434" spans="1:64" ht="15" hidden="1" customHeight="1" x14ac:dyDescent="0.3">
      <c r="A434" s="253">
        <v>433</v>
      </c>
      <c r="B434" s="255" t="s">
        <v>1844</v>
      </c>
      <c r="C434" s="211" t="s">
        <v>1720</v>
      </c>
      <c r="D434" s="201">
        <v>20003145</v>
      </c>
      <c r="E434" s="253" t="s">
        <v>1522</v>
      </c>
      <c r="F434" s="253">
        <v>4543</v>
      </c>
      <c r="G434" s="201">
        <v>51258</v>
      </c>
      <c r="H434" s="201">
        <v>2018</v>
      </c>
      <c r="I434" s="216">
        <v>933346.58</v>
      </c>
      <c r="J434" s="214">
        <v>916062</v>
      </c>
      <c r="K434" s="170">
        <v>142495.18000000005</v>
      </c>
      <c r="L434" s="207">
        <v>1.26</v>
      </c>
      <c r="M434" s="212">
        <v>3676</v>
      </c>
      <c r="N434" s="212">
        <v>39493</v>
      </c>
      <c r="O434" s="171">
        <v>417</v>
      </c>
      <c r="P434" s="271" t="str">
        <f>IFERROR(VLOOKUP(Tabela1[[#This Row],[TAG]],#REF!,14,FALSE),"")</f>
        <v/>
      </c>
      <c r="Q434" s="204" t="e">
        <f>P434+P434</f>
        <v>#VALUE!</v>
      </c>
      <c r="R434" s="204" t="e">
        <f t="shared" si="754"/>
        <v>#VALUE!</v>
      </c>
      <c r="S434" s="204" t="e">
        <f t="shared" si="755"/>
        <v>#VALUE!</v>
      </c>
      <c r="T434" s="204" t="e">
        <f t="shared" si="756"/>
        <v>#VALUE!</v>
      </c>
      <c r="U434" s="204" t="e">
        <f t="shared" si="757"/>
        <v>#VALUE!</v>
      </c>
      <c r="V434" s="204" t="e">
        <f t="shared" si="758"/>
        <v>#VALUE!</v>
      </c>
      <c r="W434" s="218">
        <v>345.18</v>
      </c>
      <c r="X434" s="218">
        <v>2480.59</v>
      </c>
      <c r="Y434" s="203">
        <v>0.1</v>
      </c>
      <c r="Z434" s="203">
        <f>IF(Tabela1[[#This Row],[Ano Aquisição]]=2023,0,IFERROR(VLOOKUP(H434,inflação!$F:$H,3,FALSE),""))</f>
        <v>0.2843</v>
      </c>
      <c r="AA434" s="203">
        <v>0.8</v>
      </c>
      <c r="AB434" s="202">
        <f t="shared" si="759"/>
        <v>-933346.58</v>
      </c>
      <c r="AC434" s="204" t="e">
        <f>-(((P434*$W434)+($X434*12))*((1+$Y434)^AC$1))</f>
        <v>#VALUE!</v>
      </c>
      <c r="AD434" s="204" t="e">
        <f t="shared" si="761"/>
        <v>#VALUE!</v>
      </c>
      <c r="AE434" s="204" t="e">
        <f t="shared" si="761"/>
        <v>#VALUE!</v>
      </c>
      <c r="AF434" s="204" t="e">
        <f t="shared" si="761"/>
        <v>#VALUE!</v>
      </c>
      <c r="AG434" s="204" t="e">
        <f t="shared" si="761"/>
        <v>#VALUE!</v>
      </c>
      <c r="AH434" s="204" t="e">
        <f t="shared" si="761"/>
        <v>#VALUE!</v>
      </c>
      <c r="AI434" s="204" t="e">
        <f t="shared" si="761"/>
        <v>#VALUE!</v>
      </c>
      <c r="AJ434" s="205">
        <f t="shared" si="762"/>
        <v>-1198697.012694</v>
      </c>
      <c r="AK434" s="204" t="e">
        <f t="shared" si="763"/>
        <v>#VALUE!</v>
      </c>
      <c r="AL434" s="204" t="e">
        <f t="shared" si="763"/>
        <v>#VALUE!</v>
      </c>
      <c r="AM434" s="204" t="e">
        <f t="shared" si="763"/>
        <v>#VALUE!</v>
      </c>
      <c r="AN434" s="204" t="e">
        <f t="shared" si="763"/>
        <v>#VALUE!</v>
      </c>
      <c r="AO434" s="204" t="e">
        <f t="shared" si="763"/>
        <v>#VALUE!</v>
      </c>
      <c r="AP434" s="204" t="e">
        <f t="shared" si="763"/>
        <v>#VALUE!</v>
      </c>
      <c r="AQ434" s="204" t="e">
        <f t="shared" si="763"/>
        <v>#VALUE!</v>
      </c>
      <c r="AR434" s="206" t="e">
        <f t="shared" si="764"/>
        <v>#VALUE!</v>
      </c>
      <c r="AS434" s="170" t="e">
        <f>SUM(AC434:AI434)</f>
        <v>#VALUE!</v>
      </c>
      <c r="AT434" s="170" t="e">
        <f>SUM(AK434:AQ434)</f>
        <v>#VALUE!</v>
      </c>
      <c r="AU434" s="207" t="e">
        <f t="shared" si="767"/>
        <v>#VALUE!</v>
      </c>
      <c r="AV434" s="208" t="e">
        <f t="shared" si="768"/>
        <v>#VALUE!</v>
      </c>
      <c r="AW434" s="201" t="str">
        <f t="shared" si="769"/>
        <v>Fase de Degradação</v>
      </c>
      <c r="AX434" s="253" t="e">
        <f>VLOOKUP(D434,#REF!,5,FALSE)</f>
        <v>#REF!</v>
      </c>
      <c r="AY434" s="201"/>
      <c r="AZ434" s="273" t="s">
        <v>1224</v>
      </c>
      <c r="BB434">
        <f>IFERROR(VLOOKUP(Tabela1[[#This Row],[Denominação]],[10]Planilha1!$A:$B,2,FALSE),"")</f>
        <v>142495.18000000005</v>
      </c>
      <c r="BC434" s="219"/>
      <c r="BD434" s="219"/>
      <c r="BE434" s="219"/>
      <c r="BF434" s="219"/>
      <c r="BG434" s="219"/>
      <c r="BH434" s="219"/>
      <c r="BI434" s="219"/>
      <c r="BJ434" s="219"/>
      <c r="BK434" s="219"/>
      <c r="BL434" s="219"/>
    </row>
    <row r="435" spans="1:64" ht="15" hidden="1" customHeight="1" x14ac:dyDescent="0.3">
      <c r="A435" s="268">
        <v>434</v>
      </c>
      <c r="B435" s="255" t="s">
        <v>1845</v>
      </c>
      <c r="C435" s="211" t="s">
        <v>1713</v>
      </c>
      <c r="D435" s="201">
        <v>20003487</v>
      </c>
      <c r="E435" s="253" t="s">
        <v>1781</v>
      </c>
      <c r="F435" s="253">
        <v>3342</v>
      </c>
      <c r="G435" s="201">
        <v>50255</v>
      </c>
      <c r="H435" s="201">
        <v>2018</v>
      </c>
      <c r="I435" s="216">
        <v>922234.54</v>
      </c>
      <c r="J435" s="214">
        <v>564554</v>
      </c>
      <c r="K435" s="170">
        <v>114950.24000000002</v>
      </c>
      <c r="L435" s="207">
        <v>0.84</v>
      </c>
      <c r="M435" s="212">
        <v>4392</v>
      </c>
      <c r="N435" s="212">
        <v>36618</v>
      </c>
      <c r="O435" s="171">
        <v>63</v>
      </c>
      <c r="P435" s="271" t="str">
        <f>IFERROR(VLOOKUP(Tabela1[[#This Row],[TAG]],#REF!,14,FALSE),"")</f>
        <v/>
      </c>
      <c r="Q435" s="204" t="e">
        <f t="shared" ref="Q435:Q436" si="770">P435+P435</f>
        <v>#VALUE!</v>
      </c>
      <c r="R435" s="204" t="e">
        <f t="shared" ref="R435:R441" si="771">Q435+P435</f>
        <v>#VALUE!</v>
      </c>
      <c r="S435" s="204" t="e">
        <f t="shared" ref="S435:S441" si="772">R435+P435</f>
        <v>#VALUE!</v>
      </c>
      <c r="T435" s="204" t="e">
        <f t="shared" ref="T435:T441" si="773">S435+P435</f>
        <v>#VALUE!</v>
      </c>
      <c r="U435" s="204" t="e">
        <f t="shared" ref="U435:U441" si="774">T435+P435</f>
        <v>#VALUE!</v>
      </c>
      <c r="V435" s="204" t="e">
        <f t="shared" ref="V435:V441" si="775">U435+P435</f>
        <v>#VALUE!</v>
      </c>
      <c r="W435" s="218">
        <v>416.65</v>
      </c>
      <c r="X435" s="218">
        <v>1039.1500000000001</v>
      </c>
      <c r="Y435" s="203">
        <v>0.1</v>
      </c>
      <c r="Z435" s="203">
        <f>IF(Tabela1[[#This Row],[Ano Aquisição]]=2023,0,IFERROR(VLOOKUP(H435,inflação!$F:$H,3,FALSE),""))</f>
        <v>0.2843</v>
      </c>
      <c r="AA435" s="203">
        <v>0.8</v>
      </c>
      <c r="AB435" s="202">
        <f t="shared" si="759"/>
        <v>-922234.54</v>
      </c>
      <c r="AC435" s="204" t="e">
        <f t="shared" ref="AC435:AC440" si="776">-(((P435*$W435)+($X435*12))*((1+$Y435)^AC$1))</f>
        <v>#VALUE!</v>
      </c>
      <c r="AD435" s="204" t="e">
        <f t="shared" ref="AD435:AD440" si="777">-((((Q435-P435)*$W435)+($X435*12))*((1+$Y435)^AD$1))</f>
        <v>#VALUE!</v>
      </c>
      <c r="AE435" s="204" t="e">
        <f t="shared" ref="AE435:AE440" si="778">-((((R435-Q435)*$W435)+($X435*12))*((1+$Y435)^AE$1))</f>
        <v>#VALUE!</v>
      </c>
      <c r="AF435" s="204" t="e">
        <f t="shared" ref="AF435:AF440" si="779">-((((S435-R435)*$W435)+($X435*12))*((1+$Y435)^AF$1))</f>
        <v>#VALUE!</v>
      </c>
      <c r="AG435" s="204" t="e">
        <f t="shared" ref="AG435:AG440" si="780">-((((T435-S435)*$W435)+($X435*12))*((1+$Y435)^AG$1))</f>
        <v>#VALUE!</v>
      </c>
      <c r="AH435" s="204" t="e">
        <f t="shared" ref="AH435:AH440" si="781">-((((U435-T435)*$W435)+($X435*12))*((1+$Y435)^AH$1))</f>
        <v>#VALUE!</v>
      </c>
      <c r="AI435" s="204" t="e">
        <f t="shared" ref="AI435:AI440" si="782">-((((V435-U435)*$W435)+($X435*12))*((1+$Y435)^AI$1))</f>
        <v>#VALUE!</v>
      </c>
      <c r="AJ435" s="205">
        <f t="shared" si="762"/>
        <v>-1184425.819722</v>
      </c>
      <c r="AK435" s="204" t="e">
        <f t="shared" ref="AK435:AK440" si="783">AC435*(1-$AA435)</f>
        <v>#VALUE!</v>
      </c>
      <c r="AL435" s="204" t="e">
        <f t="shared" ref="AL435:AL440" si="784">AD435*(1-$AA435)</f>
        <v>#VALUE!</v>
      </c>
      <c r="AM435" s="204" t="e">
        <f t="shared" ref="AM435:AM440" si="785">AE435*(1-$AA435)</f>
        <v>#VALUE!</v>
      </c>
      <c r="AN435" s="204" t="e">
        <f t="shared" ref="AN435:AN440" si="786">AF435*(1-$AA435)</f>
        <v>#VALUE!</v>
      </c>
      <c r="AO435" s="204" t="e">
        <f t="shared" ref="AO435:AO440" si="787">AG435*(1-$AA435)</f>
        <v>#VALUE!</v>
      </c>
      <c r="AP435" s="204" t="e">
        <f t="shared" ref="AP435:AP440" si="788">AH435*(1-$AA435)</f>
        <v>#VALUE!</v>
      </c>
      <c r="AQ435" s="204" t="e">
        <f t="shared" ref="AQ435:AQ440" si="789">AI435*(1-$AA435)</f>
        <v>#VALUE!</v>
      </c>
      <c r="AR435" s="206" t="e">
        <f t="shared" si="764"/>
        <v>#VALUE!</v>
      </c>
      <c r="AS435" s="170" t="e">
        <f t="shared" ref="AS435:AS440" si="790">SUM(AC435:AI435)</f>
        <v>#VALUE!</v>
      </c>
      <c r="AT435" s="170" t="e">
        <f t="shared" ref="AT435:AT440" si="791">SUM(AK435:AQ435)</f>
        <v>#VALUE!</v>
      </c>
      <c r="AU435" s="207" t="e">
        <f t="shared" si="767"/>
        <v>#VALUE!</v>
      </c>
      <c r="AV435" s="208" t="e">
        <f t="shared" si="768"/>
        <v>#VALUE!</v>
      </c>
      <c r="AW435" s="201" t="str">
        <f t="shared" si="769"/>
        <v>Confiabilidade em Crescimento</v>
      </c>
      <c r="AX435" s="253" t="e">
        <f>VLOOKUP(D435,#REF!,5,FALSE)</f>
        <v>#REF!</v>
      </c>
      <c r="AY435" s="201"/>
      <c r="AZ435" s="273" t="s">
        <v>1224</v>
      </c>
      <c r="BB435">
        <f>IFERROR(VLOOKUP(Tabela1[[#This Row],[Denominação]],[10]Planilha1!$A:$B,2,FALSE),"")</f>
        <v>114950.24000000002</v>
      </c>
      <c r="BC435" s="219"/>
      <c r="BD435" s="219"/>
      <c r="BE435" s="219"/>
      <c r="BF435" s="219"/>
      <c r="BG435" s="219"/>
      <c r="BH435" s="219"/>
      <c r="BI435" s="219"/>
      <c r="BJ435" s="219"/>
      <c r="BK435" s="219"/>
      <c r="BL435" s="219"/>
    </row>
    <row r="436" spans="1:64" ht="15" hidden="1" customHeight="1" x14ac:dyDescent="0.3">
      <c r="A436" s="253">
        <v>435</v>
      </c>
      <c r="B436" s="255" t="s">
        <v>1846</v>
      </c>
      <c r="C436" s="211" t="s">
        <v>1714</v>
      </c>
      <c r="D436" s="201">
        <v>20003488</v>
      </c>
      <c r="E436" s="253" t="s">
        <v>1782</v>
      </c>
      <c r="F436" s="253">
        <v>3342</v>
      </c>
      <c r="G436" s="201">
        <v>50255</v>
      </c>
      <c r="H436" s="201">
        <v>2018</v>
      </c>
      <c r="I436" s="216">
        <v>922234.54</v>
      </c>
      <c r="J436" s="214">
        <v>564554</v>
      </c>
      <c r="K436" s="170">
        <v>188808.65000000008</v>
      </c>
      <c r="L436" s="207">
        <v>1.03</v>
      </c>
      <c r="M436" s="212">
        <v>4392</v>
      </c>
      <c r="N436" s="212">
        <v>35907</v>
      </c>
      <c r="O436" s="171">
        <v>152</v>
      </c>
      <c r="P436" s="271" t="str">
        <f>IFERROR(VLOOKUP(Tabela1[[#This Row],[TAG]],#REF!,14,FALSE),"")</f>
        <v/>
      </c>
      <c r="Q436" s="204" t="e">
        <f t="shared" si="770"/>
        <v>#VALUE!</v>
      </c>
      <c r="R436" s="204" t="e">
        <f t="shared" si="771"/>
        <v>#VALUE!</v>
      </c>
      <c r="S436" s="204" t="e">
        <f t="shared" si="772"/>
        <v>#VALUE!</v>
      </c>
      <c r="T436" s="204" t="e">
        <f t="shared" si="773"/>
        <v>#VALUE!</v>
      </c>
      <c r="U436" s="204" t="e">
        <f t="shared" si="774"/>
        <v>#VALUE!</v>
      </c>
      <c r="V436" s="204" t="e">
        <f t="shared" si="775"/>
        <v>#VALUE!</v>
      </c>
      <c r="W436" s="218">
        <v>599.47</v>
      </c>
      <c r="X436" s="218">
        <v>2122.36</v>
      </c>
      <c r="Y436" s="203">
        <v>0.1</v>
      </c>
      <c r="Z436" s="203">
        <f>IF(Tabela1[[#This Row],[Ano Aquisição]]=2023,0,IFERROR(VLOOKUP(H436,inflação!$F:$H,3,FALSE),""))</f>
        <v>0.2843</v>
      </c>
      <c r="AA436" s="203">
        <v>0.8</v>
      </c>
      <c r="AB436" s="202">
        <f t="shared" si="759"/>
        <v>-922234.54</v>
      </c>
      <c r="AC436" s="204" t="e">
        <f t="shared" si="776"/>
        <v>#VALUE!</v>
      </c>
      <c r="AD436" s="204" t="e">
        <f t="shared" si="777"/>
        <v>#VALUE!</v>
      </c>
      <c r="AE436" s="204" t="e">
        <f t="shared" si="778"/>
        <v>#VALUE!</v>
      </c>
      <c r="AF436" s="204" t="e">
        <f t="shared" si="779"/>
        <v>#VALUE!</v>
      </c>
      <c r="AG436" s="204" t="e">
        <f t="shared" si="780"/>
        <v>#VALUE!</v>
      </c>
      <c r="AH436" s="204" t="e">
        <f t="shared" si="781"/>
        <v>#VALUE!</v>
      </c>
      <c r="AI436" s="204" t="e">
        <f t="shared" si="782"/>
        <v>#VALUE!</v>
      </c>
      <c r="AJ436" s="205">
        <f t="shared" si="762"/>
        <v>-1184425.819722</v>
      </c>
      <c r="AK436" s="204" t="e">
        <f t="shared" si="783"/>
        <v>#VALUE!</v>
      </c>
      <c r="AL436" s="204" t="e">
        <f t="shared" si="784"/>
        <v>#VALUE!</v>
      </c>
      <c r="AM436" s="204" t="e">
        <f t="shared" si="785"/>
        <v>#VALUE!</v>
      </c>
      <c r="AN436" s="204" t="e">
        <f t="shared" si="786"/>
        <v>#VALUE!</v>
      </c>
      <c r="AO436" s="204" t="e">
        <f t="shared" si="787"/>
        <v>#VALUE!</v>
      </c>
      <c r="AP436" s="204" t="e">
        <f t="shared" si="788"/>
        <v>#VALUE!</v>
      </c>
      <c r="AQ436" s="204" t="e">
        <f t="shared" si="789"/>
        <v>#VALUE!</v>
      </c>
      <c r="AR436" s="206" t="e">
        <f t="shared" si="764"/>
        <v>#VALUE!</v>
      </c>
      <c r="AS436" s="170" t="e">
        <f t="shared" si="790"/>
        <v>#VALUE!</v>
      </c>
      <c r="AT436" s="170" t="e">
        <f t="shared" si="791"/>
        <v>#VALUE!</v>
      </c>
      <c r="AU436" s="207" t="e">
        <f t="shared" si="767"/>
        <v>#VALUE!</v>
      </c>
      <c r="AV436" s="208" t="e">
        <f t="shared" si="768"/>
        <v>#VALUE!</v>
      </c>
      <c r="AW436" s="201" t="str">
        <f t="shared" si="769"/>
        <v>Fase de Vida Útil</v>
      </c>
      <c r="AX436" s="253" t="e">
        <f>VLOOKUP(D436,#REF!,5,FALSE)</f>
        <v>#REF!</v>
      </c>
      <c r="AY436" s="201"/>
      <c r="AZ436" s="273" t="s">
        <v>1224</v>
      </c>
      <c r="BB436">
        <f>IFERROR(VLOOKUP(Tabela1[[#This Row],[Denominação]],[10]Planilha1!$A:$B,2,FALSE),"")</f>
        <v>188808.65000000008</v>
      </c>
      <c r="BC436" s="219"/>
      <c r="BD436" s="219"/>
      <c r="BE436" s="219"/>
      <c r="BF436" s="219"/>
      <c r="BG436" s="219"/>
      <c r="BH436" s="219"/>
      <c r="BI436" s="219"/>
      <c r="BJ436" s="219"/>
      <c r="BK436" s="219"/>
      <c r="BL436" s="219"/>
    </row>
    <row r="437" spans="1:64" ht="15" hidden="1" customHeight="1" x14ac:dyDescent="0.3">
      <c r="A437" s="268">
        <v>436</v>
      </c>
      <c r="B437" s="255" t="s">
        <v>1847</v>
      </c>
      <c r="C437" s="211" t="s">
        <v>1715</v>
      </c>
      <c r="D437" s="201">
        <v>10006605</v>
      </c>
      <c r="E437" s="253" t="s">
        <v>1517</v>
      </c>
      <c r="F437" s="253">
        <v>4543</v>
      </c>
      <c r="G437" s="201">
        <v>51284</v>
      </c>
      <c r="H437" s="201">
        <v>2019</v>
      </c>
      <c r="I437" s="216">
        <v>194287.98</v>
      </c>
      <c r="J437" s="214">
        <v>126115</v>
      </c>
      <c r="K437" s="170">
        <v>27512.290000000005</v>
      </c>
      <c r="L437" s="207">
        <v>1.22</v>
      </c>
      <c r="M437" s="212">
        <v>4299</v>
      </c>
      <c r="N437" s="212">
        <v>34384</v>
      </c>
      <c r="O437" s="171">
        <v>69</v>
      </c>
      <c r="P437" s="271" t="str">
        <f>IFERROR(VLOOKUP(Tabela1[[#This Row],[TAG]],#REF!,14,FALSE),"")</f>
        <v/>
      </c>
      <c r="Q437" s="204" t="e">
        <f>P437+P437</f>
        <v>#VALUE!</v>
      </c>
      <c r="R437" s="204" t="e">
        <f t="shared" si="771"/>
        <v>#VALUE!</v>
      </c>
      <c r="S437" s="204" t="e">
        <f t="shared" si="772"/>
        <v>#VALUE!</v>
      </c>
      <c r="T437" s="204" t="e">
        <f t="shared" si="773"/>
        <v>#VALUE!</v>
      </c>
      <c r="U437" s="204" t="e">
        <f t="shared" si="774"/>
        <v>#VALUE!</v>
      </c>
      <c r="V437" s="204" t="e">
        <f t="shared" si="775"/>
        <v>#VALUE!</v>
      </c>
      <c r="W437" s="218">
        <v>406.49</v>
      </c>
      <c r="X437" s="218">
        <v>675.66</v>
      </c>
      <c r="Y437" s="203">
        <v>0.1</v>
      </c>
      <c r="Z437" s="203">
        <f>IF(Tabela1[[#This Row],[Ano Aquisição]]=2023,0,IFERROR(VLOOKUP(H437,inflação!$F:$H,3,FALSE),""))</f>
        <v>0.24679999999999999</v>
      </c>
      <c r="AA437" s="203">
        <v>0.8</v>
      </c>
      <c r="AB437" s="202">
        <f t="shared" si="759"/>
        <v>-194287.98</v>
      </c>
      <c r="AC437" s="204" t="e">
        <f t="shared" si="776"/>
        <v>#VALUE!</v>
      </c>
      <c r="AD437" s="204" t="e">
        <f t="shared" si="777"/>
        <v>#VALUE!</v>
      </c>
      <c r="AE437" s="204" t="e">
        <f t="shared" si="778"/>
        <v>#VALUE!</v>
      </c>
      <c r="AF437" s="204" t="e">
        <f t="shared" si="779"/>
        <v>#VALUE!</v>
      </c>
      <c r="AG437" s="204" t="e">
        <f t="shared" si="780"/>
        <v>#VALUE!</v>
      </c>
      <c r="AH437" s="204" t="e">
        <f t="shared" si="781"/>
        <v>#VALUE!</v>
      </c>
      <c r="AI437" s="204" t="e">
        <f t="shared" si="782"/>
        <v>#VALUE!</v>
      </c>
      <c r="AJ437" s="205">
        <f t="shared" si="762"/>
        <v>-242238.25346400001</v>
      </c>
      <c r="AK437" s="204" t="e">
        <f t="shared" si="783"/>
        <v>#VALUE!</v>
      </c>
      <c r="AL437" s="204" t="e">
        <f t="shared" si="784"/>
        <v>#VALUE!</v>
      </c>
      <c r="AM437" s="204" t="e">
        <f t="shared" si="785"/>
        <v>#VALUE!</v>
      </c>
      <c r="AN437" s="204" t="e">
        <f t="shared" si="786"/>
        <v>#VALUE!</v>
      </c>
      <c r="AO437" s="204" t="e">
        <f t="shared" si="787"/>
        <v>#VALUE!</v>
      </c>
      <c r="AP437" s="204" t="e">
        <f t="shared" si="788"/>
        <v>#VALUE!</v>
      </c>
      <c r="AQ437" s="204" t="e">
        <f t="shared" si="789"/>
        <v>#VALUE!</v>
      </c>
      <c r="AR437" s="206" t="e">
        <f t="shared" si="764"/>
        <v>#VALUE!</v>
      </c>
      <c r="AS437" s="170" t="e">
        <f t="shared" si="790"/>
        <v>#VALUE!</v>
      </c>
      <c r="AT437" s="170" t="e">
        <f t="shared" si="791"/>
        <v>#VALUE!</v>
      </c>
      <c r="AU437" s="207" t="e">
        <f t="shared" si="767"/>
        <v>#VALUE!</v>
      </c>
      <c r="AV437" s="208" t="e">
        <f t="shared" si="768"/>
        <v>#VALUE!</v>
      </c>
      <c r="AW437" s="201" t="str">
        <f t="shared" si="769"/>
        <v>Fase de Degradação</v>
      </c>
      <c r="AX437" s="253" t="e">
        <f>VLOOKUP(D437,#REF!,5,FALSE)</f>
        <v>#REF!</v>
      </c>
      <c r="AY437" s="201"/>
      <c r="AZ437" s="273" t="s">
        <v>1224</v>
      </c>
      <c r="BB437">
        <f>IFERROR(VLOOKUP(Tabela1[[#This Row],[Denominação]],[10]Planilha1!$A:$B,2,FALSE),"")</f>
        <v>27512.290000000005</v>
      </c>
      <c r="BC437" s="219"/>
      <c r="BD437" s="219"/>
      <c r="BE437" s="219"/>
      <c r="BF437" s="219"/>
      <c r="BG437" s="219"/>
      <c r="BH437" s="219"/>
      <c r="BI437" s="219"/>
      <c r="BJ437" s="219"/>
      <c r="BK437" s="219"/>
      <c r="BL437" s="219"/>
    </row>
    <row r="438" spans="1:64" ht="15" hidden="1" customHeight="1" x14ac:dyDescent="0.3">
      <c r="A438" s="253">
        <v>437</v>
      </c>
      <c r="B438" s="255" t="s">
        <v>1848</v>
      </c>
      <c r="C438" s="211" t="s">
        <v>1716</v>
      </c>
      <c r="D438" s="201">
        <v>10006606</v>
      </c>
      <c r="E438" s="253" t="s">
        <v>1517</v>
      </c>
      <c r="F438" s="253">
        <v>4543</v>
      </c>
      <c r="G438" s="201">
        <v>51285</v>
      </c>
      <c r="H438" s="201">
        <v>2019</v>
      </c>
      <c r="I438" s="216">
        <v>194287.98</v>
      </c>
      <c r="J438" s="214">
        <v>126115</v>
      </c>
      <c r="K438" s="170">
        <v>21856.739999999998</v>
      </c>
      <c r="L438" s="207">
        <v>1.55</v>
      </c>
      <c r="M438" s="212">
        <v>4299</v>
      </c>
      <c r="N438" s="212">
        <v>30495</v>
      </c>
      <c r="O438" s="171">
        <v>31</v>
      </c>
      <c r="P438" s="271" t="str">
        <f>IFERROR(VLOOKUP(Tabela1[[#This Row],[TAG]],#REF!,14,FALSE),"")</f>
        <v/>
      </c>
      <c r="Q438" s="204" t="e">
        <f>P438+P438</f>
        <v>#VALUE!</v>
      </c>
      <c r="R438" s="204" t="e">
        <f t="shared" si="771"/>
        <v>#VALUE!</v>
      </c>
      <c r="S438" s="204" t="e">
        <f t="shared" si="772"/>
        <v>#VALUE!</v>
      </c>
      <c r="T438" s="204" t="e">
        <f t="shared" si="773"/>
        <v>#VALUE!</v>
      </c>
      <c r="U438" s="204" t="e">
        <f t="shared" si="774"/>
        <v>#VALUE!</v>
      </c>
      <c r="V438" s="204" t="e">
        <f t="shared" si="775"/>
        <v>#VALUE!</v>
      </c>
      <c r="W438" s="218">
        <v>404.02</v>
      </c>
      <c r="X438" s="218">
        <v>715.98</v>
      </c>
      <c r="Y438" s="203">
        <v>0.1</v>
      </c>
      <c r="Z438" s="203">
        <f>IF(Tabela1[[#This Row],[Ano Aquisição]]=2023,0,IFERROR(VLOOKUP(H438,inflação!$F:$H,3,FALSE),""))</f>
        <v>0.24679999999999999</v>
      </c>
      <c r="AA438" s="203">
        <v>0.8</v>
      </c>
      <c r="AB438" s="202">
        <f t="shared" si="759"/>
        <v>-194287.98</v>
      </c>
      <c r="AC438" s="204" t="e">
        <f t="shared" si="776"/>
        <v>#VALUE!</v>
      </c>
      <c r="AD438" s="204" t="e">
        <f t="shared" si="777"/>
        <v>#VALUE!</v>
      </c>
      <c r="AE438" s="204" t="e">
        <f t="shared" si="778"/>
        <v>#VALUE!</v>
      </c>
      <c r="AF438" s="204" t="e">
        <f t="shared" si="779"/>
        <v>#VALUE!</v>
      </c>
      <c r="AG438" s="204" t="e">
        <f t="shared" si="780"/>
        <v>#VALUE!</v>
      </c>
      <c r="AH438" s="204" t="e">
        <f t="shared" si="781"/>
        <v>#VALUE!</v>
      </c>
      <c r="AI438" s="204" t="e">
        <f t="shared" si="782"/>
        <v>#VALUE!</v>
      </c>
      <c r="AJ438" s="205">
        <f t="shared" si="762"/>
        <v>-242238.25346400001</v>
      </c>
      <c r="AK438" s="204" t="e">
        <f t="shared" si="783"/>
        <v>#VALUE!</v>
      </c>
      <c r="AL438" s="204" t="e">
        <f t="shared" si="784"/>
        <v>#VALUE!</v>
      </c>
      <c r="AM438" s="204" t="e">
        <f t="shared" si="785"/>
        <v>#VALUE!</v>
      </c>
      <c r="AN438" s="204" t="e">
        <f t="shared" si="786"/>
        <v>#VALUE!</v>
      </c>
      <c r="AO438" s="204" t="e">
        <f t="shared" si="787"/>
        <v>#VALUE!</v>
      </c>
      <c r="AP438" s="204" t="e">
        <f t="shared" si="788"/>
        <v>#VALUE!</v>
      </c>
      <c r="AQ438" s="204" t="e">
        <f t="shared" si="789"/>
        <v>#VALUE!</v>
      </c>
      <c r="AR438" s="206" t="e">
        <f t="shared" si="764"/>
        <v>#VALUE!</v>
      </c>
      <c r="AS438" s="170" t="e">
        <f t="shared" si="790"/>
        <v>#VALUE!</v>
      </c>
      <c r="AT438" s="170" t="e">
        <f t="shared" si="791"/>
        <v>#VALUE!</v>
      </c>
      <c r="AU438" s="207" t="e">
        <f t="shared" si="767"/>
        <v>#VALUE!</v>
      </c>
      <c r="AV438" s="208" t="e">
        <f t="shared" si="768"/>
        <v>#VALUE!</v>
      </c>
      <c r="AW438" s="201" t="str">
        <f t="shared" si="769"/>
        <v>Fase de Degradação</v>
      </c>
      <c r="AX438" s="253" t="e">
        <f>VLOOKUP(D438,#REF!,5,FALSE)</f>
        <v>#REF!</v>
      </c>
      <c r="AY438" s="201"/>
      <c r="AZ438" s="273" t="s">
        <v>1224</v>
      </c>
      <c r="BB438">
        <f>IFERROR(VLOOKUP(Tabela1[[#This Row],[Denominação]],[10]Planilha1!$A:$B,2,FALSE),"")</f>
        <v>21856.739999999998</v>
      </c>
      <c r="BC438" s="219"/>
      <c r="BD438" s="219"/>
      <c r="BE438" s="219"/>
      <c r="BF438" s="219"/>
      <c r="BG438" s="219"/>
      <c r="BH438" s="219"/>
      <c r="BI438" s="219"/>
      <c r="BJ438" s="219"/>
      <c r="BK438" s="219"/>
      <c r="BL438" s="219"/>
    </row>
    <row r="439" spans="1:64" ht="15" hidden="1" customHeight="1" x14ac:dyDescent="0.3">
      <c r="A439" s="268">
        <v>438</v>
      </c>
      <c r="B439" s="255" t="s">
        <v>1849</v>
      </c>
      <c r="C439" s="211" t="s">
        <v>1717</v>
      </c>
      <c r="D439" s="201">
        <v>10006607</v>
      </c>
      <c r="E439" s="253" t="s">
        <v>1518</v>
      </c>
      <c r="F439" s="253">
        <v>4543</v>
      </c>
      <c r="G439" s="201">
        <v>51286</v>
      </c>
      <c r="H439" s="201">
        <v>2019</v>
      </c>
      <c r="I439" s="216">
        <v>194287.98</v>
      </c>
      <c r="J439" s="214">
        <v>126115</v>
      </c>
      <c r="K439" s="170">
        <v>20453.170000000002</v>
      </c>
      <c r="L439" s="207">
        <v>1.38</v>
      </c>
      <c r="M439" s="212">
        <v>4315</v>
      </c>
      <c r="N439" s="212">
        <v>32605</v>
      </c>
      <c r="O439" s="171">
        <v>41</v>
      </c>
      <c r="P439" s="271" t="str">
        <f>IFERROR(VLOOKUP(Tabela1[[#This Row],[TAG]],#REF!,14,FALSE),"")</f>
        <v/>
      </c>
      <c r="Q439" s="204" t="e">
        <f>P439+P439</f>
        <v>#VALUE!</v>
      </c>
      <c r="R439" s="204" t="e">
        <f t="shared" si="771"/>
        <v>#VALUE!</v>
      </c>
      <c r="S439" s="204" t="e">
        <f t="shared" si="772"/>
        <v>#VALUE!</v>
      </c>
      <c r="T439" s="204" t="e">
        <f t="shared" si="773"/>
        <v>#VALUE!</v>
      </c>
      <c r="U439" s="204" t="e">
        <f t="shared" si="774"/>
        <v>#VALUE!</v>
      </c>
      <c r="V439" s="204" t="e">
        <f t="shared" si="775"/>
        <v>#VALUE!</v>
      </c>
      <c r="W439" s="218">
        <v>371.34</v>
      </c>
      <c r="X439" s="218">
        <v>739.97</v>
      </c>
      <c r="Y439" s="203">
        <v>0.1</v>
      </c>
      <c r="Z439" s="203">
        <f>IF(Tabela1[[#This Row],[Ano Aquisição]]=2023,0,IFERROR(VLOOKUP(H439,inflação!$F:$H,3,FALSE),""))</f>
        <v>0.24679999999999999</v>
      </c>
      <c r="AA439" s="203">
        <v>0.8</v>
      </c>
      <c r="AB439" s="202">
        <f t="shared" si="759"/>
        <v>-194287.98</v>
      </c>
      <c r="AC439" s="204" t="e">
        <f t="shared" si="776"/>
        <v>#VALUE!</v>
      </c>
      <c r="AD439" s="204" t="e">
        <f t="shared" si="777"/>
        <v>#VALUE!</v>
      </c>
      <c r="AE439" s="204" t="e">
        <f t="shared" si="778"/>
        <v>#VALUE!</v>
      </c>
      <c r="AF439" s="204" t="e">
        <f t="shared" si="779"/>
        <v>#VALUE!</v>
      </c>
      <c r="AG439" s="204" t="e">
        <f t="shared" si="780"/>
        <v>#VALUE!</v>
      </c>
      <c r="AH439" s="204" t="e">
        <f t="shared" si="781"/>
        <v>#VALUE!</v>
      </c>
      <c r="AI439" s="204" t="e">
        <f t="shared" si="782"/>
        <v>#VALUE!</v>
      </c>
      <c r="AJ439" s="205">
        <f t="shared" si="762"/>
        <v>-242238.25346400001</v>
      </c>
      <c r="AK439" s="204" t="e">
        <f t="shared" si="783"/>
        <v>#VALUE!</v>
      </c>
      <c r="AL439" s="204" t="e">
        <f t="shared" si="784"/>
        <v>#VALUE!</v>
      </c>
      <c r="AM439" s="204" t="e">
        <f t="shared" si="785"/>
        <v>#VALUE!</v>
      </c>
      <c r="AN439" s="204" t="e">
        <f t="shared" si="786"/>
        <v>#VALUE!</v>
      </c>
      <c r="AO439" s="204" t="e">
        <f t="shared" si="787"/>
        <v>#VALUE!</v>
      </c>
      <c r="AP439" s="204" t="e">
        <f t="shared" si="788"/>
        <v>#VALUE!</v>
      </c>
      <c r="AQ439" s="204" t="e">
        <f t="shared" si="789"/>
        <v>#VALUE!</v>
      </c>
      <c r="AR439" s="206" t="e">
        <f t="shared" si="764"/>
        <v>#VALUE!</v>
      </c>
      <c r="AS439" s="170" t="e">
        <f t="shared" si="790"/>
        <v>#VALUE!</v>
      </c>
      <c r="AT439" s="170" t="e">
        <f t="shared" si="791"/>
        <v>#VALUE!</v>
      </c>
      <c r="AU439" s="207" t="e">
        <f t="shared" si="767"/>
        <v>#VALUE!</v>
      </c>
      <c r="AV439" s="208" t="e">
        <f t="shared" si="768"/>
        <v>#VALUE!</v>
      </c>
      <c r="AW439" s="201" t="str">
        <f t="shared" si="769"/>
        <v>Fase de Degradação</v>
      </c>
      <c r="AX439" s="253" t="e">
        <f>VLOOKUP(D439,#REF!,5,FALSE)</f>
        <v>#REF!</v>
      </c>
      <c r="AY439" s="201"/>
      <c r="AZ439" s="273" t="s">
        <v>1224</v>
      </c>
      <c r="BB439">
        <f>IFERROR(VLOOKUP(Tabela1[[#This Row],[Denominação]],[10]Planilha1!$A:$B,2,FALSE),"")</f>
        <v>20453.170000000002</v>
      </c>
      <c r="BC439" s="219"/>
      <c r="BD439" s="219"/>
      <c r="BE439" s="219"/>
      <c r="BF439" s="219"/>
      <c r="BG439" s="219"/>
      <c r="BH439" s="219"/>
      <c r="BI439" s="219"/>
      <c r="BJ439" s="219"/>
      <c r="BK439" s="219"/>
      <c r="BL439" s="219"/>
    </row>
    <row r="440" spans="1:64" ht="15" hidden="1" customHeight="1" x14ac:dyDescent="0.3">
      <c r="A440" s="253">
        <v>439</v>
      </c>
      <c r="B440" s="255" t="s">
        <v>1850</v>
      </c>
      <c r="C440" s="211" t="s">
        <v>1718</v>
      </c>
      <c r="D440" s="201">
        <v>10006608</v>
      </c>
      <c r="E440" s="253" t="s">
        <v>1518</v>
      </c>
      <c r="F440" s="253">
        <v>4543</v>
      </c>
      <c r="G440" s="201">
        <v>51287</v>
      </c>
      <c r="H440" s="201">
        <v>2019</v>
      </c>
      <c r="I440" s="216">
        <v>194287.99</v>
      </c>
      <c r="J440" s="214">
        <v>126115</v>
      </c>
      <c r="K440" s="170">
        <v>25205.21</v>
      </c>
      <c r="L440" s="207">
        <v>1.43</v>
      </c>
      <c r="M440" s="212">
        <v>4315</v>
      </c>
      <c r="N440" s="212">
        <v>32705</v>
      </c>
      <c r="O440" s="171">
        <v>14</v>
      </c>
      <c r="P440" s="271" t="str">
        <f>IFERROR(VLOOKUP(Tabela1[[#This Row],[TAG]],#REF!,14,FALSE),"")</f>
        <v/>
      </c>
      <c r="Q440" s="204" t="e">
        <f>P440+P440</f>
        <v>#VALUE!</v>
      </c>
      <c r="R440" s="204" t="e">
        <f t="shared" si="771"/>
        <v>#VALUE!</v>
      </c>
      <c r="S440" s="204" t="e">
        <f t="shared" si="772"/>
        <v>#VALUE!</v>
      </c>
      <c r="T440" s="204" t="e">
        <f t="shared" si="773"/>
        <v>#VALUE!</v>
      </c>
      <c r="U440" s="204" t="e">
        <f t="shared" si="774"/>
        <v>#VALUE!</v>
      </c>
      <c r="V440" s="204" t="e">
        <f t="shared" si="775"/>
        <v>#VALUE!</v>
      </c>
      <c r="W440" s="218">
        <v>773.57</v>
      </c>
      <c r="X440" s="218">
        <v>864.67</v>
      </c>
      <c r="Y440" s="203">
        <v>0.1</v>
      </c>
      <c r="Z440" s="203">
        <f>IF(Tabela1[[#This Row],[Ano Aquisição]]=2023,0,IFERROR(VLOOKUP(H440,inflação!$F:$H,3,FALSE),""))</f>
        <v>0.24679999999999999</v>
      </c>
      <c r="AA440" s="203">
        <v>0.8</v>
      </c>
      <c r="AB440" s="202">
        <f t="shared" si="759"/>
        <v>-194287.99</v>
      </c>
      <c r="AC440" s="204" t="e">
        <f t="shared" si="776"/>
        <v>#VALUE!</v>
      </c>
      <c r="AD440" s="204" t="e">
        <f t="shared" si="777"/>
        <v>#VALUE!</v>
      </c>
      <c r="AE440" s="204" t="e">
        <f t="shared" si="778"/>
        <v>#VALUE!</v>
      </c>
      <c r="AF440" s="204" t="e">
        <f t="shared" si="779"/>
        <v>#VALUE!</v>
      </c>
      <c r="AG440" s="204" t="e">
        <f t="shared" si="780"/>
        <v>#VALUE!</v>
      </c>
      <c r="AH440" s="204" t="e">
        <f t="shared" si="781"/>
        <v>#VALUE!</v>
      </c>
      <c r="AI440" s="204" t="e">
        <f t="shared" si="782"/>
        <v>#VALUE!</v>
      </c>
      <c r="AJ440" s="205">
        <f t="shared" si="762"/>
        <v>-242238.26593199998</v>
      </c>
      <c r="AK440" s="204" t="e">
        <f t="shared" si="783"/>
        <v>#VALUE!</v>
      </c>
      <c r="AL440" s="204" t="e">
        <f t="shared" si="784"/>
        <v>#VALUE!</v>
      </c>
      <c r="AM440" s="204" t="e">
        <f t="shared" si="785"/>
        <v>#VALUE!</v>
      </c>
      <c r="AN440" s="204" t="e">
        <f t="shared" si="786"/>
        <v>#VALUE!</v>
      </c>
      <c r="AO440" s="204" t="e">
        <f t="shared" si="787"/>
        <v>#VALUE!</v>
      </c>
      <c r="AP440" s="204" t="e">
        <f t="shared" si="788"/>
        <v>#VALUE!</v>
      </c>
      <c r="AQ440" s="204" t="e">
        <f t="shared" si="789"/>
        <v>#VALUE!</v>
      </c>
      <c r="AR440" s="206" t="e">
        <f t="shared" si="764"/>
        <v>#VALUE!</v>
      </c>
      <c r="AS440" s="170" t="e">
        <f t="shared" si="790"/>
        <v>#VALUE!</v>
      </c>
      <c r="AT440" s="170" t="e">
        <f t="shared" si="791"/>
        <v>#VALUE!</v>
      </c>
      <c r="AU440" s="207" t="e">
        <f t="shared" si="767"/>
        <v>#VALUE!</v>
      </c>
      <c r="AV440" s="208" t="e">
        <f t="shared" si="768"/>
        <v>#VALUE!</v>
      </c>
      <c r="AW440" s="201" t="str">
        <f t="shared" si="769"/>
        <v>Fase de Degradação</v>
      </c>
      <c r="AX440" s="253" t="e">
        <f>VLOOKUP(D440,#REF!,5,FALSE)</f>
        <v>#REF!</v>
      </c>
      <c r="AY440" s="201"/>
      <c r="AZ440" s="273" t="s">
        <v>1224</v>
      </c>
      <c r="BB440">
        <f>IFERROR(VLOOKUP(Tabela1[[#This Row],[Denominação]],[10]Planilha1!$A:$B,2,FALSE),"")</f>
        <v>25205.21</v>
      </c>
      <c r="BC440" s="219"/>
      <c r="BD440" s="219"/>
      <c r="BE440" s="219"/>
      <c r="BF440" s="219"/>
      <c r="BG440" s="219"/>
      <c r="BH440" s="219"/>
      <c r="BI440" s="219"/>
      <c r="BJ440" s="219"/>
      <c r="BK440" s="219"/>
      <c r="BL440" s="219"/>
    </row>
    <row r="441" spans="1:64" ht="15" hidden="1" customHeight="1" x14ac:dyDescent="0.3">
      <c r="A441" s="268">
        <v>440</v>
      </c>
      <c r="B441" s="255" t="s">
        <v>1851</v>
      </c>
      <c r="C441" s="211" t="s">
        <v>1719</v>
      </c>
      <c r="D441" s="201">
        <v>10006609</v>
      </c>
      <c r="E441" s="253" t="s">
        <v>1521</v>
      </c>
      <c r="F441" s="253">
        <v>4543</v>
      </c>
      <c r="G441" s="201">
        <v>51288</v>
      </c>
      <c r="H441" s="201">
        <v>2019</v>
      </c>
      <c r="I441" s="216">
        <v>194287.77</v>
      </c>
      <c r="J441" s="214">
        <v>126115</v>
      </c>
      <c r="K441" s="170">
        <v>21953.669999999995</v>
      </c>
      <c r="L441" s="207">
        <v>1.8</v>
      </c>
      <c r="M441" s="212">
        <v>4500</v>
      </c>
      <c r="N441" s="212">
        <v>34209</v>
      </c>
      <c r="O441" s="171">
        <v>36</v>
      </c>
      <c r="P441" s="271" t="str">
        <f>IFERROR(VLOOKUP(Tabela1[[#This Row],[TAG]],#REF!,14,FALSE),"")</f>
        <v/>
      </c>
      <c r="Q441" s="204" t="e">
        <f>P441+P441</f>
        <v>#VALUE!</v>
      </c>
      <c r="R441" s="204" t="e">
        <f t="shared" si="771"/>
        <v>#VALUE!</v>
      </c>
      <c r="S441" s="204" t="e">
        <f t="shared" si="772"/>
        <v>#VALUE!</v>
      </c>
      <c r="T441" s="204" t="e">
        <f t="shared" si="773"/>
        <v>#VALUE!</v>
      </c>
      <c r="U441" s="204" t="e">
        <f t="shared" si="774"/>
        <v>#VALUE!</v>
      </c>
      <c r="V441" s="204" t="e">
        <f t="shared" si="775"/>
        <v>#VALUE!</v>
      </c>
      <c r="W441" s="218">
        <v>510.63</v>
      </c>
      <c r="X441" s="218">
        <v>766.14</v>
      </c>
      <c r="Y441" s="203">
        <v>0.1</v>
      </c>
      <c r="Z441" s="203">
        <f>IF(Tabela1[[#This Row],[Ano Aquisição]]=2023,0,IFERROR(VLOOKUP(H441,inflação!$F:$H,3,FALSE),""))</f>
        <v>0.24679999999999999</v>
      </c>
      <c r="AA441" s="203">
        <v>0.8</v>
      </c>
      <c r="AB441" s="202">
        <f t="shared" si="759"/>
        <v>-194287.77</v>
      </c>
      <c r="AC441" s="204" t="e">
        <f>-(((P441*$W441)+($X441*12))*((1+$Y441)^AC$1))</f>
        <v>#VALUE!</v>
      </c>
      <c r="AD441" s="204" t="e">
        <f t="shared" ref="AD441" si="792">-((((Q441-P441)*$W441)+($X441*12))*((1+$Y441)^AD$1))</f>
        <v>#VALUE!</v>
      </c>
      <c r="AE441" s="204" t="e">
        <f t="shared" ref="AE441" si="793">-((((R441-Q441)*$W441)+($X441*12))*((1+$Y441)^AE$1))</f>
        <v>#VALUE!</v>
      </c>
      <c r="AF441" s="204" t="e">
        <f t="shared" ref="AF441" si="794">-((((S441-R441)*$W441)+($X441*12))*((1+$Y441)^AF$1))</f>
        <v>#VALUE!</v>
      </c>
      <c r="AG441" s="204" t="e">
        <f t="shared" ref="AG441" si="795">-((((T441-S441)*$W441)+($X441*12))*((1+$Y441)^AG$1))</f>
        <v>#VALUE!</v>
      </c>
      <c r="AH441" s="204" t="e">
        <f t="shared" ref="AH441" si="796">-((((U441-T441)*$W441)+($X441*12))*((1+$Y441)^AH$1))</f>
        <v>#VALUE!</v>
      </c>
      <c r="AI441" s="204" t="e">
        <f t="shared" ref="AI441" si="797">-((((V441-U441)*$W441)+($X441*12))*((1+$Y441)^AI$1))</f>
        <v>#VALUE!</v>
      </c>
      <c r="AJ441" s="205">
        <f t="shared" si="762"/>
        <v>-242237.99163599996</v>
      </c>
      <c r="AK441" s="204" t="e">
        <f t="shared" ref="AK441" si="798">AC441*(1-$AA441)</f>
        <v>#VALUE!</v>
      </c>
      <c r="AL441" s="204" t="e">
        <f t="shared" ref="AL441" si="799">AD441*(1-$AA441)</f>
        <v>#VALUE!</v>
      </c>
      <c r="AM441" s="204" t="e">
        <f t="shared" ref="AM441" si="800">AE441*(1-$AA441)</f>
        <v>#VALUE!</v>
      </c>
      <c r="AN441" s="204" t="e">
        <f t="shared" ref="AN441" si="801">AF441*(1-$AA441)</f>
        <v>#VALUE!</v>
      </c>
      <c r="AO441" s="204" t="e">
        <f t="shared" ref="AO441" si="802">AG441*(1-$AA441)</f>
        <v>#VALUE!</v>
      </c>
      <c r="AP441" s="204" t="e">
        <f t="shared" ref="AP441" si="803">AH441*(1-$AA441)</f>
        <v>#VALUE!</v>
      </c>
      <c r="AQ441" s="204" t="e">
        <f t="shared" ref="AQ441" si="804">AI441*(1-$AA441)</f>
        <v>#VALUE!</v>
      </c>
      <c r="AR441" s="206" t="e">
        <f t="shared" si="764"/>
        <v>#VALUE!</v>
      </c>
      <c r="AS441" s="170" t="e">
        <f>SUM(AC441:AI441)</f>
        <v>#VALUE!</v>
      </c>
      <c r="AT441" s="170" t="e">
        <f>SUM(AK441:AQ441)</f>
        <v>#VALUE!</v>
      </c>
      <c r="AU441" s="207" t="e">
        <f t="shared" si="767"/>
        <v>#VALUE!</v>
      </c>
      <c r="AV441" s="208" t="e">
        <f t="shared" si="768"/>
        <v>#VALUE!</v>
      </c>
      <c r="AW441" s="201" t="str">
        <f t="shared" si="769"/>
        <v>Fase de Degradação</v>
      </c>
      <c r="AX441" s="253" t="e">
        <f>VLOOKUP(D441,#REF!,5,FALSE)</f>
        <v>#REF!</v>
      </c>
      <c r="AY441" s="201"/>
      <c r="AZ441" s="273" t="s">
        <v>1224</v>
      </c>
      <c r="BB441">
        <f>IFERROR(VLOOKUP(Tabela1[[#This Row],[Denominação]],[10]Planilha1!$A:$B,2,FALSE),"")</f>
        <v>21953.669999999995</v>
      </c>
      <c r="BC441" s="219"/>
      <c r="BD441" s="219"/>
      <c r="BE441" s="219"/>
      <c r="BF441" s="219"/>
      <c r="BG441" s="219"/>
      <c r="BH441" s="219"/>
      <c r="BI441" s="219"/>
      <c r="BJ441" s="219"/>
      <c r="BK441" s="219"/>
      <c r="BL441" s="219"/>
    </row>
    <row r="442" spans="1:64" ht="15" hidden="1" customHeight="1" x14ac:dyDescent="0.3">
      <c r="A442" s="253">
        <v>441</v>
      </c>
      <c r="B442" s="201" t="s">
        <v>1080</v>
      </c>
      <c r="C442" s="211" t="s">
        <v>1081</v>
      </c>
      <c r="D442" s="201">
        <v>20004110</v>
      </c>
      <c r="E442" s="253" t="s">
        <v>1480</v>
      </c>
      <c r="F442" s="253">
        <v>1074</v>
      </c>
      <c r="G442" s="201">
        <v>2017</v>
      </c>
      <c r="H442" s="201">
        <v>2016</v>
      </c>
      <c r="I442" s="216">
        <v>99651.45</v>
      </c>
      <c r="J442" s="214">
        <v>48183</v>
      </c>
      <c r="K442" s="170">
        <v>4168.67</v>
      </c>
      <c r="L442" s="207">
        <v>2.11</v>
      </c>
      <c r="M442" s="212">
        <v>4116</v>
      </c>
      <c r="N442" s="212">
        <v>14410</v>
      </c>
      <c r="O442" s="171">
        <v>13</v>
      </c>
      <c r="P442" s="271" t="str">
        <f>IFERROR(VLOOKUP(Tabela1[[#This Row],[TAG]],#REF!,14,FALSE),"")</f>
        <v/>
      </c>
      <c r="Q442" s="204" t="e">
        <f t="shared" ref="Q442:Q447" si="805">P442+P442</f>
        <v>#VALUE!</v>
      </c>
      <c r="R442" s="204" t="e">
        <f t="shared" ref="R442:R447" si="806">Q442+P442</f>
        <v>#VALUE!</v>
      </c>
      <c r="S442" s="204" t="e">
        <f t="shared" ref="S442:S447" si="807">R442+P442</f>
        <v>#VALUE!</v>
      </c>
      <c r="T442" s="204" t="e">
        <f t="shared" ref="T442:T447" si="808">S442+P442</f>
        <v>#VALUE!</v>
      </c>
      <c r="U442" s="204" t="e">
        <f t="shared" ref="U442:U447" si="809">T442+P442</f>
        <v>#VALUE!</v>
      </c>
      <c r="V442" s="204" t="e">
        <f t="shared" ref="V442:V447" si="810">U442+P442</f>
        <v>#VALUE!</v>
      </c>
      <c r="W442" s="218">
        <v>688.76</v>
      </c>
      <c r="X442" s="170">
        <v>459.96</v>
      </c>
      <c r="Y442" s="203">
        <v>0.1</v>
      </c>
      <c r="Z442" s="203">
        <f>IF(Tabela1[[#This Row],[Ano Aquisição]]=2023,0,IFERROR(VLOOKUP(H442,inflação!$F:$H,3,FALSE),""))</f>
        <v>0.37669999999999998</v>
      </c>
      <c r="AA442" s="203">
        <v>0.8</v>
      </c>
      <c r="AB442" s="202">
        <f t="shared" si="759"/>
        <v>-99651.45</v>
      </c>
      <c r="AC442" s="204" t="e">
        <f t="shared" ref="AC442:AC447" si="811">-(((P442*$W442)+($X442*12))*((1+$Y442)^AC$1))</f>
        <v>#VALUE!</v>
      </c>
      <c r="AD442" s="204" t="e">
        <f t="shared" ref="AD442:AI447" si="812">-((((Q442-P442)*$W442)+($X442*12))*((1+$Y442)^AD$1))</f>
        <v>#VALUE!</v>
      </c>
      <c r="AE442" s="204" t="e">
        <f t="shared" si="812"/>
        <v>#VALUE!</v>
      </c>
      <c r="AF442" s="204" t="e">
        <f t="shared" si="812"/>
        <v>#VALUE!</v>
      </c>
      <c r="AG442" s="204" t="e">
        <f t="shared" si="812"/>
        <v>#VALUE!</v>
      </c>
      <c r="AH442" s="204" t="e">
        <f t="shared" si="812"/>
        <v>#VALUE!</v>
      </c>
      <c r="AI442" s="204" t="e">
        <f t="shared" si="812"/>
        <v>#VALUE!</v>
      </c>
      <c r="AJ442" s="205">
        <f t="shared" si="762"/>
        <v>-137190.15121499999</v>
      </c>
      <c r="AK442" s="204" t="e">
        <f t="shared" ref="AK442:AQ447" si="813">AC442*(1-$AA442)</f>
        <v>#VALUE!</v>
      </c>
      <c r="AL442" s="204" t="e">
        <f t="shared" si="813"/>
        <v>#VALUE!</v>
      </c>
      <c r="AM442" s="204" t="e">
        <f t="shared" si="813"/>
        <v>#VALUE!</v>
      </c>
      <c r="AN442" s="204" t="e">
        <f t="shared" si="813"/>
        <v>#VALUE!</v>
      </c>
      <c r="AO442" s="204" t="e">
        <f t="shared" si="813"/>
        <v>#VALUE!</v>
      </c>
      <c r="AP442" s="204" t="e">
        <f t="shared" si="813"/>
        <v>#VALUE!</v>
      </c>
      <c r="AQ442" s="204" t="e">
        <f t="shared" si="813"/>
        <v>#VALUE!</v>
      </c>
      <c r="AR442" s="206" t="e">
        <f t="shared" si="764"/>
        <v>#VALUE!</v>
      </c>
      <c r="AS442" s="170" t="e">
        <f t="shared" ref="AS442:AS447" si="814">SUM(AC442:AI442)</f>
        <v>#VALUE!</v>
      </c>
      <c r="AT442" s="170" t="e">
        <f t="shared" ref="AT442:AT447" si="815">SUM(AK442:AQ442)</f>
        <v>#VALUE!</v>
      </c>
      <c r="AU442" s="207" t="e">
        <f t="shared" si="767"/>
        <v>#VALUE!</v>
      </c>
      <c r="AV442" s="208" t="e">
        <f t="shared" si="768"/>
        <v>#VALUE!</v>
      </c>
      <c r="AW442" s="201" t="str">
        <f t="shared" si="769"/>
        <v>Fase de Degradação</v>
      </c>
      <c r="AX442" s="253" t="e">
        <f>VLOOKUP(D442,#REF!,5,FALSE)</f>
        <v>#REF!</v>
      </c>
      <c r="AY442" s="201"/>
      <c r="AZ442" s="273" t="s">
        <v>1224</v>
      </c>
      <c r="BB442">
        <f>IFERROR(VLOOKUP(Tabela1[[#This Row],[Denominação]],[10]Planilha1!$A:$B,2,FALSE),"")</f>
        <v>4168.67</v>
      </c>
      <c r="BC442" s="219"/>
      <c r="BD442" s="219"/>
      <c r="BE442" s="219"/>
      <c r="BF442" s="219"/>
      <c r="BG442" s="219"/>
      <c r="BH442" s="219"/>
      <c r="BI442" s="219"/>
      <c r="BJ442" s="219"/>
      <c r="BK442" s="219"/>
      <c r="BL442" s="219"/>
    </row>
    <row r="443" spans="1:64" ht="15" hidden="1" customHeight="1" x14ac:dyDescent="0.3">
      <c r="A443" s="268">
        <v>442</v>
      </c>
      <c r="B443" s="201" t="s">
        <v>1082</v>
      </c>
      <c r="C443" s="211" t="s">
        <v>1083</v>
      </c>
      <c r="D443" s="201">
        <v>10001671</v>
      </c>
      <c r="E443" s="253" t="s">
        <v>1481</v>
      </c>
      <c r="F443" s="253">
        <v>2533</v>
      </c>
      <c r="G443" s="201">
        <v>36093</v>
      </c>
      <c r="H443" s="201">
        <v>2008</v>
      </c>
      <c r="I443" s="216">
        <v>22393.59</v>
      </c>
      <c r="J443" s="214">
        <v>0</v>
      </c>
      <c r="K443" s="170">
        <v>241471.86000000019</v>
      </c>
      <c r="L443" s="207">
        <v>0.96</v>
      </c>
      <c r="M443" s="320">
        <v>4251.8483999999999</v>
      </c>
      <c r="N443" s="212">
        <v>198002</v>
      </c>
      <c r="O443" s="171">
        <v>350</v>
      </c>
      <c r="P443" s="271" t="str">
        <f>IFERROR(VLOOKUP(Tabela1[[#This Row],[TAG]],#REF!,14,FALSE),"")</f>
        <v/>
      </c>
      <c r="Q443" s="204" t="e">
        <f t="shared" si="805"/>
        <v>#VALUE!</v>
      </c>
      <c r="R443" s="204" t="e">
        <f t="shared" si="806"/>
        <v>#VALUE!</v>
      </c>
      <c r="S443" s="204" t="e">
        <f t="shared" si="807"/>
        <v>#VALUE!</v>
      </c>
      <c r="T443" s="204" t="e">
        <f t="shared" si="808"/>
        <v>#VALUE!</v>
      </c>
      <c r="U443" s="204" t="e">
        <f t="shared" si="809"/>
        <v>#VALUE!</v>
      </c>
      <c r="V443" s="204" t="e">
        <f t="shared" si="810"/>
        <v>#VALUE!</v>
      </c>
      <c r="W443" s="304">
        <v>664.68</v>
      </c>
      <c r="X443" s="304">
        <v>1687.51</v>
      </c>
      <c r="Y443" s="203">
        <v>0.1</v>
      </c>
      <c r="Z443" s="203">
        <f>IF(Tabela1[[#This Row],[Ano Aquisição]]=2023,0,IFERROR(VLOOKUP(H443,inflação!$F:$H,3,FALSE),""))</f>
        <v>0.89119999999999999</v>
      </c>
      <c r="AA443" s="203">
        <v>0.8</v>
      </c>
      <c r="AB443" s="202">
        <f t="shared" si="759"/>
        <v>-22393.59</v>
      </c>
      <c r="AC443" s="204" t="e">
        <f t="shared" si="811"/>
        <v>#VALUE!</v>
      </c>
      <c r="AD443" s="204" t="e">
        <f t="shared" si="812"/>
        <v>#VALUE!</v>
      </c>
      <c r="AE443" s="204" t="e">
        <f t="shared" si="812"/>
        <v>#VALUE!</v>
      </c>
      <c r="AF443" s="204" t="e">
        <f t="shared" si="812"/>
        <v>#VALUE!</v>
      </c>
      <c r="AG443" s="204" t="e">
        <f t="shared" si="812"/>
        <v>#VALUE!</v>
      </c>
      <c r="AH443" s="204" t="e">
        <f t="shared" si="812"/>
        <v>#VALUE!</v>
      </c>
      <c r="AI443" s="204" t="e">
        <f t="shared" si="812"/>
        <v>#VALUE!</v>
      </c>
      <c r="AJ443" s="205">
        <f t="shared" si="762"/>
        <v>-42350.757407999998</v>
      </c>
      <c r="AK443" s="204" t="e">
        <f t="shared" si="813"/>
        <v>#VALUE!</v>
      </c>
      <c r="AL443" s="204" t="e">
        <f t="shared" si="813"/>
        <v>#VALUE!</v>
      </c>
      <c r="AM443" s="204" t="e">
        <f t="shared" si="813"/>
        <v>#VALUE!</v>
      </c>
      <c r="AN443" s="204" t="e">
        <f t="shared" si="813"/>
        <v>#VALUE!</v>
      </c>
      <c r="AO443" s="204" t="e">
        <f t="shared" si="813"/>
        <v>#VALUE!</v>
      </c>
      <c r="AP443" s="204" t="e">
        <f t="shared" si="813"/>
        <v>#VALUE!</v>
      </c>
      <c r="AQ443" s="204" t="e">
        <f t="shared" si="813"/>
        <v>#VALUE!</v>
      </c>
      <c r="AR443" s="206" t="e">
        <f t="shared" si="764"/>
        <v>#VALUE!</v>
      </c>
      <c r="AS443" s="170" t="e">
        <f t="shared" si="814"/>
        <v>#VALUE!</v>
      </c>
      <c r="AT443" s="170" t="e">
        <f t="shared" si="815"/>
        <v>#VALUE!</v>
      </c>
      <c r="AU443" s="207" t="e">
        <f t="shared" si="767"/>
        <v>#VALUE!</v>
      </c>
      <c r="AV443" s="208" t="e">
        <f t="shared" si="768"/>
        <v>#VALUE!</v>
      </c>
      <c r="AW443" s="201" t="str">
        <f t="shared" si="769"/>
        <v>Confiabilidade em Crescimento</v>
      </c>
      <c r="AX443" s="253" t="e">
        <f>VLOOKUP(D443,#REF!,5,FALSE)</f>
        <v>#REF!</v>
      </c>
      <c r="AY443" s="201"/>
      <c r="AZ443" s="273" t="s">
        <v>1224</v>
      </c>
      <c r="BB443">
        <f>IFERROR(VLOOKUP(Tabela1[[#This Row],[Denominação]],[10]Planilha1!$A:$B,2,FALSE),"")</f>
        <v>241471.86000000019</v>
      </c>
      <c r="BC443" s="219"/>
      <c r="BD443" s="219"/>
      <c r="BE443" s="219"/>
      <c r="BF443" s="219"/>
      <c r="BG443" s="219"/>
      <c r="BH443" s="219"/>
      <c r="BI443" s="219"/>
      <c r="BJ443" s="219"/>
      <c r="BK443" s="219"/>
      <c r="BL443" s="219"/>
    </row>
    <row r="444" spans="1:64" ht="15" hidden="1" customHeight="1" x14ac:dyDescent="0.3">
      <c r="A444" s="253">
        <v>443</v>
      </c>
      <c r="B444" s="201" t="s">
        <v>1084</v>
      </c>
      <c r="C444" s="211" t="s">
        <v>1085</v>
      </c>
      <c r="D444" s="201">
        <v>10006299</v>
      </c>
      <c r="E444" s="253" t="s">
        <v>1482</v>
      </c>
      <c r="F444" s="253">
        <v>2526</v>
      </c>
      <c r="G444" s="201">
        <v>45293</v>
      </c>
      <c r="H444" s="201">
        <v>2014</v>
      </c>
      <c r="I444" s="216">
        <v>739802.62</v>
      </c>
      <c r="J444" s="214">
        <v>190124</v>
      </c>
      <c r="K444" s="170">
        <v>233523.63000000024</v>
      </c>
      <c r="L444" s="207">
        <v>1.02</v>
      </c>
      <c r="M444" s="320">
        <v>5406</v>
      </c>
      <c r="N444" s="212">
        <v>69617</v>
      </c>
      <c r="O444" s="171">
        <v>161</v>
      </c>
      <c r="P444" s="271" t="str">
        <f>IFERROR(VLOOKUP(Tabela1[[#This Row],[TAG]],#REF!,14,FALSE),"")</f>
        <v/>
      </c>
      <c r="Q444" s="204" t="e">
        <f t="shared" si="805"/>
        <v>#VALUE!</v>
      </c>
      <c r="R444" s="204" t="e">
        <f t="shared" si="806"/>
        <v>#VALUE!</v>
      </c>
      <c r="S444" s="204" t="e">
        <f t="shared" si="807"/>
        <v>#VALUE!</v>
      </c>
      <c r="T444" s="204" t="e">
        <f t="shared" si="808"/>
        <v>#VALUE!</v>
      </c>
      <c r="U444" s="204" t="e">
        <f t="shared" si="809"/>
        <v>#VALUE!</v>
      </c>
      <c r="V444" s="204" t="e">
        <f t="shared" si="810"/>
        <v>#VALUE!</v>
      </c>
      <c r="W444" s="304">
        <v>413.16</v>
      </c>
      <c r="X444" s="304">
        <v>1243</v>
      </c>
      <c r="Y444" s="203">
        <v>0.1</v>
      </c>
      <c r="Z444" s="203">
        <f>IF(Tabela1[[#This Row],[Ano Aquisição]]=2023,0,IFERROR(VLOOKUP(H444,inflação!$F:$H,3,FALSE),""))</f>
        <v>0.54749999999999999</v>
      </c>
      <c r="AA444" s="203">
        <v>0.8</v>
      </c>
      <c r="AB444" s="202">
        <f t="shared" si="759"/>
        <v>-739802.62</v>
      </c>
      <c r="AC444" s="204" t="e">
        <f t="shared" si="811"/>
        <v>#VALUE!</v>
      </c>
      <c r="AD444" s="204" t="e">
        <f t="shared" si="812"/>
        <v>#VALUE!</v>
      </c>
      <c r="AE444" s="204" t="e">
        <f t="shared" si="812"/>
        <v>#VALUE!</v>
      </c>
      <c r="AF444" s="204" t="e">
        <f t="shared" si="812"/>
        <v>#VALUE!</v>
      </c>
      <c r="AG444" s="204" t="e">
        <f t="shared" si="812"/>
        <v>#VALUE!</v>
      </c>
      <c r="AH444" s="204" t="e">
        <f t="shared" si="812"/>
        <v>#VALUE!</v>
      </c>
      <c r="AI444" s="204" t="e">
        <f t="shared" si="812"/>
        <v>#VALUE!</v>
      </c>
      <c r="AJ444" s="205">
        <f t="shared" si="762"/>
        <v>-1144844.5544499999</v>
      </c>
      <c r="AK444" s="204" t="e">
        <f t="shared" si="813"/>
        <v>#VALUE!</v>
      </c>
      <c r="AL444" s="204" t="e">
        <f t="shared" si="813"/>
        <v>#VALUE!</v>
      </c>
      <c r="AM444" s="204" t="e">
        <f t="shared" si="813"/>
        <v>#VALUE!</v>
      </c>
      <c r="AN444" s="204" t="e">
        <f t="shared" si="813"/>
        <v>#VALUE!</v>
      </c>
      <c r="AO444" s="204" t="e">
        <f t="shared" si="813"/>
        <v>#VALUE!</v>
      </c>
      <c r="AP444" s="204" t="e">
        <f t="shared" si="813"/>
        <v>#VALUE!</v>
      </c>
      <c r="AQ444" s="204" t="e">
        <f t="shared" si="813"/>
        <v>#VALUE!</v>
      </c>
      <c r="AR444" s="206" t="e">
        <f t="shared" si="764"/>
        <v>#VALUE!</v>
      </c>
      <c r="AS444" s="170" t="e">
        <f t="shared" si="814"/>
        <v>#VALUE!</v>
      </c>
      <c r="AT444" s="170" t="e">
        <f t="shared" si="815"/>
        <v>#VALUE!</v>
      </c>
      <c r="AU444" s="207" t="e">
        <f t="shared" si="767"/>
        <v>#VALUE!</v>
      </c>
      <c r="AV444" s="208" t="e">
        <f t="shared" si="768"/>
        <v>#VALUE!</v>
      </c>
      <c r="AW444" s="201" t="str">
        <f t="shared" si="769"/>
        <v>Fase de Vida Útil</v>
      </c>
      <c r="AX444" s="253" t="e">
        <f>VLOOKUP(D444,#REF!,5,FALSE)</f>
        <v>#REF!</v>
      </c>
      <c r="AY444" s="201"/>
      <c r="AZ444" s="273" t="s">
        <v>1224</v>
      </c>
      <c r="BB444">
        <f>IFERROR(VLOOKUP(Tabela1[[#This Row],[Denominação]],[10]Planilha1!$A:$B,2,FALSE),"")</f>
        <v>233523.63000000024</v>
      </c>
      <c r="BC444" s="219"/>
      <c r="BD444" s="219"/>
      <c r="BE444" s="219"/>
      <c r="BF444" s="219"/>
      <c r="BG444" s="219"/>
      <c r="BH444" s="219"/>
      <c r="BI444" s="219"/>
      <c r="BJ444" s="219"/>
      <c r="BK444" s="219"/>
      <c r="BL444" s="219"/>
    </row>
    <row r="445" spans="1:64" ht="15" hidden="1" customHeight="1" x14ac:dyDescent="0.3">
      <c r="A445" s="268">
        <v>444</v>
      </c>
      <c r="B445" s="201" t="s">
        <v>1086</v>
      </c>
      <c r="C445" s="211" t="s">
        <v>1087</v>
      </c>
      <c r="D445" s="201">
        <v>10005822</v>
      </c>
      <c r="E445" s="253" t="s">
        <v>1483</v>
      </c>
      <c r="F445" s="253">
        <v>4563</v>
      </c>
      <c r="G445" s="171">
        <v>42717</v>
      </c>
      <c r="H445" s="201">
        <v>2012</v>
      </c>
      <c r="I445" s="216">
        <v>747033.24</v>
      </c>
      <c r="J445" s="214">
        <v>265075</v>
      </c>
      <c r="K445" s="170">
        <v>151557.24999999983</v>
      </c>
      <c r="L445" s="207">
        <v>1.43</v>
      </c>
      <c r="M445" s="212">
        <v>3867</v>
      </c>
      <c r="N445" s="212">
        <v>105791</v>
      </c>
      <c r="O445" s="171">
        <v>390</v>
      </c>
      <c r="P445" s="271" t="str">
        <f>IFERROR(VLOOKUP(Tabela1[[#This Row],[TAG]],#REF!,14,FALSE),"")</f>
        <v/>
      </c>
      <c r="Q445" s="204" t="e">
        <f t="shared" si="805"/>
        <v>#VALUE!</v>
      </c>
      <c r="R445" s="204" t="e">
        <f t="shared" si="806"/>
        <v>#VALUE!</v>
      </c>
      <c r="S445" s="204" t="e">
        <f t="shared" si="807"/>
        <v>#VALUE!</v>
      </c>
      <c r="T445" s="204" t="e">
        <f t="shared" si="808"/>
        <v>#VALUE!</v>
      </c>
      <c r="U445" s="204" t="e">
        <f t="shared" si="809"/>
        <v>#VALUE!</v>
      </c>
      <c r="V445" s="204" t="e">
        <f t="shared" si="810"/>
        <v>#VALUE!</v>
      </c>
      <c r="W445" s="218">
        <v>351.94</v>
      </c>
      <c r="X445" s="218">
        <v>969.65</v>
      </c>
      <c r="Y445" s="203">
        <v>0.1</v>
      </c>
      <c r="Z445" s="203">
        <f>IF(Tabela1[[#This Row],[Ano Aquisição]]=2023,0,IFERROR(VLOOKUP(H445,inflação!$F:$H,3,FALSE),""))</f>
        <v>0.66500000000000004</v>
      </c>
      <c r="AA445" s="203">
        <v>0.8</v>
      </c>
      <c r="AB445" s="202">
        <f t="shared" si="759"/>
        <v>-747033.24</v>
      </c>
      <c r="AC445" s="204" t="e">
        <f t="shared" si="811"/>
        <v>#VALUE!</v>
      </c>
      <c r="AD445" s="204" t="e">
        <f t="shared" si="812"/>
        <v>#VALUE!</v>
      </c>
      <c r="AE445" s="204" t="e">
        <f t="shared" si="812"/>
        <v>#VALUE!</v>
      </c>
      <c r="AF445" s="204" t="e">
        <f t="shared" si="812"/>
        <v>#VALUE!</v>
      </c>
      <c r="AG445" s="204" t="e">
        <f t="shared" si="812"/>
        <v>#VALUE!</v>
      </c>
      <c r="AH445" s="204" t="e">
        <f t="shared" si="812"/>
        <v>#VALUE!</v>
      </c>
      <c r="AI445" s="204" t="e">
        <f t="shared" si="812"/>
        <v>#VALUE!</v>
      </c>
      <c r="AJ445" s="205">
        <f t="shared" si="762"/>
        <v>-1243810.3446</v>
      </c>
      <c r="AK445" s="204" t="e">
        <f t="shared" si="813"/>
        <v>#VALUE!</v>
      </c>
      <c r="AL445" s="204" t="e">
        <f t="shared" si="813"/>
        <v>#VALUE!</v>
      </c>
      <c r="AM445" s="204" t="e">
        <f t="shared" si="813"/>
        <v>#VALUE!</v>
      </c>
      <c r="AN445" s="204" t="e">
        <f t="shared" si="813"/>
        <v>#VALUE!</v>
      </c>
      <c r="AO445" s="204" t="e">
        <f t="shared" si="813"/>
        <v>#VALUE!</v>
      </c>
      <c r="AP445" s="204" t="e">
        <f t="shared" si="813"/>
        <v>#VALUE!</v>
      </c>
      <c r="AQ445" s="204" t="e">
        <f t="shared" si="813"/>
        <v>#VALUE!</v>
      </c>
      <c r="AR445" s="206" t="e">
        <f t="shared" si="764"/>
        <v>#VALUE!</v>
      </c>
      <c r="AS445" s="170" t="e">
        <f t="shared" si="814"/>
        <v>#VALUE!</v>
      </c>
      <c r="AT445" s="170" t="e">
        <f t="shared" si="815"/>
        <v>#VALUE!</v>
      </c>
      <c r="AU445" s="207" t="e">
        <f t="shared" si="767"/>
        <v>#VALUE!</v>
      </c>
      <c r="AV445" s="208" t="e">
        <f t="shared" si="768"/>
        <v>#VALUE!</v>
      </c>
      <c r="AW445" s="201" t="str">
        <f t="shared" si="769"/>
        <v>Fase de Degradação</v>
      </c>
      <c r="AX445" s="253" t="e">
        <f>VLOOKUP(D445,#REF!,5,FALSE)</f>
        <v>#REF!</v>
      </c>
      <c r="AY445" s="201"/>
      <c r="AZ445" s="273" t="s">
        <v>1224</v>
      </c>
      <c r="BB445">
        <f>IFERROR(VLOOKUP(Tabela1[[#This Row],[Denominação]],[10]Planilha1!$A:$B,2,FALSE),"")</f>
        <v>151557.24999999983</v>
      </c>
      <c r="BC445" s="219"/>
      <c r="BD445" s="219"/>
      <c r="BE445" s="219"/>
      <c r="BF445" s="219"/>
      <c r="BG445" s="219"/>
      <c r="BH445" s="219"/>
      <c r="BI445" s="219"/>
      <c r="BJ445" s="219"/>
      <c r="BK445" s="219"/>
      <c r="BL445" s="219"/>
    </row>
    <row r="446" spans="1:64" ht="15" hidden="1" customHeight="1" x14ac:dyDescent="0.3">
      <c r="A446" s="253">
        <v>445</v>
      </c>
      <c r="B446" s="201" t="s">
        <v>1088</v>
      </c>
      <c r="C446" s="211" t="s">
        <v>1089</v>
      </c>
      <c r="D446" s="201">
        <v>10005702</v>
      </c>
      <c r="E446" s="253" t="s">
        <v>1484</v>
      </c>
      <c r="F446" s="253">
        <v>4563</v>
      </c>
      <c r="G446" s="201">
        <v>36438</v>
      </c>
      <c r="H446" s="201">
        <v>2009</v>
      </c>
      <c r="I446" s="216">
        <v>448914.03</v>
      </c>
      <c r="J446" s="214">
        <v>324</v>
      </c>
      <c r="K446" s="170">
        <v>165851.47999999975</v>
      </c>
      <c r="L446" s="207">
        <v>1.44</v>
      </c>
      <c r="M446" s="212">
        <v>4099</v>
      </c>
      <c r="N446" s="212">
        <v>106391</v>
      </c>
      <c r="O446" s="171">
        <v>438</v>
      </c>
      <c r="P446" s="271" t="str">
        <f>IFERROR(VLOOKUP(Tabela1[[#This Row],[TAG]],#REF!,14,FALSE),"")</f>
        <v/>
      </c>
      <c r="Q446" s="204" t="e">
        <f t="shared" si="805"/>
        <v>#VALUE!</v>
      </c>
      <c r="R446" s="204" t="e">
        <f t="shared" si="806"/>
        <v>#VALUE!</v>
      </c>
      <c r="S446" s="204" t="e">
        <f t="shared" si="807"/>
        <v>#VALUE!</v>
      </c>
      <c r="T446" s="204" t="e">
        <f t="shared" si="808"/>
        <v>#VALUE!</v>
      </c>
      <c r="U446" s="204" t="e">
        <f t="shared" si="809"/>
        <v>#VALUE!</v>
      </c>
      <c r="V446" s="204" t="e">
        <f t="shared" si="810"/>
        <v>#VALUE!</v>
      </c>
      <c r="W446" s="218">
        <v>313.74</v>
      </c>
      <c r="X446" s="218">
        <v>795.43</v>
      </c>
      <c r="Y446" s="203">
        <v>0.1</v>
      </c>
      <c r="Z446" s="203">
        <f>IF(Tabela1[[#This Row],[Ano Aquisição]]=2023,0,IFERROR(VLOOKUP(H446,inflação!$F:$H,3,FALSE),""))</f>
        <v>0.83220000000000005</v>
      </c>
      <c r="AA446" s="203">
        <v>0.8</v>
      </c>
      <c r="AB446" s="202">
        <f t="shared" si="759"/>
        <v>-448914.03</v>
      </c>
      <c r="AC446" s="204" t="e">
        <f t="shared" si="811"/>
        <v>#VALUE!</v>
      </c>
      <c r="AD446" s="204" t="e">
        <f t="shared" si="812"/>
        <v>#VALUE!</v>
      </c>
      <c r="AE446" s="204" t="e">
        <f t="shared" si="812"/>
        <v>#VALUE!</v>
      </c>
      <c r="AF446" s="204" t="e">
        <f t="shared" si="812"/>
        <v>#VALUE!</v>
      </c>
      <c r="AG446" s="204" t="e">
        <f t="shared" si="812"/>
        <v>#VALUE!</v>
      </c>
      <c r="AH446" s="204" t="e">
        <f t="shared" si="812"/>
        <v>#VALUE!</v>
      </c>
      <c r="AI446" s="204" t="e">
        <f t="shared" si="812"/>
        <v>#VALUE!</v>
      </c>
      <c r="AJ446" s="205">
        <f t="shared" si="762"/>
        <v>-822500.28576600004</v>
      </c>
      <c r="AK446" s="204" t="e">
        <f t="shared" si="813"/>
        <v>#VALUE!</v>
      </c>
      <c r="AL446" s="204" t="e">
        <f t="shared" si="813"/>
        <v>#VALUE!</v>
      </c>
      <c r="AM446" s="204" t="e">
        <f t="shared" si="813"/>
        <v>#VALUE!</v>
      </c>
      <c r="AN446" s="204" t="e">
        <f t="shared" si="813"/>
        <v>#VALUE!</v>
      </c>
      <c r="AO446" s="204" t="e">
        <f t="shared" si="813"/>
        <v>#VALUE!</v>
      </c>
      <c r="AP446" s="204" t="e">
        <f t="shared" si="813"/>
        <v>#VALUE!</v>
      </c>
      <c r="AQ446" s="204" t="e">
        <f t="shared" si="813"/>
        <v>#VALUE!</v>
      </c>
      <c r="AR446" s="206" t="e">
        <f t="shared" si="764"/>
        <v>#VALUE!</v>
      </c>
      <c r="AS446" s="170" t="e">
        <f t="shared" si="814"/>
        <v>#VALUE!</v>
      </c>
      <c r="AT446" s="170" t="e">
        <f t="shared" si="815"/>
        <v>#VALUE!</v>
      </c>
      <c r="AU446" s="207" t="e">
        <f t="shared" si="767"/>
        <v>#VALUE!</v>
      </c>
      <c r="AV446" s="208" t="e">
        <f t="shared" si="768"/>
        <v>#VALUE!</v>
      </c>
      <c r="AW446" s="201" t="str">
        <f t="shared" si="769"/>
        <v>Fase de Degradação</v>
      </c>
      <c r="AX446" s="253" t="e">
        <f>VLOOKUP(D446,#REF!,5,FALSE)</f>
        <v>#REF!</v>
      </c>
      <c r="AY446" s="201"/>
      <c r="AZ446" s="273" t="s">
        <v>1224</v>
      </c>
      <c r="BB446">
        <f>IFERROR(VLOOKUP(Tabela1[[#This Row],[Denominação]],[10]Planilha1!$A:$B,2,FALSE),"")</f>
        <v>165851.47999999975</v>
      </c>
      <c r="BC446" s="219"/>
      <c r="BD446" s="219"/>
      <c r="BE446" s="219"/>
      <c r="BF446" s="219"/>
      <c r="BG446" s="219"/>
      <c r="BH446" s="219"/>
      <c r="BI446" s="219"/>
      <c r="BJ446" s="219"/>
      <c r="BK446" s="219"/>
      <c r="BL446" s="219"/>
    </row>
    <row r="447" spans="1:64" ht="15" hidden="1" customHeight="1" x14ac:dyDescent="0.3">
      <c r="A447" s="268">
        <v>446</v>
      </c>
      <c r="B447" s="201" t="s">
        <v>1090</v>
      </c>
      <c r="C447" s="211" t="s">
        <v>1091</v>
      </c>
      <c r="D447" s="201">
        <v>10006168</v>
      </c>
      <c r="E447" s="253" t="s">
        <v>1274</v>
      </c>
      <c r="F447" s="253">
        <v>4026</v>
      </c>
      <c r="G447" s="201">
        <v>44516</v>
      </c>
      <c r="H447" s="201">
        <v>2014</v>
      </c>
      <c r="I447" s="216">
        <v>301618.11</v>
      </c>
      <c r="J447" s="214">
        <v>67707</v>
      </c>
      <c r="K447" s="170">
        <v>48544.19000000001</v>
      </c>
      <c r="L447" s="207">
        <v>0.77</v>
      </c>
      <c r="M447" s="212">
        <v>2994</v>
      </c>
      <c r="N447" s="212">
        <v>75948</v>
      </c>
      <c r="O447" s="171">
        <v>39</v>
      </c>
      <c r="P447" s="271" t="str">
        <f>IFERROR(VLOOKUP(Tabela1[[#This Row],[TAG]],#REF!,14,FALSE),"")</f>
        <v/>
      </c>
      <c r="Q447" s="204" t="e">
        <f t="shared" si="805"/>
        <v>#VALUE!</v>
      </c>
      <c r="R447" s="204" t="e">
        <f t="shared" si="806"/>
        <v>#VALUE!</v>
      </c>
      <c r="S447" s="204" t="e">
        <f t="shared" si="807"/>
        <v>#VALUE!</v>
      </c>
      <c r="T447" s="204" t="e">
        <f t="shared" si="808"/>
        <v>#VALUE!</v>
      </c>
      <c r="U447" s="204" t="e">
        <f t="shared" si="809"/>
        <v>#VALUE!</v>
      </c>
      <c r="V447" s="204" t="e">
        <f t="shared" si="810"/>
        <v>#VALUE!</v>
      </c>
      <c r="W447" s="218">
        <v>250.37</v>
      </c>
      <c r="X447" s="218">
        <v>481.11</v>
      </c>
      <c r="Y447" s="203">
        <v>0.1</v>
      </c>
      <c r="Z447" s="203">
        <f>IF(Tabela1[[#This Row],[Ano Aquisição]]=2023,0,IFERROR(VLOOKUP(H447,inflação!$F:$H,3,FALSE),""))</f>
        <v>0.54749999999999999</v>
      </c>
      <c r="AA447" s="203">
        <v>0.8</v>
      </c>
      <c r="AB447" s="202">
        <f t="shared" si="759"/>
        <v>-301618.11</v>
      </c>
      <c r="AC447" s="204" t="e">
        <f t="shared" si="811"/>
        <v>#VALUE!</v>
      </c>
      <c r="AD447" s="204" t="e">
        <f t="shared" si="812"/>
        <v>#VALUE!</v>
      </c>
      <c r="AE447" s="204" t="e">
        <f t="shared" si="812"/>
        <v>#VALUE!</v>
      </c>
      <c r="AF447" s="204" t="e">
        <f t="shared" si="812"/>
        <v>#VALUE!</v>
      </c>
      <c r="AG447" s="204" t="e">
        <f t="shared" si="812"/>
        <v>#VALUE!</v>
      </c>
      <c r="AH447" s="204" t="e">
        <f t="shared" si="812"/>
        <v>#VALUE!</v>
      </c>
      <c r="AI447" s="204" t="e">
        <f t="shared" si="812"/>
        <v>#VALUE!</v>
      </c>
      <c r="AJ447" s="205">
        <f t="shared" si="762"/>
        <v>-466754.02522499993</v>
      </c>
      <c r="AK447" s="204" t="e">
        <f t="shared" si="813"/>
        <v>#VALUE!</v>
      </c>
      <c r="AL447" s="204" t="e">
        <f t="shared" si="813"/>
        <v>#VALUE!</v>
      </c>
      <c r="AM447" s="204" t="e">
        <f t="shared" si="813"/>
        <v>#VALUE!</v>
      </c>
      <c r="AN447" s="204" t="e">
        <f t="shared" si="813"/>
        <v>#VALUE!</v>
      </c>
      <c r="AO447" s="204" t="e">
        <f t="shared" si="813"/>
        <v>#VALUE!</v>
      </c>
      <c r="AP447" s="204" t="e">
        <f t="shared" si="813"/>
        <v>#VALUE!</v>
      </c>
      <c r="AQ447" s="204" t="e">
        <f t="shared" si="813"/>
        <v>#VALUE!</v>
      </c>
      <c r="AR447" s="206" t="e">
        <f t="shared" si="764"/>
        <v>#VALUE!</v>
      </c>
      <c r="AS447" s="170" t="e">
        <f t="shared" si="814"/>
        <v>#VALUE!</v>
      </c>
      <c r="AT447" s="170" t="e">
        <f t="shared" si="815"/>
        <v>#VALUE!</v>
      </c>
      <c r="AU447" s="207" t="e">
        <f t="shared" si="767"/>
        <v>#VALUE!</v>
      </c>
      <c r="AV447" s="208" t="e">
        <f t="shared" si="768"/>
        <v>#VALUE!</v>
      </c>
      <c r="AW447" s="201" t="str">
        <f t="shared" si="769"/>
        <v>Confiabilidade em Crescimento</v>
      </c>
      <c r="AX447" s="253" t="e">
        <f>VLOOKUP(D447,#REF!,5,FALSE)</f>
        <v>#REF!</v>
      </c>
      <c r="AY447" s="201"/>
      <c r="AZ447" s="273" t="s">
        <v>1224</v>
      </c>
      <c r="BB447">
        <f>IFERROR(VLOOKUP(Tabela1[[#This Row],[Denominação]],[10]Planilha1!$A:$B,2,FALSE),"")</f>
        <v>48544.19000000001</v>
      </c>
      <c r="BC447" s="219"/>
      <c r="BD447" s="219"/>
      <c r="BE447" s="219"/>
      <c r="BF447" s="219"/>
      <c r="BG447" s="219"/>
      <c r="BH447" s="219"/>
      <c r="BI447" s="219"/>
      <c r="BJ447" s="219"/>
      <c r="BK447" s="219"/>
      <c r="BL447" s="219"/>
    </row>
    <row r="448" spans="1:64" ht="15" hidden="1" customHeight="1" x14ac:dyDescent="0.3">
      <c r="A448" s="253">
        <v>447</v>
      </c>
      <c r="B448" s="255" t="s">
        <v>1852</v>
      </c>
      <c r="C448" s="211" t="s">
        <v>1721</v>
      </c>
      <c r="D448" s="201">
        <v>20001348</v>
      </c>
      <c r="E448" s="253" t="s">
        <v>1273</v>
      </c>
      <c r="F448" s="253">
        <v>4022</v>
      </c>
      <c r="G448" s="201">
        <v>46408</v>
      </c>
      <c r="H448" s="201">
        <v>2015</v>
      </c>
      <c r="I448" s="216">
        <v>283691.59000000003</v>
      </c>
      <c r="J448" s="214">
        <v>93715</v>
      </c>
      <c r="K448" s="170">
        <v>37454.39</v>
      </c>
      <c r="L448" s="207">
        <v>0.79</v>
      </c>
      <c r="M448" s="212">
        <v>2753</v>
      </c>
      <c r="N448" s="212">
        <v>83553</v>
      </c>
      <c r="O448" s="171">
        <v>61</v>
      </c>
      <c r="P448" s="271" t="str">
        <f>IFERROR(VLOOKUP(Tabela1[[#This Row],[TAG]],#REF!,14,FALSE),"")</f>
        <v/>
      </c>
      <c r="Q448" s="204" t="e">
        <f t="shared" ref="Q448" si="816">P448+P448</f>
        <v>#VALUE!</v>
      </c>
      <c r="R448" s="204" t="e">
        <f t="shared" ref="R448" si="817">Q448+P448</f>
        <v>#VALUE!</v>
      </c>
      <c r="S448" s="204" t="e">
        <f t="shared" ref="S448" si="818">R448+P448</f>
        <v>#VALUE!</v>
      </c>
      <c r="T448" s="204" t="e">
        <f t="shared" ref="T448" si="819">S448+P448</f>
        <v>#VALUE!</v>
      </c>
      <c r="U448" s="204" t="e">
        <f t="shared" ref="U448" si="820">T448+P448</f>
        <v>#VALUE!</v>
      </c>
      <c r="V448" s="204" t="e">
        <f t="shared" ref="V448" si="821">U448+P448</f>
        <v>#VALUE!</v>
      </c>
      <c r="W448" s="218">
        <v>263.61</v>
      </c>
      <c r="X448" s="218">
        <v>265.99</v>
      </c>
      <c r="Y448" s="203">
        <v>0.1</v>
      </c>
      <c r="Z448" s="203">
        <f>IF(Tabela1[[#This Row],[Ano Aquisição]]=2023,0,IFERROR(VLOOKUP(H448,inflação!$F:$H,3,FALSE),""))</f>
        <v>0.4834</v>
      </c>
      <c r="AA448" s="203">
        <v>0.8</v>
      </c>
      <c r="AB448" s="202">
        <f t="shared" si="759"/>
        <v>-283691.59000000003</v>
      </c>
      <c r="AC448" s="204" t="e">
        <f t="shared" ref="AC448" si="822">-(((P448*$W448)+($X448*12))*((1+$Y448)^AC$1))</f>
        <v>#VALUE!</v>
      </c>
      <c r="AD448" s="204" t="e">
        <f t="shared" ref="AD448" si="823">-((((Q448-P448)*$W448)+($X448*12))*((1+$Y448)^AD$1))</f>
        <v>#VALUE!</v>
      </c>
      <c r="AE448" s="204" t="e">
        <f t="shared" ref="AE448" si="824">-((((R448-Q448)*$W448)+($X448*12))*((1+$Y448)^AE$1))</f>
        <v>#VALUE!</v>
      </c>
      <c r="AF448" s="204" t="e">
        <f t="shared" ref="AF448" si="825">-((((S448-R448)*$W448)+($X448*12))*((1+$Y448)^AF$1))</f>
        <v>#VALUE!</v>
      </c>
      <c r="AG448" s="204" t="e">
        <f t="shared" ref="AG448" si="826">-((((T448-S448)*$W448)+($X448*12))*((1+$Y448)^AG$1))</f>
        <v>#VALUE!</v>
      </c>
      <c r="AH448" s="204" t="e">
        <f t="shared" ref="AH448" si="827">-((((U448-T448)*$W448)+($X448*12))*((1+$Y448)^AH$1))</f>
        <v>#VALUE!</v>
      </c>
      <c r="AI448" s="204" t="e">
        <f t="shared" ref="AI448" si="828">-((((V448-U448)*$W448)+($X448*12))*((1+$Y448)^AI$1))</f>
        <v>#VALUE!</v>
      </c>
      <c r="AJ448" s="205">
        <f t="shared" si="762"/>
        <v>-420828.10460600007</v>
      </c>
      <c r="AK448" s="204" t="e">
        <f t="shared" ref="AK448" si="829">AC448*(1-$AA448)</f>
        <v>#VALUE!</v>
      </c>
      <c r="AL448" s="204" t="e">
        <f t="shared" ref="AL448" si="830">AD448*(1-$AA448)</f>
        <v>#VALUE!</v>
      </c>
      <c r="AM448" s="204" t="e">
        <f t="shared" ref="AM448" si="831">AE448*(1-$AA448)</f>
        <v>#VALUE!</v>
      </c>
      <c r="AN448" s="204" t="e">
        <f t="shared" ref="AN448" si="832">AF448*(1-$AA448)</f>
        <v>#VALUE!</v>
      </c>
      <c r="AO448" s="204" t="e">
        <f t="shared" ref="AO448" si="833">AG448*(1-$AA448)</f>
        <v>#VALUE!</v>
      </c>
      <c r="AP448" s="204" t="e">
        <f t="shared" ref="AP448" si="834">AH448*(1-$AA448)</f>
        <v>#VALUE!</v>
      </c>
      <c r="AQ448" s="204" t="e">
        <f t="shared" ref="AQ448" si="835">AI448*(1-$AA448)</f>
        <v>#VALUE!</v>
      </c>
      <c r="AR448" s="206" t="e">
        <f t="shared" si="764"/>
        <v>#VALUE!</v>
      </c>
      <c r="AS448" s="170" t="e">
        <f t="shared" ref="AS448" si="836">SUM(AC448:AI448)</f>
        <v>#VALUE!</v>
      </c>
      <c r="AT448" s="170" t="e">
        <f t="shared" ref="AT448" si="837">SUM(AK448:AQ448)</f>
        <v>#VALUE!</v>
      </c>
      <c r="AU448" s="207" t="e">
        <f t="shared" si="767"/>
        <v>#VALUE!</v>
      </c>
      <c r="AV448" s="208" t="e">
        <f t="shared" si="768"/>
        <v>#VALUE!</v>
      </c>
      <c r="AW448" s="201" t="str">
        <f t="shared" si="769"/>
        <v>Confiabilidade em Crescimento</v>
      </c>
      <c r="AX448" s="253" t="e">
        <f>VLOOKUP(D448,#REF!,5,FALSE)</f>
        <v>#REF!</v>
      </c>
      <c r="AY448" s="201"/>
      <c r="AZ448" s="273" t="s">
        <v>1224</v>
      </c>
      <c r="BB448">
        <f>IFERROR(VLOOKUP(Tabela1[[#This Row],[Denominação]],[10]Planilha1!$A:$B,2,FALSE),"")</f>
        <v>37454.39</v>
      </c>
      <c r="BC448" s="219"/>
      <c r="BD448" s="219"/>
      <c r="BE448" s="219"/>
      <c r="BF448" s="219"/>
      <c r="BG448" s="219"/>
      <c r="BH448" s="219"/>
      <c r="BI448" s="219"/>
      <c r="BJ448" s="219"/>
      <c r="BK448" s="219"/>
      <c r="BL448" s="219"/>
    </row>
    <row r="449" spans="1:64" ht="15" hidden="1" customHeight="1" x14ac:dyDescent="0.3">
      <c r="A449" s="268">
        <v>448</v>
      </c>
      <c r="B449" s="201" t="s">
        <v>1092</v>
      </c>
      <c r="C449" s="211" t="s">
        <v>1093</v>
      </c>
      <c r="D449" s="201">
        <v>10006081</v>
      </c>
      <c r="E449" s="253" t="s">
        <v>1485</v>
      </c>
      <c r="F449" s="253">
        <v>4566</v>
      </c>
      <c r="G449" s="201">
        <v>41686</v>
      </c>
      <c r="H449" s="201">
        <v>2012</v>
      </c>
      <c r="I449" s="216">
        <v>117303.93</v>
      </c>
      <c r="J449" s="214">
        <v>8178</v>
      </c>
      <c r="K449" s="170">
        <v>236432.75999999963</v>
      </c>
      <c r="L449" s="207">
        <v>1.19</v>
      </c>
      <c r="M449" s="212">
        <v>4099</v>
      </c>
      <c r="N449" s="212">
        <v>93637</v>
      </c>
      <c r="O449" s="171">
        <v>402</v>
      </c>
      <c r="P449" s="271" t="str">
        <f>IFERROR(VLOOKUP(Tabela1[[#This Row],[TAG]],#REF!,14,FALSE),"")</f>
        <v/>
      </c>
      <c r="Q449" s="204" t="e">
        <f t="shared" ref="Q449:Q459" si="838">P449+P449</f>
        <v>#VALUE!</v>
      </c>
      <c r="R449" s="204" t="e">
        <f t="shared" ref="R449:R459" si="839">Q449+P449</f>
        <v>#VALUE!</v>
      </c>
      <c r="S449" s="204" t="e">
        <f t="shared" ref="S449:S459" si="840">R449+P449</f>
        <v>#VALUE!</v>
      </c>
      <c r="T449" s="204" t="e">
        <f t="shared" ref="T449:T459" si="841">S449+P449</f>
        <v>#VALUE!</v>
      </c>
      <c r="U449" s="204" t="e">
        <f t="shared" ref="U449:U459" si="842">T449+P449</f>
        <v>#VALUE!</v>
      </c>
      <c r="V449" s="204" t="e">
        <f t="shared" ref="V449:V459" si="843">U449+P449</f>
        <v>#VALUE!</v>
      </c>
      <c r="W449" s="218">
        <v>350.8</v>
      </c>
      <c r="X449" s="218">
        <v>882.54</v>
      </c>
      <c r="Y449" s="203">
        <v>0.1</v>
      </c>
      <c r="Z449" s="203">
        <f>IF(Tabela1[[#This Row],[Ano Aquisição]]=2023,0,IFERROR(VLOOKUP(H449,inflação!$F:$H,3,FALSE),""))</f>
        <v>0.66500000000000004</v>
      </c>
      <c r="AA449" s="203">
        <v>0.8</v>
      </c>
      <c r="AB449" s="202">
        <f t="shared" si="759"/>
        <v>-117303.93</v>
      </c>
      <c r="AC449" s="204" t="e">
        <f t="shared" ref="AC449:AC458" si="844">-(((P449*$W449)+($X449*12))*((1+$Y449)^AC$1))</f>
        <v>#VALUE!</v>
      </c>
      <c r="AD449" s="204" t="e">
        <f t="shared" ref="AD449:AD458" si="845">-((((Q449-P449)*$W449)+($X449*12))*((1+$Y449)^AD$1))</f>
        <v>#VALUE!</v>
      </c>
      <c r="AE449" s="204" t="e">
        <f t="shared" ref="AE449:AE458" si="846">-((((R449-Q449)*$W449)+($X449*12))*((1+$Y449)^AE$1))</f>
        <v>#VALUE!</v>
      </c>
      <c r="AF449" s="204" t="e">
        <f t="shared" ref="AF449:AF458" si="847">-((((S449-R449)*$W449)+($X449*12))*((1+$Y449)^AF$1))</f>
        <v>#VALUE!</v>
      </c>
      <c r="AG449" s="204" t="e">
        <f t="shared" ref="AG449:AG458" si="848">-((((T449-S449)*$W449)+($X449*12))*((1+$Y449)^AG$1))</f>
        <v>#VALUE!</v>
      </c>
      <c r="AH449" s="204" t="e">
        <f t="shared" ref="AH449:AH458" si="849">-((((U449-T449)*$W449)+($X449*12))*((1+$Y449)^AH$1))</f>
        <v>#VALUE!</v>
      </c>
      <c r="AI449" s="204" t="e">
        <f t="shared" ref="AI449:AI458" si="850">-((((V449-U449)*$W449)+($X449*12))*((1+$Y449)^AI$1))</f>
        <v>#VALUE!</v>
      </c>
      <c r="AJ449" s="205">
        <f t="shared" si="762"/>
        <v>-195311.04345</v>
      </c>
      <c r="AK449" s="204" t="e">
        <f t="shared" ref="AK449:AK458" si="851">AC449*(1-$AA449)</f>
        <v>#VALUE!</v>
      </c>
      <c r="AL449" s="204" t="e">
        <f t="shared" ref="AL449:AL458" si="852">AD449*(1-$AA449)</f>
        <v>#VALUE!</v>
      </c>
      <c r="AM449" s="204" t="e">
        <f t="shared" ref="AM449:AM458" si="853">AE449*(1-$AA449)</f>
        <v>#VALUE!</v>
      </c>
      <c r="AN449" s="204" t="e">
        <f t="shared" ref="AN449:AN458" si="854">AF449*(1-$AA449)</f>
        <v>#VALUE!</v>
      </c>
      <c r="AO449" s="204" t="e">
        <f t="shared" ref="AO449:AO458" si="855">AG449*(1-$AA449)</f>
        <v>#VALUE!</v>
      </c>
      <c r="AP449" s="204" t="e">
        <f t="shared" ref="AP449:AP458" si="856">AH449*(1-$AA449)</f>
        <v>#VALUE!</v>
      </c>
      <c r="AQ449" s="204" t="e">
        <f t="shared" ref="AQ449:AQ458" si="857">AI449*(1-$AA449)</f>
        <v>#VALUE!</v>
      </c>
      <c r="AR449" s="206" t="e">
        <f t="shared" si="764"/>
        <v>#VALUE!</v>
      </c>
      <c r="AS449" s="170" t="e">
        <f t="shared" ref="AS449:AS458" si="858">SUM(AC449:AI449)</f>
        <v>#VALUE!</v>
      </c>
      <c r="AT449" s="170" t="e">
        <f t="shared" ref="AT449:AT458" si="859">SUM(AK449:AQ449)</f>
        <v>#VALUE!</v>
      </c>
      <c r="AU449" s="207" t="e">
        <f t="shared" si="767"/>
        <v>#VALUE!</v>
      </c>
      <c r="AV449" s="208" t="e">
        <f t="shared" si="768"/>
        <v>#VALUE!</v>
      </c>
      <c r="AW449" s="201" t="str">
        <f t="shared" si="769"/>
        <v>Fase de Degradação</v>
      </c>
      <c r="AX449" s="253" t="e">
        <f>VLOOKUP(D449,#REF!,5,FALSE)</f>
        <v>#REF!</v>
      </c>
      <c r="AY449" s="201"/>
      <c r="AZ449" s="273" t="s">
        <v>1224</v>
      </c>
      <c r="BB449">
        <f>IFERROR(VLOOKUP(Tabela1[[#This Row],[Denominação]],[10]Planilha1!$A:$B,2,FALSE),"")</f>
        <v>236432.75999999963</v>
      </c>
      <c r="BC449" s="219"/>
      <c r="BD449" s="219"/>
      <c r="BE449" s="219"/>
      <c r="BF449" s="219"/>
      <c r="BG449" s="219"/>
      <c r="BH449" s="219"/>
      <c r="BI449" s="219"/>
      <c r="BJ449" s="219"/>
      <c r="BK449" s="219"/>
      <c r="BL449" s="219"/>
    </row>
    <row r="450" spans="1:64" ht="15" hidden="1" customHeight="1" x14ac:dyDescent="0.3">
      <c r="A450" s="253">
        <v>449</v>
      </c>
      <c r="B450" s="201" t="s">
        <v>1094</v>
      </c>
      <c r="C450" s="211" t="s">
        <v>1095</v>
      </c>
      <c r="D450" s="201">
        <v>10006082</v>
      </c>
      <c r="E450" s="253" t="s">
        <v>1486</v>
      </c>
      <c r="F450" s="253">
        <v>4566</v>
      </c>
      <c r="G450" s="201">
        <v>41685</v>
      </c>
      <c r="H450" s="201">
        <v>2012</v>
      </c>
      <c r="I450" s="216">
        <v>585798.09</v>
      </c>
      <c r="J450" s="214">
        <v>29994</v>
      </c>
      <c r="K450" s="170">
        <v>466606.94</v>
      </c>
      <c r="L450" s="207">
        <v>1.34</v>
      </c>
      <c r="M450" s="212">
        <v>3867</v>
      </c>
      <c r="N450" s="212">
        <v>94328</v>
      </c>
      <c r="O450" s="171">
        <v>588</v>
      </c>
      <c r="P450" s="271" t="str">
        <f>IFERROR(VLOOKUP(Tabela1[[#This Row],[TAG]],#REF!,14,FALSE),"")</f>
        <v/>
      </c>
      <c r="Q450" s="204" t="e">
        <f t="shared" si="838"/>
        <v>#VALUE!</v>
      </c>
      <c r="R450" s="204" t="e">
        <f t="shared" si="839"/>
        <v>#VALUE!</v>
      </c>
      <c r="S450" s="204" t="e">
        <f t="shared" si="840"/>
        <v>#VALUE!</v>
      </c>
      <c r="T450" s="204" t="e">
        <f t="shared" si="841"/>
        <v>#VALUE!</v>
      </c>
      <c r="U450" s="204" t="e">
        <f t="shared" si="842"/>
        <v>#VALUE!</v>
      </c>
      <c r="V450" s="204" t="e">
        <f t="shared" si="843"/>
        <v>#VALUE!</v>
      </c>
      <c r="W450" s="218">
        <v>456.45</v>
      </c>
      <c r="X450" s="218">
        <v>562.9</v>
      </c>
      <c r="Y450" s="203">
        <v>0.1</v>
      </c>
      <c r="Z450" s="203">
        <f>IF(Tabela1[[#This Row],[Ano Aquisição]]=2023,0,IFERROR(VLOOKUP(H450,inflação!$F:$H,3,FALSE),""))</f>
        <v>0.66500000000000004</v>
      </c>
      <c r="AA450" s="203">
        <v>0.8</v>
      </c>
      <c r="AB450" s="202">
        <f t="shared" si="759"/>
        <v>-585798.09</v>
      </c>
      <c r="AC450" s="204" t="e">
        <f t="shared" si="844"/>
        <v>#VALUE!</v>
      </c>
      <c r="AD450" s="204" t="e">
        <f t="shared" si="845"/>
        <v>#VALUE!</v>
      </c>
      <c r="AE450" s="204" t="e">
        <f t="shared" si="846"/>
        <v>#VALUE!</v>
      </c>
      <c r="AF450" s="204" t="e">
        <f t="shared" si="847"/>
        <v>#VALUE!</v>
      </c>
      <c r="AG450" s="204" t="e">
        <f t="shared" si="848"/>
        <v>#VALUE!</v>
      </c>
      <c r="AH450" s="204" t="e">
        <f t="shared" si="849"/>
        <v>#VALUE!</v>
      </c>
      <c r="AI450" s="204" t="e">
        <f t="shared" si="850"/>
        <v>#VALUE!</v>
      </c>
      <c r="AJ450" s="205">
        <f t="shared" si="762"/>
        <v>-975353.81984999997</v>
      </c>
      <c r="AK450" s="204" t="e">
        <f t="shared" si="851"/>
        <v>#VALUE!</v>
      </c>
      <c r="AL450" s="204" t="e">
        <f t="shared" si="852"/>
        <v>#VALUE!</v>
      </c>
      <c r="AM450" s="204" t="e">
        <f t="shared" si="853"/>
        <v>#VALUE!</v>
      </c>
      <c r="AN450" s="204" t="e">
        <f t="shared" si="854"/>
        <v>#VALUE!</v>
      </c>
      <c r="AO450" s="204" t="e">
        <f t="shared" si="855"/>
        <v>#VALUE!</v>
      </c>
      <c r="AP450" s="204" t="e">
        <f t="shared" si="856"/>
        <v>#VALUE!</v>
      </c>
      <c r="AQ450" s="204" t="e">
        <f t="shared" si="857"/>
        <v>#VALUE!</v>
      </c>
      <c r="AR450" s="206" t="e">
        <f t="shared" si="764"/>
        <v>#VALUE!</v>
      </c>
      <c r="AS450" s="170" t="e">
        <f t="shared" si="858"/>
        <v>#VALUE!</v>
      </c>
      <c r="AT450" s="170" t="e">
        <f t="shared" si="859"/>
        <v>#VALUE!</v>
      </c>
      <c r="AU450" s="207" t="e">
        <f t="shared" si="767"/>
        <v>#VALUE!</v>
      </c>
      <c r="AV450" s="208" t="e">
        <f t="shared" si="768"/>
        <v>#VALUE!</v>
      </c>
      <c r="AW450" s="201" t="str">
        <f t="shared" si="769"/>
        <v>Fase de Degradação</v>
      </c>
      <c r="AX450" s="253" t="e">
        <f>VLOOKUP(D450,#REF!,5,FALSE)</f>
        <v>#REF!</v>
      </c>
      <c r="AY450" s="201"/>
      <c r="AZ450" s="273" t="s">
        <v>1224</v>
      </c>
      <c r="BB450">
        <f>IFERROR(VLOOKUP(Tabela1[[#This Row],[Denominação]],[10]Planilha1!$A:$B,2,FALSE),"")</f>
        <v>466606.94</v>
      </c>
      <c r="BC450" s="219"/>
      <c r="BD450" s="219"/>
      <c r="BE450" s="219"/>
      <c r="BF450" s="219"/>
      <c r="BG450" s="219"/>
      <c r="BH450" s="219"/>
      <c r="BI450" s="219"/>
      <c r="BJ450" s="219"/>
      <c r="BK450" s="219"/>
      <c r="BL450" s="219"/>
    </row>
    <row r="451" spans="1:64" ht="15" hidden="1" customHeight="1" x14ac:dyDescent="0.3">
      <c r="A451" s="268">
        <v>450</v>
      </c>
      <c r="B451" s="201" t="s">
        <v>1096</v>
      </c>
      <c r="C451" s="211" t="s">
        <v>1097</v>
      </c>
      <c r="D451" s="201">
        <v>10006199</v>
      </c>
      <c r="E451" s="253" t="s">
        <v>1487</v>
      </c>
      <c r="F451" s="253">
        <v>4563</v>
      </c>
      <c r="G451" s="201">
        <v>40157</v>
      </c>
      <c r="H451" s="201">
        <v>2011</v>
      </c>
      <c r="I451" s="216">
        <v>414790.39</v>
      </c>
      <c r="J451" s="214">
        <v>40808</v>
      </c>
      <c r="K451" s="170">
        <v>224219.42999999993</v>
      </c>
      <c r="L451" s="207">
        <v>1.45</v>
      </c>
      <c r="M451" s="212">
        <v>4354</v>
      </c>
      <c r="N451" s="212">
        <v>89281</v>
      </c>
      <c r="O451" s="171">
        <v>522</v>
      </c>
      <c r="P451" s="271" t="str">
        <f>IFERROR(VLOOKUP(Tabela1[[#This Row],[TAG]],#REF!,14,FALSE),"")</f>
        <v/>
      </c>
      <c r="Q451" s="204" t="e">
        <f t="shared" si="838"/>
        <v>#VALUE!</v>
      </c>
      <c r="R451" s="204" t="e">
        <f t="shared" si="839"/>
        <v>#VALUE!</v>
      </c>
      <c r="S451" s="204" t="e">
        <f t="shared" si="840"/>
        <v>#VALUE!</v>
      </c>
      <c r="T451" s="204" t="e">
        <f t="shared" si="841"/>
        <v>#VALUE!</v>
      </c>
      <c r="U451" s="204" t="e">
        <f t="shared" si="842"/>
        <v>#VALUE!</v>
      </c>
      <c r="V451" s="204" t="e">
        <f t="shared" si="843"/>
        <v>#VALUE!</v>
      </c>
      <c r="W451" s="218">
        <v>347.64</v>
      </c>
      <c r="X451" s="218">
        <v>1650.94</v>
      </c>
      <c r="Y451" s="203">
        <v>0.1</v>
      </c>
      <c r="Z451" s="203">
        <f>IF(Tabela1[[#This Row],[Ano Aquisição]]=2023,0,IFERROR(VLOOKUP(H451,inflação!$F:$H,3,FALSE),""))</f>
        <v>0.73</v>
      </c>
      <c r="AA451" s="203">
        <v>0.8</v>
      </c>
      <c r="AB451" s="202">
        <f t="shared" si="759"/>
        <v>-414790.39</v>
      </c>
      <c r="AC451" s="204" t="e">
        <f t="shared" si="844"/>
        <v>#VALUE!</v>
      </c>
      <c r="AD451" s="204" t="e">
        <f t="shared" si="845"/>
        <v>#VALUE!</v>
      </c>
      <c r="AE451" s="204" t="e">
        <f t="shared" si="846"/>
        <v>#VALUE!</v>
      </c>
      <c r="AF451" s="204" t="e">
        <f t="shared" si="847"/>
        <v>#VALUE!</v>
      </c>
      <c r="AG451" s="204" t="e">
        <f t="shared" si="848"/>
        <v>#VALUE!</v>
      </c>
      <c r="AH451" s="204" t="e">
        <f t="shared" si="849"/>
        <v>#VALUE!</v>
      </c>
      <c r="AI451" s="204" t="e">
        <f t="shared" si="850"/>
        <v>#VALUE!</v>
      </c>
      <c r="AJ451" s="205">
        <f t="shared" si="762"/>
        <v>-717587.37470000004</v>
      </c>
      <c r="AK451" s="204" t="e">
        <f t="shared" si="851"/>
        <v>#VALUE!</v>
      </c>
      <c r="AL451" s="204" t="e">
        <f t="shared" si="852"/>
        <v>#VALUE!</v>
      </c>
      <c r="AM451" s="204" t="e">
        <f t="shared" si="853"/>
        <v>#VALUE!</v>
      </c>
      <c r="AN451" s="204" t="e">
        <f t="shared" si="854"/>
        <v>#VALUE!</v>
      </c>
      <c r="AO451" s="204" t="e">
        <f t="shared" si="855"/>
        <v>#VALUE!</v>
      </c>
      <c r="AP451" s="204" t="e">
        <f t="shared" si="856"/>
        <v>#VALUE!</v>
      </c>
      <c r="AQ451" s="204" t="e">
        <f t="shared" si="857"/>
        <v>#VALUE!</v>
      </c>
      <c r="AR451" s="206" t="e">
        <f t="shared" si="764"/>
        <v>#VALUE!</v>
      </c>
      <c r="AS451" s="170" t="e">
        <f t="shared" si="858"/>
        <v>#VALUE!</v>
      </c>
      <c r="AT451" s="170" t="e">
        <f t="shared" si="859"/>
        <v>#VALUE!</v>
      </c>
      <c r="AU451" s="207" t="e">
        <f t="shared" si="767"/>
        <v>#VALUE!</v>
      </c>
      <c r="AV451" s="208" t="e">
        <f t="shared" si="768"/>
        <v>#VALUE!</v>
      </c>
      <c r="AW451" s="201" t="str">
        <f t="shared" si="769"/>
        <v>Fase de Degradação</v>
      </c>
      <c r="AX451" s="253" t="e">
        <f>VLOOKUP(D451,#REF!,5,FALSE)</f>
        <v>#REF!</v>
      </c>
      <c r="AY451" s="201"/>
      <c r="AZ451" s="273" t="s">
        <v>1224</v>
      </c>
      <c r="BB451">
        <f>IFERROR(VLOOKUP(Tabela1[[#This Row],[Denominação]],[10]Planilha1!$A:$B,2,FALSE),"")</f>
        <v>224219.42999999993</v>
      </c>
      <c r="BC451" s="219"/>
      <c r="BD451" s="219"/>
      <c r="BE451" s="219"/>
      <c r="BF451" s="219"/>
      <c r="BG451" s="219"/>
      <c r="BH451" s="219"/>
      <c r="BI451" s="219"/>
      <c r="BJ451" s="219"/>
      <c r="BK451" s="219"/>
      <c r="BL451" s="219"/>
    </row>
    <row r="452" spans="1:64" ht="15" hidden="1" customHeight="1" x14ac:dyDescent="0.3">
      <c r="A452" s="253">
        <v>451</v>
      </c>
      <c r="B452" s="201" t="s">
        <v>1098</v>
      </c>
      <c r="C452" s="211" t="s">
        <v>1099</v>
      </c>
      <c r="D452" s="201">
        <v>10006399</v>
      </c>
      <c r="E452" s="253" t="s">
        <v>1401</v>
      </c>
      <c r="F452" s="253">
        <v>4566</v>
      </c>
      <c r="G452" s="201">
        <v>46284</v>
      </c>
      <c r="H452" s="201">
        <v>2015</v>
      </c>
      <c r="I452" s="216">
        <v>670896.03</v>
      </c>
      <c r="J452" s="214">
        <v>211528</v>
      </c>
      <c r="K452" s="170">
        <v>182480.93999999977</v>
      </c>
      <c r="L452" s="207">
        <v>1.28</v>
      </c>
      <c r="M452" s="212">
        <v>3724</v>
      </c>
      <c r="N452" s="212">
        <v>56311</v>
      </c>
      <c r="O452" s="171">
        <v>243</v>
      </c>
      <c r="P452" s="271" t="str">
        <f>IFERROR(VLOOKUP(Tabela1[[#This Row],[TAG]],#REF!,14,FALSE),"")</f>
        <v/>
      </c>
      <c r="Q452" s="204" t="e">
        <f t="shared" si="838"/>
        <v>#VALUE!</v>
      </c>
      <c r="R452" s="204" t="e">
        <f t="shared" si="839"/>
        <v>#VALUE!</v>
      </c>
      <c r="S452" s="204" t="e">
        <f t="shared" si="840"/>
        <v>#VALUE!</v>
      </c>
      <c r="T452" s="204" t="e">
        <f t="shared" si="841"/>
        <v>#VALUE!</v>
      </c>
      <c r="U452" s="204" t="e">
        <f t="shared" si="842"/>
        <v>#VALUE!</v>
      </c>
      <c r="V452" s="204" t="e">
        <f t="shared" si="843"/>
        <v>#VALUE!</v>
      </c>
      <c r="W452" s="218">
        <v>351.26</v>
      </c>
      <c r="X452" s="218">
        <v>399.92</v>
      </c>
      <c r="Y452" s="203">
        <v>0.1</v>
      </c>
      <c r="Z452" s="203">
        <f>IF(Tabela1[[#This Row],[Ano Aquisição]]=2023,0,IFERROR(VLOOKUP(H452,inflação!$F:$H,3,FALSE),""))</f>
        <v>0.4834</v>
      </c>
      <c r="AA452" s="203">
        <v>0.8</v>
      </c>
      <c r="AB452" s="202">
        <f t="shared" si="759"/>
        <v>-670896.03</v>
      </c>
      <c r="AC452" s="204" t="e">
        <f t="shared" si="844"/>
        <v>#VALUE!</v>
      </c>
      <c r="AD452" s="204" t="e">
        <f t="shared" si="845"/>
        <v>#VALUE!</v>
      </c>
      <c r="AE452" s="204" t="e">
        <f t="shared" si="846"/>
        <v>#VALUE!</v>
      </c>
      <c r="AF452" s="204" t="e">
        <f t="shared" si="847"/>
        <v>#VALUE!</v>
      </c>
      <c r="AG452" s="204" t="e">
        <f t="shared" si="848"/>
        <v>#VALUE!</v>
      </c>
      <c r="AH452" s="204" t="e">
        <f t="shared" si="849"/>
        <v>#VALUE!</v>
      </c>
      <c r="AI452" s="204" t="e">
        <f t="shared" si="850"/>
        <v>#VALUE!</v>
      </c>
      <c r="AJ452" s="205">
        <f t="shared" si="762"/>
        <v>-995207.17090200004</v>
      </c>
      <c r="AK452" s="204" t="e">
        <f t="shared" si="851"/>
        <v>#VALUE!</v>
      </c>
      <c r="AL452" s="204" t="e">
        <f t="shared" si="852"/>
        <v>#VALUE!</v>
      </c>
      <c r="AM452" s="204" t="e">
        <f t="shared" si="853"/>
        <v>#VALUE!</v>
      </c>
      <c r="AN452" s="204" t="e">
        <f t="shared" si="854"/>
        <v>#VALUE!</v>
      </c>
      <c r="AO452" s="204" t="e">
        <f t="shared" si="855"/>
        <v>#VALUE!</v>
      </c>
      <c r="AP452" s="204" t="e">
        <f t="shared" si="856"/>
        <v>#VALUE!</v>
      </c>
      <c r="AQ452" s="204" t="e">
        <f t="shared" si="857"/>
        <v>#VALUE!</v>
      </c>
      <c r="AR452" s="206" t="e">
        <f t="shared" si="764"/>
        <v>#VALUE!</v>
      </c>
      <c r="AS452" s="170" t="e">
        <f t="shared" si="858"/>
        <v>#VALUE!</v>
      </c>
      <c r="AT452" s="170" t="e">
        <f t="shared" si="859"/>
        <v>#VALUE!</v>
      </c>
      <c r="AU452" s="207" t="e">
        <f t="shared" si="767"/>
        <v>#VALUE!</v>
      </c>
      <c r="AV452" s="208" t="e">
        <f t="shared" si="768"/>
        <v>#VALUE!</v>
      </c>
      <c r="AW452" s="201" t="str">
        <f t="shared" si="769"/>
        <v>Fase de Degradação</v>
      </c>
      <c r="AX452" s="253" t="e">
        <f>VLOOKUP(D452,#REF!,5,FALSE)</f>
        <v>#REF!</v>
      </c>
      <c r="AY452" s="201"/>
      <c r="AZ452" s="273" t="s">
        <v>1224</v>
      </c>
      <c r="BB452">
        <f>IFERROR(VLOOKUP(Tabela1[[#This Row],[Denominação]],[10]Planilha1!$A:$B,2,FALSE),"")</f>
        <v>182480.93999999977</v>
      </c>
      <c r="BC452" s="219"/>
      <c r="BD452" s="219"/>
      <c r="BE452" s="219"/>
      <c r="BF452" s="219"/>
      <c r="BG452" s="219"/>
      <c r="BH452" s="219"/>
      <c r="BI452" s="219"/>
      <c r="BJ452" s="219"/>
      <c r="BK452" s="219"/>
      <c r="BL452" s="219"/>
    </row>
    <row r="453" spans="1:64" ht="15" hidden="1" customHeight="1" x14ac:dyDescent="0.3">
      <c r="A453" s="268">
        <v>452</v>
      </c>
      <c r="B453" s="255" t="s">
        <v>1100</v>
      </c>
      <c r="C453" s="256" t="s">
        <v>1101</v>
      </c>
      <c r="D453" s="201">
        <v>10005331</v>
      </c>
      <c r="E453" s="253" t="s">
        <v>1488</v>
      </c>
      <c r="F453" s="253">
        <v>2373</v>
      </c>
      <c r="G453" s="201">
        <v>36296</v>
      </c>
      <c r="H453" s="201">
        <v>2009</v>
      </c>
      <c r="I453" s="216">
        <v>162367.74</v>
      </c>
      <c r="J453" s="214">
        <v>0</v>
      </c>
      <c r="K453" s="170">
        <v>89576.959999999948</v>
      </c>
      <c r="L453" s="207">
        <v>1.32</v>
      </c>
      <c r="M453" s="212">
        <v>4433</v>
      </c>
      <c r="N453" s="212">
        <v>111140</v>
      </c>
      <c r="O453" s="171">
        <v>161</v>
      </c>
      <c r="P453" s="271" t="str">
        <f>IFERROR(VLOOKUP(Tabela1[[#This Row],[TAG]],#REF!,14,FALSE),"")</f>
        <v/>
      </c>
      <c r="Q453" s="262" t="e">
        <f t="shared" si="838"/>
        <v>#VALUE!</v>
      </c>
      <c r="R453" s="262" t="e">
        <f t="shared" si="839"/>
        <v>#VALUE!</v>
      </c>
      <c r="S453" s="262" t="e">
        <f t="shared" si="840"/>
        <v>#VALUE!</v>
      </c>
      <c r="T453" s="262" t="e">
        <f t="shared" si="841"/>
        <v>#VALUE!</v>
      </c>
      <c r="U453" s="262" t="e">
        <f t="shared" si="842"/>
        <v>#VALUE!</v>
      </c>
      <c r="V453" s="262" t="e">
        <f t="shared" si="843"/>
        <v>#VALUE!</v>
      </c>
      <c r="W453" s="218">
        <v>280.02</v>
      </c>
      <c r="X453" s="218">
        <v>315.01</v>
      </c>
      <c r="Y453" s="203">
        <v>0.1</v>
      </c>
      <c r="Z453" s="203">
        <f>IF(Tabela1[[#This Row],[Ano Aquisição]]=2023,0,IFERROR(VLOOKUP(H453,inflação!$F:$H,3,FALSE),""))</f>
        <v>0.83220000000000005</v>
      </c>
      <c r="AA453" s="203">
        <v>0.8</v>
      </c>
      <c r="AB453" s="202">
        <f t="shared" si="759"/>
        <v>-162367.74</v>
      </c>
      <c r="AC453" s="204" t="e">
        <f t="shared" si="844"/>
        <v>#VALUE!</v>
      </c>
      <c r="AD453" s="204" t="e">
        <f t="shared" si="845"/>
        <v>#VALUE!</v>
      </c>
      <c r="AE453" s="204" t="e">
        <f t="shared" si="846"/>
        <v>#VALUE!</v>
      </c>
      <c r="AF453" s="204" t="e">
        <f t="shared" si="847"/>
        <v>#VALUE!</v>
      </c>
      <c r="AG453" s="204" t="e">
        <f t="shared" si="848"/>
        <v>#VALUE!</v>
      </c>
      <c r="AH453" s="204" t="e">
        <f t="shared" si="849"/>
        <v>#VALUE!</v>
      </c>
      <c r="AI453" s="204" t="e">
        <f t="shared" si="850"/>
        <v>#VALUE!</v>
      </c>
      <c r="AJ453" s="205">
        <f t="shared" si="762"/>
        <v>-297490.173228</v>
      </c>
      <c r="AK453" s="204" t="e">
        <f t="shared" si="851"/>
        <v>#VALUE!</v>
      </c>
      <c r="AL453" s="204" t="e">
        <f t="shared" si="852"/>
        <v>#VALUE!</v>
      </c>
      <c r="AM453" s="204" t="e">
        <f t="shared" si="853"/>
        <v>#VALUE!</v>
      </c>
      <c r="AN453" s="204" t="e">
        <f t="shared" si="854"/>
        <v>#VALUE!</v>
      </c>
      <c r="AO453" s="204" t="e">
        <f t="shared" si="855"/>
        <v>#VALUE!</v>
      </c>
      <c r="AP453" s="204" t="e">
        <f t="shared" si="856"/>
        <v>#VALUE!</v>
      </c>
      <c r="AQ453" s="204" t="e">
        <f t="shared" si="857"/>
        <v>#VALUE!</v>
      </c>
      <c r="AR453" s="206" t="e">
        <f t="shared" si="764"/>
        <v>#VALUE!</v>
      </c>
      <c r="AS453" s="170" t="e">
        <f t="shared" si="858"/>
        <v>#VALUE!</v>
      </c>
      <c r="AT453" s="170" t="e">
        <f t="shared" si="859"/>
        <v>#VALUE!</v>
      </c>
      <c r="AU453" s="207" t="e">
        <f t="shared" si="767"/>
        <v>#VALUE!</v>
      </c>
      <c r="AV453" s="208" t="e">
        <f t="shared" si="768"/>
        <v>#VALUE!</v>
      </c>
      <c r="AW453" s="201" t="str">
        <f t="shared" si="769"/>
        <v>Fase de Degradação</v>
      </c>
      <c r="AX453" s="253" t="e">
        <f>VLOOKUP(D453,#REF!,5,FALSE)</f>
        <v>#REF!</v>
      </c>
      <c r="AY453" s="201"/>
      <c r="AZ453" s="273" t="s">
        <v>1224</v>
      </c>
      <c r="BB453">
        <f>IFERROR(VLOOKUP(Tabela1[[#This Row],[Denominação]],[10]Planilha1!$A:$B,2,FALSE),"")</f>
        <v>89576.959999999948</v>
      </c>
      <c r="BC453" s="219"/>
      <c r="BD453" s="219"/>
      <c r="BE453" s="219"/>
      <c r="BF453" s="219"/>
      <c r="BG453" s="219"/>
      <c r="BH453" s="219"/>
      <c r="BI453" s="219"/>
      <c r="BJ453" s="219"/>
      <c r="BK453" s="219"/>
      <c r="BL453" s="219"/>
    </row>
    <row r="454" spans="1:64" ht="15" hidden="1" customHeight="1" x14ac:dyDescent="0.3">
      <c r="A454" s="253">
        <v>453</v>
      </c>
      <c r="B454" s="171" t="s">
        <v>423</v>
      </c>
      <c r="C454" s="209" t="s">
        <v>249</v>
      </c>
      <c r="D454" s="171">
        <v>10006294</v>
      </c>
      <c r="E454" s="253" t="s">
        <v>1489</v>
      </c>
      <c r="F454" s="210">
        <v>2373</v>
      </c>
      <c r="G454" s="171">
        <v>45328</v>
      </c>
      <c r="H454" s="171">
        <v>2014</v>
      </c>
      <c r="I454" s="213">
        <v>436691.62</v>
      </c>
      <c r="J454" s="213">
        <v>147920</v>
      </c>
      <c r="K454" s="170">
        <v>356203.62999999971</v>
      </c>
      <c r="L454" s="215">
        <v>1.23</v>
      </c>
      <c r="M454" s="212">
        <v>3523.5</v>
      </c>
      <c r="N454" s="212">
        <v>72083</v>
      </c>
      <c r="O454" s="171">
        <v>344</v>
      </c>
      <c r="P454" s="271" t="str">
        <f>IFERROR(VLOOKUP(Tabela1[[#This Row],[TAG]],#REF!,14,FALSE),"")</f>
        <v/>
      </c>
      <c r="Q454" s="262" t="e">
        <f t="shared" si="838"/>
        <v>#VALUE!</v>
      </c>
      <c r="R454" s="262" t="e">
        <f t="shared" si="839"/>
        <v>#VALUE!</v>
      </c>
      <c r="S454" s="262" t="e">
        <f t="shared" si="840"/>
        <v>#VALUE!</v>
      </c>
      <c r="T454" s="262" t="e">
        <f t="shared" si="841"/>
        <v>#VALUE!</v>
      </c>
      <c r="U454" s="262" t="e">
        <f t="shared" si="842"/>
        <v>#VALUE!</v>
      </c>
      <c r="V454" s="262" t="e">
        <f t="shared" si="843"/>
        <v>#VALUE!</v>
      </c>
      <c r="W454" s="218">
        <v>424.17</v>
      </c>
      <c r="X454" s="218">
        <v>1180.21</v>
      </c>
      <c r="Y454" s="203">
        <v>0.1</v>
      </c>
      <c r="Z454" s="203">
        <f>IF(Tabela1[[#This Row],[Ano Aquisição]]=2023,0,IFERROR(VLOOKUP(H454,inflação!$F:$H,3,FALSE),""))</f>
        <v>0.54749999999999999</v>
      </c>
      <c r="AA454" s="203">
        <v>0.8</v>
      </c>
      <c r="AB454" s="202">
        <f t="shared" si="759"/>
        <v>-436691.62</v>
      </c>
      <c r="AC454" s="204" t="e">
        <f t="shared" si="844"/>
        <v>#VALUE!</v>
      </c>
      <c r="AD454" s="204" t="e">
        <f t="shared" si="845"/>
        <v>#VALUE!</v>
      </c>
      <c r="AE454" s="204" t="e">
        <f t="shared" si="846"/>
        <v>#VALUE!</v>
      </c>
      <c r="AF454" s="204" t="e">
        <f t="shared" si="847"/>
        <v>#VALUE!</v>
      </c>
      <c r="AG454" s="204" t="e">
        <f t="shared" si="848"/>
        <v>#VALUE!</v>
      </c>
      <c r="AH454" s="204" t="e">
        <f t="shared" si="849"/>
        <v>#VALUE!</v>
      </c>
      <c r="AI454" s="204" t="e">
        <f t="shared" si="850"/>
        <v>#VALUE!</v>
      </c>
      <c r="AJ454" s="205">
        <f t="shared" si="762"/>
        <v>-675780.28194999998</v>
      </c>
      <c r="AK454" s="204" t="e">
        <f t="shared" si="851"/>
        <v>#VALUE!</v>
      </c>
      <c r="AL454" s="204" t="e">
        <f t="shared" si="852"/>
        <v>#VALUE!</v>
      </c>
      <c r="AM454" s="204" t="e">
        <f t="shared" si="853"/>
        <v>#VALUE!</v>
      </c>
      <c r="AN454" s="204" t="e">
        <f t="shared" si="854"/>
        <v>#VALUE!</v>
      </c>
      <c r="AO454" s="204" t="e">
        <f t="shared" si="855"/>
        <v>#VALUE!</v>
      </c>
      <c r="AP454" s="204" t="e">
        <f t="shared" si="856"/>
        <v>#VALUE!</v>
      </c>
      <c r="AQ454" s="204" t="e">
        <f t="shared" si="857"/>
        <v>#VALUE!</v>
      </c>
      <c r="AR454" s="206" t="e">
        <f t="shared" si="764"/>
        <v>#VALUE!</v>
      </c>
      <c r="AS454" s="170" t="e">
        <f t="shared" si="858"/>
        <v>#VALUE!</v>
      </c>
      <c r="AT454" s="170" t="e">
        <f t="shared" si="859"/>
        <v>#VALUE!</v>
      </c>
      <c r="AU454" s="207" t="e">
        <f t="shared" si="767"/>
        <v>#VALUE!</v>
      </c>
      <c r="AV454" s="208" t="e">
        <f t="shared" si="768"/>
        <v>#VALUE!</v>
      </c>
      <c r="AW454" s="201" t="str">
        <f t="shared" si="769"/>
        <v>Fase de Degradação</v>
      </c>
      <c r="AX454" s="253" t="e">
        <f>VLOOKUP(D454,#REF!,5,FALSE)</f>
        <v>#REF!</v>
      </c>
      <c r="AY454" s="201"/>
      <c r="AZ454" s="273" t="s">
        <v>1224</v>
      </c>
      <c r="BB454">
        <f>IFERROR(VLOOKUP(Tabela1[[#This Row],[Denominação]],[10]Planilha1!$A:$B,2,FALSE),"")</f>
        <v>356203.62999999971</v>
      </c>
      <c r="BC454" s="219"/>
      <c r="BD454" s="219"/>
      <c r="BE454" s="219"/>
      <c r="BF454" s="219"/>
      <c r="BG454" s="219"/>
      <c r="BH454" s="219"/>
      <c r="BI454" s="219"/>
      <c r="BJ454" s="219"/>
      <c r="BK454" s="219"/>
      <c r="BL454" s="219"/>
    </row>
    <row r="455" spans="1:64" ht="15" hidden="1" customHeight="1" x14ac:dyDescent="0.3">
      <c r="A455" s="268">
        <v>454</v>
      </c>
      <c r="B455" s="201" t="s">
        <v>1102</v>
      </c>
      <c r="C455" s="211" t="s">
        <v>1103</v>
      </c>
      <c r="D455" s="201">
        <v>10006795</v>
      </c>
      <c r="E455" s="253" t="s">
        <v>1490</v>
      </c>
      <c r="F455" s="253">
        <v>4549</v>
      </c>
      <c r="G455" s="201">
        <v>55783</v>
      </c>
      <c r="H455" s="201">
        <v>2021</v>
      </c>
      <c r="I455" s="216">
        <v>222113.86</v>
      </c>
      <c r="J455" s="214">
        <v>197629</v>
      </c>
      <c r="K455" s="170">
        <v>20401.070000000003</v>
      </c>
      <c r="L455" s="207">
        <v>4.04</v>
      </c>
      <c r="M455" s="212">
        <v>4152.4427999999998</v>
      </c>
      <c r="N455" s="212">
        <v>9311</v>
      </c>
      <c r="O455" s="171">
        <v>20</v>
      </c>
      <c r="P455" s="271" t="str">
        <f>IFERROR(VLOOKUP(Tabela1[[#This Row],[TAG]],#REF!,14,FALSE),"")</f>
        <v/>
      </c>
      <c r="Q455" s="204" t="e">
        <f>P455+P455</f>
        <v>#VALUE!</v>
      </c>
      <c r="R455" s="204" t="e">
        <f t="shared" si="839"/>
        <v>#VALUE!</v>
      </c>
      <c r="S455" s="204" t="e">
        <f t="shared" si="840"/>
        <v>#VALUE!</v>
      </c>
      <c r="T455" s="204" t="e">
        <f t="shared" si="841"/>
        <v>#VALUE!</v>
      </c>
      <c r="U455" s="204" t="e">
        <f t="shared" si="842"/>
        <v>#VALUE!</v>
      </c>
      <c r="V455" s="204" t="e">
        <f t="shared" si="843"/>
        <v>#VALUE!</v>
      </c>
      <c r="W455" s="218">
        <v>427.73</v>
      </c>
      <c r="X455" s="218">
        <v>916.33</v>
      </c>
      <c r="Y455" s="203">
        <v>0.1</v>
      </c>
      <c r="Z455" s="203">
        <f>IF(Tabela1[[#This Row],[Ano Aquisição]]=2023,0,IFERROR(VLOOKUP(H455,inflação!$F:$H,3,FALSE),""))</f>
        <v>0.1585</v>
      </c>
      <c r="AA455" s="203">
        <v>0.8</v>
      </c>
      <c r="AB455" s="202">
        <f t="shared" si="759"/>
        <v>-222113.86</v>
      </c>
      <c r="AC455" s="204" t="e">
        <f t="shared" si="844"/>
        <v>#VALUE!</v>
      </c>
      <c r="AD455" s="204" t="e">
        <f t="shared" si="845"/>
        <v>#VALUE!</v>
      </c>
      <c r="AE455" s="204" t="e">
        <f t="shared" si="846"/>
        <v>#VALUE!</v>
      </c>
      <c r="AF455" s="204" t="e">
        <f t="shared" si="847"/>
        <v>#VALUE!</v>
      </c>
      <c r="AG455" s="204" t="e">
        <f t="shared" si="848"/>
        <v>#VALUE!</v>
      </c>
      <c r="AH455" s="204" t="e">
        <f t="shared" si="849"/>
        <v>#VALUE!</v>
      </c>
      <c r="AI455" s="204" t="e">
        <f t="shared" si="850"/>
        <v>#VALUE!</v>
      </c>
      <c r="AJ455" s="205">
        <f t="shared" si="762"/>
        <v>-257318.90681000001</v>
      </c>
      <c r="AK455" s="204" t="e">
        <f t="shared" si="851"/>
        <v>#VALUE!</v>
      </c>
      <c r="AL455" s="204" t="e">
        <f t="shared" si="852"/>
        <v>#VALUE!</v>
      </c>
      <c r="AM455" s="204" t="e">
        <f t="shared" si="853"/>
        <v>#VALUE!</v>
      </c>
      <c r="AN455" s="204" t="e">
        <f t="shared" si="854"/>
        <v>#VALUE!</v>
      </c>
      <c r="AO455" s="204" t="e">
        <f t="shared" si="855"/>
        <v>#VALUE!</v>
      </c>
      <c r="AP455" s="204" t="e">
        <f t="shared" si="856"/>
        <v>#VALUE!</v>
      </c>
      <c r="AQ455" s="204" t="e">
        <f t="shared" si="857"/>
        <v>#VALUE!</v>
      </c>
      <c r="AR455" s="206" t="e">
        <f t="shared" si="764"/>
        <v>#VALUE!</v>
      </c>
      <c r="AS455" s="170" t="e">
        <f t="shared" si="858"/>
        <v>#VALUE!</v>
      </c>
      <c r="AT455" s="170" t="e">
        <f t="shared" si="859"/>
        <v>#VALUE!</v>
      </c>
      <c r="AU455" s="207" t="e">
        <f t="shared" si="767"/>
        <v>#VALUE!</v>
      </c>
      <c r="AV455" s="208" t="e">
        <f t="shared" si="768"/>
        <v>#VALUE!</v>
      </c>
      <c r="AW455" s="201" t="str">
        <f t="shared" si="769"/>
        <v>Fase de Degradação</v>
      </c>
      <c r="AX455" s="253" t="e">
        <f>VLOOKUP(D455,#REF!,5,FALSE)</f>
        <v>#REF!</v>
      </c>
      <c r="AY455" s="201"/>
      <c r="AZ455" s="273" t="s">
        <v>1224</v>
      </c>
      <c r="BB455">
        <f>IFERROR(VLOOKUP(Tabela1[[#This Row],[Denominação]],[10]Planilha1!$A:$B,2,FALSE),"")</f>
        <v>20401.070000000003</v>
      </c>
      <c r="BC455" s="219"/>
      <c r="BD455" s="219"/>
      <c r="BE455" s="219"/>
      <c r="BF455" s="219"/>
      <c r="BG455" s="219"/>
      <c r="BH455" s="219"/>
      <c r="BI455" s="219"/>
      <c r="BJ455" s="219"/>
      <c r="BK455" s="219"/>
      <c r="BL455" s="219"/>
    </row>
    <row r="456" spans="1:64" ht="15" hidden="1" customHeight="1" x14ac:dyDescent="0.3">
      <c r="A456" s="253">
        <v>455</v>
      </c>
      <c r="B456" s="171" t="s">
        <v>40</v>
      </c>
      <c r="C456" s="209" t="s">
        <v>2</v>
      </c>
      <c r="D456" s="171">
        <v>10004501</v>
      </c>
      <c r="E456" s="253" t="s">
        <v>1491</v>
      </c>
      <c r="F456" s="210">
        <v>4544</v>
      </c>
      <c r="G456" s="171">
        <v>34289</v>
      </c>
      <c r="H456" s="171">
        <v>2006</v>
      </c>
      <c r="I456" s="213">
        <v>2627991.15</v>
      </c>
      <c r="J456" s="213">
        <v>327965</v>
      </c>
      <c r="K456" s="170">
        <v>6174713.5200000443</v>
      </c>
      <c r="L456" s="215">
        <v>1.46</v>
      </c>
      <c r="M456" s="212">
        <v>4726</v>
      </c>
      <c r="N456" s="212">
        <v>149302</v>
      </c>
      <c r="O456" s="171">
        <v>5584</v>
      </c>
      <c r="P456" s="271" t="str">
        <f>IFERROR(VLOOKUP(Tabela1[[#This Row],[TAG]],#REF!,14,FALSE),"")</f>
        <v/>
      </c>
      <c r="Q456" s="262" t="e">
        <f t="shared" si="838"/>
        <v>#VALUE!</v>
      </c>
      <c r="R456" s="262" t="e">
        <f t="shared" si="839"/>
        <v>#VALUE!</v>
      </c>
      <c r="S456" s="262" t="e">
        <f t="shared" si="840"/>
        <v>#VALUE!</v>
      </c>
      <c r="T456" s="262" t="e">
        <f t="shared" si="841"/>
        <v>#VALUE!</v>
      </c>
      <c r="U456" s="262" t="e">
        <f t="shared" si="842"/>
        <v>#VALUE!</v>
      </c>
      <c r="V456" s="262" t="e">
        <f t="shared" si="843"/>
        <v>#VALUE!</v>
      </c>
      <c r="W456" s="218">
        <v>708.4</v>
      </c>
      <c r="X456" s="218">
        <v>16927.75</v>
      </c>
      <c r="Y456" s="203">
        <v>0.1</v>
      </c>
      <c r="Z456" s="203">
        <f>IF(Tabela1[[#This Row],[Ano Aquisição]]=2023,0,IFERROR(VLOOKUP(H456,inflação!$F:$H,3,FALSE),""))</f>
        <v>0.96719999999999995</v>
      </c>
      <c r="AA456" s="203">
        <v>0.8</v>
      </c>
      <c r="AB456" s="202">
        <f t="shared" si="759"/>
        <v>-2627991.15</v>
      </c>
      <c r="AC456" s="204" t="e">
        <f t="shared" si="844"/>
        <v>#VALUE!</v>
      </c>
      <c r="AD456" s="204" t="e">
        <f t="shared" si="845"/>
        <v>#VALUE!</v>
      </c>
      <c r="AE456" s="204" t="e">
        <f t="shared" si="846"/>
        <v>#VALUE!</v>
      </c>
      <c r="AF456" s="204" t="e">
        <f t="shared" si="847"/>
        <v>#VALUE!</v>
      </c>
      <c r="AG456" s="204" t="e">
        <f t="shared" si="848"/>
        <v>#VALUE!</v>
      </c>
      <c r="AH456" s="204" t="e">
        <f t="shared" si="849"/>
        <v>#VALUE!</v>
      </c>
      <c r="AI456" s="204" t="e">
        <f t="shared" si="850"/>
        <v>#VALUE!</v>
      </c>
      <c r="AJ456" s="205">
        <f t="shared" si="762"/>
        <v>-5169784.1902799997</v>
      </c>
      <c r="AK456" s="204" t="e">
        <f t="shared" si="851"/>
        <v>#VALUE!</v>
      </c>
      <c r="AL456" s="204" t="e">
        <f t="shared" si="852"/>
        <v>#VALUE!</v>
      </c>
      <c r="AM456" s="204" t="e">
        <f t="shared" si="853"/>
        <v>#VALUE!</v>
      </c>
      <c r="AN456" s="204" t="e">
        <f t="shared" si="854"/>
        <v>#VALUE!</v>
      </c>
      <c r="AO456" s="204" t="e">
        <f t="shared" si="855"/>
        <v>#VALUE!</v>
      </c>
      <c r="AP456" s="204" t="e">
        <f t="shared" si="856"/>
        <v>#VALUE!</v>
      </c>
      <c r="AQ456" s="204" t="e">
        <f t="shared" si="857"/>
        <v>#VALUE!</v>
      </c>
      <c r="AR456" s="206" t="e">
        <f t="shared" si="764"/>
        <v>#VALUE!</v>
      </c>
      <c r="AS456" s="170" t="e">
        <f t="shared" si="858"/>
        <v>#VALUE!</v>
      </c>
      <c r="AT456" s="170" t="e">
        <f t="shared" si="859"/>
        <v>#VALUE!</v>
      </c>
      <c r="AU456" s="207" t="e">
        <f t="shared" si="767"/>
        <v>#VALUE!</v>
      </c>
      <c r="AV456" s="208" t="e">
        <f t="shared" si="768"/>
        <v>#VALUE!</v>
      </c>
      <c r="AW456" s="201" t="str">
        <f t="shared" si="769"/>
        <v>Fase de Degradação</v>
      </c>
      <c r="AX456" s="253" t="e">
        <f>VLOOKUP(D456,#REF!,5,FALSE)</f>
        <v>#REF!</v>
      </c>
      <c r="AY456" s="201"/>
      <c r="AZ456" s="273" t="s">
        <v>1224</v>
      </c>
      <c r="BB456">
        <f>IFERROR(VLOOKUP(Tabela1[[#This Row],[Denominação]],[10]Planilha1!$A:$B,2,FALSE),"")</f>
        <v>6174713.5200000443</v>
      </c>
      <c r="BC456" s="219"/>
      <c r="BD456" s="219"/>
      <c r="BE456" s="219"/>
      <c r="BF456" s="219"/>
      <c r="BG456" s="219"/>
      <c r="BH456" s="219"/>
      <c r="BI456" s="219"/>
      <c r="BJ456" s="219"/>
      <c r="BK456" s="219"/>
      <c r="BL456" s="219"/>
    </row>
    <row r="457" spans="1:64" ht="15" hidden="1" customHeight="1" x14ac:dyDescent="0.3">
      <c r="A457" s="268">
        <v>456</v>
      </c>
      <c r="B457" s="171" t="s">
        <v>266</v>
      </c>
      <c r="C457" s="209" t="s">
        <v>267</v>
      </c>
      <c r="D457" s="171">
        <v>10006158</v>
      </c>
      <c r="E457" s="253" t="s">
        <v>1492</v>
      </c>
      <c r="F457" s="210">
        <v>3341</v>
      </c>
      <c r="G457" s="171">
        <v>42282</v>
      </c>
      <c r="H457" s="171">
        <v>2012</v>
      </c>
      <c r="I457" s="213">
        <v>165403.01</v>
      </c>
      <c r="J457" s="213">
        <v>46802</v>
      </c>
      <c r="K457" s="170">
        <v>393302.68999999872</v>
      </c>
      <c r="L457" s="207">
        <v>1.03</v>
      </c>
      <c r="M457" s="212">
        <v>4800</v>
      </c>
      <c r="N457" s="212">
        <v>87627</v>
      </c>
      <c r="O457" s="171">
        <v>655</v>
      </c>
      <c r="P457" s="271" t="str">
        <f>IFERROR(VLOOKUP(Tabela1[[#This Row],[TAG]],#REF!,14,FALSE),"")</f>
        <v/>
      </c>
      <c r="Q457" s="204" t="e">
        <f t="shared" si="838"/>
        <v>#VALUE!</v>
      </c>
      <c r="R457" s="204" t="e">
        <f t="shared" si="839"/>
        <v>#VALUE!</v>
      </c>
      <c r="S457" s="204" t="e">
        <f t="shared" si="840"/>
        <v>#VALUE!</v>
      </c>
      <c r="T457" s="204" t="e">
        <f t="shared" si="841"/>
        <v>#VALUE!</v>
      </c>
      <c r="U457" s="204" t="e">
        <f t="shared" si="842"/>
        <v>#VALUE!</v>
      </c>
      <c r="V457" s="204" t="e">
        <f t="shared" si="843"/>
        <v>#VALUE!</v>
      </c>
      <c r="W457" s="218">
        <v>660.5</v>
      </c>
      <c r="X457" s="218">
        <v>4134.7</v>
      </c>
      <c r="Y457" s="203">
        <v>0.1</v>
      </c>
      <c r="Z457" s="203">
        <f>IF(Tabela1[[#This Row],[Ano Aquisição]]=2023,0,IFERROR(VLOOKUP(H457,inflação!$F:$H,3,FALSE),""))</f>
        <v>0.66500000000000004</v>
      </c>
      <c r="AA457" s="203">
        <v>0.8</v>
      </c>
      <c r="AB457" s="202">
        <f t="shared" si="759"/>
        <v>-165403.01</v>
      </c>
      <c r="AC457" s="204" t="e">
        <f t="shared" si="844"/>
        <v>#VALUE!</v>
      </c>
      <c r="AD457" s="204" t="e">
        <f t="shared" si="845"/>
        <v>#VALUE!</v>
      </c>
      <c r="AE457" s="204" t="e">
        <f t="shared" si="846"/>
        <v>#VALUE!</v>
      </c>
      <c r="AF457" s="204" t="e">
        <f t="shared" si="847"/>
        <v>#VALUE!</v>
      </c>
      <c r="AG457" s="204" t="e">
        <f t="shared" si="848"/>
        <v>#VALUE!</v>
      </c>
      <c r="AH457" s="204" t="e">
        <f t="shared" si="849"/>
        <v>#VALUE!</v>
      </c>
      <c r="AI457" s="204" t="e">
        <f t="shared" si="850"/>
        <v>#VALUE!</v>
      </c>
      <c r="AJ457" s="205">
        <f t="shared" si="762"/>
        <v>-275396.01165</v>
      </c>
      <c r="AK457" s="204" t="e">
        <f t="shared" si="851"/>
        <v>#VALUE!</v>
      </c>
      <c r="AL457" s="204" t="e">
        <f t="shared" si="852"/>
        <v>#VALUE!</v>
      </c>
      <c r="AM457" s="204" t="e">
        <f t="shared" si="853"/>
        <v>#VALUE!</v>
      </c>
      <c r="AN457" s="204" t="e">
        <f t="shared" si="854"/>
        <v>#VALUE!</v>
      </c>
      <c r="AO457" s="204" t="e">
        <f t="shared" si="855"/>
        <v>#VALUE!</v>
      </c>
      <c r="AP457" s="204" t="e">
        <f t="shared" si="856"/>
        <v>#VALUE!</v>
      </c>
      <c r="AQ457" s="204" t="e">
        <f t="shared" si="857"/>
        <v>#VALUE!</v>
      </c>
      <c r="AR457" s="206" t="e">
        <f t="shared" si="764"/>
        <v>#VALUE!</v>
      </c>
      <c r="AS457" s="170" t="e">
        <f t="shared" si="858"/>
        <v>#VALUE!</v>
      </c>
      <c r="AT457" s="170" t="e">
        <f t="shared" si="859"/>
        <v>#VALUE!</v>
      </c>
      <c r="AU457" s="207" t="e">
        <f t="shared" si="767"/>
        <v>#VALUE!</v>
      </c>
      <c r="AV457" s="208" t="e">
        <f t="shared" si="768"/>
        <v>#VALUE!</v>
      </c>
      <c r="AW457" s="201" t="str">
        <f t="shared" si="769"/>
        <v>Fase de Vida Útil</v>
      </c>
      <c r="AX457" s="253" t="e">
        <f>VLOOKUP(D457,#REF!,5,FALSE)</f>
        <v>#REF!</v>
      </c>
      <c r="AY457" s="201"/>
      <c r="AZ457" s="273" t="s">
        <v>1224</v>
      </c>
      <c r="BB457">
        <f>IFERROR(VLOOKUP(Tabela1[[#This Row],[Denominação]],[10]Planilha1!$A:$B,2,FALSE),"")</f>
        <v>393302.68999999872</v>
      </c>
      <c r="BC457" s="219"/>
      <c r="BD457" s="219"/>
      <c r="BE457" s="219"/>
      <c r="BF457" s="219"/>
      <c r="BG457" s="219"/>
      <c r="BH457" s="219"/>
      <c r="BI457" s="219"/>
      <c r="BJ457" s="219"/>
      <c r="BK457" s="219"/>
      <c r="BL457" s="219"/>
    </row>
    <row r="458" spans="1:64" ht="15" hidden="1" customHeight="1" x14ac:dyDescent="0.3">
      <c r="A458" s="253">
        <v>457</v>
      </c>
      <c r="B458" s="201" t="s">
        <v>1104</v>
      </c>
      <c r="C458" s="211" t="s">
        <v>1105</v>
      </c>
      <c r="D458" s="201">
        <v>10006295</v>
      </c>
      <c r="E458" s="253" t="s">
        <v>1275</v>
      </c>
      <c r="F458" s="253">
        <v>4011</v>
      </c>
      <c r="G458" s="201">
        <v>67388000000</v>
      </c>
      <c r="H458" s="201">
        <v>2015</v>
      </c>
      <c r="I458" s="216">
        <v>144520.76999999999</v>
      </c>
      <c r="J458" s="214">
        <v>53809</v>
      </c>
      <c r="K458" s="170">
        <v>150149.02999999991</v>
      </c>
      <c r="L458" s="207">
        <v>1.63</v>
      </c>
      <c r="M458" s="212">
        <v>3580</v>
      </c>
      <c r="N458" s="212">
        <v>70929</v>
      </c>
      <c r="O458" s="171">
        <v>243</v>
      </c>
      <c r="P458" s="271" t="str">
        <f>IFERROR(VLOOKUP(Tabela1[[#This Row],[TAG]],#REF!,14,FALSE),"")</f>
        <v/>
      </c>
      <c r="Q458" s="204" t="e">
        <f t="shared" si="838"/>
        <v>#VALUE!</v>
      </c>
      <c r="R458" s="204" t="e">
        <f t="shared" si="839"/>
        <v>#VALUE!</v>
      </c>
      <c r="S458" s="204" t="e">
        <f t="shared" si="840"/>
        <v>#VALUE!</v>
      </c>
      <c r="T458" s="204" t="e">
        <f t="shared" si="841"/>
        <v>#VALUE!</v>
      </c>
      <c r="U458" s="204" t="e">
        <f t="shared" si="842"/>
        <v>#VALUE!</v>
      </c>
      <c r="V458" s="204" t="e">
        <f t="shared" si="843"/>
        <v>#VALUE!</v>
      </c>
      <c r="W458" s="218">
        <v>435.1</v>
      </c>
      <c r="X458" s="218">
        <v>1699.84</v>
      </c>
      <c r="Y458" s="203">
        <v>0.1</v>
      </c>
      <c r="Z458" s="203">
        <f>IF(Tabela1[[#This Row],[Ano Aquisição]]=2023,0,IFERROR(VLOOKUP(H458,inflação!$F:$H,3,FALSE),""))</f>
        <v>0.4834</v>
      </c>
      <c r="AA458" s="203">
        <v>0.8</v>
      </c>
      <c r="AB458" s="202">
        <f t="shared" si="759"/>
        <v>-144520.76999999999</v>
      </c>
      <c r="AC458" s="204" t="e">
        <f t="shared" si="844"/>
        <v>#VALUE!</v>
      </c>
      <c r="AD458" s="204" t="e">
        <f t="shared" si="845"/>
        <v>#VALUE!</v>
      </c>
      <c r="AE458" s="204" t="e">
        <f t="shared" si="846"/>
        <v>#VALUE!</v>
      </c>
      <c r="AF458" s="204" t="e">
        <f t="shared" si="847"/>
        <v>#VALUE!</v>
      </c>
      <c r="AG458" s="204" t="e">
        <f t="shared" si="848"/>
        <v>#VALUE!</v>
      </c>
      <c r="AH458" s="204" t="e">
        <f t="shared" si="849"/>
        <v>#VALUE!</v>
      </c>
      <c r="AI458" s="204" t="e">
        <f t="shared" si="850"/>
        <v>#VALUE!</v>
      </c>
      <c r="AJ458" s="205">
        <f t="shared" si="762"/>
        <v>-214382.11021799999</v>
      </c>
      <c r="AK458" s="204" t="e">
        <f t="shared" si="851"/>
        <v>#VALUE!</v>
      </c>
      <c r="AL458" s="204" t="e">
        <f t="shared" si="852"/>
        <v>#VALUE!</v>
      </c>
      <c r="AM458" s="204" t="e">
        <f t="shared" si="853"/>
        <v>#VALUE!</v>
      </c>
      <c r="AN458" s="204" t="e">
        <f t="shared" si="854"/>
        <v>#VALUE!</v>
      </c>
      <c r="AO458" s="204" t="e">
        <f t="shared" si="855"/>
        <v>#VALUE!</v>
      </c>
      <c r="AP458" s="204" t="e">
        <f t="shared" si="856"/>
        <v>#VALUE!</v>
      </c>
      <c r="AQ458" s="204" t="e">
        <f t="shared" si="857"/>
        <v>#VALUE!</v>
      </c>
      <c r="AR458" s="206" t="e">
        <f t="shared" si="764"/>
        <v>#VALUE!</v>
      </c>
      <c r="AS458" s="170" t="e">
        <f t="shared" si="858"/>
        <v>#VALUE!</v>
      </c>
      <c r="AT458" s="170" t="e">
        <f t="shared" si="859"/>
        <v>#VALUE!</v>
      </c>
      <c r="AU458" s="207" t="e">
        <f t="shared" si="767"/>
        <v>#VALUE!</v>
      </c>
      <c r="AV458" s="208" t="e">
        <f t="shared" si="768"/>
        <v>#VALUE!</v>
      </c>
      <c r="AW458" s="201" t="str">
        <f t="shared" si="769"/>
        <v>Fase de Degradação</v>
      </c>
      <c r="AX458" s="253" t="e">
        <f>VLOOKUP(D458,#REF!,5,FALSE)</f>
        <v>#REF!</v>
      </c>
      <c r="AY458" s="201"/>
      <c r="AZ458" s="273" t="s">
        <v>1224</v>
      </c>
      <c r="BB458">
        <f>IFERROR(VLOOKUP(Tabela1[[#This Row],[Denominação]],[10]Planilha1!$A:$B,2,FALSE),"")</f>
        <v>150149.02999999991</v>
      </c>
      <c r="BC458" s="219"/>
      <c r="BD458" s="219"/>
      <c r="BE458" s="219"/>
      <c r="BF458" s="219"/>
      <c r="BG458" s="219"/>
      <c r="BH458" s="219"/>
      <c r="BI458" s="219"/>
      <c r="BJ458" s="219"/>
      <c r="BK458" s="219"/>
      <c r="BL458" s="219"/>
    </row>
    <row r="459" spans="1:64" ht="15" hidden="1" customHeight="1" x14ac:dyDescent="0.3">
      <c r="A459" s="268">
        <v>458</v>
      </c>
      <c r="B459" s="255" t="s">
        <v>1853</v>
      </c>
      <c r="C459" s="211" t="s">
        <v>1722</v>
      </c>
      <c r="D459" s="201">
        <v>20002364</v>
      </c>
      <c r="E459" s="253" t="s">
        <v>1783</v>
      </c>
      <c r="F459" s="253">
        <v>168</v>
      </c>
      <c r="G459" s="201">
        <v>46628</v>
      </c>
      <c r="H459" s="201">
        <v>2016</v>
      </c>
      <c r="I459" s="216">
        <v>16799.75</v>
      </c>
      <c r="J459" s="214">
        <v>6277</v>
      </c>
      <c r="K459" s="170">
        <v>15971.91</v>
      </c>
      <c r="L459" s="207">
        <v>1.31</v>
      </c>
      <c r="M459" s="212">
        <v>3124</v>
      </c>
      <c r="N459" s="212">
        <v>46928</v>
      </c>
      <c r="O459" s="171">
        <v>44</v>
      </c>
      <c r="P459" s="271" t="str">
        <f>IFERROR(VLOOKUP(Tabela1[[#This Row],[TAG]],#REF!,14,FALSE),"")</f>
        <v/>
      </c>
      <c r="Q459" s="204" t="e">
        <f t="shared" si="838"/>
        <v>#VALUE!</v>
      </c>
      <c r="R459" s="204" t="e">
        <f t="shared" si="839"/>
        <v>#VALUE!</v>
      </c>
      <c r="S459" s="204" t="e">
        <f t="shared" si="840"/>
        <v>#VALUE!</v>
      </c>
      <c r="T459" s="204" t="e">
        <f t="shared" si="841"/>
        <v>#VALUE!</v>
      </c>
      <c r="U459" s="204" t="e">
        <f t="shared" si="842"/>
        <v>#VALUE!</v>
      </c>
      <c r="V459" s="204" t="e">
        <f t="shared" si="843"/>
        <v>#VALUE!</v>
      </c>
      <c r="W459" s="218">
        <v>731.26</v>
      </c>
      <c r="X459" s="218">
        <v>1417.32</v>
      </c>
      <c r="Y459" s="203">
        <v>0.1</v>
      </c>
      <c r="Z459" s="203">
        <f>IF(Tabela1[[#This Row],[Ano Aquisição]]=2023,0,IFERROR(VLOOKUP(H459,inflação!$F:$H,3,FALSE),""))</f>
        <v>0.37669999999999998</v>
      </c>
      <c r="AA459" s="203">
        <v>0.8</v>
      </c>
      <c r="AB459" s="202">
        <f t="shared" si="759"/>
        <v>-16799.75</v>
      </c>
      <c r="AC459" s="204" t="e">
        <f t="shared" ref="AC459" si="860">-(((P459*$W459)+($X459*12))*((1+$Y459)^AC$1))</f>
        <v>#VALUE!</v>
      </c>
      <c r="AD459" s="204" t="e">
        <f t="shared" ref="AD459" si="861">-((((Q459-P459)*$W459)+($X459*12))*((1+$Y459)^AD$1))</f>
        <v>#VALUE!</v>
      </c>
      <c r="AE459" s="204" t="e">
        <f t="shared" ref="AE459" si="862">-((((R459-Q459)*$W459)+($X459*12))*((1+$Y459)^AE$1))</f>
        <v>#VALUE!</v>
      </c>
      <c r="AF459" s="204" t="e">
        <f t="shared" ref="AF459" si="863">-((((S459-R459)*$W459)+($X459*12))*((1+$Y459)^AF$1))</f>
        <v>#VALUE!</v>
      </c>
      <c r="AG459" s="204" t="e">
        <f t="shared" ref="AG459" si="864">-((((T459-S459)*$W459)+($X459*12))*((1+$Y459)^AG$1))</f>
        <v>#VALUE!</v>
      </c>
      <c r="AH459" s="204" t="e">
        <f t="shared" ref="AH459" si="865">-((((U459-T459)*$W459)+($X459*12))*((1+$Y459)^AH$1))</f>
        <v>#VALUE!</v>
      </c>
      <c r="AI459" s="204" t="e">
        <f t="shared" ref="AI459" si="866">-((((V459-U459)*$W459)+($X459*12))*((1+$Y459)^AI$1))</f>
        <v>#VALUE!</v>
      </c>
      <c r="AJ459" s="205">
        <f t="shared" si="762"/>
        <v>-23128.215824999999</v>
      </c>
      <c r="AK459" s="204" t="e">
        <f t="shared" ref="AK459" si="867">AC459*(1-$AA459)</f>
        <v>#VALUE!</v>
      </c>
      <c r="AL459" s="204" t="e">
        <f t="shared" ref="AL459" si="868">AD459*(1-$AA459)</f>
        <v>#VALUE!</v>
      </c>
      <c r="AM459" s="204" t="e">
        <f t="shared" ref="AM459" si="869">AE459*(1-$AA459)</f>
        <v>#VALUE!</v>
      </c>
      <c r="AN459" s="204" t="e">
        <f t="shared" ref="AN459" si="870">AF459*(1-$AA459)</f>
        <v>#VALUE!</v>
      </c>
      <c r="AO459" s="204" t="e">
        <f t="shared" ref="AO459" si="871">AG459*(1-$AA459)</f>
        <v>#VALUE!</v>
      </c>
      <c r="AP459" s="204" t="e">
        <f t="shared" ref="AP459" si="872">AH459*(1-$AA459)</f>
        <v>#VALUE!</v>
      </c>
      <c r="AQ459" s="204" t="e">
        <f t="shared" ref="AQ459" si="873">AI459*(1-$AA459)</f>
        <v>#VALUE!</v>
      </c>
      <c r="AR459" s="206" t="e">
        <f t="shared" si="764"/>
        <v>#VALUE!</v>
      </c>
      <c r="AS459" s="170" t="e">
        <f t="shared" ref="AS459" si="874">SUM(AC459:AI459)</f>
        <v>#VALUE!</v>
      </c>
      <c r="AT459" s="170" t="e">
        <f t="shared" ref="AT459" si="875">SUM(AK459:AQ459)</f>
        <v>#VALUE!</v>
      </c>
      <c r="AU459" s="207" t="e">
        <f t="shared" si="767"/>
        <v>#VALUE!</v>
      </c>
      <c r="AV459" s="208" t="e">
        <f t="shared" si="768"/>
        <v>#VALUE!</v>
      </c>
      <c r="AW459" s="201" t="str">
        <f t="shared" si="769"/>
        <v>Fase de Degradação</v>
      </c>
      <c r="AX459" s="253" t="e">
        <f>VLOOKUP(D459,#REF!,5,FALSE)</f>
        <v>#REF!</v>
      </c>
      <c r="AY459" s="201"/>
      <c r="AZ459" s="273" t="s">
        <v>1224</v>
      </c>
      <c r="BB459">
        <f>IFERROR(VLOOKUP(Tabela1[[#This Row],[Denominação]],[10]Planilha1!$A:$B,2,FALSE),"")</f>
        <v>15971.91</v>
      </c>
      <c r="BC459" s="219"/>
      <c r="BD459" s="219"/>
      <c r="BE459" s="219"/>
      <c r="BF459" s="219"/>
      <c r="BG459" s="219"/>
      <c r="BH459" s="219"/>
      <c r="BI459" s="219"/>
      <c r="BJ459" s="219"/>
      <c r="BK459" s="219"/>
      <c r="BL459" s="219"/>
    </row>
    <row r="460" spans="1:64" ht="15" hidden="1" customHeight="1" x14ac:dyDescent="0.3">
      <c r="A460" s="253">
        <v>459</v>
      </c>
      <c r="B460" s="201" t="s">
        <v>1106</v>
      </c>
      <c r="C460" s="211" t="s">
        <v>1107</v>
      </c>
      <c r="D460" s="201">
        <v>20002892</v>
      </c>
      <c r="E460" s="253" t="s">
        <v>1372</v>
      </c>
      <c r="F460" s="253">
        <v>4713</v>
      </c>
      <c r="G460" s="201">
        <v>50143</v>
      </c>
      <c r="H460" s="201">
        <v>2018</v>
      </c>
      <c r="I460" s="216">
        <v>406883.38</v>
      </c>
      <c r="J460" s="214">
        <v>255706</v>
      </c>
      <c r="K460" s="170">
        <v>265459.81999999983</v>
      </c>
      <c r="L460" s="207">
        <v>1.1399999999999999</v>
      </c>
      <c r="M460" s="212">
        <v>3654</v>
      </c>
      <c r="N460" s="212">
        <v>35025</v>
      </c>
      <c r="O460" s="171">
        <v>328</v>
      </c>
      <c r="P460" s="271" t="str">
        <f>IFERROR(VLOOKUP(Tabela1[[#This Row],[TAG]],#REF!,14,FALSE),"")</f>
        <v/>
      </c>
      <c r="Q460" s="204" t="e">
        <f>P460+P460</f>
        <v>#VALUE!</v>
      </c>
      <c r="R460" s="204" t="e">
        <f>Q460+P460</f>
        <v>#VALUE!</v>
      </c>
      <c r="S460" s="204" t="e">
        <f>R460+P460</f>
        <v>#VALUE!</v>
      </c>
      <c r="T460" s="204" t="e">
        <f>S460+P460</f>
        <v>#VALUE!</v>
      </c>
      <c r="U460" s="204" t="e">
        <f>T460+P460</f>
        <v>#VALUE!</v>
      </c>
      <c r="V460" s="204" t="e">
        <f>U460+P460</f>
        <v>#VALUE!</v>
      </c>
      <c r="W460" s="218">
        <v>525.97</v>
      </c>
      <c r="X460" s="218">
        <v>4399.68</v>
      </c>
      <c r="Y460" s="203">
        <v>0.1</v>
      </c>
      <c r="Z460" s="203">
        <f>IF(Tabela1[[#This Row],[Ano Aquisição]]=2023,0,IFERROR(VLOOKUP(H460,inflação!$F:$H,3,FALSE),""))</f>
        <v>0.2843</v>
      </c>
      <c r="AA460" s="203">
        <v>0.8</v>
      </c>
      <c r="AB460" s="202">
        <f t="shared" si="759"/>
        <v>-406883.38</v>
      </c>
      <c r="AC460" s="204" t="e">
        <f>-(((P460*$W460)+($X460*12))*((1+$Y460)^AC$1))</f>
        <v>#VALUE!</v>
      </c>
      <c r="AD460" s="204" t="e">
        <f t="shared" ref="AD460:AI462" si="876">-((((Q460-P460)*$W460)+($X460*12))*((1+$Y460)^AD$1))</f>
        <v>#VALUE!</v>
      </c>
      <c r="AE460" s="204" t="e">
        <f t="shared" si="876"/>
        <v>#VALUE!</v>
      </c>
      <c r="AF460" s="204" t="e">
        <f t="shared" si="876"/>
        <v>#VALUE!</v>
      </c>
      <c r="AG460" s="204" t="e">
        <f t="shared" si="876"/>
        <v>#VALUE!</v>
      </c>
      <c r="AH460" s="204" t="e">
        <f t="shared" si="876"/>
        <v>#VALUE!</v>
      </c>
      <c r="AI460" s="204" t="e">
        <f t="shared" si="876"/>
        <v>#VALUE!</v>
      </c>
      <c r="AJ460" s="205">
        <f t="shared" si="762"/>
        <v>-522560.32493400003</v>
      </c>
      <c r="AK460" s="204" t="e">
        <f t="shared" ref="AK460:AQ462" si="877">AC460*(1-$AA460)</f>
        <v>#VALUE!</v>
      </c>
      <c r="AL460" s="204" t="e">
        <f t="shared" si="877"/>
        <v>#VALUE!</v>
      </c>
      <c r="AM460" s="204" t="e">
        <f t="shared" si="877"/>
        <v>#VALUE!</v>
      </c>
      <c r="AN460" s="204" t="e">
        <f t="shared" si="877"/>
        <v>#VALUE!</v>
      </c>
      <c r="AO460" s="204" t="e">
        <f t="shared" si="877"/>
        <v>#VALUE!</v>
      </c>
      <c r="AP460" s="204" t="e">
        <f t="shared" si="877"/>
        <v>#VALUE!</v>
      </c>
      <c r="AQ460" s="204" t="e">
        <f t="shared" si="877"/>
        <v>#VALUE!</v>
      </c>
      <c r="AR460" s="206" t="e">
        <f t="shared" si="764"/>
        <v>#VALUE!</v>
      </c>
      <c r="AS460" s="170" t="e">
        <f>SUM(AC460:AI460)</f>
        <v>#VALUE!</v>
      </c>
      <c r="AT460" s="170" t="e">
        <f>SUM(AK460:AQ460)</f>
        <v>#VALUE!</v>
      </c>
      <c r="AU460" s="207" t="e">
        <f t="shared" si="767"/>
        <v>#VALUE!</v>
      </c>
      <c r="AV460" s="208" t="e">
        <f t="shared" si="768"/>
        <v>#VALUE!</v>
      </c>
      <c r="AW460" s="201" t="str">
        <f t="shared" si="769"/>
        <v>Fase de Degradação</v>
      </c>
      <c r="AX460" s="253" t="e">
        <f>VLOOKUP(D460,#REF!,5,FALSE)</f>
        <v>#REF!</v>
      </c>
      <c r="AY460" s="201"/>
      <c r="AZ460" s="273" t="s">
        <v>1224</v>
      </c>
      <c r="BB460">
        <f>IFERROR(VLOOKUP(Tabela1[[#This Row],[Denominação]],[10]Planilha1!$A:$B,2,FALSE),"")</f>
        <v>265459.81999999983</v>
      </c>
      <c r="BC460" s="219"/>
      <c r="BD460" s="219"/>
      <c r="BE460" s="219"/>
      <c r="BF460" s="219"/>
      <c r="BG460" s="219"/>
      <c r="BH460" s="219"/>
      <c r="BI460" s="219"/>
      <c r="BJ460" s="219"/>
      <c r="BK460" s="219"/>
      <c r="BL460" s="219"/>
    </row>
    <row r="461" spans="1:64" ht="15" hidden="1" customHeight="1" x14ac:dyDescent="0.3">
      <c r="A461" s="268">
        <v>460</v>
      </c>
      <c r="B461" s="201" t="s">
        <v>1108</v>
      </c>
      <c r="C461" s="211" t="s">
        <v>1109</v>
      </c>
      <c r="D461" s="201">
        <v>20003344</v>
      </c>
      <c r="E461" s="253" t="s">
        <v>1373</v>
      </c>
      <c r="F461" s="253">
        <v>4713</v>
      </c>
      <c r="G461" s="201">
        <v>50303</v>
      </c>
      <c r="H461" s="201">
        <v>2018</v>
      </c>
      <c r="I461" s="216">
        <v>344944.27</v>
      </c>
      <c r="J461" s="214">
        <v>216581</v>
      </c>
      <c r="K461" s="170">
        <v>470340.91000000009</v>
      </c>
      <c r="L461" s="207">
        <v>1.49</v>
      </c>
      <c r="M461" s="212">
        <v>3992</v>
      </c>
      <c r="N461" s="212">
        <v>34881</v>
      </c>
      <c r="O461" s="171">
        <v>465</v>
      </c>
      <c r="P461" s="271" t="str">
        <f>IFERROR(VLOOKUP(Tabela1[[#This Row],[TAG]],#REF!,14,FALSE),"")</f>
        <v/>
      </c>
      <c r="Q461" s="204" t="e">
        <f>P461+P461</f>
        <v>#VALUE!</v>
      </c>
      <c r="R461" s="204" t="e">
        <f>Q461+P461</f>
        <v>#VALUE!</v>
      </c>
      <c r="S461" s="204" t="e">
        <f>R461+P461</f>
        <v>#VALUE!</v>
      </c>
      <c r="T461" s="204" t="e">
        <f>S461+P461</f>
        <v>#VALUE!</v>
      </c>
      <c r="U461" s="204" t="e">
        <f>T461+P461</f>
        <v>#VALUE!</v>
      </c>
      <c r="V461" s="204" t="e">
        <f>U461+P461</f>
        <v>#VALUE!</v>
      </c>
      <c r="W461" s="218">
        <v>640.80999999999995</v>
      </c>
      <c r="X461" s="218">
        <v>8779.94</v>
      </c>
      <c r="Y461" s="203">
        <v>0.1</v>
      </c>
      <c r="Z461" s="203">
        <f>IF(Tabela1[[#This Row],[Ano Aquisição]]=2023,0,IFERROR(VLOOKUP(H461,inflação!$F:$H,3,FALSE),""))</f>
        <v>0.2843</v>
      </c>
      <c r="AA461" s="203">
        <v>0.8</v>
      </c>
      <c r="AB461" s="202">
        <f t="shared" si="759"/>
        <v>-344944.27</v>
      </c>
      <c r="AC461" s="204" t="e">
        <f>-(((P461*$W461)+($X461*12))*((1+$Y461)^AC$1))</f>
        <v>#VALUE!</v>
      </c>
      <c r="AD461" s="204" t="e">
        <f t="shared" si="876"/>
        <v>#VALUE!</v>
      </c>
      <c r="AE461" s="204" t="e">
        <f t="shared" si="876"/>
        <v>#VALUE!</v>
      </c>
      <c r="AF461" s="204" t="e">
        <f t="shared" si="876"/>
        <v>#VALUE!</v>
      </c>
      <c r="AG461" s="204" t="e">
        <f t="shared" si="876"/>
        <v>#VALUE!</v>
      </c>
      <c r="AH461" s="204" t="e">
        <f t="shared" si="876"/>
        <v>#VALUE!</v>
      </c>
      <c r="AI461" s="204" t="e">
        <f t="shared" si="876"/>
        <v>#VALUE!</v>
      </c>
      <c r="AJ461" s="205">
        <f t="shared" si="762"/>
        <v>-443011.92596100003</v>
      </c>
      <c r="AK461" s="204" t="e">
        <f t="shared" si="877"/>
        <v>#VALUE!</v>
      </c>
      <c r="AL461" s="204" t="e">
        <f t="shared" si="877"/>
        <v>#VALUE!</v>
      </c>
      <c r="AM461" s="204" t="e">
        <f t="shared" si="877"/>
        <v>#VALUE!</v>
      </c>
      <c r="AN461" s="204" t="e">
        <f t="shared" si="877"/>
        <v>#VALUE!</v>
      </c>
      <c r="AO461" s="204" t="e">
        <f t="shared" si="877"/>
        <v>#VALUE!</v>
      </c>
      <c r="AP461" s="204" t="e">
        <f t="shared" si="877"/>
        <v>#VALUE!</v>
      </c>
      <c r="AQ461" s="204" t="e">
        <f t="shared" si="877"/>
        <v>#VALUE!</v>
      </c>
      <c r="AR461" s="206" t="e">
        <f t="shared" si="764"/>
        <v>#VALUE!</v>
      </c>
      <c r="AS461" s="170" t="e">
        <f>SUM(AC461:AI461)</f>
        <v>#VALUE!</v>
      </c>
      <c r="AT461" s="170" t="e">
        <f>SUM(AK461:AQ461)</f>
        <v>#VALUE!</v>
      </c>
      <c r="AU461" s="207" t="e">
        <f t="shared" si="767"/>
        <v>#VALUE!</v>
      </c>
      <c r="AV461" s="208" t="e">
        <f t="shared" si="768"/>
        <v>#VALUE!</v>
      </c>
      <c r="AW461" s="201" t="str">
        <f t="shared" si="769"/>
        <v>Fase de Degradação</v>
      </c>
      <c r="AX461" s="253" t="e">
        <f>VLOOKUP(D461,#REF!,5,FALSE)</f>
        <v>#REF!</v>
      </c>
      <c r="AY461" s="201"/>
      <c r="AZ461" s="273" t="s">
        <v>1224</v>
      </c>
      <c r="BB461">
        <f>IFERROR(VLOOKUP(Tabela1[[#This Row],[Denominação]],[10]Planilha1!$A:$B,2,FALSE),"")</f>
        <v>470340.91000000009</v>
      </c>
      <c r="BC461" s="219"/>
      <c r="BD461" s="219"/>
      <c r="BE461" s="219"/>
      <c r="BF461" s="219"/>
      <c r="BG461" s="219"/>
      <c r="BH461" s="219"/>
      <c r="BI461" s="219"/>
      <c r="BJ461" s="219"/>
      <c r="BK461" s="219"/>
      <c r="BL461" s="219"/>
    </row>
    <row r="462" spans="1:64" ht="15" hidden="1" customHeight="1" x14ac:dyDescent="0.3">
      <c r="A462" s="253">
        <v>461</v>
      </c>
      <c r="B462" s="300" t="s">
        <v>1854</v>
      </c>
      <c r="C462" s="318" t="s">
        <v>1723</v>
      </c>
      <c r="D462" s="315">
        <v>10006834</v>
      </c>
      <c r="E462" s="299" t="s">
        <v>1784</v>
      </c>
      <c r="F462" s="299">
        <v>3319</v>
      </c>
      <c r="G462" s="315">
        <v>57796</v>
      </c>
      <c r="H462" s="315">
        <v>2022</v>
      </c>
      <c r="I462" s="329">
        <v>270000</v>
      </c>
      <c r="J462" s="330">
        <v>250152</v>
      </c>
      <c r="K462" s="326"/>
      <c r="L462" s="319">
        <v>0.98</v>
      </c>
      <c r="M462" s="320">
        <v>3938.13</v>
      </c>
      <c r="N462" s="320">
        <v>79177</v>
      </c>
      <c r="O462" s="321">
        <v>567</v>
      </c>
      <c r="P462" s="271" t="str">
        <f>IFERROR(VLOOKUP(Tabela1[[#This Row],[TAG]],#REF!,14,FALSE),"")</f>
        <v/>
      </c>
      <c r="Q462" s="323" t="e">
        <f t="shared" ref="Q462" si="878">P462+P462</f>
        <v>#VALUE!</v>
      </c>
      <c r="R462" s="323" t="e">
        <f t="shared" ref="R462" si="879">Q462+P462</f>
        <v>#VALUE!</v>
      </c>
      <c r="S462" s="323" t="e">
        <f t="shared" ref="S462" si="880">R462+P462</f>
        <v>#VALUE!</v>
      </c>
      <c r="T462" s="323" t="e">
        <f t="shared" ref="T462" si="881">S462+P462</f>
        <v>#VALUE!</v>
      </c>
      <c r="U462" s="323" t="e">
        <f t="shared" ref="U462" si="882">T462+P462</f>
        <v>#VALUE!</v>
      </c>
      <c r="V462" s="323" t="e">
        <f t="shared" ref="V462" si="883">U462+P462</f>
        <v>#VALUE!</v>
      </c>
      <c r="W462" s="304">
        <v>1405.78</v>
      </c>
      <c r="X462" s="304">
        <v>938.25</v>
      </c>
      <c r="Y462" s="322">
        <v>0.1</v>
      </c>
      <c r="Z462" s="322">
        <f>IF(Tabela1[[#This Row],[Ano Aquisição]]=2023,0,IFERROR(VLOOKUP(H462,inflação!$F:$H,3,FALSE),""))</f>
        <v>5.79E-2</v>
      </c>
      <c r="AA462" s="322">
        <v>0.8</v>
      </c>
      <c r="AB462" s="310">
        <f t="shared" si="759"/>
        <v>-270000</v>
      </c>
      <c r="AC462" s="323" t="e">
        <f t="shared" ref="AC462" si="884">-(((P462*$W462)+($X462*12))*((1+$Y462)^AC$1))</f>
        <v>#VALUE!</v>
      </c>
      <c r="AD462" s="323" t="e">
        <f t="shared" si="876"/>
        <v>#VALUE!</v>
      </c>
      <c r="AE462" s="323" t="e">
        <f t="shared" si="876"/>
        <v>#VALUE!</v>
      </c>
      <c r="AF462" s="323" t="e">
        <f t="shared" si="876"/>
        <v>#VALUE!</v>
      </c>
      <c r="AG462" s="323" t="e">
        <f t="shared" si="876"/>
        <v>#VALUE!</v>
      </c>
      <c r="AH462" s="323" t="e">
        <f t="shared" si="876"/>
        <v>#VALUE!</v>
      </c>
      <c r="AI462" s="323" t="e">
        <f t="shared" si="876"/>
        <v>#VALUE!</v>
      </c>
      <c r="AJ462" s="324">
        <f t="shared" si="762"/>
        <v>-285633</v>
      </c>
      <c r="AK462" s="323" t="e">
        <f t="shared" si="877"/>
        <v>#VALUE!</v>
      </c>
      <c r="AL462" s="323" t="e">
        <f t="shared" si="877"/>
        <v>#VALUE!</v>
      </c>
      <c r="AM462" s="323" t="e">
        <f t="shared" si="877"/>
        <v>#VALUE!</v>
      </c>
      <c r="AN462" s="323" t="e">
        <f t="shared" si="877"/>
        <v>#VALUE!</v>
      </c>
      <c r="AO462" s="323" t="e">
        <f t="shared" si="877"/>
        <v>#VALUE!</v>
      </c>
      <c r="AP462" s="323" t="e">
        <f t="shared" si="877"/>
        <v>#VALUE!</v>
      </c>
      <c r="AQ462" s="323" t="e">
        <f t="shared" si="877"/>
        <v>#VALUE!</v>
      </c>
      <c r="AR462" s="325" t="e">
        <f t="shared" si="764"/>
        <v>#VALUE!</v>
      </c>
      <c r="AS462" s="326" t="e">
        <f t="shared" ref="AS462" si="885">SUM(AC462:AI462)</f>
        <v>#VALUE!</v>
      </c>
      <c r="AT462" s="326" t="e">
        <f t="shared" ref="AT462" si="886">SUM(AK462:AQ462)</f>
        <v>#VALUE!</v>
      </c>
      <c r="AU462" s="319" t="e">
        <f t="shared" si="767"/>
        <v>#VALUE!</v>
      </c>
      <c r="AV462" s="327" t="e">
        <f t="shared" si="768"/>
        <v>#VALUE!</v>
      </c>
      <c r="AW462" s="315" t="str">
        <f t="shared" si="769"/>
        <v>Confiabilidade em Crescimento</v>
      </c>
      <c r="AX462" s="299" t="e">
        <f>VLOOKUP(D462,#REF!,5,FALSE)</f>
        <v>#REF!</v>
      </c>
      <c r="AY462" s="201"/>
      <c r="AZ462" s="273" t="s">
        <v>1224</v>
      </c>
      <c r="BB462">
        <f>IFERROR(VLOOKUP(Tabela1[[#This Row],[Denominação]],[10]Planilha1!$A:$B,2,FALSE),"")</f>
        <v>0</v>
      </c>
      <c r="BC462" s="219"/>
      <c r="BD462" s="219"/>
      <c r="BE462" s="219"/>
      <c r="BF462" s="219"/>
      <c r="BG462" s="219"/>
      <c r="BH462" s="219"/>
      <c r="BI462" s="219"/>
      <c r="BJ462" s="219"/>
      <c r="BK462" s="219"/>
      <c r="BL462" s="219"/>
    </row>
    <row r="463" spans="1:64" ht="15" hidden="1" customHeight="1" x14ac:dyDescent="0.3">
      <c r="A463" s="268">
        <v>462</v>
      </c>
      <c r="B463" s="201" t="s">
        <v>1110</v>
      </c>
      <c r="C463" s="211" t="s">
        <v>1111</v>
      </c>
      <c r="D463" s="201">
        <v>20003493</v>
      </c>
      <c r="E463" s="253" t="s">
        <v>1374</v>
      </c>
      <c r="F463" s="253">
        <v>4713</v>
      </c>
      <c r="G463" s="201">
        <v>50304</v>
      </c>
      <c r="H463" s="201">
        <v>2018</v>
      </c>
      <c r="I463" s="216">
        <v>344854.79</v>
      </c>
      <c r="J463" s="214">
        <v>216527</v>
      </c>
      <c r="K463" s="170">
        <v>465489.41000000003</v>
      </c>
      <c r="L463" s="207">
        <v>1.42</v>
      </c>
      <c r="M463" s="212">
        <v>3881</v>
      </c>
      <c r="N463" s="212">
        <v>35655</v>
      </c>
      <c r="O463" s="171">
        <v>490</v>
      </c>
      <c r="P463" s="271" t="str">
        <f>IFERROR(VLOOKUP(Tabela1[[#This Row],[TAG]],#REF!,14,FALSE),"")</f>
        <v/>
      </c>
      <c r="Q463" s="204" t="e">
        <f>P463+P463</f>
        <v>#VALUE!</v>
      </c>
      <c r="R463" s="204" t="e">
        <f>Q463+P463</f>
        <v>#VALUE!</v>
      </c>
      <c r="S463" s="204" t="e">
        <f>R463+P463</f>
        <v>#VALUE!</v>
      </c>
      <c r="T463" s="204" t="e">
        <f>S463+P463</f>
        <v>#VALUE!</v>
      </c>
      <c r="U463" s="204" t="e">
        <f>T463+P463</f>
        <v>#VALUE!</v>
      </c>
      <c r="V463" s="204" t="e">
        <f>U463+P463</f>
        <v>#VALUE!</v>
      </c>
      <c r="W463" s="218">
        <v>600.41999999999996</v>
      </c>
      <c r="X463" s="218">
        <v>7331.8</v>
      </c>
      <c r="Y463" s="203">
        <v>0.1</v>
      </c>
      <c r="Z463" s="203">
        <f>IF(Tabela1[[#This Row],[Ano Aquisição]]=2023,0,IFERROR(VLOOKUP(H463,inflação!$F:$H,3,FALSE),""))</f>
        <v>0.2843</v>
      </c>
      <c r="AA463" s="203">
        <v>0.8</v>
      </c>
      <c r="AB463" s="202">
        <f t="shared" si="759"/>
        <v>-344854.79</v>
      </c>
      <c r="AC463" s="204" t="e">
        <f>-(((P463*$W463)+($X463*12))*((1+$Y463)^AC$1))</f>
        <v>#VALUE!</v>
      </c>
      <c r="AD463" s="204" t="e">
        <f t="shared" ref="AD463:AI464" si="887">-((((Q463-P463)*$W463)+($X463*12))*((1+$Y463)^AD$1))</f>
        <v>#VALUE!</v>
      </c>
      <c r="AE463" s="204" t="e">
        <f t="shared" si="887"/>
        <v>#VALUE!</v>
      </c>
      <c r="AF463" s="204" t="e">
        <f t="shared" si="887"/>
        <v>#VALUE!</v>
      </c>
      <c r="AG463" s="204" t="e">
        <f t="shared" si="887"/>
        <v>#VALUE!</v>
      </c>
      <c r="AH463" s="204" t="e">
        <f t="shared" si="887"/>
        <v>#VALUE!</v>
      </c>
      <c r="AI463" s="204" t="e">
        <f t="shared" si="887"/>
        <v>#VALUE!</v>
      </c>
      <c r="AJ463" s="205">
        <f t="shared" si="762"/>
        <v>-442897.00679699995</v>
      </c>
      <c r="AK463" s="204" t="e">
        <f t="shared" ref="AK463:AQ464" si="888">AC463*(1-$AA463)</f>
        <v>#VALUE!</v>
      </c>
      <c r="AL463" s="204" t="e">
        <f t="shared" si="888"/>
        <v>#VALUE!</v>
      </c>
      <c r="AM463" s="204" t="e">
        <f t="shared" si="888"/>
        <v>#VALUE!</v>
      </c>
      <c r="AN463" s="204" t="e">
        <f t="shared" si="888"/>
        <v>#VALUE!</v>
      </c>
      <c r="AO463" s="204" t="e">
        <f t="shared" si="888"/>
        <v>#VALUE!</v>
      </c>
      <c r="AP463" s="204" t="e">
        <f t="shared" si="888"/>
        <v>#VALUE!</v>
      </c>
      <c r="AQ463" s="204" t="e">
        <f t="shared" si="888"/>
        <v>#VALUE!</v>
      </c>
      <c r="AR463" s="206" t="e">
        <f t="shared" si="764"/>
        <v>#VALUE!</v>
      </c>
      <c r="AS463" s="170" t="e">
        <f>SUM(AC463:AI463)</f>
        <v>#VALUE!</v>
      </c>
      <c r="AT463" s="170" t="e">
        <f>SUM(AK463:AQ463)</f>
        <v>#VALUE!</v>
      </c>
      <c r="AU463" s="207" t="e">
        <f t="shared" si="767"/>
        <v>#VALUE!</v>
      </c>
      <c r="AV463" s="208" t="e">
        <f t="shared" si="768"/>
        <v>#VALUE!</v>
      </c>
      <c r="AW463" s="201" t="str">
        <f t="shared" si="769"/>
        <v>Fase de Degradação</v>
      </c>
      <c r="AX463" s="253" t="e">
        <f>VLOOKUP(D463,#REF!,5,FALSE)</f>
        <v>#REF!</v>
      </c>
      <c r="AY463" s="201"/>
      <c r="AZ463" s="273" t="s">
        <v>1224</v>
      </c>
      <c r="BB463">
        <f>IFERROR(VLOOKUP(Tabela1[[#This Row],[Denominação]],[10]Planilha1!$A:$B,2,FALSE),"")</f>
        <v>465489.41000000003</v>
      </c>
      <c r="BC463" s="219"/>
      <c r="BD463" s="219"/>
      <c r="BE463" s="219"/>
      <c r="BF463" s="219"/>
      <c r="BG463" s="219"/>
      <c r="BH463" s="219"/>
      <c r="BI463" s="219"/>
      <c r="BJ463" s="219"/>
      <c r="BK463" s="219"/>
      <c r="BL463" s="219"/>
    </row>
    <row r="464" spans="1:64" ht="15" hidden="1" customHeight="1" x14ac:dyDescent="0.3">
      <c r="A464" s="253">
        <v>463</v>
      </c>
      <c r="B464" s="201" t="s">
        <v>1112</v>
      </c>
      <c r="C464" s="211" t="s">
        <v>1113</v>
      </c>
      <c r="D464" s="201">
        <v>20003531</v>
      </c>
      <c r="E464" s="253" t="s">
        <v>1371</v>
      </c>
      <c r="F464" s="253">
        <v>4713</v>
      </c>
      <c r="G464" s="201">
        <v>50305</v>
      </c>
      <c r="H464" s="201">
        <v>2018</v>
      </c>
      <c r="I464" s="216">
        <v>368386.86</v>
      </c>
      <c r="J464" s="214">
        <v>231422</v>
      </c>
      <c r="K464" s="170">
        <v>315704.64999999985</v>
      </c>
      <c r="L464" s="207">
        <v>1.21</v>
      </c>
      <c r="M464" s="212">
        <v>3404</v>
      </c>
      <c r="N464" s="212">
        <v>31261</v>
      </c>
      <c r="O464" s="171">
        <v>319</v>
      </c>
      <c r="P464" s="271" t="str">
        <f>IFERROR(VLOOKUP(Tabela1[[#This Row],[TAG]],#REF!,14,FALSE),"")</f>
        <v/>
      </c>
      <c r="Q464" s="204" t="e">
        <f>P464+P464</f>
        <v>#VALUE!</v>
      </c>
      <c r="R464" s="204" t="e">
        <f>Q464+P464</f>
        <v>#VALUE!</v>
      </c>
      <c r="S464" s="204" t="e">
        <f>R464+P464</f>
        <v>#VALUE!</v>
      </c>
      <c r="T464" s="204" t="e">
        <f>S464+P464</f>
        <v>#VALUE!</v>
      </c>
      <c r="U464" s="204" t="e">
        <f>T464+P464</f>
        <v>#VALUE!</v>
      </c>
      <c r="V464" s="204" t="e">
        <f>U464+P464</f>
        <v>#VALUE!</v>
      </c>
      <c r="W464" s="218">
        <v>592.55999999999995</v>
      </c>
      <c r="X464" s="218">
        <v>5537.63</v>
      </c>
      <c r="Y464" s="203">
        <v>0.1</v>
      </c>
      <c r="Z464" s="203">
        <f>IF(Tabela1[[#This Row],[Ano Aquisição]]=2023,0,IFERROR(VLOOKUP(H464,inflação!$F:$H,3,FALSE),""))</f>
        <v>0.2843</v>
      </c>
      <c r="AA464" s="203">
        <v>0.8</v>
      </c>
      <c r="AB464" s="202">
        <f t="shared" si="759"/>
        <v>-368386.86</v>
      </c>
      <c r="AC464" s="204" t="e">
        <f>-(((P464*$W464)+($X464*12))*((1+$Y464)^AC$1))</f>
        <v>#VALUE!</v>
      </c>
      <c r="AD464" s="204" t="e">
        <f t="shared" si="887"/>
        <v>#VALUE!</v>
      </c>
      <c r="AE464" s="204" t="e">
        <f t="shared" si="887"/>
        <v>#VALUE!</v>
      </c>
      <c r="AF464" s="204" t="e">
        <f t="shared" si="887"/>
        <v>#VALUE!</v>
      </c>
      <c r="AG464" s="204" t="e">
        <f t="shared" si="887"/>
        <v>#VALUE!</v>
      </c>
      <c r="AH464" s="204" t="e">
        <f t="shared" si="887"/>
        <v>#VALUE!</v>
      </c>
      <c r="AI464" s="204" t="e">
        <f t="shared" si="887"/>
        <v>#VALUE!</v>
      </c>
      <c r="AJ464" s="205">
        <f t="shared" si="762"/>
        <v>-473119.24429800001</v>
      </c>
      <c r="AK464" s="204" t="e">
        <f t="shared" si="888"/>
        <v>#VALUE!</v>
      </c>
      <c r="AL464" s="204" t="e">
        <f t="shared" si="888"/>
        <v>#VALUE!</v>
      </c>
      <c r="AM464" s="204" t="e">
        <f t="shared" si="888"/>
        <v>#VALUE!</v>
      </c>
      <c r="AN464" s="204" t="e">
        <f t="shared" si="888"/>
        <v>#VALUE!</v>
      </c>
      <c r="AO464" s="204" t="e">
        <f t="shared" si="888"/>
        <v>#VALUE!</v>
      </c>
      <c r="AP464" s="204" t="e">
        <f t="shared" si="888"/>
        <v>#VALUE!</v>
      </c>
      <c r="AQ464" s="204" t="e">
        <f t="shared" si="888"/>
        <v>#VALUE!</v>
      </c>
      <c r="AR464" s="206" t="e">
        <f t="shared" si="764"/>
        <v>#VALUE!</v>
      </c>
      <c r="AS464" s="170" t="e">
        <f>SUM(AC464:AI464)</f>
        <v>#VALUE!</v>
      </c>
      <c r="AT464" s="170" t="e">
        <f>SUM(AK464:AQ464)</f>
        <v>#VALUE!</v>
      </c>
      <c r="AU464" s="207" t="e">
        <f t="shared" si="767"/>
        <v>#VALUE!</v>
      </c>
      <c r="AV464" s="208" t="e">
        <f t="shared" si="768"/>
        <v>#VALUE!</v>
      </c>
      <c r="AW464" s="201" t="str">
        <f t="shared" si="769"/>
        <v>Fase de Degradação</v>
      </c>
      <c r="AX464" s="253" t="e">
        <f>VLOOKUP(D464,#REF!,5,FALSE)</f>
        <v>#REF!</v>
      </c>
      <c r="AY464" s="201"/>
      <c r="AZ464" s="273" t="s">
        <v>1224</v>
      </c>
      <c r="BB464">
        <f>IFERROR(VLOOKUP(Tabela1[[#This Row],[Denominação]],[10]Planilha1!$A:$B,2,FALSE),"")</f>
        <v>315704.64999999985</v>
      </c>
      <c r="BC464" s="219"/>
      <c r="BD464" s="219"/>
      <c r="BE464" s="219"/>
      <c r="BF464" s="219"/>
      <c r="BG464" s="219"/>
      <c r="BH464" s="219"/>
      <c r="BI464" s="219"/>
      <c r="BJ464" s="219"/>
      <c r="BK464" s="219"/>
      <c r="BL464" s="219"/>
    </row>
    <row r="465" spans="1:64" ht="14.25" hidden="1" customHeight="1" x14ac:dyDescent="0.3">
      <c r="A465" s="268">
        <v>464</v>
      </c>
      <c r="B465" s="255" t="s">
        <v>1855</v>
      </c>
      <c r="C465" s="209" t="s">
        <v>1724</v>
      </c>
      <c r="D465" s="171">
        <v>10006862</v>
      </c>
      <c r="E465" s="253" t="s">
        <v>1785</v>
      </c>
      <c r="F465" s="210">
        <v>4713</v>
      </c>
      <c r="G465" s="204">
        <v>900000023037</v>
      </c>
      <c r="H465" s="171">
        <v>2022</v>
      </c>
      <c r="I465" s="213">
        <v>531412.43000000005</v>
      </c>
      <c r="J465" s="213">
        <v>531412.43000000005</v>
      </c>
      <c r="K465" s="170">
        <v>60737.139999999992</v>
      </c>
      <c r="L465" s="215">
        <v>0.93</v>
      </c>
      <c r="M465" s="212">
        <v>3733</v>
      </c>
      <c r="N465" s="212">
        <v>6560</v>
      </c>
      <c r="O465" s="171">
        <v>103</v>
      </c>
      <c r="P465" s="271" t="str">
        <f>IFERROR(VLOOKUP(Tabela1[[#This Row],[TAG]],#REF!,14,FALSE),"")</f>
        <v/>
      </c>
      <c r="Q465" s="204" t="e">
        <f>P465+P465</f>
        <v>#VALUE!</v>
      </c>
      <c r="R465" s="204" t="e">
        <f>Q465+P465</f>
        <v>#VALUE!</v>
      </c>
      <c r="S465" s="204" t="e">
        <f>R465+P465</f>
        <v>#VALUE!</v>
      </c>
      <c r="T465" s="204" t="e">
        <f>S465+P465</f>
        <v>#VALUE!</v>
      </c>
      <c r="U465" s="204" t="e">
        <f>T465+P465</f>
        <v>#VALUE!</v>
      </c>
      <c r="V465" s="204" t="e">
        <f>U465+P465</f>
        <v>#VALUE!</v>
      </c>
      <c r="W465" s="218">
        <v>403.56</v>
      </c>
      <c r="X465" s="218">
        <v>3965.2</v>
      </c>
      <c r="Y465" s="203">
        <v>0.1</v>
      </c>
      <c r="Z465" s="203">
        <f>IF(Tabela1[[#This Row],[Ano Aquisição]]=2023,0,IFERROR(VLOOKUP(H465,inflação!$F:$H,3,FALSE),""))</f>
        <v>5.79E-2</v>
      </c>
      <c r="AA465" s="203">
        <v>0.8</v>
      </c>
      <c r="AB465" s="202">
        <f t="shared" si="759"/>
        <v>-531412.43000000005</v>
      </c>
      <c r="AC465" s="204" t="e">
        <f>-(((P465*$W465)+($X465*12))*((1+$Y465)^AC$1))</f>
        <v>#VALUE!</v>
      </c>
      <c r="AD465" s="204" t="e">
        <f t="shared" ref="AD465" si="889">-((((Q465-P465)*$W465)+($X465*12))*((1+$Y465)^AD$1))</f>
        <v>#VALUE!</v>
      </c>
      <c r="AE465" s="204" t="e">
        <f t="shared" ref="AE465" si="890">-((((R465-Q465)*$W465)+($X465*12))*((1+$Y465)^AE$1))</f>
        <v>#VALUE!</v>
      </c>
      <c r="AF465" s="204" t="e">
        <f t="shared" ref="AF465" si="891">-((((S465-R465)*$W465)+($X465*12))*((1+$Y465)^AF$1))</f>
        <v>#VALUE!</v>
      </c>
      <c r="AG465" s="204" t="e">
        <f t="shared" ref="AG465" si="892">-((((T465-S465)*$W465)+($X465*12))*((1+$Y465)^AG$1))</f>
        <v>#VALUE!</v>
      </c>
      <c r="AH465" s="204" t="e">
        <f t="shared" ref="AH465" si="893">-((((U465-T465)*$W465)+($X465*12))*((1+$Y465)^AH$1))</f>
        <v>#VALUE!</v>
      </c>
      <c r="AI465" s="204" t="e">
        <f t="shared" ref="AI465" si="894">-((((V465-U465)*$W465)+($X465*12))*((1+$Y465)^AI$1))</f>
        <v>#VALUE!</v>
      </c>
      <c r="AJ465" s="205">
        <f t="shared" si="762"/>
        <v>-562181.2096970001</v>
      </c>
      <c r="AK465" s="204" t="e">
        <f t="shared" ref="AK465" si="895">AC465*(1-$AA465)</f>
        <v>#VALUE!</v>
      </c>
      <c r="AL465" s="204" t="e">
        <f t="shared" ref="AL465" si="896">AD465*(1-$AA465)</f>
        <v>#VALUE!</v>
      </c>
      <c r="AM465" s="204" t="e">
        <f t="shared" ref="AM465" si="897">AE465*(1-$AA465)</f>
        <v>#VALUE!</v>
      </c>
      <c r="AN465" s="204" t="e">
        <f t="shared" ref="AN465" si="898">AF465*(1-$AA465)</f>
        <v>#VALUE!</v>
      </c>
      <c r="AO465" s="204" t="e">
        <f t="shared" ref="AO465" si="899">AG465*(1-$AA465)</f>
        <v>#VALUE!</v>
      </c>
      <c r="AP465" s="204" t="e">
        <f t="shared" ref="AP465" si="900">AH465*(1-$AA465)</f>
        <v>#VALUE!</v>
      </c>
      <c r="AQ465" s="204" t="e">
        <f t="shared" ref="AQ465" si="901">AI465*(1-$AA465)</f>
        <v>#VALUE!</v>
      </c>
      <c r="AR465" s="206" t="e">
        <f t="shared" si="764"/>
        <v>#VALUE!</v>
      </c>
      <c r="AS465" s="170" t="e">
        <f>SUM(AC465:AI465)</f>
        <v>#VALUE!</v>
      </c>
      <c r="AT465" s="170" t="e">
        <f>SUM(AK465:AQ465)</f>
        <v>#VALUE!</v>
      </c>
      <c r="AU465" s="207" t="e">
        <f t="shared" si="767"/>
        <v>#VALUE!</v>
      </c>
      <c r="AV465" s="208" t="e">
        <f t="shared" si="768"/>
        <v>#VALUE!</v>
      </c>
      <c r="AW465" s="201" t="str">
        <f t="shared" si="769"/>
        <v>Confiabilidade em Crescimento</v>
      </c>
      <c r="AX465" s="253" t="e">
        <f>VLOOKUP(D465,#REF!,5,FALSE)</f>
        <v>#REF!</v>
      </c>
      <c r="AY465" s="201"/>
      <c r="AZ465" s="273" t="s">
        <v>1224</v>
      </c>
      <c r="BB465">
        <f>IFERROR(VLOOKUP(Tabela1[[#This Row],[Denominação]],[10]Planilha1!$A:$B,2,FALSE),"")</f>
        <v>60737.139999999992</v>
      </c>
      <c r="BC465" s="219"/>
      <c r="BD465" s="219"/>
      <c r="BE465" s="219"/>
      <c r="BF465" s="219"/>
      <c r="BG465" s="219"/>
      <c r="BH465" s="219"/>
      <c r="BI465" s="219"/>
      <c r="BJ465" s="219"/>
      <c r="BK465" s="219"/>
      <c r="BL465" s="219"/>
    </row>
    <row r="466" spans="1:64" ht="15" hidden="1" customHeight="1" x14ac:dyDescent="0.3">
      <c r="A466" s="253">
        <v>465</v>
      </c>
      <c r="B466" s="255" t="s">
        <v>1856</v>
      </c>
      <c r="C466" s="211" t="s">
        <v>1725</v>
      </c>
      <c r="D466" s="201">
        <v>20004127</v>
      </c>
      <c r="E466" s="253" t="s">
        <v>1786</v>
      </c>
      <c r="F466" s="253">
        <v>2318</v>
      </c>
      <c r="G466" s="201">
        <v>53177</v>
      </c>
      <c r="H466" s="201">
        <v>2021</v>
      </c>
      <c r="I466" s="216">
        <v>1152423.22</v>
      </c>
      <c r="J466" s="214">
        <v>985821</v>
      </c>
      <c r="K466" s="170">
        <v>137567.97</v>
      </c>
      <c r="L466" s="207">
        <v>1.54</v>
      </c>
      <c r="M466" s="212">
        <v>3854</v>
      </c>
      <c r="N466" s="212">
        <v>16866</v>
      </c>
      <c r="O466" s="171">
        <v>91</v>
      </c>
      <c r="P466" s="271" t="str">
        <f>IFERROR(VLOOKUP(Tabela1[[#This Row],[TAG]],#REF!,14,FALSE),"")</f>
        <v/>
      </c>
      <c r="Q466" s="204" t="e">
        <f t="shared" ref="Q466" si="902">P466+P466</f>
        <v>#VALUE!</v>
      </c>
      <c r="R466" s="204" t="e">
        <f t="shared" ref="R466" si="903">Q466+P466</f>
        <v>#VALUE!</v>
      </c>
      <c r="S466" s="204" t="e">
        <f t="shared" ref="S466" si="904">R466+P466</f>
        <v>#VALUE!</v>
      </c>
      <c r="T466" s="204" t="e">
        <f t="shared" ref="T466" si="905">S466+P466</f>
        <v>#VALUE!</v>
      </c>
      <c r="U466" s="204" t="e">
        <f t="shared" ref="U466" si="906">T466+P466</f>
        <v>#VALUE!</v>
      </c>
      <c r="V466" s="204" t="e">
        <f t="shared" ref="V466" si="907">U466+P466</f>
        <v>#VALUE!</v>
      </c>
      <c r="W466" s="218">
        <v>608.83000000000004</v>
      </c>
      <c r="X466" s="218">
        <v>1966.29</v>
      </c>
      <c r="Y466" s="203">
        <v>0.1</v>
      </c>
      <c r="Z466" s="203">
        <f>IF(Tabela1[[#This Row],[Ano Aquisição]]=2023,0,IFERROR(VLOOKUP(H466,inflação!$F:$H,3,FALSE),""))</f>
        <v>0.1585</v>
      </c>
      <c r="AA466" s="203">
        <v>0.8</v>
      </c>
      <c r="AB466" s="202">
        <f t="shared" si="759"/>
        <v>-1152423.22</v>
      </c>
      <c r="AC466" s="204" t="e">
        <f t="shared" ref="AC466" si="908">-(((P466*$W466)+($X466*12))*((1+$Y466)^AC$1))</f>
        <v>#VALUE!</v>
      </c>
      <c r="AD466" s="204" t="e">
        <f t="shared" ref="AD466" si="909">-((((Q466-P466)*$W466)+($X466*12))*((1+$Y466)^AD$1))</f>
        <v>#VALUE!</v>
      </c>
      <c r="AE466" s="204" t="e">
        <f t="shared" ref="AE466" si="910">-((((R466-Q466)*$W466)+($X466*12))*((1+$Y466)^AE$1))</f>
        <v>#VALUE!</v>
      </c>
      <c r="AF466" s="204" t="e">
        <f t="shared" ref="AF466" si="911">-((((S466-R466)*$W466)+($X466*12))*((1+$Y466)^AF$1))</f>
        <v>#VALUE!</v>
      </c>
      <c r="AG466" s="204" t="e">
        <f t="shared" ref="AG466" si="912">-((((T466-S466)*$W466)+($X466*12))*((1+$Y466)^AG$1))</f>
        <v>#VALUE!</v>
      </c>
      <c r="AH466" s="204" t="e">
        <f t="shared" ref="AH466" si="913">-((((U466-T466)*$W466)+($X466*12))*((1+$Y466)^AH$1))</f>
        <v>#VALUE!</v>
      </c>
      <c r="AI466" s="204" t="e">
        <f t="shared" ref="AI466" si="914">-((((V466-U466)*$W466)+($X466*12))*((1+$Y466)^AI$1))</f>
        <v>#VALUE!</v>
      </c>
      <c r="AJ466" s="205">
        <f t="shared" si="762"/>
        <v>-1335082.3003700001</v>
      </c>
      <c r="AK466" s="204" t="e">
        <f t="shared" ref="AK466" si="915">AC466*(1-$AA466)</f>
        <v>#VALUE!</v>
      </c>
      <c r="AL466" s="204" t="e">
        <f t="shared" ref="AL466" si="916">AD466*(1-$AA466)</f>
        <v>#VALUE!</v>
      </c>
      <c r="AM466" s="204" t="e">
        <f t="shared" ref="AM466" si="917">AE466*(1-$AA466)</f>
        <v>#VALUE!</v>
      </c>
      <c r="AN466" s="204" t="e">
        <f t="shared" ref="AN466" si="918">AF466*(1-$AA466)</f>
        <v>#VALUE!</v>
      </c>
      <c r="AO466" s="204" t="e">
        <f t="shared" ref="AO466" si="919">AG466*(1-$AA466)</f>
        <v>#VALUE!</v>
      </c>
      <c r="AP466" s="204" t="e">
        <f t="shared" ref="AP466" si="920">AH466*(1-$AA466)</f>
        <v>#VALUE!</v>
      </c>
      <c r="AQ466" s="204" t="e">
        <f t="shared" ref="AQ466" si="921">AI466*(1-$AA466)</f>
        <v>#VALUE!</v>
      </c>
      <c r="AR466" s="206" t="e">
        <f t="shared" si="764"/>
        <v>#VALUE!</v>
      </c>
      <c r="AS466" s="170" t="e">
        <f t="shared" ref="AS466" si="922">SUM(AC466:AI466)</f>
        <v>#VALUE!</v>
      </c>
      <c r="AT466" s="170" t="e">
        <f t="shared" ref="AT466" si="923">SUM(AK466:AQ466)</f>
        <v>#VALUE!</v>
      </c>
      <c r="AU466" s="207" t="e">
        <f t="shared" si="767"/>
        <v>#VALUE!</v>
      </c>
      <c r="AV466" s="208" t="e">
        <f t="shared" si="768"/>
        <v>#VALUE!</v>
      </c>
      <c r="AW466" s="201" t="str">
        <f t="shared" si="769"/>
        <v>Fase de Degradação</v>
      </c>
      <c r="AX466" s="253" t="e">
        <f>VLOOKUP(D466,#REF!,5,FALSE)</f>
        <v>#REF!</v>
      </c>
      <c r="AY466" s="201"/>
      <c r="AZ466" s="273" t="s">
        <v>1224</v>
      </c>
      <c r="BB466">
        <f>IFERROR(VLOOKUP(Tabela1[[#This Row],[Denominação]],[10]Planilha1!$A:$B,2,FALSE),"")</f>
        <v>137567.97</v>
      </c>
      <c r="BC466" s="219"/>
      <c r="BD466" s="219"/>
      <c r="BE466" s="219"/>
      <c r="BF466" s="219"/>
      <c r="BG466" s="219"/>
      <c r="BH466" s="219"/>
      <c r="BI466" s="219"/>
      <c r="BJ466" s="219"/>
      <c r="BK466" s="219"/>
      <c r="BL466" s="219"/>
    </row>
    <row r="467" spans="1:64" ht="15" hidden="1" customHeight="1" x14ac:dyDescent="0.3">
      <c r="A467" s="268">
        <v>466</v>
      </c>
      <c r="B467" s="201" t="s">
        <v>1114</v>
      </c>
      <c r="C467" s="211" t="s">
        <v>2106</v>
      </c>
      <c r="D467" s="201">
        <v>10006523</v>
      </c>
      <c r="E467" s="253" t="s">
        <v>1493</v>
      </c>
      <c r="F467" s="253">
        <v>4552</v>
      </c>
      <c r="G467" s="201">
        <v>49052</v>
      </c>
      <c r="H467" s="201">
        <v>2018</v>
      </c>
      <c r="I467" s="216">
        <v>830350.91</v>
      </c>
      <c r="J467" s="214">
        <v>453260</v>
      </c>
      <c r="K467" s="170">
        <v>417883.38999999984</v>
      </c>
      <c r="L467" s="207">
        <v>0.82</v>
      </c>
      <c r="M467" s="212">
        <v>3702</v>
      </c>
      <c r="N467" s="212">
        <v>42516</v>
      </c>
      <c r="O467" s="171">
        <v>237</v>
      </c>
      <c r="P467" s="271" t="str">
        <f>IFERROR(VLOOKUP(Tabela1[[#This Row],[TAG]],#REF!,14,FALSE),"")</f>
        <v/>
      </c>
      <c r="Q467" s="204" t="e">
        <f>P467+P467</f>
        <v>#VALUE!</v>
      </c>
      <c r="R467" s="204" t="e">
        <f>Q467+P467</f>
        <v>#VALUE!</v>
      </c>
      <c r="S467" s="204" t="e">
        <f>R467+P467</f>
        <v>#VALUE!</v>
      </c>
      <c r="T467" s="204" t="e">
        <f>S467+P467</f>
        <v>#VALUE!</v>
      </c>
      <c r="U467" s="204" t="e">
        <f>T467+P467</f>
        <v>#VALUE!</v>
      </c>
      <c r="V467" s="204" t="e">
        <f>U467+P467</f>
        <v>#VALUE!</v>
      </c>
      <c r="W467" s="218">
        <v>881.25</v>
      </c>
      <c r="X467" s="218">
        <v>2947.68</v>
      </c>
      <c r="Y467" s="203">
        <v>0.1</v>
      </c>
      <c r="Z467" s="203">
        <f>IF(Tabela1[[#This Row],[Ano Aquisição]]=2023,0,IFERROR(VLOOKUP(H467,inflação!$F:$H,3,FALSE),""))</f>
        <v>0.2843</v>
      </c>
      <c r="AA467" s="203">
        <v>0.8</v>
      </c>
      <c r="AB467" s="202">
        <f t="shared" si="759"/>
        <v>-830350.91</v>
      </c>
      <c r="AC467" s="204" t="e">
        <f>-(((P467*$W467)+($X467*12))*((1+$Y467)^AC$1))</f>
        <v>#VALUE!</v>
      </c>
      <c r="AD467" s="204" t="e">
        <f t="shared" ref="AD467:AI469" si="924">-((((Q467-P467)*$W467)+($X467*12))*((1+$Y467)^AD$1))</f>
        <v>#VALUE!</v>
      </c>
      <c r="AE467" s="204" t="e">
        <f t="shared" si="924"/>
        <v>#VALUE!</v>
      </c>
      <c r="AF467" s="204" t="e">
        <f t="shared" si="924"/>
        <v>#VALUE!</v>
      </c>
      <c r="AG467" s="204" t="e">
        <f t="shared" si="924"/>
        <v>#VALUE!</v>
      </c>
      <c r="AH467" s="204" t="e">
        <f t="shared" si="924"/>
        <v>#VALUE!</v>
      </c>
      <c r="AI467" s="204" t="e">
        <f t="shared" si="924"/>
        <v>#VALUE!</v>
      </c>
      <c r="AJ467" s="205">
        <f t="shared" si="762"/>
        <v>-1066419.673713</v>
      </c>
      <c r="AK467" s="204" t="e">
        <f t="shared" ref="AK467:AQ469" si="925">AC467*(1-$AA467)</f>
        <v>#VALUE!</v>
      </c>
      <c r="AL467" s="204" t="e">
        <f t="shared" si="925"/>
        <v>#VALUE!</v>
      </c>
      <c r="AM467" s="204" t="e">
        <f t="shared" si="925"/>
        <v>#VALUE!</v>
      </c>
      <c r="AN467" s="204" t="e">
        <f t="shared" si="925"/>
        <v>#VALUE!</v>
      </c>
      <c r="AO467" s="204" t="e">
        <f t="shared" si="925"/>
        <v>#VALUE!</v>
      </c>
      <c r="AP467" s="204" t="e">
        <f t="shared" si="925"/>
        <v>#VALUE!</v>
      </c>
      <c r="AQ467" s="204" t="e">
        <f t="shared" si="925"/>
        <v>#VALUE!</v>
      </c>
      <c r="AR467" s="206" t="e">
        <f t="shared" si="764"/>
        <v>#VALUE!</v>
      </c>
      <c r="AS467" s="170" t="e">
        <f>SUM(AC467:AI467)</f>
        <v>#VALUE!</v>
      </c>
      <c r="AT467" s="170" t="e">
        <f>SUM(AK467:AQ467)</f>
        <v>#VALUE!</v>
      </c>
      <c r="AU467" s="207" t="e">
        <f t="shared" si="767"/>
        <v>#VALUE!</v>
      </c>
      <c r="AV467" s="208" t="e">
        <f t="shared" si="768"/>
        <v>#VALUE!</v>
      </c>
      <c r="AW467" s="201" t="str">
        <f t="shared" si="769"/>
        <v>Confiabilidade em Crescimento</v>
      </c>
      <c r="AX467" s="253" t="e">
        <f>VLOOKUP(D467,#REF!,5,FALSE)</f>
        <v>#REF!</v>
      </c>
      <c r="AY467" s="201"/>
      <c r="AZ467" s="273" t="s">
        <v>1224</v>
      </c>
      <c r="BB467">
        <f>IFERROR(VLOOKUP(Tabela1[[#This Row],[Denominação]],[10]Planilha1!$A:$B,2,FALSE),"")</f>
        <v>417883.38999999984</v>
      </c>
      <c r="BC467" s="219"/>
      <c r="BD467" s="219"/>
      <c r="BE467" s="219"/>
      <c r="BF467" s="219"/>
      <c r="BG467" s="219"/>
      <c r="BH467" s="219"/>
      <c r="BI467" s="219"/>
      <c r="BJ467" s="219"/>
      <c r="BK467" s="219"/>
      <c r="BL467" s="219"/>
    </row>
    <row r="468" spans="1:64" ht="15" hidden="1" customHeight="1" x14ac:dyDescent="0.3">
      <c r="A468" s="253">
        <v>467</v>
      </c>
      <c r="B468" s="201" t="s">
        <v>1116</v>
      </c>
      <c r="C468" s="211" t="s">
        <v>2107</v>
      </c>
      <c r="D468" s="201">
        <v>10006805</v>
      </c>
      <c r="E468" s="253" t="s">
        <v>1494</v>
      </c>
      <c r="F468" s="253">
        <v>4552</v>
      </c>
      <c r="G468" s="201">
        <v>63236</v>
      </c>
      <c r="H468" s="201">
        <v>2022</v>
      </c>
      <c r="I468" s="216">
        <v>1080409.46</v>
      </c>
      <c r="J468" s="214">
        <v>997754</v>
      </c>
      <c r="K468" s="170">
        <v>29592.170000000009</v>
      </c>
      <c r="L468" s="207">
        <v>0.78</v>
      </c>
      <c r="M468" s="271">
        <v>3516</v>
      </c>
      <c r="N468" s="212">
        <v>7165</v>
      </c>
      <c r="O468" s="171">
        <v>52</v>
      </c>
      <c r="P468" s="271" t="str">
        <f>IFERROR(VLOOKUP(Tabela1[[#This Row],[TAG]],#REF!,14,FALSE),"")</f>
        <v/>
      </c>
      <c r="Q468" s="204" t="e">
        <f>P468+P468</f>
        <v>#VALUE!</v>
      </c>
      <c r="R468" s="204" t="e">
        <f>Q468+P468</f>
        <v>#VALUE!</v>
      </c>
      <c r="S468" s="204" t="e">
        <f>R468+P468</f>
        <v>#VALUE!</v>
      </c>
      <c r="T468" s="204" t="e">
        <f>S468+P468</f>
        <v>#VALUE!</v>
      </c>
      <c r="U468" s="204" t="e">
        <f>T468+P468</f>
        <v>#VALUE!</v>
      </c>
      <c r="V468" s="204" t="e">
        <f>U468+P468</f>
        <v>#VALUE!</v>
      </c>
      <c r="W468" s="218">
        <v>411.27</v>
      </c>
      <c r="X468" s="218">
        <v>1061.8900000000001</v>
      </c>
      <c r="Y468" s="203">
        <v>0.1</v>
      </c>
      <c r="Z468" s="203">
        <f>IF(Tabela1[[#This Row],[Ano Aquisição]]=2023,0,IFERROR(VLOOKUP(H468,inflação!$F:$H,3,FALSE),""))</f>
        <v>5.79E-2</v>
      </c>
      <c r="AA468" s="203">
        <v>0.8</v>
      </c>
      <c r="AB468" s="202">
        <f t="shared" si="759"/>
        <v>-1080409.46</v>
      </c>
      <c r="AC468" s="204" t="e">
        <f>-(((P468*$W468)+($X468*12))*((1+$Y468)^AC$1))</f>
        <v>#VALUE!</v>
      </c>
      <c r="AD468" s="204" t="e">
        <f t="shared" si="924"/>
        <v>#VALUE!</v>
      </c>
      <c r="AE468" s="204" t="e">
        <f t="shared" si="924"/>
        <v>#VALUE!</v>
      </c>
      <c r="AF468" s="204" t="e">
        <f t="shared" si="924"/>
        <v>#VALUE!</v>
      </c>
      <c r="AG468" s="204" t="e">
        <f t="shared" si="924"/>
        <v>#VALUE!</v>
      </c>
      <c r="AH468" s="204" t="e">
        <f t="shared" si="924"/>
        <v>#VALUE!</v>
      </c>
      <c r="AI468" s="204" t="e">
        <f t="shared" si="924"/>
        <v>#VALUE!</v>
      </c>
      <c r="AJ468" s="205">
        <f t="shared" si="762"/>
        <v>-1142965.1677340001</v>
      </c>
      <c r="AK468" s="204" t="e">
        <f t="shared" si="925"/>
        <v>#VALUE!</v>
      </c>
      <c r="AL468" s="204" t="e">
        <f t="shared" si="925"/>
        <v>#VALUE!</v>
      </c>
      <c r="AM468" s="204" t="e">
        <f t="shared" si="925"/>
        <v>#VALUE!</v>
      </c>
      <c r="AN468" s="204" t="e">
        <f t="shared" si="925"/>
        <v>#VALUE!</v>
      </c>
      <c r="AO468" s="204" t="e">
        <f t="shared" si="925"/>
        <v>#VALUE!</v>
      </c>
      <c r="AP468" s="204" t="e">
        <f t="shared" si="925"/>
        <v>#VALUE!</v>
      </c>
      <c r="AQ468" s="204" t="e">
        <f t="shared" si="925"/>
        <v>#VALUE!</v>
      </c>
      <c r="AR468" s="206" t="e">
        <f t="shared" si="764"/>
        <v>#VALUE!</v>
      </c>
      <c r="AS468" s="170" t="e">
        <f>SUM(AC468:AI468)</f>
        <v>#VALUE!</v>
      </c>
      <c r="AT468" s="170" t="e">
        <f>SUM(AK468:AQ468)</f>
        <v>#VALUE!</v>
      </c>
      <c r="AU468" s="207" t="e">
        <f t="shared" si="767"/>
        <v>#VALUE!</v>
      </c>
      <c r="AV468" s="208" t="e">
        <f t="shared" si="768"/>
        <v>#VALUE!</v>
      </c>
      <c r="AW468" s="201" t="str">
        <f t="shared" si="769"/>
        <v>Confiabilidade em Crescimento</v>
      </c>
      <c r="AX468" s="253" t="e">
        <f>VLOOKUP(D468,#REF!,5,FALSE)</f>
        <v>#REF!</v>
      </c>
      <c r="AY468" s="201"/>
      <c r="AZ468" s="273" t="s">
        <v>1224</v>
      </c>
      <c r="BB468">
        <f>IFERROR(VLOOKUP(Tabela1[[#This Row],[Denominação]],[10]Planilha1!$A:$B,2,FALSE),"")</f>
        <v>29592.170000000009</v>
      </c>
      <c r="BC468" s="219"/>
      <c r="BD468" s="219"/>
      <c r="BE468" s="219"/>
      <c r="BF468" s="219"/>
      <c r="BG468" s="219"/>
      <c r="BH468" s="219"/>
      <c r="BI468" s="219"/>
      <c r="BJ468" s="219"/>
      <c r="BK468" s="219"/>
      <c r="BL468" s="219"/>
    </row>
    <row r="469" spans="1:64" ht="15" hidden="1" customHeight="1" x14ac:dyDescent="0.3">
      <c r="A469" s="268">
        <v>468</v>
      </c>
      <c r="B469" s="201" t="s">
        <v>1118</v>
      </c>
      <c r="C469" s="211" t="s">
        <v>2108</v>
      </c>
      <c r="D469" s="201">
        <v>10006806</v>
      </c>
      <c r="E469" s="253" t="s">
        <v>1495</v>
      </c>
      <c r="F469" s="253">
        <v>4552</v>
      </c>
      <c r="G469" s="201">
        <v>63237</v>
      </c>
      <c r="H469" s="201">
        <v>2022</v>
      </c>
      <c r="I469" s="216">
        <v>1080408.8400000001</v>
      </c>
      <c r="J469" s="214">
        <v>997754</v>
      </c>
      <c r="K469" s="170">
        <v>51007.219999999987</v>
      </c>
      <c r="L469" s="207">
        <v>1.35</v>
      </c>
      <c r="M469" s="212">
        <v>3330</v>
      </c>
      <c r="N469" s="212">
        <v>7513</v>
      </c>
      <c r="O469" s="171">
        <v>62</v>
      </c>
      <c r="P469" s="271" t="str">
        <f>IFERROR(VLOOKUP(Tabela1[[#This Row],[TAG]],#REF!,14,FALSE),"")</f>
        <v/>
      </c>
      <c r="Q469" s="204" t="e">
        <f>P469+P469</f>
        <v>#VALUE!</v>
      </c>
      <c r="R469" s="204" t="e">
        <f>Q469+P469</f>
        <v>#VALUE!</v>
      </c>
      <c r="S469" s="204" t="e">
        <f>R469+P469</f>
        <v>#VALUE!</v>
      </c>
      <c r="T469" s="204" t="e">
        <f>S469+P469</f>
        <v>#VALUE!</v>
      </c>
      <c r="U469" s="204" t="e">
        <f>T469+P469</f>
        <v>#VALUE!</v>
      </c>
      <c r="V469" s="204" t="e">
        <f>U469+P469</f>
        <v>#VALUE!</v>
      </c>
      <c r="W469" s="218">
        <v>597.15</v>
      </c>
      <c r="X469" s="218">
        <v>2366.38</v>
      </c>
      <c r="Y469" s="203">
        <v>0.1</v>
      </c>
      <c r="Z469" s="203">
        <f>IF(Tabela1[[#This Row],[Ano Aquisição]]=2023,0,IFERROR(VLOOKUP(H469,inflação!$F:$H,3,FALSE),""))</f>
        <v>5.79E-2</v>
      </c>
      <c r="AA469" s="203">
        <v>0.8</v>
      </c>
      <c r="AB469" s="202">
        <f t="shared" si="759"/>
        <v>-1080408.8400000001</v>
      </c>
      <c r="AC469" s="204" t="e">
        <f>-(((P469*$W469)+($X469*12))*((1+$Y469)^AC$1))</f>
        <v>#VALUE!</v>
      </c>
      <c r="AD469" s="204" t="e">
        <f t="shared" si="924"/>
        <v>#VALUE!</v>
      </c>
      <c r="AE469" s="204" t="e">
        <f t="shared" si="924"/>
        <v>#VALUE!</v>
      </c>
      <c r="AF469" s="204" t="e">
        <f t="shared" si="924"/>
        <v>#VALUE!</v>
      </c>
      <c r="AG469" s="204" t="e">
        <f t="shared" si="924"/>
        <v>#VALUE!</v>
      </c>
      <c r="AH469" s="204" t="e">
        <f t="shared" si="924"/>
        <v>#VALUE!</v>
      </c>
      <c r="AI469" s="204" t="e">
        <f t="shared" si="924"/>
        <v>#VALUE!</v>
      </c>
      <c r="AJ469" s="205">
        <f t="shared" si="762"/>
        <v>-1142964.5118360003</v>
      </c>
      <c r="AK469" s="204" t="e">
        <f t="shared" si="925"/>
        <v>#VALUE!</v>
      </c>
      <c r="AL469" s="204" t="e">
        <f t="shared" si="925"/>
        <v>#VALUE!</v>
      </c>
      <c r="AM469" s="204" t="e">
        <f t="shared" si="925"/>
        <v>#VALUE!</v>
      </c>
      <c r="AN469" s="204" t="e">
        <f t="shared" si="925"/>
        <v>#VALUE!</v>
      </c>
      <c r="AO469" s="204" t="e">
        <f t="shared" si="925"/>
        <v>#VALUE!</v>
      </c>
      <c r="AP469" s="204" t="e">
        <f t="shared" si="925"/>
        <v>#VALUE!</v>
      </c>
      <c r="AQ469" s="204" t="e">
        <f t="shared" si="925"/>
        <v>#VALUE!</v>
      </c>
      <c r="AR469" s="206" t="e">
        <f t="shared" si="764"/>
        <v>#VALUE!</v>
      </c>
      <c r="AS469" s="170" t="e">
        <f>SUM(AC469:AI469)</f>
        <v>#VALUE!</v>
      </c>
      <c r="AT469" s="170" t="e">
        <f>SUM(AK469:AQ469)</f>
        <v>#VALUE!</v>
      </c>
      <c r="AU469" s="207" t="e">
        <f t="shared" si="767"/>
        <v>#VALUE!</v>
      </c>
      <c r="AV469" s="208" t="e">
        <f t="shared" si="768"/>
        <v>#VALUE!</v>
      </c>
      <c r="AW469" s="201" t="str">
        <f t="shared" si="769"/>
        <v>Fase de Degradação</v>
      </c>
      <c r="AX469" s="253" t="e">
        <f>VLOOKUP(D469,#REF!,5,FALSE)</f>
        <v>#REF!</v>
      </c>
      <c r="AY469" s="201"/>
      <c r="AZ469" s="273" t="s">
        <v>1224</v>
      </c>
      <c r="BB469">
        <f>IFERROR(VLOOKUP(Tabela1[[#This Row],[Denominação]],[10]Planilha1!$A:$B,2,FALSE),"")</f>
        <v>51007.219999999987</v>
      </c>
      <c r="BC469" s="219"/>
      <c r="BD469" s="219"/>
      <c r="BE469" s="219"/>
      <c r="BF469" s="219"/>
      <c r="BG469" s="219"/>
      <c r="BH469" s="219"/>
      <c r="BI469" s="219"/>
      <c r="BJ469" s="219"/>
      <c r="BK469" s="219"/>
      <c r="BL469" s="219"/>
    </row>
    <row r="470" spans="1:64" ht="15" hidden="1" customHeight="1" x14ac:dyDescent="0.3">
      <c r="A470" s="253">
        <v>469</v>
      </c>
      <c r="B470" s="300" t="s">
        <v>1857</v>
      </c>
      <c r="C470" s="318" t="s">
        <v>1726</v>
      </c>
      <c r="D470" s="315">
        <v>10006923</v>
      </c>
      <c r="E470" s="299" t="s">
        <v>1787</v>
      </c>
      <c r="F470" s="299">
        <v>4552</v>
      </c>
      <c r="G470" s="323">
        <v>900000023863</v>
      </c>
      <c r="H470" s="315">
        <v>2022</v>
      </c>
      <c r="I470" s="329">
        <v>435519.9</v>
      </c>
      <c r="J470" s="330">
        <v>435519</v>
      </c>
      <c r="K470" s="326"/>
      <c r="L470" s="319"/>
      <c r="M470" s="320"/>
      <c r="N470" s="320"/>
      <c r="O470" s="321"/>
      <c r="P470" s="271" t="str">
        <f>IFERROR(VLOOKUP(Tabela1[[#This Row],[TAG]],#REF!,14,FALSE),"")</f>
        <v/>
      </c>
      <c r="Q470" s="323"/>
      <c r="R470" s="323"/>
      <c r="S470" s="323"/>
      <c r="T470" s="323"/>
      <c r="U470" s="323"/>
      <c r="V470" s="323"/>
      <c r="W470" s="304"/>
      <c r="X470" s="304"/>
      <c r="Y470" s="322"/>
      <c r="Z470" s="322">
        <f>IF(Tabela1[[#This Row],[Ano Aquisição]]=2023,0,IFERROR(VLOOKUP(H470,inflação!$F:$H,3,FALSE),""))</f>
        <v>5.79E-2</v>
      </c>
      <c r="AA470" s="322"/>
      <c r="AB470" s="310"/>
      <c r="AC470" s="323"/>
      <c r="AD470" s="323"/>
      <c r="AE470" s="323"/>
      <c r="AF470" s="323"/>
      <c r="AG470" s="323"/>
      <c r="AH470" s="323"/>
      <c r="AI470" s="323"/>
      <c r="AJ470" s="324"/>
      <c r="AK470" s="323"/>
      <c r="AL470" s="323"/>
      <c r="AM470" s="323"/>
      <c r="AN470" s="323"/>
      <c r="AO470" s="323"/>
      <c r="AP470" s="323"/>
      <c r="AQ470" s="323"/>
      <c r="AR470" s="325"/>
      <c r="AS470" s="326"/>
      <c r="AT470" s="326"/>
      <c r="AU470" s="319"/>
      <c r="AV470" s="327"/>
      <c r="AW470" s="315"/>
      <c r="AX470" s="299" t="e">
        <f>VLOOKUP(D470,#REF!,5,FALSE)</f>
        <v>#REF!</v>
      </c>
      <c r="AY470" s="315"/>
      <c r="AZ470" s="316" t="s">
        <v>1224</v>
      </c>
      <c r="BB470" t="str">
        <f>IFERROR(VLOOKUP(Tabela1[[#This Row],[Denominação]],[10]Planilha1!$A:$B,2,FALSE),"")</f>
        <v/>
      </c>
      <c r="BC470" s="219"/>
      <c r="BD470" s="219"/>
      <c r="BE470" s="219"/>
      <c r="BF470" s="219"/>
      <c r="BG470" s="219"/>
      <c r="BH470" s="219"/>
      <c r="BI470" s="219"/>
      <c r="BJ470" s="219"/>
      <c r="BK470" s="219"/>
      <c r="BL470" s="219"/>
    </row>
    <row r="471" spans="1:64" ht="15" hidden="1" customHeight="1" x14ac:dyDescent="0.3">
      <c r="A471" s="268">
        <v>470</v>
      </c>
      <c r="B471" s="315" t="s">
        <v>1120</v>
      </c>
      <c r="C471" s="318" t="s">
        <v>1121</v>
      </c>
      <c r="D471" s="315">
        <v>10004026</v>
      </c>
      <c r="E471" s="299" t="s">
        <v>1496</v>
      </c>
      <c r="F471" s="299">
        <v>4536</v>
      </c>
      <c r="G471" s="315">
        <v>20725</v>
      </c>
      <c r="H471" s="315">
        <v>2004</v>
      </c>
      <c r="I471" s="329">
        <v>1083456.4099999999</v>
      </c>
      <c r="J471" s="330">
        <v>40801</v>
      </c>
      <c r="K471" s="326">
        <v>424016.85999999894</v>
      </c>
      <c r="L471" s="319">
        <v>1.34</v>
      </c>
      <c r="M471" s="320">
        <v>3724</v>
      </c>
      <c r="N471" s="320">
        <v>111383</v>
      </c>
      <c r="O471" s="321">
        <v>1281</v>
      </c>
      <c r="P471" s="271" t="str">
        <f>IFERROR(VLOOKUP(Tabela1[[#This Row],[TAG]],#REF!,14,FALSE),"")</f>
        <v/>
      </c>
      <c r="Q471" s="323" t="e">
        <f t="shared" ref="Q471:Q483" si="926">P471+P471</f>
        <v>#VALUE!</v>
      </c>
      <c r="R471" s="323" t="e">
        <f t="shared" ref="R471:R483" si="927">Q471+P471</f>
        <v>#VALUE!</v>
      </c>
      <c r="S471" s="323" t="e">
        <f t="shared" ref="S471:S483" si="928">R471+P471</f>
        <v>#VALUE!</v>
      </c>
      <c r="T471" s="323" t="e">
        <f t="shared" ref="T471:T483" si="929">S471+P471</f>
        <v>#VALUE!</v>
      </c>
      <c r="U471" s="323" t="e">
        <f t="shared" ref="U471:U483" si="930">T471+P471</f>
        <v>#VALUE!</v>
      </c>
      <c r="V471" s="323" t="e">
        <f t="shared" ref="V471:V483" si="931">U471+P471</f>
        <v>#VALUE!</v>
      </c>
      <c r="W471" s="304"/>
      <c r="X471" s="304"/>
      <c r="Y471" s="322">
        <v>0.1</v>
      </c>
      <c r="Z471" s="322">
        <f>IF(Tabela1[[#This Row],[Ano Aquisição]]=2023,0,IFERROR(VLOOKUP(H471,inflação!$F:$H,3,FALSE),""))</f>
        <v>1.1001000000000001</v>
      </c>
      <c r="AA471" s="322">
        <v>0.8</v>
      </c>
      <c r="AB471" s="310">
        <f t="shared" ref="AB471:AB502" si="932">I471*-1</f>
        <v>-1083456.4099999999</v>
      </c>
      <c r="AC471" s="323" t="e">
        <f t="shared" ref="AC471:AC482" si="933">-(((P471*$W471)+($X471*12))*((1+$Y471)^AC$1))</f>
        <v>#VALUE!</v>
      </c>
      <c r="AD471" s="323" t="e">
        <f t="shared" ref="AD471:AD482" si="934">-((((Q471-P471)*$W471)+($X471*12))*((1+$Y471)^AD$1))</f>
        <v>#VALUE!</v>
      </c>
      <c r="AE471" s="323" t="e">
        <f t="shared" ref="AE471:AE482" si="935">-((((R471-Q471)*$W471)+($X471*12))*((1+$Y471)^AE$1))</f>
        <v>#VALUE!</v>
      </c>
      <c r="AF471" s="323" t="e">
        <f t="shared" ref="AF471:AF482" si="936">-((((S471-R471)*$W471)+($X471*12))*((1+$Y471)^AF$1))</f>
        <v>#VALUE!</v>
      </c>
      <c r="AG471" s="323" t="e">
        <f t="shared" ref="AG471:AG482" si="937">-((((T471-S471)*$W471)+($X471*12))*((1+$Y471)^AG$1))</f>
        <v>#VALUE!</v>
      </c>
      <c r="AH471" s="323" t="e">
        <f t="shared" ref="AH471:AH482" si="938">-((((U471-T471)*$W471)+($X471*12))*((1+$Y471)^AH$1))</f>
        <v>#VALUE!</v>
      </c>
      <c r="AI471" s="323" t="e">
        <f t="shared" ref="AI471:AI482" si="939">-((((V471-U471)*$W471)+($X471*12))*((1+$Y471)^AI$1))</f>
        <v>#VALUE!</v>
      </c>
      <c r="AJ471" s="324">
        <f t="shared" ref="AJ471:AJ502" si="940">-(I471*(1+Z471))</f>
        <v>-2275366.8066410003</v>
      </c>
      <c r="AK471" s="323" t="e">
        <f t="shared" ref="AK471:AK482" si="941">AC471*(1-$AA471)</f>
        <v>#VALUE!</v>
      </c>
      <c r="AL471" s="323" t="e">
        <f t="shared" ref="AL471:AL482" si="942">AD471*(1-$AA471)</f>
        <v>#VALUE!</v>
      </c>
      <c r="AM471" s="323" t="e">
        <f t="shared" ref="AM471:AM482" si="943">AE471*(1-$AA471)</f>
        <v>#VALUE!</v>
      </c>
      <c r="AN471" s="323" t="e">
        <f t="shared" ref="AN471:AN482" si="944">AF471*(1-$AA471)</f>
        <v>#VALUE!</v>
      </c>
      <c r="AO471" s="323" t="e">
        <f t="shared" ref="AO471:AO482" si="945">AG471*(1-$AA471)</f>
        <v>#VALUE!</v>
      </c>
      <c r="AP471" s="323" t="e">
        <f t="shared" ref="AP471:AP482" si="946">AH471*(1-$AA471)</f>
        <v>#VALUE!</v>
      </c>
      <c r="AQ471" s="323" t="e">
        <f t="shared" ref="AQ471:AQ482" si="947">AI471*(1-$AA471)</f>
        <v>#VALUE!</v>
      </c>
      <c r="AR471" s="325" t="e">
        <f t="shared" ref="AR471:AR502" si="948">(NPV(Y471,AK471,AL471,AM471,AN471,AO471,AP471,AQ471)+(SUM(AJ471,(J471*-1))))-(NPV(Y471,AC471,AD471,AE471,AF471,AG471,AH471,AI471))</f>
        <v>#VALUE!</v>
      </c>
      <c r="AS471" s="326" t="e">
        <f t="shared" ref="AS471:AS482" si="949">SUM(AC471:AI471)</f>
        <v>#VALUE!</v>
      </c>
      <c r="AT471" s="326" t="e">
        <f t="shared" ref="AT471:AT482" si="950">SUM(AK471:AQ471)</f>
        <v>#VALUE!</v>
      </c>
      <c r="AU471" s="319" t="e">
        <f t="shared" ref="AU471:AU502" si="951">(((AVERAGE(AC471:AI471)/1000)-(AVERAGE(AK471:AQ471)/1000))+(((AJ471/1000)*-1)/7)+((J471/1000)/7))*-1</f>
        <v>#VALUE!</v>
      </c>
      <c r="AV471" s="327" t="e">
        <f t="shared" ref="AV471:AV502" si="952">AU471/(((J471/1000)+((AJ471*-1)/1000)))</f>
        <v>#VALUE!</v>
      </c>
      <c r="AW471" s="315" t="str">
        <f t="shared" ref="AW471:AW502" si="953">IF(L471&gt;1.1,"Fase de Degradação",IF(L471&lt;1,"Confiabilidade em Crescimento","Fase de Vida Útil"))</f>
        <v>Fase de Degradação</v>
      </c>
      <c r="AX471" s="299" t="e">
        <f>VLOOKUP(D471,#REF!,5,FALSE)</f>
        <v>#REF!</v>
      </c>
      <c r="AY471" s="315"/>
      <c r="AZ471" s="316" t="s">
        <v>1224</v>
      </c>
      <c r="BB471">
        <f>IFERROR(VLOOKUP(Tabela1[[#This Row],[Denominação]],[10]Planilha1!$A:$B,2,FALSE),"")</f>
        <v>424016.85999999894</v>
      </c>
      <c r="BC471" s="219"/>
      <c r="BD471" s="219"/>
      <c r="BE471" s="219"/>
      <c r="BF471" s="219"/>
      <c r="BG471" s="219"/>
      <c r="BH471" s="219"/>
      <c r="BI471" s="219"/>
      <c r="BJ471" s="219"/>
      <c r="BK471" s="219"/>
      <c r="BL471" s="219"/>
    </row>
    <row r="472" spans="1:64" ht="15" hidden="1" customHeight="1" x14ac:dyDescent="0.3">
      <c r="A472" s="253">
        <v>471</v>
      </c>
      <c r="B472" s="201" t="s">
        <v>805</v>
      </c>
      <c r="C472" s="211" t="s">
        <v>806</v>
      </c>
      <c r="D472" s="201">
        <v>10004930</v>
      </c>
      <c r="E472" s="253" t="s">
        <v>1497</v>
      </c>
      <c r="F472" s="253">
        <v>4536</v>
      </c>
      <c r="G472" s="201">
        <v>35972</v>
      </c>
      <c r="H472" s="201">
        <v>2007</v>
      </c>
      <c r="I472" s="216">
        <v>98027.67</v>
      </c>
      <c r="J472" s="214">
        <v>15747</v>
      </c>
      <c r="K472" s="170">
        <v>541804.04000000027</v>
      </c>
      <c r="L472" s="207">
        <v>0.76</v>
      </c>
      <c r="M472" s="212">
        <v>3604</v>
      </c>
      <c r="N472" s="212">
        <v>139340</v>
      </c>
      <c r="O472" s="171">
        <v>1730</v>
      </c>
      <c r="P472" s="271" t="str">
        <f>IFERROR(VLOOKUP(Tabela1[[#This Row],[TAG]],#REF!,14,FALSE),"")</f>
        <v/>
      </c>
      <c r="Q472" s="204" t="e">
        <f t="shared" si="926"/>
        <v>#VALUE!</v>
      </c>
      <c r="R472" s="204" t="e">
        <f t="shared" si="927"/>
        <v>#VALUE!</v>
      </c>
      <c r="S472" s="204" t="e">
        <f t="shared" si="928"/>
        <v>#VALUE!</v>
      </c>
      <c r="T472" s="204" t="e">
        <f t="shared" si="929"/>
        <v>#VALUE!</v>
      </c>
      <c r="U472" s="204" t="e">
        <f t="shared" si="930"/>
        <v>#VALUE!</v>
      </c>
      <c r="V472" s="204" t="e">
        <f t="shared" si="931"/>
        <v>#VALUE!</v>
      </c>
      <c r="W472" s="218">
        <v>403.2</v>
      </c>
      <c r="X472" s="218">
        <v>2814.37</v>
      </c>
      <c r="Y472" s="203">
        <v>0.1</v>
      </c>
      <c r="Z472" s="203">
        <f>IF(Tabela1[[#This Row],[Ano Aquisição]]=2023,0,IFERROR(VLOOKUP(H472,inflação!$F:$H,3,FALSE),""))</f>
        <v>0.93579999999999997</v>
      </c>
      <c r="AA472" s="203">
        <v>0.8</v>
      </c>
      <c r="AB472" s="202">
        <f t="shared" si="932"/>
        <v>-98027.67</v>
      </c>
      <c r="AC472" s="204" t="e">
        <f t="shared" si="933"/>
        <v>#VALUE!</v>
      </c>
      <c r="AD472" s="204" t="e">
        <f t="shared" si="934"/>
        <v>#VALUE!</v>
      </c>
      <c r="AE472" s="204" t="e">
        <f t="shared" si="935"/>
        <v>#VALUE!</v>
      </c>
      <c r="AF472" s="204" t="e">
        <f t="shared" si="936"/>
        <v>#VALUE!</v>
      </c>
      <c r="AG472" s="204" t="e">
        <f t="shared" si="937"/>
        <v>#VALUE!</v>
      </c>
      <c r="AH472" s="204" t="e">
        <f t="shared" si="938"/>
        <v>#VALUE!</v>
      </c>
      <c r="AI472" s="204" t="e">
        <f t="shared" si="939"/>
        <v>#VALUE!</v>
      </c>
      <c r="AJ472" s="205">
        <f t="shared" si="940"/>
        <v>-189761.963586</v>
      </c>
      <c r="AK472" s="204" t="e">
        <f t="shared" si="941"/>
        <v>#VALUE!</v>
      </c>
      <c r="AL472" s="204" t="e">
        <f t="shared" si="942"/>
        <v>#VALUE!</v>
      </c>
      <c r="AM472" s="204" t="e">
        <f t="shared" si="943"/>
        <v>#VALUE!</v>
      </c>
      <c r="AN472" s="204" t="e">
        <f t="shared" si="944"/>
        <v>#VALUE!</v>
      </c>
      <c r="AO472" s="204" t="e">
        <f t="shared" si="945"/>
        <v>#VALUE!</v>
      </c>
      <c r="AP472" s="204" t="e">
        <f t="shared" si="946"/>
        <v>#VALUE!</v>
      </c>
      <c r="AQ472" s="204" t="e">
        <f t="shared" si="947"/>
        <v>#VALUE!</v>
      </c>
      <c r="AR472" s="206" t="e">
        <f t="shared" si="948"/>
        <v>#VALUE!</v>
      </c>
      <c r="AS472" s="170" t="e">
        <f t="shared" si="949"/>
        <v>#VALUE!</v>
      </c>
      <c r="AT472" s="170" t="e">
        <f t="shared" si="950"/>
        <v>#VALUE!</v>
      </c>
      <c r="AU472" s="207" t="e">
        <f t="shared" si="951"/>
        <v>#VALUE!</v>
      </c>
      <c r="AV472" s="208" t="e">
        <f t="shared" si="952"/>
        <v>#VALUE!</v>
      </c>
      <c r="AW472" s="201" t="str">
        <f t="shared" si="953"/>
        <v>Confiabilidade em Crescimento</v>
      </c>
      <c r="AX472" s="253" t="e">
        <f>VLOOKUP(D472,#REF!,5,FALSE)</f>
        <v>#REF!</v>
      </c>
      <c r="AY472" s="201"/>
      <c r="AZ472" s="273" t="s">
        <v>1224</v>
      </c>
      <c r="BB472">
        <f>IFERROR(VLOOKUP(Tabela1[[#This Row],[Denominação]],[10]Planilha1!$A:$B,2,FALSE),"")</f>
        <v>541804.04000000027</v>
      </c>
      <c r="BC472" s="219"/>
      <c r="BD472" s="219"/>
      <c r="BE472" s="219"/>
      <c r="BF472" s="219"/>
      <c r="BG472" s="219"/>
      <c r="BH472" s="219"/>
      <c r="BI472" s="219"/>
      <c r="BJ472" s="219"/>
      <c r="BK472" s="219"/>
      <c r="BL472" s="219"/>
    </row>
    <row r="473" spans="1:64" ht="15" hidden="1" customHeight="1" x14ac:dyDescent="0.3">
      <c r="A473" s="268">
        <v>472</v>
      </c>
      <c r="B473" s="201" t="s">
        <v>807</v>
      </c>
      <c r="C473" s="211" t="s">
        <v>808</v>
      </c>
      <c r="D473" s="201">
        <v>10005926</v>
      </c>
      <c r="E473" s="253" t="s">
        <v>1483</v>
      </c>
      <c r="F473" s="253">
        <v>4563</v>
      </c>
      <c r="G473" s="201">
        <v>41486</v>
      </c>
      <c r="H473" s="201">
        <v>2012</v>
      </c>
      <c r="I473" s="216">
        <v>226836.67</v>
      </c>
      <c r="J473" s="214">
        <v>0</v>
      </c>
      <c r="K473" s="170">
        <v>295896.94000000018</v>
      </c>
      <c r="L473" s="207">
        <v>1.2</v>
      </c>
      <c r="M473" s="212">
        <v>3769</v>
      </c>
      <c r="N473" s="212">
        <v>93033</v>
      </c>
      <c r="O473" s="171">
        <v>503</v>
      </c>
      <c r="P473" s="271" t="str">
        <f>IFERROR(VLOOKUP(Tabela1[[#This Row],[TAG]],#REF!,14,FALSE),"")</f>
        <v/>
      </c>
      <c r="Q473" s="204" t="e">
        <f t="shared" si="926"/>
        <v>#VALUE!</v>
      </c>
      <c r="R473" s="204" t="e">
        <f t="shared" si="927"/>
        <v>#VALUE!</v>
      </c>
      <c r="S473" s="204" t="e">
        <f t="shared" si="928"/>
        <v>#VALUE!</v>
      </c>
      <c r="T473" s="204" t="e">
        <f t="shared" si="929"/>
        <v>#VALUE!</v>
      </c>
      <c r="U473" s="204" t="e">
        <f t="shared" si="930"/>
        <v>#VALUE!</v>
      </c>
      <c r="V473" s="204" t="e">
        <f t="shared" si="931"/>
        <v>#VALUE!</v>
      </c>
      <c r="W473" s="218">
        <v>475.9</v>
      </c>
      <c r="X473" s="218">
        <v>2691.28</v>
      </c>
      <c r="Y473" s="203">
        <v>0.1</v>
      </c>
      <c r="Z473" s="203">
        <f>IF(Tabela1[[#This Row],[Ano Aquisição]]=2023,0,IFERROR(VLOOKUP(H473,inflação!$F:$H,3,FALSE),""))</f>
        <v>0.66500000000000004</v>
      </c>
      <c r="AA473" s="203">
        <v>0.8</v>
      </c>
      <c r="AB473" s="202">
        <f t="shared" si="932"/>
        <v>-226836.67</v>
      </c>
      <c r="AC473" s="204" t="e">
        <f t="shared" si="933"/>
        <v>#VALUE!</v>
      </c>
      <c r="AD473" s="204" t="e">
        <f t="shared" si="934"/>
        <v>#VALUE!</v>
      </c>
      <c r="AE473" s="204" t="e">
        <f t="shared" si="935"/>
        <v>#VALUE!</v>
      </c>
      <c r="AF473" s="204" t="e">
        <f t="shared" si="936"/>
        <v>#VALUE!</v>
      </c>
      <c r="AG473" s="204" t="e">
        <f t="shared" si="937"/>
        <v>#VALUE!</v>
      </c>
      <c r="AH473" s="204" t="e">
        <f t="shared" si="938"/>
        <v>#VALUE!</v>
      </c>
      <c r="AI473" s="204" t="e">
        <f t="shared" si="939"/>
        <v>#VALUE!</v>
      </c>
      <c r="AJ473" s="205">
        <f t="shared" si="940"/>
        <v>-377683.05555000005</v>
      </c>
      <c r="AK473" s="204" t="e">
        <f t="shared" si="941"/>
        <v>#VALUE!</v>
      </c>
      <c r="AL473" s="204" t="e">
        <f t="shared" si="942"/>
        <v>#VALUE!</v>
      </c>
      <c r="AM473" s="204" t="e">
        <f t="shared" si="943"/>
        <v>#VALUE!</v>
      </c>
      <c r="AN473" s="204" t="e">
        <f t="shared" si="944"/>
        <v>#VALUE!</v>
      </c>
      <c r="AO473" s="204" t="e">
        <f t="shared" si="945"/>
        <v>#VALUE!</v>
      </c>
      <c r="AP473" s="204" t="e">
        <f t="shared" si="946"/>
        <v>#VALUE!</v>
      </c>
      <c r="AQ473" s="204" t="e">
        <f t="shared" si="947"/>
        <v>#VALUE!</v>
      </c>
      <c r="AR473" s="206" t="e">
        <f t="shared" si="948"/>
        <v>#VALUE!</v>
      </c>
      <c r="AS473" s="170" t="e">
        <f t="shared" si="949"/>
        <v>#VALUE!</v>
      </c>
      <c r="AT473" s="170" t="e">
        <f t="shared" si="950"/>
        <v>#VALUE!</v>
      </c>
      <c r="AU473" s="207" t="e">
        <f t="shared" si="951"/>
        <v>#VALUE!</v>
      </c>
      <c r="AV473" s="208" t="e">
        <f t="shared" si="952"/>
        <v>#VALUE!</v>
      </c>
      <c r="AW473" s="201" t="str">
        <f t="shared" si="953"/>
        <v>Fase de Degradação</v>
      </c>
      <c r="AX473" s="253" t="e">
        <f>VLOOKUP(D473,#REF!,5,FALSE)</f>
        <v>#REF!</v>
      </c>
      <c r="AY473" s="201"/>
      <c r="AZ473" s="273" t="s">
        <v>1224</v>
      </c>
      <c r="BB473">
        <f>IFERROR(VLOOKUP(Tabela1[[#This Row],[Denominação]],[10]Planilha1!$A:$B,2,FALSE),"")</f>
        <v>295896.94000000018</v>
      </c>
      <c r="BC473" s="219"/>
      <c r="BD473" s="219"/>
      <c r="BE473" s="219"/>
      <c r="BF473" s="219"/>
      <c r="BG473" s="219"/>
      <c r="BH473" s="219"/>
      <c r="BI473" s="219"/>
      <c r="BJ473" s="219"/>
      <c r="BK473" s="219"/>
      <c r="BL473" s="219"/>
    </row>
    <row r="474" spans="1:64" ht="15" hidden="1" customHeight="1" x14ac:dyDescent="0.3">
      <c r="A474" s="253">
        <v>473</v>
      </c>
      <c r="B474" s="171" t="s">
        <v>123</v>
      </c>
      <c r="C474" s="209" t="s">
        <v>124</v>
      </c>
      <c r="D474" s="171">
        <v>10006138</v>
      </c>
      <c r="E474" s="253" t="s">
        <v>1484</v>
      </c>
      <c r="F474" s="210">
        <v>4563</v>
      </c>
      <c r="G474" s="171">
        <v>41688</v>
      </c>
      <c r="H474" s="171">
        <v>2012</v>
      </c>
      <c r="I474" s="213">
        <v>409932.87</v>
      </c>
      <c r="J474" s="213">
        <v>14116</v>
      </c>
      <c r="K474" s="170">
        <v>378841.8799999996</v>
      </c>
      <c r="L474" s="215">
        <v>1.4</v>
      </c>
      <c r="M474" s="212">
        <v>5218</v>
      </c>
      <c r="N474" s="212">
        <v>92745</v>
      </c>
      <c r="O474" s="171">
        <v>841</v>
      </c>
      <c r="P474" s="271" t="str">
        <f>IFERROR(VLOOKUP(Tabela1[[#This Row],[TAG]],#REF!,14,FALSE),"")</f>
        <v/>
      </c>
      <c r="Q474" s="204" t="e">
        <f t="shared" si="926"/>
        <v>#VALUE!</v>
      </c>
      <c r="R474" s="204" t="e">
        <f t="shared" si="927"/>
        <v>#VALUE!</v>
      </c>
      <c r="S474" s="204" t="e">
        <f t="shared" si="928"/>
        <v>#VALUE!</v>
      </c>
      <c r="T474" s="204" t="e">
        <f t="shared" si="929"/>
        <v>#VALUE!</v>
      </c>
      <c r="U474" s="204" t="e">
        <f t="shared" si="930"/>
        <v>#VALUE!</v>
      </c>
      <c r="V474" s="204" t="e">
        <f t="shared" si="931"/>
        <v>#VALUE!</v>
      </c>
      <c r="W474" s="218">
        <v>393.69</v>
      </c>
      <c r="X474" s="218">
        <v>3166.51</v>
      </c>
      <c r="Y474" s="203">
        <v>0.1</v>
      </c>
      <c r="Z474" s="203">
        <f>IF(Tabela1[[#This Row],[Ano Aquisição]]=2023,0,IFERROR(VLOOKUP(H474,inflação!$F:$H,3,FALSE),""))</f>
        <v>0.66500000000000004</v>
      </c>
      <c r="AA474" s="203">
        <v>0.8</v>
      </c>
      <c r="AB474" s="202">
        <f t="shared" si="932"/>
        <v>-409932.87</v>
      </c>
      <c r="AC474" s="204" t="e">
        <f t="shared" si="933"/>
        <v>#VALUE!</v>
      </c>
      <c r="AD474" s="204" t="e">
        <f t="shared" si="934"/>
        <v>#VALUE!</v>
      </c>
      <c r="AE474" s="204" t="e">
        <f t="shared" si="935"/>
        <v>#VALUE!</v>
      </c>
      <c r="AF474" s="204" t="e">
        <f t="shared" si="936"/>
        <v>#VALUE!</v>
      </c>
      <c r="AG474" s="204" t="e">
        <f t="shared" si="937"/>
        <v>#VALUE!</v>
      </c>
      <c r="AH474" s="204" t="e">
        <f t="shared" si="938"/>
        <v>#VALUE!</v>
      </c>
      <c r="AI474" s="204" t="e">
        <f t="shared" si="939"/>
        <v>#VALUE!</v>
      </c>
      <c r="AJ474" s="205">
        <f t="shared" si="940"/>
        <v>-682538.22855</v>
      </c>
      <c r="AK474" s="204" t="e">
        <f t="shared" si="941"/>
        <v>#VALUE!</v>
      </c>
      <c r="AL474" s="204" t="e">
        <f t="shared" si="942"/>
        <v>#VALUE!</v>
      </c>
      <c r="AM474" s="204" t="e">
        <f t="shared" si="943"/>
        <v>#VALUE!</v>
      </c>
      <c r="AN474" s="204" t="e">
        <f t="shared" si="944"/>
        <v>#VALUE!</v>
      </c>
      <c r="AO474" s="204" t="e">
        <f t="shared" si="945"/>
        <v>#VALUE!</v>
      </c>
      <c r="AP474" s="204" t="e">
        <f t="shared" si="946"/>
        <v>#VALUE!</v>
      </c>
      <c r="AQ474" s="204" t="e">
        <f t="shared" si="947"/>
        <v>#VALUE!</v>
      </c>
      <c r="AR474" s="206" t="e">
        <f t="shared" si="948"/>
        <v>#VALUE!</v>
      </c>
      <c r="AS474" s="170" t="e">
        <f t="shared" si="949"/>
        <v>#VALUE!</v>
      </c>
      <c r="AT474" s="170" t="e">
        <f t="shared" si="950"/>
        <v>#VALUE!</v>
      </c>
      <c r="AU474" s="207" t="e">
        <f t="shared" si="951"/>
        <v>#VALUE!</v>
      </c>
      <c r="AV474" s="208" t="e">
        <f t="shared" si="952"/>
        <v>#VALUE!</v>
      </c>
      <c r="AW474" s="201" t="str">
        <f t="shared" si="953"/>
        <v>Fase de Degradação</v>
      </c>
      <c r="AX474" s="253" t="e">
        <f>VLOOKUP(D474,#REF!,5,FALSE)</f>
        <v>#REF!</v>
      </c>
      <c r="AY474" s="201"/>
      <c r="AZ474" s="273" t="s">
        <v>1224</v>
      </c>
      <c r="BB474">
        <f>IFERROR(VLOOKUP(Tabela1[[#This Row],[Denominação]],[10]Planilha1!$A:$B,2,FALSE),"")</f>
        <v>378841.8799999996</v>
      </c>
      <c r="BC474" s="219"/>
      <c r="BD474" s="219"/>
      <c r="BE474" s="219"/>
      <c r="BF474" s="219"/>
      <c r="BG474" s="219"/>
      <c r="BH474" s="219"/>
      <c r="BI474" s="219"/>
      <c r="BJ474" s="219"/>
      <c r="BK474" s="219"/>
      <c r="BL474" s="219"/>
    </row>
    <row r="475" spans="1:64" ht="15" hidden="1" customHeight="1" x14ac:dyDescent="0.3">
      <c r="A475" s="268">
        <v>474</v>
      </c>
      <c r="B475" s="201" t="s">
        <v>809</v>
      </c>
      <c r="C475" s="211" t="s">
        <v>810</v>
      </c>
      <c r="D475" s="201">
        <v>10006139</v>
      </c>
      <c r="E475" s="253" t="s">
        <v>1487</v>
      </c>
      <c r="F475" s="253">
        <v>4563</v>
      </c>
      <c r="G475" s="201">
        <v>34846</v>
      </c>
      <c r="H475" s="201">
        <v>2012</v>
      </c>
      <c r="I475" s="216">
        <v>1082430.94</v>
      </c>
      <c r="J475" s="213">
        <v>0</v>
      </c>
      <c r="K475" s="170">
        <v>278128.72999999986</v>
      </c>
      <c r="L475" s="207">
        <v>1.46</v>
      </c>
      <c r="M475" s="212">
        <v>4354</v>
      </c>
      <c r="N475" s="212">
        <v>90684</v>
      </c>
      <c r="O475" s="171">
        <v>548</v>
      </c>
      <c r="P475" s="271" t="str">
        <f>IFERROR(VLOOKUP(Tabela1[[#This Row],[TAG]],#REF!,14,FALSE),"")</f>
        <v/>
      </c>
      <c r="Q475" s="204" t="e">
        <f t="shared" si="926"/>
        <v>#VALUE!</v>
      </c>
      <c r="R475" s="204" t="e">
        <f t="shared" si="927"/>
        <v>#VALUE!</v>
      </c>
      <c r="S475" s="204" t="e">
        <f t="shared" si="928"/>
        <v>#VALUE!</v>
      </c>
      <c r="T475" s="204" t="e">
        <f t="shared" si="929"/>
        <v>#VALUE!</v>
      </c>
      <c r="U475" s="204" t="e">
        <f t="shared" si="930"/>
        <v>#VALUE!</v>
      </c>
      <c r="V475" s="204" t="e">
        <f t="shared" si="931"/>
        <v>#VALUE!</v>
      </c>
      <c r="W475" s="218">
        <v>433.32</v>
      </c>
      <c r="X475" s="218">
        <v>2299.41</v>
      </c>
      <c r="Y475" s="203">
        <v>0.1</v>
      </c>
      <c r="Z475" s="203">
        <f>IF(Tabela1[[#This Row],[Ano Aquisição]]=2023,0,IFERROR(VLOOKUP(H475,inflação!$F:$H,3,FALSE),""))</f>
        <v>0.66500000000000004</v>
      </c>
      <c r="AA475" s="203">
        <v>0.8</v>
      </c>
      <c r="AB475" s="202">
        <f t="shared" si="932"/>
        <v>-1082430.94</v>
      </c>
      <c r="AC475" s="204" t="e">
        <f t="shared" si="933"/>
        <v>#VALUE!</v>
      </c>
      <c r="AD475" s="204" t="e">
        <f t="shared" si="934"/>
        <v>#VALUE!</v>
      </c>
      <c r="AE475" s="204" t="e">
        <f t="shared" si="935"/>
        <v>#VALUE!</v>
      </c>
      <c r="AF475" s="204" t="e">
        <f t="shared" si="936"/>
        <v>#VALUE!</v>
      </c>
      <c r="AG475" s="204" t="e">
        <f t="shared" si="937"/>
        <v>#VALUE!</v>
      </c>
      <c r="AH475" s="204" t="e">
        <f t="shared" si="938"/>
        <v>#VALUE!</v>
      </c>
      <c r="AI475" s="204" t="e">
        <f t="shared" si="939"/>
        <v>#VALUE!</v>
      </c>
      <c r="AJ475" s="205">
        <f t="shared" si="940"/>
        <v>-1802247.5151</v>
      </c>
      <c r="AK475" s="204" t="e">
        <f t="shared" si="941"/>
        <v>#VALUE!</v>
      </c>
      <c r="AL475" s="204" t="e">
        <f t="shared" si="942"/>
        <v>#VALUE!</v>
      </c>
      <c r="AM475" s="204" t="e">
        <f t="shared" si="943"/>
        <v>#VALUE!</v>
      </c>
      <c r="AN475" s="204" t="e">
        <f t="shared" si="944"/>
        <v>#VALUE!</v>
      </c>
      <c r="AO475" s="204" t="e">
        <f t="shared" si="945"/>
        <v>#VALUE!</v>
      </c>
      <c r="AP475" s="204" t="e">
        <f t="shared" si="946"/>
        <v>#VALUE!</v>
      </c>
      <c r="AQ475" s="204" t="e">
        <f t="shared" si="947"/>
        <v>#VALUE!</v>
      </c>
      <c r="AR475" s="206" t="e">
        <f t="shared" si="948"/>
        <v>#VALUE!</v>
      </c>
      <c r="AS475" s="170" t="e">
        <f t="shared" si="949"/>
        <v>#VALUE!</v>
      </c>
      <c r="AT475" s="170" t="e">
        <f t="shared" si="950"/>
        <v>#VALUE!</v>
      </c>
      <c r="AU475" s="207" t="e">
        <f t="shared" si="951"/>
        <v>#VALUE!</v>
      </c>
      <c r="AV475" s="208" t="e">
        <f t="shared" si="952"/>
        <v>#VALUE!</v>
      </c>
      <c r="AW475" s="201" t="str">
        <f t="shared" si="953"/>
        <v>Fase de Degradação</v>
      </c>
      <c r="AX475" s="253" t="e">
        <f>VLOOKUP(D475,#REF!,5,FALSE)</f>
        <v>#REF!</v>
      </c>
      <c r="AY475" s="201"/>
      <c r="AZ475" s="273" t="s">
        <v>1224</v>
      </c>
      <c r="BB475">
        <f>IFERROR(VLOOKUP(Tabela1[[#This Row],[Denominação]],[10]Planilha1!$A:$B,2,FALSE),"")</f>
        <v>278128.72999999986</v>
      </c>
      <c r="BC475" s="219"/>
      <c r="BD475" s="219"/>
      <c r="BE475" s="219"/>
      <c r="BF475" s="219"/>
      <c r="BG475" s="219"/>
      <c r="BH475" s="219"/>
      <c r="BI475" s="219"/>
      <c r="BJ475" s="219"/>
      <c r="BK475" s="219"/>
      <c r="BL475" s="219"/>
    </row>
    <row r="476" spans="1:64" ht="15" hidden="1" customHeight="1" x14ac:dyDescent="0.3">
      <c r="A476" s="253">
        <v>475</v>
      </c>
      <c r="B476" s="201" t="s">
        <v>811</v>
      </c>
      <c r="C476" s="211" t="s">
        <v>812</v>
      </c>
      <c r="D476" s="201">
        <v>10006185</v>
      </c>
      <c r="E476" s="253" t="s">
        <v>1498</v>
      </c>
      <c r="F476" s="253">
        <v>4536</v>
      </c>
      <c r="G476" s="201">
        <v>42604</v>
      </c>
      <c r="H476" s="201">
        <v>2012</v>
      </c>
      <c r="I476" s="216">
        <v>1045961.88</v>
      </c>
      <c r="J476" s="214">
        <v>208661</v>
      </c>
      <c r="K476" s="170">
        <v>1010092.5499999989</v>
      </c>
      <c r="L476" s="207">
        <v>1.08</v>
      </c>
      <c r="M476" s="212">
        <v>5011</v>
      </c>
      <c r="N476" s="212">
        <v>91905</v>
      </c>
      <c r="O476" s="171">
        <v>2047</v>
      </c>
      <c r="P476" s="271" t="str">
        <f>IFERROR(VLOOKUP(Tabela1[[#This Row],[TAG]],#REF!,14,FALSE),"")</f>
        <v/>
      </c>
      <c r="Q476" s="204" t="e">
        <f t="shared" si="926"/>
        <v>#VALUE!</v>
      </c>
      <c r="R476" s="204" t="e">
        <f t="shared" si="927"/>
        <v>#VALUE!</v>
      </c>
      <c r="S476" s="204" t="e">
        <f t="shared" si="928"/>
        <v>#VALUE!</v>
      </c>
      <c r="T476" s="204" t="e">
        <f t="shared" si="929"/>
        <v>#VALUE!</v>
      </c>
      <c r="U476" s="204" t="e">
        <f t="shared" si="930"/>
        <v>#VALUE!</v>
      </c>
      <c r="V476" s="204" t="e">
        <f t="shared" si="931"/>
        <v>#VALUE!</v>
      </c>
      <c r="W476" s="218">
        <v>539.13</v>
      </c>
      <c r="X476" s="218">
        <v>6571.66</v>
      </c>
      <c r="Y476" s="203">
        <v>0.1</v>
      </c>
      <c r="Z476" s="203">
        <f>IF(Tabela1[[#This Row],[Ano Aquisição]]=2023,0,IFERROR(VLOOKUP(H476,inflação!$F:$H,3,FALSE),""))</f>
        <v>0.66500000000000004</v>
      </c>
      <c r="AA476" s="203">
        <v>0.8</v>
      </c>
      <c r="AB476" s="202">
        <f t="shared" si="932"/>
        <v>-1045961.88</v>
      </c>
      <c r="AC476" s="204" t="e">
        <f t="shared" si="933"/>
        <v>#VALUE!</v>
      </c>
      <c r="AD476" s="204" t="e">
        <f t="shared" si="934"/>
        <v>#VALUE!</v>
      </c>
      <c r="AE476" s="204" t="e">
        <f t="shared" si="935"/>
        <v>#VALUE!</v>
      </c>
      <c r="AF476" s="204" t="e">
        <f t="shared" si="936"/>
        <v>#VALUE!</v>
      </c>
      <c r="AG476" s="204" t="e">
        <f t="shared" si="937"/>
        <v>#VALUE!</v>
      </c>
      <c r="AH476" s="204" t="e">
        <f t="shared" si="938"/>
        <v>#VALUE!</v>
      </c>
      <c r="AI476" s="204" t="e">
        <f t="shared" si="939"/>
        <v>#VALUE!</v>
      </c>
      <c r="AJ476" s="205">
        <f t="shared" si="940"/>
        <v>-1741526.5302000002</v>
      </c>
      <c r="AK476" s="204" t="e">
        <f t="shared" si="941"/>
        <v>#VALUE!</v>
      </c>
      <c r="AL476" s="204" t="e">
        <f t="shared" si="942"/>
        <v>#VALUE!</v>
      </c>
      <c r="AM476" s="204" t="e">
        <f t="shared" si="943"/>
        <v>#VALUE!</v>
      </c>
      <c r="AN476" s="204" t="e">
        <f t="shared" si="944"/>
        <v>#VALUE!</v>
      </c>
      <c r="AO476" s="204" t="e">
        <f t="shared" si="945"/>
        <v>#VALUE!</v>
      </c>
      <c r="AP476" s="204" t="e">
        <f t="shared" si="946"/>
        <v>#VALUE!</v>
      </c>
      <c r="AQ476" s="204" t="e">
        <f t="shared" si="947"/>
        <v>#VALUE!</v>
      </c>
      <c r="AR476" s="206" t="e">
        <f t="shared" si="948"/>
        <v>#VALUE!</v>
      </c>
      <c r="AS476" s="170" t="e">
        <f t="shared" si="949"/>
        <v>#VALUE!</v>
      </c>
      <c r="AT476" s="170" t="e">
        <f t="shared" si="950"/>
        <v>#VALUE!</v>
      </c>
      <c r="AU476" s="207" t="e">
        <f t="shared" si="951"/>
        <v>#VALUE!</v>
      </c>
      <c r="AV476" s="208" t="e">
        <f t="shared" si="952"/>
        <v>#VALUE!</v>
      </c>
      <c r="AW476" s="201" t="str">
        <f t="shared" si="953"/>
        <v>Fase de Vida Útil</v>
      </c>
      <c r="AX476" s="253" t="e">
        <f>VLOOKUP(D476,#REF!,5,FALSE)</f>
        <v>#REF!</v>
      </c>
      <c r="AY476" s="201"/>
      <c r="AZ476" s="273" t="s">
        <v>1224</v>
      </c>
      <c r="BB476">
        <f>IFERROR(VLOOKUP(Tabela1[[#This Row],[Denominação]],[10]Planilha1!$A:$B,2,FALSE),"")</f>
        <v>1010092.5499999989</v>
      </c>
      <c r="BC476" s="219"/>
      <c r="BD476" s="219"/>
      <c r="BE476" s="219"/>
      <c r="BF476" s="219"/>
      <c r="BG476" s="219"/>
      <c r="BH476" s="219"/>
      <c r="BI476" s="219"/>
      <c r="BJ476" s="219"/>
      <c r="BK476" s="219"/>
      <c r="BL476" s="219"/>
    </row>
    <row r="477" spans="1:64" ht="15" hidden="1" customHeight="1" x14ac:dyDescent="0.3">
      <c r="A477" s="268">
        <v>476</v>
      </c>
      <c r="B477" s="201" t="s">
        <v>813</v>
      </c>
      <c r="C477" s="211" t="s">
        <v>814</v>
      </c>
      <c r="D477" s="201">
        <v>10006246</v>
      </c>
      <c r="E477" s="253" t="s">
        <v>1499</v>
      </c>
      <c r="F477" s="253">
        <v>4531</v>
      </c>
      <c r="G477" s="201">
        <v>40331</v>
      </c>
      <c r="H477" s="201">
        <v>2011</v>
      </c>
      <c r="I477" s="216">
        <v>1782077.82</v>
      </c>
      <c r="J477" s="214">
        <v>727548</v>
      </c>
      <c r="K477" s="170">
        <v>729183.78999999911</v>
      </c>
      <c r="L477" s="207">
        <v>1.19</v>
      </c>
      <c r="M477" s="212">
        <v>4638</v>
      </c>
      <c r="N477" s="212">
        <v>80477</v>
      </c>
      <c r="O477" s="171">
        <v>881</v>
      </c>
      <c r="P477" s="271" t="str">
        <f>IFERROR(VLOOKUP(Tabela1[[#This Row],[TAG]],#REF!,14,FALSE),"")</f>
        <v/>
      </c>
      <c r="Q477" s="262" t="e">
        <f t="shared" si="926"/>
        <v>#VALUE!</v>
      </c>
      <c r="R477" s="262" t="e">
        <f t="shared" si="927"/>
        <v>#VALUE!</v>
      </c>
      <c r="S477" s="262" t="e">
        <f t="shared" si="928"/>
        <v>#VALUE!</v>
      </c>
      <c r="T477" s="262" t="e">
        <f t="shared" si="929"/>
        <v>#VALUE!</v>
      </c>
      <c r="U477" s="262" t="e">
        <f t="shared" si="930"/>
        <v>#VALUE!</v>
      </c>
      <c r="V477" s="262" t="e">
        <f t="shared" si="931"/>
        <v>#VALUE!</v>
      </c>
      <c r="W477" s="218">
        <v>451.71508033575202</v>
      </c>
      <c r="X477" s="218">
        <v>2214.4</v>
      </c>
      <c r="Y477" s="203">
        <v>0.1</v>
      </c>
      <c r="Z477" s="203">
        <f>IF(Tabela1[[#This Row],[Ano Aquisição]]=2023,0,IFERROR(VLOOKUP(H477,inflação!$F:$H,3,FALSE),""))</f>
        <v>0.73</v>
      </c>
      <c r="AA477" s="203">
        <v>0.8</v>
      </c>
      <c r="AB477" s="202">
        <f t="shared" si="932"/>
        <v>-1782077.82</v>
      </c>
      <c r="AC477" s="204" t="e">
        <f t="shared" si="933"/>
        <v>#VALUE!</v>
      </c>
      <c r="AD477" s="204" t="e">
        <f t="shared" si="934"/>
        <v>#VALUE!</v>
      </c>
      <c r="AE477" s="204" t="e">
        <f t="shared" si="935"/>
        <v>#VALUE!</v>
      </c>
      <c r="AF477" s="204" t="e">
        <f t="shared" si="936"/>
        <v>#VALUE!</v>
      </c>
      <c r="AG477" s="204" t="e">
        <f t="shared" si="937"/>
        <v>#VALUE!</v>
      </c>
      <c r="AH477" s="204" t="e">
        <f t="shared" si="938"/>
        <v>#VALUE!</v>
      </c>
      <c r="AI477" s="204" t="e">
        <f t="shared" si="939"/>
        <v>#VALUE!</v>
      </c>
      <c r="AJ477" s="205">
        <f t="shared" si="940"/>
        <v>-3082994.6285999999</v>
      </c>
      <c r="AK477" s="204" t="e">
        <f t="shared" si="941"/>
        <v>#VALUE!</v>
      </c>
      <c r="AL477" s="204" t="e">
        <f t="shared" si="942"/>
        <v>#VALUE!</v>
      </c>
      <c r="AM477" s="204" t="e">
        <f t="shared" si="943"/>
        <v>#VALUE!</v>
      </c>
      <c r="AN477" s="204" t="e">
        <f t="shared" si="944"/>
        <v>#VALUE!</v>
      </c>
      <c r="AO477" s="204" t="e">
        <f t="shared" si="945"/>
        <v>#VALUE!</v>
      </c>
      <c r="AP477" s="204" t="e">
        <f t="shared" si="946"/>
        <v>#VALUE!</v>
      </c>
      <c r="AQ477" s="204" t="e">
        <f t="shared" si="947"/>
        <v>#VALUE!</v>
      </c>
      <c r="AR477" s="206" t="e">
        <f t="shared" si="948"/>
        <v>#VALUE!</v>
      </c>
      <c r="AS477" s="170" t="e">
        <f t="shared" si="949"/>
        <v>#VALUE!</v>
      </c>
      <c r="AT477" s="170" t="e">
        <f t="shared" si="950"/>
        <v>#VALUE!</v>
      </c>
      <c r="AU477" s="207" t="e">
        <f t="shared" si="951"/>
        <v>#VALUE!</v>
      </c>
      <c r="AV477" s="208" t="e">
        <f t="shared" si="952"/>
        <v>#VALUE!</v>
      </c>
      <c r="AW477" s="201" t="str">
        <f t="shared" si="953"/>
        <v>Fase de Degradação</v>
      </c>
      <c r="AX477" s="253" t="e">
        <f>VLOOKUP(D477,#REF!,5,FALSE)</f>
        <v>#REF!</v>
      </c>
      <c r="AY477" s="201"/>
      <c r="AZ477" s="273" t="s">
        <v>1224</v>
      </c>
      <c r="BB477">
        <f>IFERROR(VLOOKUP(Tabela1[[#This Row],[Denominação]],[10]Planilha1!$A:$B,2,FALSE),"")</f>
        <v>729183.78999999911</v>
      </c>
      <c r="BC477" s="219"/>
      <c r="BD477" s="219"/>
      <c r="BE477" s="219"/>
      <c r="BF477" s="219"/>
      <c r="BG477" s="219"/>
      <c r="BH477" s="219"/>
      <c r="BI477" s="219"/>
      <c r="BJ477" s="219"/>
      <c r="BK477" s="219"/>
      <c r="BL477" s="219"/>
    </row>
    <row r="478" spans="1:64" ht="15" hidden="1" customHeight="1" x14ac:dyDescent="0.3">
      <c r="A478" s="253">
        <v>477</v>
      </c>
      <c r="B478" s="171" t="s">
        <v>119</v>
      </c>
      <c r="C478" s="209" t="s">
        <v>120</v>
      </c>
      <c r="D478" s="171">
        <v>10006306</v>
      </c>
      <c r="E478" s="253" t="s">
        <v>1500</v>
      </c>
      <c r="F478" s="210">
        <v>4536</v>
      </c>
      <c r="G478" s="171">
        <v>44094</v>
      </c>
      <c r="H478" s="171">
        <v>2014</v>
      </c>
      <c r="I478" s="213">
        <v>889452.33</v>
      </c>
      <c r="J478" s="213">
        <v>67306</v>
      </c>
      <c r="K478" s="170">
        <v>890107.59000000008</v>
      </c>
      <c r="L478" s="215">
        <v>1.21</v>
      </c>
      <c r="M478" s="212">
        <v>4230</v>
      </c>
      <c r="N478" s="212">
        <v>72690</v>
      </c>
      <c r="O478" s="171">
        <v>1474</v>
      </c>
      <c r="P478" s="271" t="str">
        <f>IFERROR(VLOOKUP(Tabela1[[#This Row],[TAG]],#REF!,14,FALSE),"")</f>
        <v/>
      </c>
      <c r="Q478" s="204" t="e">
        <f t="shared" si="926"/>
        <v>#VALUE!</v>
      </c>
      <c r="R478" s="204" t="e">
        <f t="shared" si="927"/>
        <v>#VALUE!</v>
      </c>
      <c r="S478" s="204" t="e">
        <f t="shared" si="928"/>
        <v>#VALUE!</v>
      </c>
      <c r="T478" s="204" t="e">
        <f t="shared" si="929"/>
        <v>#VALUE!</v>
      </c>
      <c r="U478" s="204" t="e">
        <f t="shared" si="930"/>
        <v>#VALUE!</v>
      </c>
      <c r="V478" s="204" t="e">
        <f t="shared" si="931"/>
        <v>#VALUE!</v>
      </c>
      <c r="W478" s="218">
        <v>522.09</v>
      </c>
      <c r="X478" s="218">
        <v>7563.79</v>
      </c>
      <c r="Y478" s="203">
        <v>0.1</v>
      </c>
      <c r="Z478" s="203">
        <f>IF(Tabela1[[#This Row],[Ano Aquisição]]=2023,0,IFERROR(VLOOKUP(H478,inflação!$F:$H,3,FALSE),""))</f>
        <v>0.54749999999999999</v>
      </c>
      <c r="AA478" s="203">
        <v>0.8</v>
      </c>
      <c r="AB478" s="202">
        <f t="shared" si="932"/>
        <v>-889452.33</v>
      </c>
      <c r="AC478" s="204" t="e">
        <f t="shared" si="933"/>
        <v>#VALUE!</v>
      </c>
      <c r="AD478" s="204" t="e">
        <f t="shared" si="934"/>
        <v>#VALUE!</v>
      </c>
      <c r="AE478" s="204" t="e">
        <f t="shared" si="935"/>
        <v>#VALUE!</v>
      </c>
      <c r="AF478" s="204" t="e">
        <f t="shared" si="936"/>
        <v>#VALUE!</v>
      </c>
      <c r="AG478" s="204" t="e">
        <f t="shared" si="937"/>
        <v>#VALUE!</v>
      </c>
      <c r="AH478" s="204" t="e">
        <f t="shared" si="938"/>
        <v>#VALUE!</v>
      </c>
      <c r="AI478" s="204" t="e">
        <f t="shared" si="939"/>
        <v>#VALUE!</v>
      </c>
      <c r="AJ478" s="205">
        <f t="shared" si="940"/>
        <v>-1376427.4806749998</v>
      </c>
      <c r="AK478" s="204" t="e">
        <f t="shared" si="941"/>
        <v>#VALUE!</v>
      </c>
      <c r="AL478" s="204" t="e">
        <f t="shared" si="942"/>
        <v>#VALUE!</v>
      </c>
      <c r="AM478" s="204" t="e">
        <f t="shared" si="943"/>
        <v>#VALUE!</v>
      </c>
      <c r="AN478" s="204" t="e">
        <f t="shared" si="944"/>
        <v>#VALUE!</v>
      </c>
      <c r="AO478" s="204" t="e">
        <f t="shared" si="945"/>
        <v>#VALUE!</v>
      </c>
      <c r="AP478" s="204" t="e">
        <f t="shared" si="946"/>
        <v>#VALUE!</v>
      </c>
      <c r="AQ478" s="204" t="e">
        <f t="shared" si="947"/>
        <v>#VALUE!</v>
      </c>
      <c r="AR478" s="206" t="e">
        <f t="shared" si="948"/>
        <v>#VALUE!</v>
      </c>
      <c r="AS478" s="170" t="e">
        <f t="shared" si="949"/>
        <v>#VALUE!</v>
      </c>
      <c r="AT478" s="170" t="e">
        <f t="shared" si="950"/>
        <v>#VALUE!</v>
      </c>
      <c r="AU478" s="207" t="e">
        <f t="shared" si="951"/>
        <v>#VALUE!</v>
      </c>
      <c r="AV478" s="208" t="e">
        <f t="shared" si="952"/>
        <v>#VALUE!</v>
      </c>
      <c r="AW478" s="201" t="str">
        <f t="shared" si="953"/>
        <v>Fase de Degradação</v>
      </c>
      <c r="AX478" s="253" t="e">
        <f>VLOOKUP(D478,#REF!,5,FALSE)</f>
        <v>#REF!</v>
      </c>
      <c r="AY478" s="201"/>
      <c r="AZ478" s="273" t="s">
        <v>1224</v>
      </c>
      <c r="BB478">
        <f>IFERROR(VLOOKUP(Tabela1[[#This Row],[Denominação]],[10]Planilha1!$A:$B,2,FALSE),"")</f>
        <v>890107.59000000008</v>
      </c>
      <c r="BC478" s="219"/>
      <c r="BD478" s="219"/>
      <c r="BE478" s="219"/>
      <c r="BF478" s="219"/>
      <c r="BG478" s="219"/>
      <c r="BH478" s="219"/>
      <c r="BI478" s="219"/>
      <c r="BJ478" s="219"/>
      <c r="BK478" s="219"/>
      <c r="BL478" s="219"/>
    </row>
    <row r="479" spans="1:64" ht="15" hidden="1" customHeight="1" x14ac:dyDescent="0.3">
      <c r="A479" s="268">
        <v>478</v>
      </c>
      <c r="B479" s="201" t="s">
        <v>815</v>
      </c>
      <c r="C479" s="211" t="s">
        <v>816</v>
      </c>
      <c r="D479" s="201">
        <v>10006391</v>
      </c>
      <c r="E479" s="253" t="s">
        <v>1501</v>
      </c>
      <c r="F479" s="253">
        <v>4531</v>
      </c>
      <c r="G479" s="201">
        <v>44693</v>
      </c>
      <c r="H479" s="201">
        <v>2014</v>
      </c>
      <c r="I479" s="216">
        <v>562148.87</v>
      </c>
      <c r="J479" s="214">
        <v>181911</v>
      </c>
      <c r="K479" s="170">
        <v>926980.62999999931</v>
      </c>
      <c r="L479" s="207">
        <v>1.21</v>
      </c>
      <c r="M479" s="212">
        <v>5230</v>
      </c>
      <c r="N479" s="212">
        <v>62045</v>
      </c>
      <c r="O479" s="171">
        <v>761</v>
      </c>
      <c r="P479" s="271" t="str">
        <f>IFERROR(VLOOKUP(Tabela1[[#This Row],[TAG]],#REF!,14,FALSE),"")</f>
        <v/>
      </c>
      <c r="Q479" s="262" t="e">
        <f t="shared" si="926"/>
        <v>#VALUE!</v>
      </c>
      <c r="R479" s="262" t="e">
        <f t="shared" si="927"/>
        <v>#VALUE!</v>
      </c>
      <c r="S479" s="262" t="e">
        <f t="shared" si="928"/>
        <v>#VALUE!</v>
      </c>
      <c r="T479" s="262" t="e">
        <f t="shared" si="929"/>
        <v>#VALUE!</v>
      </c>
      <c r="U479" s="262" t="e">
        <f t="shared" si="930"/>
        <v>#VALUE!</v>
      </c>
      <c r="V479" s="262" t="e">
        <f t="shared" si="931"/>
        <v>#VALUE!</v>
      </c>
      <c r="W479" s="218">
        <v>500.64</v>
      </c>
      <c r="X479" s="218">
        <v>3934.75</v>
      </c>
      <c r="Y479" s="203">
        <v>0.1</v>
      </c>
      <c r="Z479" s="203">
        <f>IF(Tabela1[[#This Row],[Ano Aquisição]]=2023,0,IFERROR(VLOOKUP(H479,inflação!$F:$H,3,FALSE),""))</f>
        <v>0.54749999999999999</v>
      </c>
      <c r="AA479" s="203">
        <v>0.8</v>
      </c>
      <c r="AB479" s="202">
        <f t="shared" si="932"/>
        <v>-562148.87</v>
      </c>
      <c r="AC479" s="204" t="e">
        <f t="shared" si="933"/>
        <v>#VALUE!</v>
      </c>
      <c r="AD479" s="204" t="e">
        <f t="shared" si="934"/>
        <v>#VALUE!</v>
      </c>
      <c r="AE479" s="204" t="e">
        <f t="shared" si="935"/>
        <v>#VALUE!</v>
      </c>
      <c r="AF479" s="204" t="e">
        <f t="shared" si="936"/>
        <v>#VALUE!</v>
      </c>
      <c r="AG479" s="204" t="e">
        <f t="shared" si="937"/>
        <v>#VALUE!</v>
      </c>
      <c r="AH479" s="204" t="e">
        <f t="shared" si="938"/>
        <v>#VALUE!</v>
      </c>
      <c r="AI479" s="204" t="e">
        <f t="shared" si="939"/>
        <v>#VALUE!</v>
      </c>
      <c r="AJ479" s="205">
        <f t="shared" si="940"/>
        <v>-869925.37632499996</v>
      </c>
      <c r="AK479" s="204" t="e">
        <f t="shared" si="941"/>
        <v>#VALUE!</v>
      </c>
      <c r="AL479" s="204" t="e">
        <f t="shared" si="942"/>
        <v>#VALUE!</v>
      </c>
      <c r="AM479" s="204" t="e">
        <f t="shared" si="943"/>
        <v>#VALUE!</v>
      </c>
      <c r="AN479" s="204" t="e">
        <f t="shared" si="944"/>
        <v>#VALUE!</v>
      </c>
      <c r="AO479" s="204" t="e">
        <f t="shared" si="945"/>
        <v>#VALUE!</v>
      </c>
      <c r="AP479" s="204" t="e">
        <f t="shared" si="946"/>
        <v>#VALUE!</v>
      </c>
      <c r="AQ479" s="204" t="e">
        <f t="shared" si="947"/>
        <v>#VALUE!</v>
      </c>
      <c r="AR479" s="206" t="e">
        <f t="shared" si="948"/>
        <v>#VALUE!</v>
      </c>
      <c r="AS479" s="170" t="e">
        <f t="shared" si="949"/>
        <v>#VALUE!</v>
      </c>
      <c r="AT479" s="170" t="e">
        <f t="shared" si="950"/>
        <v>#VALUE!</v>
      </c>
      <c r="AU479" s="207" t="e">
        <f t="shared" si="951"/>
        <v>#VALUE!</v>
      </c>
      <c r="AV479" s="208" t="e">
        <f t="shared" si="952"/>
        <v>#VALUE!</v>
      </c>
      <c r="AW479" s="201" t="str">
        <f t="shared" si="953"/>
        <v>Fase de Degradação</v>
      </c>
      <c r="AX479" s="253" t="e">
        <f>VLOOKUP(D479,#REF!,5,FALSE)</f>
        <v>#REF!</v>
      </c>
      <c r="AY479" s="201"/>
      <c r="AZ479" s="273" t="s">
        <v>1224</v>
      </c>
      <c r="BB479">
        <f>IFERROR(VLOOKUP(Tabela1[[#This Row],[Denominação]],[10]Planilha1!$A:$B,2,FALSE),"")</f>
        <v>926980.62999999931</v>
      </c>
      <c r="BC479" s="219"/>
      <c r="BD479" s="219"/>
      <c r="BE479" s="219"/>
      <c r="BF479" s="219"/>
      <c r="BG479" s="219"/>
      <c r="BH479" s="219"/>
      <c r="BI479" s="219"/>
      <c r="BJ479" s="219"/>
      <c r="BK479" s="219"/>
      <c r="BL479" s="219"/>
    </row>
    <row r="480" spans="1:64" ht="15" hidden="1" customHeight="1" x14ac:dyDescent="0.3">
      <c r="A480" s="253">
        <v>479</v>
      </c>
      <c r="B480" s="171" t="s">
        <v>129</v>
      </c>
      <c r="C480" s="209" t="s">
        <v>130</v>
      </c>
      <c r="D480" s="171">
        <v>10006435</v>
      </c>
      <c r="E480" s="253" t="s">
        <v>1502</v>
      </c>
      <c r="F480" s="210">
        <v>4562</v>
      </c>
      <c r="G480" s="171">
        <v>46815</v>
      </c>
      <c r="H480" s="171">
        <v>2016</v>
      </c>
      <c r="I480" s="213">
        <v>1349453.24</v>
      </c>
      <c r="J480" s="213">
        <v>547895</v>
      </c>
      <c r="K480" s="170">
        <v>558093.96999999869</v>
      </c>
      <c r="L480" s="215">
        <v>1.82</v>
      </c>
      <c r="M480" s="212">
        <v>4037</v>
      </c>
      <c r="N480" s="212">
        <v>53614</v>
      </c>
      <c r="O480" s="171">
        <v>1188</v>
      </c>
      <c r="P480" s="271" t="str">
        <f>IFERROR(VLOOKUP(Tabela1[[#This Row],[TAG]],#REF!,14,FALSE),"")</f>
        <v/>
      </c>
      <c r="Q480" s="204" t="e">
        <f t="shared" si="926"/>
        <v>#VALUE!</v>
      </c>
      <c r="R480" s="204" t="e">
        <f t="shared" si="927"/>
        <v>#VALUE!</v>
      </c>
      <c r="S480" s="204" t="e">
        <f t="shared" si="928"/>
        <v>#VALUE!</v>
      </c>
      <c r="T480" s="204" t="e">
        <f t="shared" si="929"/>
        <v>#VALUE!</v>
      </c>
      <c r="U480" s="204" t="e">
        <f t="shared" si="930"/>
        <v>#VALUE!</v>
      </c>
      <c r="V480" s="204" t="e">
        <f t="shared" si="931"/>
        <v>#VALUE!</v>
      </c>
      <c r="W480" s="218">
        <v>498.24</v>
      </c>
      <c r="X480" s="218">
        <v>9511.5300000000007</v>
      </c>
      <c r="Y480" s="203">
        <v>0.1</v>
      </c>
      <c r="Z480" s="203">
        <f>IF(Tabela1[[#This Row],[Ano Aquisição]]=2023,0,IFERROR(VLOOKUP(H480,inflação!$F:$H,3,FALSE),""))</f>
        <v>0.37669999999999998</v>
      </c>
      <c r="AA480" s="203">
        <v>0.8</v>
      </c>
      <c r="AB480" s="202">
        <f t="shared" si="932"/>
        <v>-1349453.24</v>
      </c>
      <c r="AC480" s="204" t="e">
        <f t="shared" si="933"/>
        <v>#VALUE!</v>
      </c>
      <c r="AD480" s="204" t="e">
        <f t="shared" si="934"/>
        <v>#VALUE!</v>
      </c>
      <c r="AE480" s="204" t="e">
        <f t="shared" si="935"/>
        <v>#VALUE!</v>
      </c>
      <c r="AF480" s="204" t="e">
        <f t="shared" si="936"/>
        <v>#VALUE!</v>
      </c>
      <c r="AG480" s="204" t="e">
        <f t="shared" si="937"/>
        <v>#VALUE!</v>
      </c>
      <c r="AH480" s="204" t="e">
        <f t="shared" si="938"/>
        <v>#VALUE!</v>
      </c>
      <c r="AI480" s="204" t="e">
        <f t="shared" si="939"/>
        <v>#VALUE!</v>
      </c>
      <c r="AJ480" s="205">
        <f t="shared" si="940"/>
        <v>-1857792.275508</v>
      </c>
      <c r="AK480" s="204" t="e">
        <f t="shared" si="941"/>
        <v>#VALUE!</v>
      </c>
      <c r="AL480" s="204" t="e">
        <f t="shared" si="942"/>
        <v>#VALUE!</v>
      </c>
      <c r="AM480" s="204" t="e">
        <f t="shared" si="943"/>
        <v>#VALUE!</v>
      </c>
      <c r="AN480" s="204" t="e">
        <f t="shared" si="944"/>
        <v>#VALUE!</v>
      </c>
      <c r="AO480" s="204" t="e">
        <f t="shared" si="945"/>
        <v>#VALUE!</v>
      </c>
      <c r="AP480" s="204" t="e">
        <f t="shared" si="946"/>
        <v>#VALUE!</v>
      </c>
      <c r="AQ480" s="204" t="e">
        <f t="shared" si="947"/>
        <v>#VALUE!</v>
      </c>
      <c r="AR480" s="206" t="e">
        <f t="shared" si="948"/>
        <v>#VALUE!</v>
      </c>
      <c r="AS480" s="170" t="e">
        <f t="shared" si="949"/>
        <v>#VALUE!</v>
      </c>
      <c r="AT480" s="170" t="e">
        <f t="shared" si="950"/>
        <v>#VALUE!</v>
      </c>
      <c r="AU480" s="207" t="e">
        <f t="shared" si="951"/>
        <v>#VALUE!</v>
      </c>
      <c r="AV480" s="208" t="e">
        <f t="shared" si="952"/>
        <v>#VALUE!</v>
      </c>
      <c r="AW480" s="201" t="str">
        <f t="shared" si="953"/>
        <v>Fase de Degradação</v>
      </c>
      <c r="AX480" s="253" t="e">
        <f>VLOOKUP(D480,#REF!,5,FALSE)</f>
        <v>#REF!</v>
      </c>
      <c r="AY480" s="201"/>
      <c r="AZ480" s="273" t="s">
        <v>1224</v>
      </c>
      <c r="BB480">
        <f>IFERROR(VLOOKUP(Tabela1[[#This Row],[Denominação]],[10]Planilha1!$A:$B,2,FALSE),"")</f>
        <v>558093.96999999869</v>
      </c>
      <c r="BC480" s="219"/>
      <c r="BD480" s="219"/>
      <c r="BE480" s="219"/>
      <c r="BF480" s="219"/>
      <c r="BG480" s="219"/>
      <c r="BH480" s="219"/>
      <c r="BI480" s="219"/>
      <c r="BJ480" s="219"/>
      <c r="BK480" s="219"/>
      <c r="BL480" s="219"/>
    </row>
    <row r="481" spans="1:64" ht="15" hidden="1" customHeight="1" x14ac:dyDescent="0.3">
      <c r="A481" s="268">
        <v>480</v>
      </c>
      <c r="B481" s="201" t="s">
        <v>817</v>
      </c>
      <c r="C481" s="211" t="s">
        <v>818</v>
      </c>
      <c r="D481" s="201">
        <v>20002586</v>
      </c>
      <c r="E481" s="253" t="s">
        <v>1503</v>
      </c>
      <c r="F481" s="253">
        <v>4561</v>
      </c>
      <c r="G481" s="201">
        <v>46817</v>
      </c>
      <c r="H481" s="201">
        <v>2016</v>
      </c>
      <c r="I481" s="216">
        <v>64505.94</v>
      </c>
      <c r="J481" s="214">
        <v>20423</v>
      </c>
      <c r="K481" s="170">
        <v>77458.64999999998</v>
      </c>
      <c r="L481" s="207">
        <v>1.1399999999999999</v>
      </c>
      <c r="M481" s="212">
        <v>3542</v>
      </c>
      <c r="N481" s="212">
        <v>42598</v>
      </c>
      <c r="O481" s="171">
        <v>209</v>
      </c>
      <c r="P481" s="271" t="str">
        <f>IFERROR(VLOOKUP(Tabela1[[#This Row],[TAG]],#REF!,14,FALSE),"")</f>
        <v/>
      </c>
      <c r="Q481" s="204" t="e">
        <f t="shared" si="926"/>
        <v>#VALUE!</v>
      </c>
      <c r="R481" s="204" t="e">
        <f t="shared" si="927"/>
        <v>#VALUE!</v>
      </c>
      <c r="S481" s="204" t="e">
        <f t="shared" si="928"/>
        <v>#VALUE!</v>
      </c>
      <c r="T481" s="204" t="e">
        <f t="shared" si="929"/>
        <v>#VALUE!</v>
      </c>
      <c r="U481" s="204" t="e">
        <f t="shared" si="930"/>
        <v>#VALUE!</v>
      </c>
      <c r="V481" s="204" t="e">
        <f t="shared" si="931"/>
        <v>#VALUE!</v>
      </c>
      <c r="W481" s="218">
        <v>377.3</v>
      </c>
      <c r="X481" s="218">
        <v>1306.17</v>
      </c>
      <c r="Y481" s="203">
        <v>0.1</v>
      </c>
      <c r="Z481" s="203">
        <f>IF(Tabela1[[#This Row],[Ano Aquisição]]=2023,0,IFERROR(VLOOKUP(H481,inflação!$F:$H,3,FALSE),""))</f>
        <v>0.37669999999999998</v>
      </c>
      <c r="AA481" s="203">
        <v>0.8</v>
      </c>
      <c r="AB481" s="202">
        <f t="shared" si="932"/>
        <v>-64505.94</v>
      </c>
      <c r="AC481" s="204" t="e">
        <f t="shared" si="933"/>
        <v>#VALUE!</v>
      </c>
      <c r="AD481" s="204" t="e">
        <f t="shared" si="934"/>
        <v>#VALUE!</v>
      </c>
      <c r="AE481" s="204" t="e">
        <f t="shared" si="935"/>
        <v>#VALUE!</v>
      </c>
      <c r="AF481" s="204" t="e">
        <f t="shared" si="936"/>
        <v>#VALUE!</v>
      </c>
      <c r="AG481" s="204" t="e">
        <f t="shared" si="937"/>
        <v>#VALUE!</v>
      </c>
      <c r="AH481" s="204" t="e">
        <f t="shared" si="938"/>
        <v>#VALUE!</v>
      </c>
      <c r="AI481" s="204" t="e">
        <f t="shared" si="939"/>
        <v>#VALUE!</v>
      </c>
      <c r="AJ481" s="205">
        <f t="shared" si="940"/>
        <v>-88805.327598000003</v>
      </c>
      <c r="AK481" s="204" t="e">
        <f t="shared" si="941"/>
        <v>#VALUE!</v>
      </c>
      <c r="AL481" s="204" t="e">
        <f t="shared" si="942"/>
        <v>#VALUE!</v>
      </c>
      <c r="AM481" s="204" t="e">
        <f t="shared" si="943"/>
        <v>#VALUE!</v>
      </c>
      <c r="AN481" s="204" t="e">
        <f t="shared" si="944"/>
        <v>#VALUE!</v>
      </c>
      <c r="AO481" s="204" t="e">
        <f t="shared" si="945"/>
        <v>#VALUE!</v>
      </c>
      <c r="AP481" s="204" t="e">
        <f t="shared" si="946"/>
        <v>#VALUE!</v>
      </c>
      <c r="AQ481" s="204" t="e">
        <f t="shared" si="947"/>
        <v>#VALUE!</v>
      </c>
      <c r="AR481" s="206" t="e">
        <f t="shared" si="948"/>
        <v>#VALUE!</v>
      </c>
      <c r="AS481" s="170" t="e">
        <f t="shared" si="949"/>
        <v>#VALUE!</v>
      </c>
      <c r="AT481" s="170" t="e">
        <f t="shared" si="950"/>
        <v>#VALUE!</v>
      </c>
      <c r="AU481" s="207" t="e">
        <f t="shared" si="951"/>
        <v>#VALUE!</v>
      </c>
      <c r="AV481" s="208" t="e">
        <f t="shared" si="952"/>
        <v>#VALUE!</v>
      </c>
      <c r="AW481" s="201" t="str">
        <f t="shared" si="953"/>
        <v>Fase de Degradação</v>
      </c>
      <c r="AX481" s="253" t="e">
        <f>VLOOKUP(D481,#REF!,5,FALSE)</f>
        <v>#REF!</v>
      </c>
      <c r="AY481" s="201"/>
      <c r="AZ481" s="273" t="s">
        <v>1224</v>
      </c>
      <c r="BB481">
        <f>IFERROR(VLOOKUP(Tabela1[[#This Row],[Denominação]],[10]Planilha1!$A:$B,2,FALSE),"")</f>
        <v>77458.64999999998</v>
      </c>
      <c r="BC481" s="219"/>
      <c r="BD481" s="219"/>
      <c r="BE481" s="219"/>
      <c r="BF481" s="219"/>
      <c r="BG481" s="219"/>
      <c r="BH481" s="219"/>
      <c r="BI481" s="219"/>
      <c r="BJ481" s="219"/>
      <c r="BK481" s="219"/>
      <c r="BL481" s="219"/>
    </row>
    <row r="482" spans="1:64" ht="15" hidden="1" customHeight="1" x14ac:dyDescent="0.3">
      <c r="A482" s="253">
        <v>481</v>
      </c>
      <c r="B482" s="201" t="s">
        <v>1122</v>
      </c>
      <c r="C482" s="211" t="s">
        <v>1123</v>
      </c>
      <c r="D482" s="201">
        <v>10006750</v>
      </c>
      <c r="E482" s="253" t="s">
        <v>1504</v>
      </c>
      <c r="F482" s="253">
        <v>4563</v>
      </c>
      <c r="G482" s="201">
        <v>55766</v>
      </c>
      <c r="H482" s="201">
        <v>2021</v>
      </c>
      <c r="I482" s="216">
        <v>545770.01</v>
      </c>
      <c r="J482" s="214">
        <v>497514</v>
      </c>
      <c r="K482" s="170">
        <v>29247.389999999996</v>
      </c>
      <c r="L482" s="207">
        <v>1.01</v>
      </c>
      <c r="M482" s="212">
        <v>4408</v>
      </c>
      <c r="N482" s="212">
        <v>12149</v>
      </c>
      <c r="O482" s="171">
        <v>38</v>
      </c>
      <c r="P482" s="271" t="str">
        <f>IFERROR(VLOOKUP(Tabela1[[#This Row],[TAG]],#REF!,14,FALSE),"")</f>
        <v/>
      </c>
      <c r="Q482" s="204" t="e">
        <f t="shared" si="926"/>
        <v>#VALUE!</v>
      </c>
      <c r="R482" s="204" t="e">
        <f t="shared" si="927"/>
        <v>#VALUE!</v>
      </c>
      <c r="S482" s="204" t="e">
        <f t="shared" si="928"/>
        <v>#VALUE!</v>
      </c>
      <c r="T482" s="204" t="e">
        <f t="shared" si="929"/>
        <v>#VALUE!</v>
      </c>
      <c r="U482" s="204" t="e">
        <f t="shared" si="930"/>
        <v>#VALUE!</v>
      </c>
      <c r="V482" s="204" t="e">
        <f t="shared" si="931"/>
        <v>#VALUE!</v>
      </c>
      <c r="W482" s="218">
        <v>414.31</v>
      </c>
      <c r="X482" s="218">
        <v>905.75</v>
      </c>
      <c r="Y482" s="203">
        <v>0.1</v>
      </c>
      <c r="Z482" s="203">
        <f>IF(Tabela1[[#This Row],[Ano Aquisição]]=2023,0,IFERROR(VLOOKUP(H482,inflação!$F:$H,3,FALSE),""))</f>
        <v>0.1585</v>
      </c>
      <c r="AA482" s="203">
        <v>0.8</v>
      </c>
      <c r="AB482" s="202">
        <f t="shared" si="932"/>
        <v>-545770.01</v>
      </c>
      <c r="AC482" s="204" t="e">
        <f t="shared" si="933"/>
        <v>#VALUE!</v>
      </c>
      <c r="AD482" s="204" t="e">
        <f t="shared" si="934"/>
        <v>#VALUE!</v>
      </c>
      <c r="AE482" s="204" t="e">
        <f t="shared" si="935"/>
        <v>#VALUE!</v>
      </c>
      <c r="AF482" s="204" t="e">
        <f t="shared" si="936"/>
        <v>#VALUE!</v>
      </c>
      <c r="AG482" s="204" t="e">
        <f t="shared" si="937"/>
        <v>#VALUE!</v>
      </c>
      <c r="AH482" s="204" t="e">
        <f t="shared" si="938"/>
        <v>#VALUE!</v>
      </c>
      <c r="AI482" s="204" t="e">
        <f t="shared" si="939"/>
        <v>#VALUE!</v>
      </c>
      <c r="AJ482" s="205">
        <f t="shared" si="940"/>
        <v>-632274.55658500001</v>
      </c>
      <c r="AK482" s="204" t="e">
        <f t="shared" si="941"/>
        <v>#VALUE!</v>
      </c>
      <c r="AL482" s="204" t="e">
        <f t="shared" si="942"/>
        <v>#VALUE!</v>
      </c>
      <c r="AM482" s="204" t="e">
        <f t="shared" si="943"/>
        <v>#VALUE!</v>
      </c>
      <c r="AN482" s="204" t="e">
        <f t="shared" si="944"/>
        <v>#VALUE!</v>
      </c>
      <c r="AO482" s="204" t="e">
        <f t="shared" si="945"/>
        <v>#VALUE!</v>
      </c>
      <c r="AP482" s="204" t="e">
        <f t="shared" si="946"/>
        <v>#VALUE!</v>
      </c>
      <c r="AQ482" s="204" t="e">
        <f t="shared" si="947"/>
        <v>#VALUE!</v>
      </c>
      <c r="AR482" s="206" t="e">
        <f t="shared" si="948"/>
        <v>#VALUE!</v>
      </c>
      <c r="AS482" s="170" t="e">
        <f t="shared" si="949"/>
        <v>#VALUE!</v>
      </c>
      <c r="AT482" s="170" t="e">
        <f t="shared" si="950"/>
        <v>#VALUE!</v>
      </c>
      <c r="AU482" s="207" t="e">
        <f t="shared" si="951"/>
        <v>#VALUE!</v>
      </c>
      <c r="AV482" s="208" t="e">
        <f t="shared" si="952"/>
        <v>#VALUE!</v>
      </c>
      <c r="AW482" s="201" t="str">
        <f t="shared" si="953"/>
        <v>Fase de Vida Útil</v>
      </c>
      <c r="AX482" s="253" t="e">
        <f>VLOOKUP(D482,#REF!,5,FALSE)</f>
        <v>#REF!</v>
      </c>
      <c r="AY482" s="201"/>
      <c r="AZ482" s="273" t="s">
        <v>1224</v>
      </c>
      <c r="BB482">
        <f>IFERROR(VLOOKUP(Tabela1[[#This Row],[Denominação]],[10]Planilha1!$A:$B,2,FALSE),"")</f>
        <v>29247.389999999996</v>
      </c>
      <c r="BC482" s="219"/>
      <c r="BD482" s="219"/>
      <c r="BE482" s="219"/>
      <c r="BF482" s="219"/>
      <c r="BG482" s="219"/>
      <c r="BH482" s="219"/>
      <c r="BI482" s="219"/>
      <c r="BJ482" s="219"/>
      <c r="BK482" s="219"/>
      <c r="BL482" s="219"/>
    </row>
    <row r="483" spans="1:64" ht="15" hidden="1" customHeight="1" x14ac:dyDescent="0.3">
      <c r="A483" s="268">
        <v>482</v>
      </c>
      <c r="B483" s="255" t="s">
        <v>1858</v>
      </c>
      <c r="C483" s="211" t="s">
        <v>1727</v>
      </c>
      <c r="D483" s="201">
        <v>10006894</v>
      </c>
      <c r="E483" s="253" t="s">
        <v>1788</v>
      </c>
      <c r="F483" s="253">
        <v>4531</v>
      </c>
      <c r="G483" s="201">
        <v>58072</v>
      </c>
      <c r="H483" s="201">
        <v>2022</v>
      </c>
      <c r="I483" s="216">
        <v>1069021.3600000001</v>
      </c>
      <c r="J483" s="214">
        <v>1011751</v>
      </c>
      <c r="K483" s="170">
        <v>27975.929999999993</v>
      </c>
      <c r="L483" s="207">
        <v>1.24</v>
      </c>
      <c r="M483" s="212">
        <v>3124</v>
      </c>
      <c r="N483" s="212">
        <v>4480</v>
      </c>
      <c r="O483" s="171">
        <v>59</v>
      </c>
      <c r="P483" s="271" t="str">
        <f>IFERROR(VLOOKUP(Tabela1[[#This Row],[TAG]],#REF!,14,FALSE),"")</f>
        <v/>
      </c>
      <c r="Q483" s="204" t="e">
        <f t="shared" si="926"/>
        <v>#VALUE!</v>
      </c>
      <c r="R483" s="204" t="e">
        <f t="shared" si="927"/>
        <v>#VALUE!</v>
      </c>
      <c r="S483" s="204" t="e">
        <f t="shared" si="928"/>
        <v>#VALUE!</v>
      </c>
      <c r="T483" s="204" t="e">
        <f t="shared" si="929"/>
        <v>#VALUE!</v>
      </c>
      <c r="U483" s="204" t="e">
        <f t="shared" si="930"/>
        <v>#VALUE!</v>
      </c>
      <c r="V483" s="204" t="e">
        <f t="shared" si="931"/>
        <v>#VALUE!</v>
      </c>
      <c r="W483" s="218">
        <v>533.52</v>
      </c>
      <c r="X483" s="218">
        <v>2621.75</v>
      </c>
      <c r="Y483" s="203">
        <v>0.1</v>
      </c>
      <c r="Z483" s="203">
        <f>IF(Tabela1[[#This Row],[Ano Aquisição]]=2023,0,IFERROR(VLOOKUP(H483,inflação!$F:$H,3,FALSE),""))</f>
        <v>5.79E-2</v>
      </c>
      <c r="AA483" s="203">
        <v>0.8</v>
      </c>
      <c r="AB483" s="202">
        <f t="shared" si="932"/>
        <v>-1069021.3600000001</v>
      </c>
      <c r="AC483" s="204" t="e">
        <f t="shared" ref="AC483" si="954">-(((P483*$W483)+($X483*12))*((1+$Y483)^AC$1))</f>
        <v>#VALUE!</v>
      </c>
      <c r="AD483" s="204" t="e">
        <f t="shared" ref="AD483" si="955">-((((Q483-P483)*$W483)+($X483*12))*((1+$Y483)^AD$1))</f>
        <v>#VALUE!</v>
      </c>
      <c r="AE483" s="204" t="e">
        <f t="shared" ref="AE483" si="956">-((((R483-Q483)*$W483)+($X483*12))*((1+$Y483)^AE$1))</f>
        <v>#VALUE!</v>
      </c>
      <c r="AF483" s="204" t="e">
        <f t="shared" ref="AF483" si="957">-((((S483-R483)*$W483)+($X483*12))*((1+$Y483)^AF$1))</f>
        <v>#VALUE!</v>
      </c>
      <c r="AG483" s="204" t="e">
        <f t="shared" ref="AG483" si="958">-((((T483-S483)*$W483)+($X483*12))*((1+$Y483)^AG$1))</f>
        <v>#VALUE!</v>
      </c>
      <c r="AH483" s="204" t="e">
        <f t="shared" ref="AH483" si="959">-((((U483-T483)*$W483)+($X483*12))*((1+$Y483)^AH$1))</f>
        <v>#VALUE!</v>
      </c>
      <c r="AI483" s="204" t="e">
        <f t="shared" ref="AI483" si="960">-((((V483-U483)*$W483)+($X483*12))*((1+$Y483)^AI$1))</f>
        <v>#VALUE!</v>
      </c>
      <c r="AJ483" s="205">
        <f t="shared" si="940"/>
        <v>-1130917.6967440001</v>
      </c>
      <c r="AK483" s="204" t="e">
        <f t="shared" ref="AK483" si="961">AC483*(1-$AA483)</f>
        <v>#VALUE!</v>
      </c>
      <c r="AL483" s="204" t="e">
        <f t="shared" ref="AL483" si="962">AD483*(1-$AA483)</f>
        <v>#VALUE!</v>
      </c>
      <c r="AM483" s="204" t="e">
        <f t="shared" ref="AM483" si="963">AE483*(1-$AA483)</f>
        <v>#VALUE!</v>
      </c>
      <c r="AN483" s="204" t="e">
        <f t="shared" ref="AN483" si="964">AF483*(1-$AA483)</f>
        <v>#VALUE!</v>
      </c>
      <c r="AO483" s="204" t="e">
        <f t="shared" ref="AO483" si="965">AG483*(1-$AA483)</f>
        <v>#VALUE!</v>
      </c>
      <c r="AP483" s="204" t="e">
        <f t="shared" ref="AP483" si="966">AH483*(1-$AA483)</f>
        <v>#VALUE!</v>
      </c>
      <c r="AQ483" s="204" t="e">
        <f t="shared" ref="AQ483" si="967">AI483*(1-$AA483)</f>
        <v>#VALUE!</v>
      </c>
      <c r="AR483" s="206" t="e">
        <f t="shared" si="948"/>
        <v>#VALUE!</v>
      </c>
      <c r="AS483" s="170" t="e">
        <f t="shared" ref="AS483" si="968">SUM(AC483:AI483)</f>
        <v>#VALUE!</v>
      </c>
      <c r="AT483" s="170" t="e">
        <f t="shared" ref="AT483" si="969">SUM(AK483:AQ483)</f>
        <v>#VALUE!</v>
      </c>
      <c r="AU483" s="207" t="e">
        <f t="shared" si="951"/>
        <v>#VALUE!</v>
      </c>
      <c r="AV483" s="208" t="e">
        <f t="shared" si="952"/>
        <v>#VALUE!</v>
      </c>
      <c r="AW483" s="201" t="str">
        <f t="shared" si="953"/>
        <v>Fase de Degradação</v>
      </c>
      <c r="AX483" s="253" t="e">
        <f>VLOOKUP(D483,#REF!,5,FALSE)</f>
        <v>#REF!</v>
      </c>
      <c r="AY483" s="201"/>
      <c r="AZ483" s="273" t="s">
        <v>1224</v>
      </c>
      <c r="BB483">
        <f>IFERROR(VLOOKUP(Tabela1[[#This Row],[Denominação]],[10]Planilha1!$A:$B,2,FALSE),"")</f>
        <v>27975.929999999993</v>
      </c>
      <c r="BC483" s="219"/>
      <c r="BD483" s="219"/>
      <c r="BE483" s="219"/>
      <c r="BF483" s="219"/>
      <c r="BG483" s="219"/>
      <c r="BH483" s="219"/>
      <c r="BI483" s="219"/>
      <c r="BJ483" s="219"/>
      <c r="BK483" s="219"/>
      <c r="BL483" s="219"/>
    </row>
    <row r="484" spans="1:64" ht="15" hidden="1" customHeight="1" x14ac:dyDescent="0.3">
      <c r="A484" s="253">
        <v>483</v>
      </c>
      <c r="B484" s="171" t="s">
        <v>370</v>
      </c>
      <c r="C484" s="209" t="s">
        <v>191</v>
      </c>
      <c r="D484" s="171">
        <v>10000517</v>
      </c>
      <c r="E484" s="253" t="s">
        <v>1505</v>
      </c>
      <c r="F484" s="210">
        <v>2514</v>
      </c>
      <c r="G484" s="171">
        <v>4700100100</v>
      </c>
      <c r="H484" s="171">
        <v>1981</v>
      </c>
      <c r="I484" s="213">
        <v>68377.94</v>
      </c>
      <c r="J484" s="213">
        <v>0</v>
      </c>
      <c r="K484" s="170">
        <v>1475211.209999999</v>
      </c>
      <c r="L484" s="215">
        <v>1.73</v>
      </c>
      <c r="M484" s="320">
        <v>5020</v>
      </c>
      <c r="N484" s="212">
        <v>198630</v>
      </c>
      <c r="O484" s="171">
        <v>1379</v>
      </c>
      <c r="P484" s="271" t="str">
        <f>IFERROR(VLOOKUP(Tabela1[[#This Row],[TAG]],#REF!,14,FALSE),"")</f>
        <v/>
      </c>
      <c r="Q484" s="204" t="e">
        <f>P484+P484</f>
        <v>#VALUE!</v>
      </c>
      <c r="R484" s="204" t="e">
        <f>Q484+P484</f>
        <v>#VALUE!</v>
      </c>
      <c r="S484" s="204" t="e">
        <f>R484+P484</f>
        <v>#VALUE!</v>
      </c>
      <c r="T484" s="204" t="e">
        <f>S484+P484</f>
        <v>#VALUE!</v>
      </c>
      <c r="U484" s="204" t="e">
        <f>T484+P484</f>
        <v>#VALUE!</v>
      </c>
      <c r="V484" s="204" t="e">
        <f>U484+P484</f>
        <v>#VALUE!</v>
      </c>
      <c r="W484" s="304">
        <v>747.81</v>
      </c>
      <c r="X484" s="304">
        <v>6652.24</v>
      </c>
      <c r="Y484" s="203">
        <v>0.1</v>
      </c>
      <c r="Z484" s="203">
        <f>IF(Tabela1[[#This Row],[Ano Aquisição]]=2023,0,IFERROR(VLOOKUP(H484,inflação!$F:$H,3,FALSE),""))</f>
        <v>2.6607692307692328</v>
      </c>
      <c r="AA484" s="203">
        <v>0.8</v>
      </c>
      <c r="AB484" s="202">
        <f t="shared" si="932"/>
        <v>-68377.94</v>
      </c>
      <c r="AC484" s="204" t="e">
        <f>-(((P484*$W484)+($X484*12))*((1+$Y484)^AC$1))</f>
        <v>#VALUE!</v>
      </c>
      <c r="AD484" s="204" t="e">
        <f t="shared" ref="AD484:AI485" si="970">-((((Q484-P484)*$W484)+($X484*12))*((1+$Y484)^AD$1))</f>
        <v>#VALUE!</v>
      </c>
      <c r="AE484" s="204" t="e">
        <f t="shared" si="970"/>
        <v>#VALUE!</v>
      </c>
      <c r="AF484" s="204" t="e">
        <f t="shared" si="970"/>
        <v>#VALUE!</v>
      </c>
      <c r="AG484" s="204" t="e">
        <f t="shared" si="970"/>
        <v>#VALUE!</v>
      </c>
      <c r="AH484" s="204" t="e">
        <f t="shared" si="970"/>
        <v>#VALUE!</v>
      </c>
      <c r="AI484" s="204" t="e">
        <f t="shared" si="970"/>
        <v>#VALUE!</v>
      </c>
      <c r="AJ484" s="205">
        <f t="shared" si="940"/>
        <v>-250315.85881538477</v>
      </c>
      <c r="AK484" s="204" t="e">
        <f t="shared" ref="AK484:AQ485" si="971">AC484*(1-$AA484)</f>
        <v>#VALUE!</v>
      </c>
      <c r="AL484" s="204" t="e">
        <f t="shared" si="971"/>
        <v>#VALUE!</v>
      </c>
      <c r="AM484" s="204" t="e">
        <f t="shared" si="971"/>
        <v>#VALUE!</v>
      </c>
      <c r="AN484" s="204" t="e">
        <f t="shared" si="971"/>
        <v>#VALUE!</v>
      </c>
      <c r="AO484" s="204" t="e">
        <f t="shared" si="971"/>
        <v>#VALUE!</v>
      </c>
      <c r="AP484" s="204" t="e">
        <f t="shared" si="971"/>
        <v>#VALUE!</v>
      </c>
      <c r="AQ484" s="204" t="e">
        <f t="shared" si="971"/>
        <v>#VALUE!</v>
      </c>
      <c r="AR484" s="206" t="e">
        <f t="shared" si="948"/>
        <v>#VALUE!</v>
      </c>
      <c r="AS484" s="170" t="e">
        <f>SUM(AC484:AI484)</f>
        <v>#VALUE!</v>
      </c>
      <c r="AT484" s="170" t="e">
        <f>SUM(AK484:AQ484)</f>
        <v>#VALUE!</v>
      </c>
      <c r="AU484" s="207" t="e">
        <f t="shared" si="951"/>
        <v>#VALUE!</v>
      </c>
      <c r="AV484" s="208" t="e">
        <f t="shared" si="952"/>
        <v>#VALUE!</v>
      </c>
      <c r="AW484" s="201" t="str">
        <f t="shared" si="953"/>
        <v>Fase de Degradação</v>
      </c>
      <c r="AX484" s="253" t="e">
        <f>VLOOKUP(D484,#REF!,5,FALSE)</f>
        <v>#REF!</v>
      </c>
      <c r="AY484" s="201"/>
      <c r="AZ484" s="273" t="s">
        <v>1224</v>
      </c>
      <c r="BB484">
        <f>IFERROR(VLOOKUP(Tabela1[[#This Row],[Denominação]],[10]Planilha1!$A:$B,2,FALSE),"")</f>
        <v>1475211.209999999</v>
      </c>
      <c r="BC484" s="219"/>
      <c r="BD484" s="219"/>
      <c r="BE484" s="219"/>
      <c r="BF484" s="219"/>
      <c r="BG484" s="219"/>
      <c r="BH484" s="219"/>
      <c r="BI484" s="219"/>
      <c r="BJ484" s="219"/>
      <c r="BK484" s="219"/>
      <c r="BL484" s="219"/>
    </row>
    <row r="485" spans="1:64" ht="15" hidden="1" customHeight="1" x14ac:dyDescent="0.3">
      <c r="A485" s="268">
        <v>484</v>
      </c>
      <c r="B485" s="255" t="s">
        <v>1859</v>
      </c>
      <c r="C485" s="211" t="s">
        <v>1728</v>
      </c>
      <c r="D485" s="201">
        <v>20004129</v>
      </c>
      <c r="E485" s="253" t="s">
        <v>1789</v>
      </c>
      <c r="F485" s="253">
        <v>2318</v>
      </c>
      <c r="G485" s="201">
        <v>53176</v>
      </c>
      <c r="H485" s="201">
        <v>2019</v>
      </c>
      <c r="I485" s="216">
        <v>324858.21999999997</v>
      </c>
      <c r="J485" s="214">
        <v>277893</v>
      </c>
      <c r="K485" s="170">
        <v>8017.57</v>
      </c>
      <c r="L485" s="207">
        <v>1.81</v>
      </c>
      <c r="M485" s="212">
        <v>3854</v>
      </c>
      <c r="N485" s="212">
        <v>15691</v>
      </c>
      <c r="O485" s="171">
        <v>58</v>
      </c>
      <c r="P485" s="271" t="str">
        <f>IFERROR(VLOOKUP(Tabela1[[#This Row],[TAG]],#REF!,14,FALSE),"")</f>
        <v/>
      </c>
      <c r="Q485" s="204" t="e">
        <f t="shared" ref="Q485" si="972">P485+P485</f>
        <v>#VALUE!</v>
      </c>
      <c r="R485" s="204" t="e">
        <f t="shared" ref="R485" si="973">Q485+P485</f>
        <v>#VALUE!</v>
      </c>
      <c r="S485" s="204" t="e">
        <f t="shared" ref="S485" si="974">R485+P485</f>
        <v>#VALUE!</v>
      </c>
      <c r="T485" s="204" t="e">
        <f t="shared" ref="T485" si="975">S485+P485</f>
        <v>#VALUE!</v>
      </c>
      <c r="U485" s="204" t="e">
        <f t="shared" ref="U485" si="976">T485+P485</f>
        <v>#VALUE!</v>
      </c>
      <c r="V485" s="204" t="e">
        <f t="shared" ref="V485" si="977">U485+P485</f>
        <v>#VALUE!</v>
      </c>
      <c r="W485" s="218">
        <v>805.46</v>
      </c>
      <c r="X485" s="218">
        <v>3804.68</v>
      </c>
      <c r="Y485" s="203">
        <v>0.1</v>
      </c>
      <c r="Z485" s="203">
        <f>IF(Tabela1[[#This Row],[Ano Aquisição]]=2023,0,IFERROR(VLOOKUP(H485,inflação!$F:$H,3,FALSE),""))</f>
        <v>0.24679999999999999</v>
      </c>
      <c r="AA485" s="203">
        <v>0.8</v>
      </c>
      <c r="AB485" s="202">
        <f t="shared" si="932"/>
        <v>-324858.21999999997</v>
      </c>
      <c r="AC485" s="204" t="e">
        <f t="shared" ref="AC485" si="978">-(((P485*$W485)+($X485*12))*((1+$Y485)^AC$1))</f>
        <v>#VALUE!</v>
      </c>
      <c r="AD485" s="204" t="e">
        <f t="shared" si="970"/>
        <v>#VALUE!</v>
      </c>
      <c r="AE485" s="204" t="e">
        <f t="shared" si="970"/>
        <v>#VALUE!</v>
      </c>
      <c r="AF485" s="204" t="e">
        <f t="shared" si="970"/>
        <v>#VALUE!</v>
      </c>
      <c r="AG485" s="204" t="e">
        <f t="shared" si="970"/>
        <v>#VALUE!</v>
      </c>
      <c r="AH485" s="204" t="e">
        <f t="shared" si="970"/>
        <v>#VALUE!</v>
      </c>
      <c r="AI485" s="204" t="e">
        <f t="shared" si="970"/>
        <v>#VALUE!</v>
      </c>
      <c r="AJ485" s="205">
        <f t="shared" si="940"/>
        <v>-405033.22869599995</v>
      </c>
      <c r="AK485" s="204" t="e">
        <f t="shared" si="971"/>
        <v>#VALUE!</v>
      </c>
      <c r="AL485" s="204" t="e">
        <f t="shared" si="971"/>
        <v>#VALUE!</v>
      </c>
      <c r="AM485" s="204" t="e">
        <f t="shared" si="971"/>
        <v>#VALUE!</v>
      </c>
      <c r="AN485" s="204" t="e">
        <f t="shared" si="971"/>
        <v>#VALUE!</v>
      </c>
      <c r="AO485" s="204" t="e">
        <f t="shared" si="971"/>
        <v>#VALUE!</v>
      </c>
      <c r="AP485" s="204" t="e">
        <f t="shared" si="971"/>
        <v>#VALUE!</v>
      </c>
      <c r="AQ485" s="204" t="e">
        <f t="shared" si="971"/>
        <v>#VALUE!</v>
      </c>
      <c r="AR485" s="206" t="e">
        <f t="shared" si="948"/>
        <v>#VALUE!</v>
      </c>
      <c r="AS485" s="170" t="e">
        <f t="shared" ref="AS485" si="979">SUM(AC485:AI485)</f>
        <v>#VALUE!</v>
      </c>
      <c r="AT485" s="170" t="e">
        <f t="shared" ref="AT485" si="980">SUM(AK485:AQ485)</f>
        <v>#VALUE!</v>
      </c>
      <c r="AU485" s="207" t="e">
        <f t="shared" si="951"/>
        <v>#VALUE!</v>
      </c>
      <c r="AV485" s="208" t="e">
        <f t="shared" si="952"/>
        <v>#VALUE!</v>
      </c>
      <c r="AW485" s="201" t="str">
        <f t="shared" si="953"/>
        <v>Fase de Degradação</v>
      </c>
      <c r="AX485" s="253" t="e">
        <f>VLOOKUP(D485,#REF!,5,FALSE)</f>
        <v>#REF!</v>
      </c>
      <c r="AY485" s="201"/>
      <c r="AZ485" s="273" t="s">
        <v>1224</v>
      </c>
      <c r="BB485">
        <f>IFERROR(VLOOKUP(Tabela1[[#This Row],[Denominação]],[10]Planilha1!$A:$B,2,FALSE),"")</f>
        <v>8017.57</v>
      </c>
      <c r="BC485" s="219"/>
      <c r="BD485" s="219"/>
      <c r="BE485" s="219"/>
      <c r="BF485" s="219"/>
      <c r="BG485" s="219"/>
      <c r="BH485" s="219"/>
      <c r="BI485" s="219"/>
      <c r="BJ485" s="219"/>
      <c r="BK485" s="219"/>
      <c r="BL485" s="219"/>
    </row>
    <row r="486" spans="1:64" ht="15" hidden="1" customHeight="1" x14ac:dyDescent="0.3">
      <c r="A486" s="253">
        <v>485</v>
      </c>
      <c r="B486" s="201" t="s">
        <v>1124</v>
      </c>
      <c r="C486" s="211" t="s">
        <v>1125</v>
      </c>
      <c r="D486" s="201">
        <v>10001823</v>
      </c>
      <c r="E486" s="253" t="s">
        <v>1506</v>
      </c>
      <c r="F486" s="253">
        <v>4711</v>
      </c>
      <c r="G486" s="201">
        <v>20095</v>
      </c>
      <c r="H486" s="201">
        <v>1996</v>
      </c>
      <c r="I486" s="216">
        <v>54764.78</v>
      </c>
      <c r="J486" s="214">
        <v>0</v>
      </c>
      <c r="K486" s="170">
        <v>174492.20000000013</v>
      </c>
      <c r="L486" s="207">
        <v>0.91</v>
      </c>
      <c r="M486" s="212">
        <v>2000</v>
      </c>
      <c r="N486" s="212">
        <v>194172</v>
      </c>
      <c r="O486" s="171">
        <v>210</v>
      </c>
      <c r="P486" s="271" t="str">
        <f>IFERROR(VLOOKUP(Tabela1[[#This Row],[TAG]],#REF!,14,FALSE),"")</f>
        <v/>
      </c>
      <c r="Q486" s="204" t="e">
        <f>P486+P486</f>
        <v>#VALUE!</v>
      </c>
      <c r="R486" s="204" t="e">
        <f>Q486+P486</f>
        <v>#VALUE!</v>
      </c>
      <c r="S486" s="204" t="e">
        <f>R486+P486</f>
        <v>#VALUE!</v>
      </c>
      <c r="T486" s="204" t="e">
        <f>S486+P486</f>
        <v>#VALUE!</v>
      </c>
      <c r="U486" s="204" t="e">
        <f>T486+P486</f>
        <v>#VALUE!</v>
      </c>
      <c r="V486" s="204" t="e">
        <f>U486+P486</f>
        <v>#VALUE!</v>
      </c>
      <c r="W486" s="218">
        <v>190.87</v>
      </c>
      <c r="X486" s="218">
        <v>129.05000000000001</v>
      </c>
      <c r="Y486" s="203">
        <v>0.1</v>
      </c>
      <c r="Z486" s="203">
        <f>IF(Tabela1[[#This Row],[Ano Aquisição]]=2023,0,IFERROR(VLOOKUP(H486,inflação!$F:$H,3,FALSE),""))</f>
        <v>1.7084999999999999</v>
      </c>
      <c r="AA486" s="203">
        <v>0.8</v>
      </c>
      <c r="AB486" s="202">
        <f t="shared" si="932"/>
        <v>-54764.78</v>
      </c>
      <c r="AC486" s="204" t="e">
        <f>-(((P486*$W486)+($X486*12))*((1+$Y486)^AC$1))</f>
        <v>#VALUE!</v>
      </c>
      <c r="AD486" s="204" t="e">
        <f t="shared" ref="AD486:AI490" si="981">-((((Q486-P486)*$W486)+($X486*12))*((1+$Y486)^AD$1))</f>
        <v>#VALUE!</v>
      </c>
      <c r="AE486" s="204" t="e">
        <f t="shared" si="981"/>
        <v>#VALUE!</v>
      </c>
      <c r="AF486" s="204" t="e">
        <f t="shared" si="981"/>
        <v>#VALUE!</v>
      </c>
      <c r="AG486" s="204" t="e">
        <f t="shared" si="981"/>
        <v>#VALUE!</v>
      </c>
      <c r="AH486" s="204" t="e">
        <f t="shared" si="981"/>
        <v>#VALUE!</v>
      </c>
      <c r="AI486" s="204" t="e">
        <f t="shared" si="981"/>
        <v>#VALUE!</v>
      </c>
      <c r="AJ486" s="205">
        <f t="shared" si="940"/>
        <v>-148330.40662999998</v>
      </c>
      <c r="AK486" s="204" t="e">
        <f t="shared" ref="AK486:AQ490" si="982">AC486*(1-$AA486)</f>
        <v>#VALUE!</v>
      </c>
      <c r="AL486" s="204" t="e">
        <f t="shared" si="982"/>
        <v>#VALUE!</v>
      </c>
      <c r="AM486" s="204" t="e">
        <f t="shared" si="982"/>
        <v>#VALUE!</v>
      </c>
      <c r="AN486" s="204" t="e">
        <f t="shared" si="982"/>
        <v>#VALUE!</v>
      </c>
      <c r="AO486" s="204" t="e">
        <f t="shared" si="982"/>
        <v>#VALUE!</v>
      </c>
      <c r="AP486" s="204" t="e">
        <f t="shared" si="982"/>
        <v>#VALUE!</v>
      </c>
      <c r="AQ486" s="204" t="e">
        <f t="shared" si="982"/>
        <v>#VALUE!</v>
      </c>
      <c r="AR486" s="206" t="e">
        <f t="shared" si="948"/>
        <v>#VALUE!</v>
      </c>
      <c r="AS486" s="170" t="e">
        <f>SUM(AC486:AI486)</f>
        <v>#VALUE!</v>
      </c>
      <c r="AT486" s="170" t="e">
        <f>SUM(AK486:AQ486)</f>
        <v>#VALUE!</v>
      </c>
      <c r="AU486" s="207" t="e">
        <f t="shared" si="951"/>
        <v>#VALUE!</v>
      </c>
      <c r="AV486" s="208" t="e">
        <f t="shared" si="952"/>
        <v>#VALUE!</v>
      </c>
      <c r="AW486" s="201" t="str">
        <f t="shared" si="953"/>
        <v>Confiabilidade em Crescimento</v>
      </c>
      <c r="AX486" s="253" t="e">
        <f>VLOOKUP(D486,#REF!,5,FALSE)</f>
        <v>#REF!</v>
      </c>
      <c r="AY486" s="201"/>
      <c r="AZ486" s="273" t="s">
        <v>1224</v>
      </c>
      <c r="BB486">
        <f>IFERROR(VLOOKUP(Tabela1[[#This Row],[Denominação]],[10]Planilha1!$A:$B,2,FALSE),"")</f>
        <v>174492.20000000013</v>
      </c>
      <c r="BC486" s="219"/>
      <c r="BD486" s="219"/>
      <c r="BE486" s="219"/>
      <c r="BF486" s="219"/>
      <c r="BG486" s="219"/>
      <c r="BH486" s="219"/>
      <c r="BI486" s="219"/>
      <c r="BJ486" s="219"/>
      <c r="BK486" s="219"/>
      <c r="BL486" s="219"/>
    </row>
    <row r="487" spans="1:64" ht="15" hidden="1" customHeight="1" x14ac:dyDescent="0.3">
      <c r="A487" s="268">
        <v>486</v>
      </c>
      <c r="B487" s="201" t="s">
        <v>1126</v>
      </c>
      <c r="C487" s="211" t="s">
        <v>1127</v>
      </c>
      <c r="D487" s="201">
        <v>10003951</v>
      </c>
      <c r="E487" s="253" t="s">
        <v>1506</v>
      </c>
      <c r="F487" s="253">
        <v>4711</v>
      </c>
      <c r="G487" s="201">
        <v>33615</v>
      </c>
      <c r="H487" s="201">
        <v>2005</v>
      </c>
      <c r="I487" s="216">
        <v>88466.92</v>
      </c>
      <c r="J487" s="214">
        <v>4430</v>
      </c>
      <c r="K487" s="170">
        <v>176763.58000000005</v>
      </c>
      <c r="L487" s="207">
        <v>4.9800000000000004</v>
      </c>
      <c r="M487" s="212">
        <v>2000</v>
      </c>
      <c r="N487" s="212">
        <v>163128</v>
      </c>
      <c r="O487" s="171">
        <v>101</v>
      </c>
      <c r="P487" s="271" t="str">
        <f>IFERROR(VLOOKUP(Tabela1[[#This Row],[TAG]],#REF!,14,FALSE),"")</f>
        <v/>
      </c>
      <c r="Q487" s="204" t="e">
        <f>P487+P487</f>
        <v>#VALUE!</v>
      </c>
      <c r="R487" s="204" t="e">
        <f>Q487+P487</f>
        <v>#VALUE!</v>
      </c>
      <c r="S487" s="204" t="e">
        <f>R487+P487</f>
        <v>#VALUE!</v>
      </c>
      <c r="T487" s="204" t="e">
        <f>S487+P487</f>
        <v>#VALUE!</v>
      </c>
      <c r="U487" s="204" t="e">
        <f>T487+P487</f>
        <v>#VALUE!</v>
      </c>
      <c r="V487" s="204" t="e">
        <f>U487+P487</f>
        <v>#VALUE!</v>
      </c>
      <c r="W487" s="218">
        <v>137.53</v>
      </c>
      <c r="X487" s="218">
        <v>144.02000000000001</v>
      </c>
      <c r="Y487" s="203">
        <v>0.1</v>
      </c>
      <c r="Z487" s="203">
        <f>IF(Tabela1[[#This Row],[Ano Aquisição]]=2023,0,IFERROR(VLOOKUP(H487,inflação!$F:$H,3,FALSE),""))</f>
        <v>1.0241</v>
      </c>
      <c r="AA487" s="203">
        <v>0.8</v>
      </c>
      <c r="AB487" s="202">
        <f t="shared" si="932"/>
        <v>-88466.92</v>
      </c>
      <c r="AC487" s="204" t="e">
        <f>-(((P487*$W487)+($X487*12))*((1+$Y487)^AC$1))</f>
        <v>#VALUE!</v>
      </c>
      <c r="AD487" s="204" t="e">
        <f t="shared" si="981"/>
        <v>#VALUE!</v>
      </c>
      <c r="AE487" s="204" t="e">
        <f t="shared" si="981"/>
        <v>#VALUE!</v>
      </c>
      <c r="AF487" s="204" t="e">
        <f t="shared" si="981"/>
        <v>#VALUE!</v>
      </c>
      <c r="AG487" s="204" t="e">
        <f t="shared" si="981"/>
        <v>#VALUE!</v>
      </c>
      <c r="AH487" s="204" t="e">
        <f t="shared" si="981"/>
        <v>#VALUE!</v>
      </c>
      <c r="AI487" s="204" t="e">
        <f t="shared" si="981"/>
        <v>#VALUE!</v>
      </c>
      <c r="AJ487" s="205">
        <f t="shared" si="940"/>
        <v>-179065.89277199999</v>
      </c>
      <c r="AK487" s="204" t="e">
        <f t="shared" si="982"/>
        <v>#VALUE!</v>
      </c>
      <c r="AL487" s="204" t="e">
        <f t="shared" si="982"/>
        <v>#VALUE!</v>
      </c>
      <c r="AM487" s="204" t="e">
        <f t="shared" si="982"/>
        <v>#VALUE!</v>
      </c>
      <c r="AN487" s="204" t="e">
        <f t="shared" si="982"/>
        <v>#VALUE!</v>
      </c>
      <c r="AO487" s="204" t="e">
        <f t="shared" si="982"/>
        <v>#VALUE!</v>
      </c>
      <c r="AP487" s="204" t="e">
        <f t="shared" si="982"/>
        <v>#VALUE!</v>
      </c>
      <c r="AQ487" s="204" t="e">
        <f t="shared" si="982"/>
        <v>#VALUE!</v>
      </c>
      <c r="AR487" s="206" t="e">
        <f t="shared" si="948"/>
        <v>#VALUE!</v>
      </c>
      <c r="AS487" s="170" t="e">
        <f>SUM(AC487:AI487)</f>
        <v>#VALUE!</v>
      </c>
      <c r="AT487" s="170" t="e">
        <f>SUM(AK487:AQ487)</f>
        <v>#VALUE!</v>
      </c>
      <c r="AU487" s="207" t="e">
        <f t="shared" si="951"/>
        <v>#VALUE!</v>
      </c>
      <c r="AV487" s="208" t="e">
        <f t="shared" si="952"/>
        <v>#VALUE!</v>
      </c>
      <c r="AW487" s="201" t="str">
        <f t="shared" si="953"/>
        <v>Fase de Degradação</v>
      </c>
      <c r="AX487" s="253" t="e">
        <f>VLOOKUP(D487,#REF!,5,FALSE)</f>
        <v>#REF!</v>
      </c>
      <c r="AY487" s="201"/>
      <c r="AZ487" s="273" t="s">
        <v>1224</v>
      </c>
      <c r="BB487">
        <f>IFERROR(VLOOKUP(Tabela1[[#This Row],[Denominação]],[10]Planilha1!$A:$B,2,FALSE),"")</f>
        <v>176763.58000000005</v>
      </c>
      <c r="BC487" s="219"/>
      <c r="BD487" s="219"/>
      <c r="BE487" s="219"/>
      <c r="BF487" s="219"/>
      <c r="BG487" s="219"/>
      <c r="BH487" s="219"/>
      <c r="BI487" s="219"/>
      <c r="BJ487" s="219"/>
      <c r="BK487" s="219"/>
      <c r="BL487" s="219"/>
    </row>
    <row r="488" spans="1:64" ht="15" hidden="1" customHeight="1" x14ac:dyDescent="0.3">
      <c r="A488" s="253">
        <v>487</v>
      </c>
      <c r="B488" s="201" t="s">
        <v>1128</v>
      </c>
      <c r="C488" s="211" t="s">
        <v>1129</v>
      </c>
      <c r="D488" s="201">
        <v>10004472</v>
      </c>
      <c r="E488" s="253" t="s">
        <v>1506</v>
      </c>
      <c r="F488" s="253">
        <v>4511</v>
      </c>
      <c r="G488" s="201">
        <v>32132</v>
      </c>
      <c r="H488" s="201">
        <v>2003</v>
      </c>
      <c r="I488" s="216">
        <v>67241.289999999994</v>
      </c>
      <c r="J488" s="214">
        <v>0</v>
      </c>
      <c r="K488" s="170">
        <v>336089.27000000008</v>
      </c>
      <c r="L488" s="207">
        <v>0.89</v>
      </c>
      <c r="M488" s="212">
        <v>2000</v>
      </c>
      <c r="N488" s="212">
        <v>148341</v>
      </c>
      <c r="O488" s="171">
        <v>103</v>
      </c>
      <c r="P488" s="271" t="str">
        <f>IFERROR(VLOOKUP(Tabela1[[#This Row],[TAG]],#REF!,14,FALSE),"")</f>
        <v/>
      </c>
      <c r="Q488" s="204" t="e">
        <f>P488+P488</f>
        <v>#VALUE!</v>
      </c>
      <c r="R488" s="204" t="e">
        <f>Q488+P488</f>
        <v>#VALUE!</v>
      </c>
      <c r="S488" s="204" t="e">
        <f>R488+P488</f>
        <v>#VALUE!</v>
      </c>
      <c r="T488" s="204" t="e">
        <f>S488+P488</f>
        <v>#VALUE!</v>
      </c>
      <c r="U488" s="204" t="e">
        <f>T488+P488</f>
        <v>#VALUE!</v>
      </c>
      <c r="V488" s="204" t="e">
        <f>U488+P488</f>
        <v>#VALUE!</v>
      </c>
      <c r="W488" s="218">
        <v>223.67</v>
      </c>
      <c r="X488" s="218">
        <v>733.94</v>
      </c>
      <c r="Y488" s="203">
        <v>0.1</v>
      </c>
      <c r="Z488" s="203">
        <f>IF(Tabela1[[#This Row],[Ano Aquisição]]=2023,0,IFERROR(VLOOKUP(H488,inflação!$F:$H,3,FALSE),""))</f>
        <v>1.1931</v>
      </c>
      <c r="AA488" s="203">
        <v>0.8</v>
      </c>
      <c r="AB488" s="202">
        <f t="shared" si="932"/>
        <v>-67241.289999999994</v>
      </c>
      <c r="AC488" s="204" t="e">
        <f>-(((P488*$W488)+($X488*12))*((1+$Y488)^AC$1))</f>
        <v>#VALUE!</v>
      </c>
      <c r="AD488" s="204" t="e">
        <f t="shared" si="981"/>
        <v>#VALUE!</v>
      </c>
      <c r="AE488" s="204" t="e">
        <f t="shared" si="981"/>
        <v>#VALUE!</v>
      </c>
      <c r="AF488" s="204" t="e">
        <f t="shared" si="981"/>
        <v>#VALUE!</v>
      </c>
      <c r="AG488" s="204" t="e">
        <f t="shared" si="981"/>
        <v>#VALUE!</v>
      </c>
      <c r="AH488" s="204" t="e">
        <f t="shared" si="981"/>
        <v>#VALUE!</v>
      </c>
      <c r="AI488" s="204" t="e">
        <f t="shared" si="981"/>
        <v>#VALUE!</v>
      </c>
      <c r="AJ488" s="205">
        <f t="shared" si="940"/>
        <v>-147466.87309900002</v>
      </c>
      <c r="AK488" s="204" t="e">
        <f t="shared" si="982"/>
        <v>#VALUE!</v>
      </c>
      <c r="AL488" s="204" t="e">
        <f t="shared" si="982"/>
        <v>#VALUE!</v>
      </c>
      <c r="AM488" s="204" t="e">
        <f t="shared" si="982"/>
        <v>#VALUE!</v>
      </c>
      <c r="AN488" s="204" t="e">
        <f t="shared" si="982"/>
        <v>#VALUE!</v>
      </c>
      <c r="AO488" s="204" t="e">
        <f t="shared" si="982"/>
        <v>#VALUE!</v>
      </c>
      <c r="AP488" s="204" t="e">
        <f t="shared" si="982"/>
        <v>#VALUE!</v>
      </c>
      <c r="AQ488" s="204" t="e">
        <f t="shared" si="982"/>
        <v>#VALUE!</v>
      </c>
      <c r="AR488" s="206" t="e">
        <f t="shared" si="948"/>
        <v>#VALUE!</v>
      </c>
      <c r="AS488" s="170" t="e">
        <f>SUM(AC488:AI488)</f>
        <v>#VALUE!</v>
      </c>
      <c r="AT488" s="170" t="e">
        <f>SUM(AK488:AQ488)</f>
        <v>#VALUE!</v>
      </c>
      <c r="AU488" s="207" t="e">
        <f t="shared" si="951"/>
        <v>#VALUE!</v>
      </c>
      <c r="AV488" s="208" t="e">
        <f t="shared" si="952"/>
        <v>#VALUE!</v>
      </c>
      <c r="AW488" s="201" t="str">
        <f t="shared" si="953"/>
        <v>Confiabilidade em Crescimento</v>
      </c>
      <c r="AX488" s="253" t="e">
        <f>VLOOKUP(D488,#REF!,5,FALSE)</f>
        <v>#REF!</v>
      </c>
      <c r="AY488" s="201" t="s">
        <v>1224</v>
      </c>
      <c r="AZ488" s="273" t="s">
        <v>1224</v>
      </c>
      <c r="BB488">
        <f>IFERROR(VLOOKUP(Tabela1[[#This Row],[Denominação]],[10]Planilha1!$A:$B,2,FALSE),"")</f>
        <v>336089.27000000008</v>
      </c>
      <c r="BC488" s="219"/>
      <c r="BD488" s="219"/>
      <c r="BE488" s="219"/>
      <c r="BF488" s="219"/>
      <c r="BG488" s="219"/>
      <c r="BH488" s="219"/>
      <c r="BI488" s="219"/>
      <c r="BJ488" s="219"/>
      <c r="BK488" s="219"/>
      <c r="BL488" s="219"/>
    </row>
    <row r="489" spans="1:64" ht="15" hidden="1" customHeight="1" x14ac:dyDescent="0.3">
      <c r="A489" s="268">
        <v>488</v>
      </c>
      <c r="B489" s="201" t="s">
        <v>1130</v>
      </c>
      <c r="C489" s="211" t="s">
        <v>1131</v>
      </c>
      <c r="D489" s="201">
        <v>20000475</v>
      </c>
      <c r="E489" s="253" t="s">
        <v>1506</v>
      </c>
      <c r="F489" s="253">
        <v>4511</v>
      </c>
      <c r="G489" s="201">
        <v>42238</v>
      </c>
      <c r="H489" s="201">
        <v>2012</v>
      </c>
      <c r="I489" s="216">
        <v>132453.79</v>
      </c>
      <c r="J489" s="214">
        <v>60356</v>
      </c>
      <c r="K489" s="170">
        <v>22276.78</v>
      </c>
      <c r="L489" s="207">
        <v>1.32</v>
      </c>
      <c r="M489" s="212">
        <v>2000</v>
      </c>
      <c r="N489" s="212">
        <v>84188</v>
      </c>
      <c r="O489" s="171">
        <v>21</v>
      </c>
      <c r="P489" s="271" t="str">
        <f>IFERROR(VLOOKUP(Tabela1[[#This Row],[TAG]],#REF!,14,FALSE),"")</f>
        <v/>
      </c>
      <c r="Q489" s="204" t="e">
        <f>P489+P489</f>
        <v>#VALUE!</v>
      </c>
      <c r="R489" s="204" t="e">
        <f>Q489+P489</f>
        <v>#VALUE!</v>
      </c>
      <c r="S489" s="204" t="e">
        <f>R489+P489</f>
        <v>#VALUE!</v>
      </c>
      <c r="T489" s="204" t="e">
        <f>S489+P489</f>
        <v>#VALUE!</v>
      </c>
      <c r="U489" s="204" t="e">
        <f>T489+P489</f>
        <v>#VALUE!</v>
      </c>
      <c r="V489" s="204" t="e">
        <f>U489+P489</f>
        <v>#VALUE!</v>
      </c>
      <c r="W489" s="218">
        <v>501.9</v>
      </c>
      <c r="X489" s="218">
        <v>557.65</v>
      </c>
      <c r="Y489" s="203">
        <v>0.1</v>
      </c>
      <c r="Z489" s="203">
        <f>IF(Tabela1[[#This Row],[Ano Aquisição]]=2023,0,IFERROR(VLOOKUP(H489,inflação!$F:$H,3,FALSE),""))</f>
        <v>0.66500000000000004</v>
      </c>
      <c r="AA489" s="203">
        <v>0.8</v>
      </c>
      <c r="AB489" s="202">
        <f t="shared" si="932"/>
        <v>-132453.79</v>
      </c>
      <c r="AC489" s="204" t="e">
        <f>-(((P489*$W489)+($X489*12))*((1+$Y489)^AC$1))</f>
        <v>#VALUE!</v>
      </c>
      <c r="AD489" s="204" t="e">
        <f t="shared" si="981"/>
        <v>#VALUE!</v>
      </c>
      <c r="AE489" s="204" t="e">
        <f t="shared" si="981"/>
        <v>#VALUE!</v>
      </c>
      <c r="AF489" s="204" t="e">
        <f t="shared" si="981"/>
        <v>#VALUE!</v>
      </c>
      <c r="AG489" s="204" t="e">
        <f t="shared" si="981"/>
        <v>#VALUE!</v>
      </c>
      <c r="AH489" s="204" t="e">
        <f t="shared" si="981"/>
        <v>#VALUE!</v>
      </c>
      <c r="AI489" s="204" t="e">
        <f t="shared" si="981"/>
        <v>#VALUE!</v>
      </c>
      <c r="AJ489" s="205">
        <f t="shared" si="940"/>
        <v>-220535.56035000001</v>
      </c>
      <c r="AK489" s="204" t="e">
        <f t="shared" si="982"/>
        <v>#VALUE!</v>
      </c>
      <c r="AL489" s="204" t="e">
        <f t="shared" si="982"/>
        <v>#VALUE!</v>
      </c>
      <c r="AM489" s="204" t="e">
        <f t="shared" si="982"/>
        <v>#VALUE!</v>
      </c>
      <c r="AN489" s="204" t="e">
        <f t="shared" si="982"/>
        <v>#VALUE!</v>
      </c>
      <c r="AO489" s="204" t="e">
        <f t="shared" si="982"/>
        <v>#VALUE!</v>
      </c>
      <c r="AP489" s="204" t="e">
        <f t="shared" si="982"/>
        <v>#VALUE!</v>
      </c>
      <c r="AQ489" s="204" t="e">
        <f t="shared" si="982"/>
        <v>#VALUE!</v>
      </c>
      <c r="AR489" s="206" t="e">
        <f t="shared" si="948"/>
        <v>#VALUE!</v>
      </c>
      <c r="AS489" s="170" t="e">
        <f>SUM(AC489:AI489)</f>
        <v>#VALUE!</v>
      </c>
      <c r="AT489" s="170" t="e">
        <f>SUM(AK489:AQ489)</f>
        <v>#VALUE!</v>
      </c>
      <c r="AU489" s="207" t="e">
        <f t="shared" si="951"/>
        <v>#VALUE!</v>
      </c>
      <c r="AV489" s="208" t="e">
        <f t="shared" si="952"/>
        <v>#VALUE!</v>
      </c>
      <c r="AW489" s="201" t="str">
        <f t="shared" si="953"/>
        <v>Fase de Degradação</v>
      </c>
      <c r="AX489" s="253" t="e">
        <f>VLOOKUP(D489,#REF!,5,FALSE)</f>
        <v>#REF!</v>
      </c>
      <c r="AY489" s="201" t="s">
        <v>1224</v>
      </c>
      <c r="AZ489" s="273" t="s">
        <v>1224</v>
      </c>
      <c r="BB489">
        <f>IFERROR(VLOOKUP(Tabela1[[#This Row],[Denominação]],[10]Planilha1!$A:$B,2,FALSE),"")</f>
        <v>22276.78</v>
      </c>
      <c r="BC489" s="219"/>
      <c r="BD489" s="219"/>
      <c r="BE489" s="219"/>
      <c r="BF489" s="219"/>
      <c r="BG489" s="219"/>
      <c r="BH489" s="219"/>
      <c r="BI489" s="219"/>
      <c r="BJ489" s="219"/>
      <c r="BK489" s="219"/>
      <c r="BL489" s="219"/>
    </row>
    <row r="490" spans="1:64" ht="15" hidden="1" customHeight="1" x14ac:dyDescent="0.3">
      <c r="A490" s="253">
        <v>489</v>
      </c>
      <c r="B490" s="255" t="s">
        <v>1860</v>
      </c>
      <c r="C490" s="211" t="s">
        <v>1729</v>
      </c>
      <c r="D490" s="201">
        <v>20004150</v>
      </c>
      <c r="E490" s="253" t="s">
        <v>1790</v>
      </c>
      <c r="F490" s="253">
        <v>3109</v>
      </c>
      <c r="G490" s="201">
        <v>62518</v>
      </c>
      <c r="H490" s="201">
        <v>2019</v>
      </c>
      <c r="I490" s="216">
        <v>292063.5</v>
      </c>
      <c r="J490" s="214">
        <v>262856</v>
      </c>
      <c r="K490" s="170">
        <v>3711.6899999999996</v>
      </c>
      <c r="L490" s="207">
        <v>1.53</v>
      </c>
      <c r="M490" s="212">
        <v>5141</v>
      </c>
      <c r="N490" s="212">
        <v>12184</v>
      </c>
      <c r="O490" s="171">
        <v>16</v>
      </c>
      <c r="P490" s="271" t="str">
        <f>IFERROR(VLOOKUP(Tabela1[[#This Row],[TAG]],#REF!,14,FALSE),"")</f>
        <v/>
      </c>
      <c r="Q490" s="204" t="e">
        <f t="shared" ref="Q490" si="983">P490+P490</f>
        <v>#VALUE!</v>
      </c>
      <c r="R490" s="204" t="e">
        <f t="shared" ref="R490" si="984">Q490+P490</f>
        <v>#VALUE!</v>
      </c>
      <c r="S490" s="204" t="e">
        <f t="shared" ref="S490" si="985">R490+P490</f>
        <v>#VALUE!</v>
      </c>
      <c r="T490" s="204" t="e">
        <f t="shared" ref="T490" si="986">S490+P490</f>
        <v>#VALUE!</v>
      </c>
      <c r="U490" s="204" t="e">
        <f t="shared" ref="U490" si="987">T490+P490</f>
        <v>#VALUE!</v>
      </c>
      <c r="V490" s="204" t="e">
        <f t="shared" ref="V490" si="988">U490+P490</f>
        <v>#VALUE!</v>
      </c>
      <c r="W490" s="218">
        <v>612.97</v>
      </c>
      <c r="X490" s="218">
        <v>3076.93</v>
      </c>
      <c r="Y490" s="203">
        <v>0.1</v>
      </c>
      <c r="Z490" s="203">
        <f>IF(Tabela1[[#This Row],[Ano Aquisição]]=2023,0,IFERROR(VLOOKUP(H490,inflação!$F:$H,3,FALSE),""))</f>
        <v>0.24679999999999999</v>
      </c>
      <c r="AA490" s="203">
        <v>0.8</v>
      </c>
      <c r="AB490" s="202">
        <f t="shared" si="932"/>
        <v>-292063.5</v>
      </c>
      <c r="AC490" s="204" t="e">
        <f t="shared" ref="AC490" si="989">-(((P490*$W490)+($X490*12))*((1+$Y490)^AC$1))</f>
        <v>#VALUE!</v>
      </c>
      <c r="AD490" s="204" t="e">
        <f t="shared" si="981"/>
        <v>#VALUE!</v>
      </c>
      <c r="AE490" s="204" t="e">
        <f t="shared" si="981"/>
        <v>#VALUE!</v>
      </c>
      <c r="AF490" s="204" t="e">
        <f t="shared" si="981"/>
        <v>#VALUE!</v>
      </c>
      <c r="AG490" s="204" t="e">
        <f t="shared" si="981"/>
        <v>#VALUE!</v>
      </c>
      <c r="AH490" s="204" t="e">
        <f t="shared" si="981"/>
        <v>#VALUE!</v>
      </c>
      <c r="AI490" s="204" t="e">
        <f t="shared" si="981"/>
        <v>#VALUE!</v>
      </c>
      <c r="AJ490" s="205">
        <f t="shared" si="940"/>
        <v>-364144.77179999999</v>
      </c>
      <c r="AK490" s="204" t="e">
        <f t="shared" si="982"/>
        <v>#VALUE!</v>
      </c>
      <c r="AL490" s="204" t="e">
        <f t="shared" si="982"/>
        <v>#VALUE!</v>
      </c>
      <c r="AM490" s="204" t="e">
        <f t="shared" si="982"/>
        <v>#VALUE!</v>
      </c>
      <c r="AN490" s="204" t="e">
        <f t="shared" si="982"/>
        <v>#VALUE!</v>
      </c>
      <c r="AO490" s="204" t="e">
        <f t="shared" si="982"/>
        <v>#VALUE!</v>
      </c>
      <c r="AP490" s="204" t="e">
        <f t="shared" si="982"/>
        <v>#VALUE!</v>
      </c>
      <c r="AQ490" s="204" t="e">
        <f t="shared" si="982"/>
        <v>#VALUE!</v>
      </c>
      <c r="AR490" s="206" t="e">
        <f t="shared" si="948"/>
        <v>#VALUE!</v>
      </c>
      <c r="AS490" s="170" t="e">
        <f t="shared" ref="AS490" si="990">SUM(AC490:AI490)</f>
        <v>#VALUE!</v>
      </c>
      <c r="AT490" s="170" t="e">
        <f t="shared" ref="AT490" si="991">SUM(AK490:AQ490)</f>
        <v>#VALUE!</v>
      </c>
      <c r="AU490" s="207" t="e">
        <f t="shared" si="951"/>
        <v>#VALUE!</v>
      </c>
      <c r="AV490" s="208" t="e">
        <f t="shared" si="952"/>
        <v>#VALUE!</v>
      </c>
      <c r="AW490" s="201" t="str">
        <f t="shared" si="953"/>
        <v>Fase de Degradação</v>
      </c>
      <c r="AX490" s="253" t="e">
        <f>VLOOKUP(D490,#REF!,5,FALSE)</f>
        <v>#REF!</v>
      </c>
      <c r="AY490" s="201"/>
      <c r="AZ490" s="273" t="s">
        <v>1224</v>
      </c>
      <c r="BB490">
        <f>IFERROR(VLOOKUP(Tabela1[[#This Row],[Denominação]],[10]Planilha1!$A:$B,2,FALSE),"")</f>
        <v>3711.6899999999996</v>
      </c>
      <c r="BC490" s="219"/>
      <c r="BD490" s="219"/>
      <c r="BE490" s="219"/>
      <c r="BF490" s="219"/>
      <c r="BG490" s="219"/>
      <c r="BH490" s="219"/>
      <c r="BI490" s="219"/>
      <c r="BJ490" s="219"/>
      <c r="BK490" s="219"/>
      <c r="BL490" s="219"/>
    </row>
    <row r="491" spans="1:64" ht="15" hidden="1" customHeight="1" x14ac:dyDescent="0.3">
      <c r="A491" s="268">
        <v>490</v>
      </c>
      <c r="B491" s="201" t="s">
        <v>1132</v>
      </c>
      <c r="C491" s="211" t="s">
        <v>1133</v>
      </c>
      <c r="D491" s="201">
        <v>10002150</v>
      </c>
      <c r="E491" s="253" t="s">
        <v>1323</v>
      </c>
      <c r="F491" s="253">
        <v>1074</v>
      </c>
      <c r="G491" s="180">
        <v>5500101100</v>
      </c>
      <c r="H491" s="201">
        <v>1998</v>
      </c>
      <c r="I491" s="216">
        <v>364876.98</v>
      </c>
      <c r="J491" s="214">
        <v>0</v>
      </c>
      <c r="K491" s="170">
        <v>153641.34</v>
      </c>
      <c r="L491" s="207">
        <v>1.98</v>
      </c>
      <c r="M491" s="212">
        <v>4116</v>
      </c>
      <c r="N491" s="212">
        <v>180191</v>
      </c>
      <c r="O491" s="171">
        <v>79</v>
      </c>
      <c r="P491" s="271" t="str">
        <f>IFERROR(VLOOKUP(Tabela1[[#This Row],[TAG]],#REF!,14,FALSE),"")</f>
        <v/>
      </c>
      <c r="Q491" s="204" t="e">
        <f t="shared" ref="Q491:Q514" si="992">P491+P491</f>
        <v>#VALUE!</v>
      </c>
      <c r="R491" s="204" t="e">
        <f t="shared" ref="R491:R514" si="993">Q491+P491</f>
        <v>#VALUE!</v>
      </c>
      <c r="S491" s="204" t="e">
        <f t="shared" ref="S491:S514" si="994">R491+P491</f>
        <v>#VALUE!</v>
      </c>
      <c r="T491" s="204" t="e">
        <f t="shared" ref="T491:T514" si="995">S491+P491</f>
        <v>#VALUE!</v>
      </c>
      <c r="U491" s="204" t="e">
        <f t="shared" ref="U491:U514" si="996">T491+P491</f>
        <v>#VALUE!</v>
      </c>
      <c r="V491" s="204" t="e">
        <f t="shared" ref="V491:V514" si="997">U491+P491</f>
        <v>#VALUE!</v>
      </c>
      <c r="W491" s="218">
        <v>586.44000000000005</v>
      </c>
      <c r="X491" s="170">
        <v>859.35</v>
      </c>
      <c r="Y491" s="203">
        <v>0.1</v>
      </c>
      <c r="Z491" s="203">
        <f>IF(Tabela1[[#This Row],[Ano Aquisição]]=2023,0,IFERROR(VLOOKUP(H491,inflação!$F:$H,3,FALSE),""))</f>
        <v>1.5607</v>
      </c>
      <c r="AA491" s="203">
        <v>0.8</v>
      </c>
      <c r="AB491" s="202">
        <f t="shared" si="932"/>
        <v>-364876.98</v>
      </c>
      <c r="AC491" s="204" t="e">
        <f t="shared" ref="AC491:AC514" si="998">-(((P491*$W491)+($X491*12))*((1+$Y491)^AC$1))</f>
        <v>#VALUE!</v>
      </c>
      <c r="AD491" s="204" t="e">
        <f t="shared" ref="AD491:AD514" si="999">-((((Q491-P491)*$W491)+($X491*12))*((1+$Y491)^AD$1))</f>
        <v>#VALUE!</v>
      </c>
      <c r="AE491" s="204" t="e">
        <f t="shared" ref="AE491:AE514" si="1000">-((((R491-Q491)*$W491)+($X491*12))*((1+$Y491)^AE$1))</f>
        <v>#VALUE!</v>
      </c>
      <c r="AF491" s="204" t="e">
        <f t="shared" ref="AF491:AF514" si="1001">-((((S491-R491)*$W491)+($X491*12))*((1+$Y491)^AF$1))</f>
        <v>#VALUE!</v>
      </c>
      <c r="AG491" s="204" t="e">
        <f t="shared" ref="AG491:AG514" si="1002">-((((T491-S491)*$W491)+($X491*12))*((1+$Y491)^AG$1))</f>
        <v>#VALUE!</v>
      </c>
      <c r="AH491" s="204" t="e">
        <f t="shared" ref="AH491:AH514" si="1003">-((((U491-T491)*$W491)+($X491*12))*((1+$Y491)^AH$1))</f>
        <v>#VALUE!</v>
      </c>
      <c r="AI491" s="204" t="e">
        <f t="shared" ref="AI491:AI514" si="1004">-((((V491-U491)*$W491)+($X491*12))*((1+$Y491)^AI$1))</f>
        <v>#VALUE!</v>
      </c>
      <c r="AJ491" s="205">
        <f t="shared" si="940"/>
        <v>-934340.48268599983</v>
      </c>
      <c r="AK491" s="204" t="e">
        <f t="shared" ref="AK491:AK514" si="1005">AC491*(1-$AA491)</f>
        <v>#VALUE!</v>
      </c>
      <c r="AL491" s="204" t="e">
        <f t="shared" ref="AL491:AL514" si="1006">AD491*(1-$AA491)</f>
        <v>#VALUE!</v>
      </c>
      <c r="AM491" s="204" t="e">
        <f t="shared" ref="AM491:AM514" si="1007">AE491*(1-$AA491)</f>
        <v>#VALUE!</v>
      </c>
      <c r="AN491" s="204" t="e">
        <f t="shared" ref="AN491:AN514" si="1008">AF491*(1-$AA491)</f>
        <v>#VALUE!</v>
      </c>
      <c r="AO491" s="204" t="e">
        <f t="shared" ref="AO491:AO514" si="1009">AG491*(1-$AA491)</f>
        <v>#VALUE!</v>
      </c>
      <c r="AP491" s="204" t="e">
        <f t="shared" ref="AP491:AP514" si="1010">AH491*(1-$AA491)</f>
        <v>#VALUE!</v>
      </c>
      <c r="AQ491" s="204" t="e">
        <f t="shared" ref="AQ491:AQ514" si="1011">AI491*(1-$AA491)</f>
        <v>#VALUE!</v>
      </c>
      <c r="AR491" s="206" t="e">
        <f t="shared" si="948"/>
        <v>#VALUE!</v>
      </c>
      <c r="AS491" s="170" t="e">
        <f t="shared" ref="AS491:AS514" si="1012">SUM(AC491:AI491)</f>
        <v>#VALUE!</v>
      </c>
      <c r="AT491" s="170" t="e">
        <f t="shared" ref="AT491:AT514" si="1013">SUM(AK491:AQ491)</f>
        <v>#VALUE!</v>
      </c>
      <c r="AU491" s="207" t="e">
        <f t="shared" si="951"/>
        <v>#VALUE!</v>
      </c>
      <c r="AV491" s="208" t="e">
        <f t="shared" si="952"/>
        <v>#VALUE!</v>
      </c>
      <c r="AW491" s="201" t="str">
        <f t="shared" si="953"/>
        <v>Fase de Degradação</v>
      </c>
      <c r="AX491" s="253" t="e">
        <f>VLOOKUP(D491,#REF!,5,FALSE)</f>
        <v>#REF!</v>
      </c>
      <c r="AY491" s="201"/>
      <c r="AZ491" s="273" t="s">
        <v>1224</v>
      </c>
      <c r="BB491">
        <f>IFERROR(VLOOKUP(Tabela1[[#This Row],[Denominação]],[10]Planilha1!$A:$B,2,FALSE),"")</f>
        <v>153641.34</v>
      </c>
      <c r="BC491" s="219"/>
      <c r="BD491" s="219"/>
      <c r="BE491" s="219"/>
      <c r="BF491" s="219"/>
      <c r="BG491" s="219"/>
      <c r="BH491" s="219"/>
      <c r="BI491" s="219"/>
      <c r="BJ491" s="219"/>
      <c r="BK491" s="219"/>
      <c r="BL491" s="219"/>
    </row>
    <row r="492" spans="1:64" ht="15" hidden="1" customHeight="1" x14ac:dyDescent="0.3">
      <c r="A492" s="253">
        <v>491</v>
      </c>
      <c r="B492" s="171" t="s">
        <v>651</v>
      </c>
      <c r="C492" s="209" t="s">
        <v>652</v>
      </c>
      <c r="D492" s="171">
        <v>10001266</v>
      </c>
      <c r="E492" s="253" t="s">
        <v>1278</v>
      </c>
      <c r="F492" s="210">
        <v>1074</v>
      </c>
      <c r="G492" s="171">
        <v>34373</v>
      </c>
      <c r="H492" s="171">
        <v>2006</v>
      </c>
      <c r="I492" s="213">
        <v>371023.7</v>
      </c>
      <c r="J492" s="213">
        <v>56012</v>
      </c>
      <c r="K492" s="170">
        <v>269327.72999999992</v>
      </c>
      <c r="L492" s="207">
        <v>1.85</v>
      </c>
      <c r="M492" s="212">
        <v>4116</v>
      </c>
      <c r="N492" s="212">
        <v>193184</v>
      </c>
      <c r="O492" s="171">
        <v>219</v>
      </c>
      <c r="P492" s="271" t="str">
        <f>IFERROR(VLOOKUP(Tabela1[[#This Row],[TAG]],#REF!,14,FALSE),"")</f>
        <v/>
      </c>
      <c r="Q492" s="204" t="e">
        <f t="shared" si="992"/>
        <v>#VALUE!</v>
      </c>
      <c r="R492" s="204" t="e">
        <f t="shared" si="993"/>
        <v>#VALUE!</v>
      </c>
      <c r="S492" s="204" t="e">
        <f t="shared" si="994"/>
        <v>#VALUE!</v>
      </c>
      <c r="T492" s="204" t="e">
        <f t="shared" si="995"/>
        <v>#VALUE!</v>
      </c>
      <c r="U492" s="204" t="e">
        <f t="shared" si="996"/>
        <v>#VALUE!</v>
      </c>
      <c r="V492" s="204" t="e">
        <f t="shared" si="997"/>
        <v>#VALUE!</v>
      </c>
      <c r="W492" s="218">
        <v>506.8</v>
      </c>
      <c r="X492" s="170">
        <v>1135.69</v>
      </c>
      <c r="Y492" s="203">
        <v>0.1</v>
      </c>
      <c r="Z492" s="203">
        <f>IF(Tabela1[[#This Row],[Ano Aquisição]]=2023,0,IFERROR(VLOOKUP(H492,inflação!$F:$H,3,FALSE),""))</f>
        <v>0.96719999999999995</v>
      </c>
      <c r="AA492" s="203">
        <v>0.8</v>
      </c>
      <c r="AB492" s="202">
        <f t="shared" si="932"/>
        <v>-371023.7</v>
      </c>
      <c r="AC492" s="204" t="e">
        <f t="shared" si="998"/>
        <v>#VALUE!</v>
      </c>
      <c r="AD492" s="204" t="e">
        <f t="shared" si="999"/>
        <v>#VALUE!</v>
      </c>
      <c r="AE492" s="204" t="e">
        <f t="shared" si="1000"/>
        <v>#VALUE!</v>
      </c>
      <c r="AF492" s="204" t="e">
        <f t="shared" si="1001"/>
        <v>#VALUE!</v>
      </c>
      <c r="AG492" s="204" t="e">
        <f t="shared" si="1002"/>
        <v>#VALUE!</v>
      </c>
      <c r="AH492" s="204" t="e">
        <f t="shared" si="1003"/>
        <v>#VALUE!</v>
      </c>
      <c r="AI492" s="204" t="e">
        <f t="shared" si="1004"/>
        <v>#VALUE!</v>
      </c>
      <c r="AJ492" s="205">
        <f t="shared" si="940"/>
        <v>-729877.82264000003</v>
      </c>
      <c r="AK492" s="204" t="e">
        <f t="shared" si="1005"/>
        <v>#VALUE!</v>
      </c>
      <c r="AL492" s="204" t="e">
        <f t="shared" si="1006"/>
        <v>#VALUE!</v>
      </c>
      <c r="AM492" s="204" t="e">
        <f t="shared" si="1007"/>
        <v>#VALUE!</v>
      </c>
      <c r="AN492" s="204" t="e">
        <f t="shared" si="1008"/>
        <v>#VALUE!</v>
      </c>
      <c r="AO492" s="204" t="e">
        <f t="shared" si="1009"/>
        <v>#VALUE!</v>
      </c>
      <c r="AP492" s="204" t="e">
        <f t="shared" si="1010"/>
        <v>#VALUE!</v>
      </c>
      <c r="AQ492" s="204" t="e">
        <f t="shared" si="1011"/>
        <v>#VALUE!</v>
      </c>
      <c r="AR492" s="206" t="e">
        <f t="shared" si="948"/>
        <v>#VALUE!</v>
      </c>
      <c r="AS492" s="170" t="e">
        <f t="shared" si="1012"/>
        <v>#VALUE!</v>
      </c>
      <c r="AT492" s="170" t="e">
        <f t="shared" si="1013"/>
        <v>#VALUE!</v>
      </c>
      <c r="AU492" s="207" t="e">
        <f t="shared" si="951"/>
        <v>#VALUE!</v>
      </c>
      <c r="AV492" s="208" t="e">
        <f t="shared" si="952"/>
        <v>#VALUE!</v>
      </c>
      <c r="AW492" s="201" t="str">
        <f t="shared" si="953"/>
        <v>Fase de Degradação</v>
      </c>
      <c r="AX492" s="253" t="e">
        <f>VLOOKUP(D492,#REF!,5,FALSE)</f>
        <v>#REF!</v>
      </c>
      <c r="AY492" s="201"/>
      <c r="AZ492" s="273" t="s">
        <v>1224</v>
      </c>
      <c r="BB492">
        <f>IFERROR(VLOOKUP(Tabela1[[#This Row],[Denominação]],[10]Planilha1!$A:$B,2,FALSE),"")</f>
        <v>269327.72999999992</v>
      </c>
      <c r="BC492" s="219"/>
      <c r="BD492" s="219"/>
      <c r="BE492" s="219"/>
      <c r="BF492" s="219"/>
      <c r="BG492" s="219"/>
      <c r="BH492" s="219"/>
      <c r="BI492" s="219"/>
      <c r="BJ492" s="219"/>
      <c r="BK492" s="219"/>
      <c r="BL492" s="219"/>
    </row>
    <row r="493" spans="1:64" ht="15" hidden="1" customHeight="1" x14ac:dyDescent="0.3">
      <c r="A493" s="268">
        <v>492</v>
      </c>
      <c r="B493" s="171" t="s">
        <v>592</v>
      </c>
      <c r="C493" s="209" t="s">
        <v>593</v>
      </c>
      <c r="D493" s="171">
        <v>10000529</v>
      </c>
      <c r="E493" s="253" t="s">
        <v>1507</v>
      </c>
      <c r="F493" s="210">
        <v>2511</v>
      </c>
      <c r="G493" s="171">
        <v>5500200400</v>
      </c>
      <c r="H493" s="171">
        <v>1984</v>
      </c>
      <c r="I493" s="213">
        <v>183127.38</v>
      </c>
      <c r="J493" s="213">
        <v>20657</v>
      </c>
      <c r="K493" s="170">
        <v>857111.32</v>
      </c>
      <c r="L493" s="207">
        <v>0.8</v>
      </c>
      <c r="M493" s="320">
        <v>5020</v>
      </c>
      <c r="N493" s="212">
        <v>198925</v>
      </c>
      <c r="O493" s="171">
        <v>741</v>
      </c>
      <c r="P493" s="271" t="str">
        <f>IFERROR(VLOOKUP(Tabela1[[#This Row],[TAG]],#REF!,14,FALSE),"")</f>
        <v/>
      </c>
      <c r="Q493" s="204" t="e">
        <f t="shared" si="992"/>
        <v>#VALUE!</v>
      </c>
      <c r="R493" s="204" t="e">
        <f t="shared" si="993"/>
        <v>#VALUE!</v>
      </c>
      <c r="S493" s="204" t="e">
        <f t="shared" si="994"/>
        <v>#VALUE!</v>
      </c>
      <c r="T493" s="204" t="e">
        <f t="shared" si="995"/>
        <v>#VALUE!</v>
      </c>
      <c r="U493" s="204" t="e">
        <f t="shared" si="996"/>
        <v>#VALUE!</v>
      </c>
      <c r="V493" s="204" t="e">
        <f t="shared" si="997"/>
        <v>#VALUE!</v>
      </c>
      <c r="W493" s="304">
        <v>834.26</v>
      </c>
      <c r="X493" s="304">
        <v>2724.74</v>
      </c>
      <c r="Y493" s="203">
        <v>0.1</v>
      </c>
      <c r="Z493" s="203">
        <f>IF(Tabela1[[#This Row],[Ano Aquisição]]=2023,0,IFERROR(VLOOKUP(H493,inflação!$F:$H,3,FALSE),""))</f>
        <v>2.470315384615386</v>
      </c>
      <c r="AA493" s="203">
        <v>0.8</v>
      </c>
      <c r="AB493" s="202">
        <f t="shared" si="932"/>
        <v>-183127.38</v>
      </c>
      <c r="AC493" s="204" t="e">
        <f t="shared" si="998"/>
        <v>#VALUE!</v>
      </c>
      <c r="AD493" s="204" t="e">
        <f t="shared" si="999"/>
        <v>#VALUE!</v>
      </c>
      <c r="AE493" s="204" t="e">
        <f t="shared" si="1000"/>
        <v>#VALUE!</v>
      </c>
      <c r="AF493" s="204" t="e">
        <f t="shared" si="1001"/>
        <v>#VALUE!</v>
      </c>
      <c r="AG493" s="204" t="e">
        <f t="shared" si="1002"/>
        <v>#VALUE!</v>
      </c>
      <c r="AH493" s="204" t="e">
        <f t="shared" si="1003"/>
        <v>#VALUE!</v>
      </c>
      <c r="AI493" s="204" t="e">
        <f t="shared" si="1004"/>
        <v>#VALUE!</v>
      </c>
      <c r="AJ493" s="205">
        <f t="shared" si="940"/>
        <v>-635509.76415830792</v>
      </c>
      <c r="AK493" s="204" t="e">
        <f t="shared" si="1005"/>
        <v>#VALUE!</v>
      </c>
      <c r="AL493" s="204" t="e">
        <f t="shared" si="1006"/>
        <v>#VALUE!</v>
      </c>
      <c r="AM493" s="204" t="e">
        <f t="shared" si="1007"/>
        <v>#VALUE!</v>
      </c>
      <c r="AN493" s="204" t="e">
        <f t="shared" si="1008"/>
        <v>#VALUE!</v>
      </c>
      <c r="AO493" s="204" t="e">
        <f t="shared" si="1009"/>
        <v>#VALUE!</v>
      </c>
      <c r="AP493" s="204" t="e">
        <f t="shared" si="1010"/>
        <v>#VALUE!</v>
      </c>
      <c r="AQ493" s="204" t="e">
        <f t="shared" si="1011"/>
        <v>#VALUE!</v>
      </c>
      <c r="AR493" s="206" t="e">
        <f t="shared" si="948"/>
        <v>#VALUE!</v>
      </c>
      <c r="AS493" s="170" t="e">
        <f t="shared" si="1012"/>
        <v>#VALUE!</v>
      </c>
      <c r="AT493" s="170" t="e">
        <f t="shared" si="1013"/>
        <v>#VALUE!</v>
      </c>
      <c r="AU493" s="207" t="e">
        <f t="shared" si="951"/>
        <v>#VALUE!</v>
      </c>
      <c r="AV493" s="208" t="e">
        <f t="shared" si="952"/>
        <v>#VALUE!</v>
      </c>
      <c r="AW493" s="201" t="str">
        <f t="shared" si="953"/>
        <v>Confiabilidade em Crescimento</v>
      </c>
      <c r="AX493" s="253" t="e">
        <f>VLOOKUP(D493,#REF!,5,FALSE)</f>
        <v>#REF!</v>
      </c>
      <c r="AY493" s="201"/>
      <c r="AZ493" s="273" t="s">
        <v>1224</v>
      </c>
      <c r="BB493">
        <f>IFERROR(VLOOKUP(Tabela1[[#This Row],[Denominação]],[10]Planilha1!$A:$B,2,FALSE),"")</f>
        <v>857111.32</v>
      </c>
      <c r="BC493" s="219"/>
      <c r="BD493" s="219"/>
      <c r="BE493" s="219"/>
      <c r="BF493" s="219"/>
      <c r="BG493" s="219"/>
      <c r="BH493" s="219"/>
      <c r="BI493" s="219"/>
      <c r="BJ493" s="219"/>
      <c r="BK493" s="219"/>
      <c r="BL493" s="219"/>
    </row>
    <row r="494" spans="1:64" ht="15" hidden="1" customHeight="1" x14ac:dyDescent="0.3">
      <c r="A494" s="253">
        <v>493</v>
      </c>
      <c r="B494" s="171" t="s">
        <v>653</v>
      </c>
      <c r="C494" s="209" t="s">
        <v>654</v>
      </c>
      <c r="D494" s="171">
        <v>10002861</v>
      </c>
      <c r="E494" s="253" t="s">
        <v>1508</v>
      </c>
      <c r="F494" s="210">
        <v>3325</v>
      </c>
      <c r="G494" s="171">
        <v>20350</v>
      </c>
      <c r="H494" s="171">
        <v>2000</v>
      </c>
      <c r="I494" s="213">
        <v>234370.79</v>
      </c>
      <c r="J494" s="213">
        <v>0</v>
      </c>
      <c r="K494" s="170">
        <v>213952.09000000008</v>
      </c>
      <c r="L494" s="207">
        <v>1.62</v>
      </c>
      <c r="M494" s="212">
        <v>4392</v>
      </c>
      <c r="N494" s="212">
        <v>183389</v>
      </c>
      <c r="O494" s="171">
        <v>264</v>
      </c>
      <c r="P494" s="271" t="str">
        <f>IFERROR(VLOOKUP(Tabela1[[#This Row],[TAG]],#REF!,14,FALSE),"")</f>
        <v/>
      </c>
      <c r="Q494" s="204" t="e">
        <f t="shared" si="992"/>
        <v>#VALUE!</v>
      </c>
      <c r="R494" s="204" t="e">
        <f t="shared" si="993"/>
        <v>#VALUE!</v>
      </c>
      <c r="S494" s="204" t="e">
        <f t="shared" si="994"/>
        <v>#VALUE!</v>
      </c>
      <c r="T494" s="204" t="e">
        <f t="shared" si="995"/>
        <v>#VALUE!</v>
      </c>
      <c r="U494" s="204" t="e">
        <f t="shared" si="996"/>
        <v>#VALUE!</v>
      </c>
      <c r="V494" s="204" t="e">
        <f t="shared" si="997"/>
        <v>#VALUE!</v>
      </c>
      <c r="W494" s="218">
        <v>778.41</v>
      </c>
      <c r="X494" s="218">
        <v>1767.46</v>
      </c>
      <c r="Y494" s="203">
        <v>0.1</v>
      </c>
      <c r="Z494" s="203">
        <f>IF(Tabela1[[#This Row],[Ano Aquisição]]=2023,0,IFERROR(VLOOKUP(H494,inflação!$F:$H,3,FALSE),""))</f>
        <v>1.4548000000000001</v>
      </c>
      <c r="AA494" s="203">
        <v>0.8</v>
      </c>
      <c r="AB494" s="202">
        <f t="shared" si="932"/>
        <v>-234370.79</v>
      </c>
      <c r="AC494" s="204" t="e">
        <f t="shared" si="998"/>
        <v>#VALUE!</v>
      </c>
      <c r="AD494" s="204" t="e">
        <f t="shared" si="999"/>
        <v>#VALUE!</v>
      </c>
      <c r="AE494" s="204" t="e">
        <f t="shared" si="1000"/>
        <v>#VALUE!</v>
      </c>
      <c r="AF494" s="204" t="e">
        <f t="shared" si="1001"/>
        <v>#VALUE!</v>
      </c>
      <c r="AG494" s="204" t="e">
        <f t="shared" si="1002"/>
        <v>#VALUE!</v>
      </c>
      <c r="AH494" s="204" t="e">
        <f t="shared" si="1003"/>
        <v>#VALUE!</v>
      </c>
      <c r="AI494" s="204" t="e">
        <f t="shared" si="1004"/>
        <v>#VALUE!</v>
      </c>
      <c r="AJ494" s="205">
        <f t="shared" si="940"/>
        <v>-575333.41529200005</v>
      </c>
      <c r="AK494" s="204" t="e">
        <f t="shared" si="1005"/>
        <v>#VALUE!</v>
      </c>
      <c r="AL494" s="204" t="e">
        <f t="shared" si="1006"/>
        <v>#VALUE!</v>
      </c>
      <c r="AM494" s="204" t="e">
        <f t="shared" si="1007"/>
        <v>#VALUE!</v>
      </c>
      <c r="AN494" s="204" t="e">
        <f t="shared" si="1008"/>
        <v>#VALUE!</v>
      </c>
      <c r="AO494" s="204" t="e">
        <f t="shared" si="1009"/>
        <v>#VALUE!</v>
      </c>
      <c r="AP494" s="204" t="e">
        <f t="shared" si="1010"/>
        <v>#VALUE!</v>
      </c>
      <c r="AQ494" s="204" t="e">
        <f t="shared" si="1011"/>
        <v>#VALUE!</v>
      </c>
      <c r="AR494" s="206" t="e">
        <f t="shared" si="948"/>
        <v>#VALUE!</v>
      </c>
      <c r="AS494" s="170" t="e">
        <f t="shared" si="1012"/>
        <v>#VALUE!</v>
      </c>
      <c r="AT494" s="170" t="e">
        <f t="shared" si="1013"/>
        <v>#VALUE!</v>
      </c>
      <c r="AU494" s="207" t="e">
        <f t="shared" si="951"/>
        <v>#VALUE!</v>
      </c>
      <c r="AV494" s="208" t="e">
        <f t="shared" si="952"/>
        <v>#VALUE!</v>
      </c>
      <c r="AW494" s="201" t="str">
        <f t="shared" si="953"/>
        <v>Fase de Degradação</v>
      </c>
      <c r="AX494" s="253" t="e">
        <f>VLOOKUP(D494,#REF!,5,FALSE)</f>
        <v>#REF!</v>
      </c>
      <c r="AY494" s="201"/>
      <c r="AZ494" s="273" t="s">
        <v>1224</v>
      </c>
      <c r="BB494">
        <f>IFERROR(VLOOKUP(Tabela1[[#This Row],[Denominação]],[10]Planilha1!$A:$B,2,FALSE),"")</f>
        <v>213952.09000000008</v>
      </c>
      <c r="BC494" s="219"/>
      <c r="BD494" s="219"/>
      <c r="BE494" s="219"/>
      <c r="BF494" s="219"/>
      <c r="BG494" s="219"/>
      <c r="BH494" s="219"/>
      <c r="BI494" s="219"/>
      <c r="BJ494" s="219"/>
      <c r="BK494" s="219"/>
      <c r="BL494" s="219"/>
    </row>
    <row r="495" spans="1:64" ht="15" hidden="1" customHeight="1" x14ac:dyDescent="0.3">
      <c r="A495" s="268">
        <v>494</v>
      </c>
      <c r="B495" s="171" t="s">
        <v>619</v>
      </c>
      <c r="C495" s="209" t="s">
        <v>620</v>
      </c>
      <c r="D495" s="171">
        <v>10000378</v>
      </c>
      <c r="E495" s="253" t="s">
        <v>1509</v>
      </c>
      <c r="F495" s="210">
        <v>3318</v>
      </c>
      <c r="G495" s="171">
        <v>20069</v>
      </c>
      <c r="H495" s="171">
        <v>1995</v>
      </c>
      <c r="I495" s="213">
        <v>107370.58</v>
      </c>
      <c r="J495" s="213">
        <v>0</v>
      </c>
      <c r="K495" s="170">
        <v>275834.17999999912</v>
      </c>
      <c r="L495" s="207">
        <v>1.29</v>
      </c>
      <c r="M495" s="212">
        <v>4392</v>
      </c>
      <c r="N495" s="212">
        <v>197630</v>
      </c>
      <c r="O495" s="171">
        <v>388</v>
      </c>
      <c r="P495" s="271" t="str">
        <f>IFERROR(VLOOKUP(Tabela1[[#This Row],[TAG]],#REF!,14,FALSE),"")</f>
        <v/>
      </c>
      <c r="Q495" s="204" t="e">
        <f t="shared" si="992"/>
        <v>#VALUE!</v>
      </c>
      <c r="R495" s="204" t="e">
        <f t="shared" si="993"/>
        <v>#VALUE!</v>
      </c>
      <c r="S495" s="204" t="e">
        <f t="shared" si="994"/>
        <v>#VALUE!</v>
      </c>
      <c r="T495" s="204" t="e">
        <f t="shared" si="995"/>
        <v>#VALUE!</v>
      </c>
      <c r="U495" s="204" t="e">
        <f t="shared" si="996"/>
        <v>#VALUE!</v>
      </c>
      <c r="V495" s="204" t="e">
        <f t="shared" si="997"/>
        <v>#VALUE!</v>
      </c>
      <c r="W495" s="218">
        <v>658.76</v>
      </c>
      <c r="X495" s="218">
        <v>2312.2399999999998</v>
      </c>
      <c r="Y495" s="203">
        <v>0.1</v>
      </c>
      <c r="Z495" s="203">
        <f>IF(Tabela1[[#This Row],[Ano Aquisição]]=2023,0,IFERROR(VLOOKUP(H495,inflação!$F:$H,3,FALSE),""))</f>
        <v>1.7719846153846153</v>
      </c>
      <c r="AA495" s="203">
        <v>0.8</v>
      </c>
      <c r="AB495" s="202">
        <f t="shared" si="932"/>
        <v>-107370.58</v>
      </c>
      <c r="AC495" s="204" t="e">
        <f t="shared" si="998"/>
        <v>#VALUE!</v>
      </c>
      <c r="AD495" s="204" t="e">
        <f t="shared" si="999"/>
        <v>#VALUE!</v>
      </c>
      <c r="AE495" s="204" t="e">
        <f t="shared" si="1000"/>
        <v>#VALUE!</v>
      </c>
      <c r="AF495" s="204" t="e">
        <f t="shared" si="1001"/>
        <v>#VALUE!</v>
      </c>
      <c r="AG495" s="204" t="e">
        <f t="shared" si="1002"/>
        <v>#VALUE!</v>
      </c>
      <c r="AH495" s="204" t="e">
        <f t="shared" si="1003"/>
        <v>#VALUE!</v>
      </c>
      <c r="AI495" s="204" t="e">
        <f t="shared" si="1004"/>
        <v>#VALUE!</v>
      </c>
      <c r="AJ495" s="205">
        <f t="shared" si="940"/>
        <v>-297629.59590492304</v>
      </c>
      <c r="AK495" s="204" t="e">
        <f t="shared" si="1005"/>
        <v>#VALUE!</v>
      </c>
      <c r="AL495" s="204" t="e">
        <f t="shared" si="1006"/>
        <v>#VALUE!</v>
      </c>
      <c r="AM495" s="204" t="e">
        <f t="shared" si="1007"/>
        <v>#VALUE!</v>
      </c>
      <c r="AN495" s="204" t="e">
        <f t="shared" si="1008"/>
        <v>#VALUE!</v>
      </c>
      <c r="AO495" s="204" t="e">
        <f t="shared" si="1009"/>
        <v>#VALUE!</v>
      </c>
      <c r="AP495" s="204" t="e">
        <f t="shared" si="1010"/>
        <v>#VALUE!</v>
      </c>
      <c r="AQ495" s="204" t="e">
        <f t="shared" si="1011"/>
        <v>#VALUE!</v>
      </c>
      <c r="AR495" s="206" t="e">
        <f t="shared" si="948"/>
        <v>#VALUE!</v>
      </c>
      <c r="AS495" s="170" t="e">
        <f t="shared" si="1012"/>
        <v>#VALUE!</v>
      </c>
      <c r="AT495" s="170" t="e">
        <f t="shared" si="1013"/>
        <v>#VALUE!</v>
      </c>
      <c r="AU495" s="207" t="e">
        <f t="shared" si="951"/>
        <v>#VALUE!</v>
      </c>
      <c r="AV495" s="208" t="e">
        <f t="shared" si="952"/>
        <v>#VALUE!</v>
      </c>
      <c r="AW495" s="201" t="str">
        <f t="shared" si="953"/>
        <v>Fase de Degradação</v>
      </c>
      <c r="AX495" s="253" t="e">
        <f>VLOOKUP(D495,#REF!,5,FALSE)</f>
        <v>#REF!</v>
      </c>
      <c r="AY495" s="201"/>
      <c r="AZ495" s="273" t="s">
        <v>1224</v>
      </c>
      <c r="BB495">
        <f>IFERROR(VLOOKUP(Tabela1[[#This Row],[Denominação]],[10]Planilha1!$A:$B,2,FALSE),"")</f>
        <v>275834.17999999912</v>
      </c>
      <c r="BC495" s="219"/>
      <c r="BD495" s="219"/>
      <c r="BE495" s="219"/>
      <c r="BF495" s="219"/>
      <c r="BG495" s="219"/>
      <c r="BH495" s="219"/>
      <c r="BI495" s="219"/>
      <c r="BJ495" s="219"/>
      <c r="BK495" s="219"/>
      <c r="BL495" s="219"/>
    </row>
    <row r="496" spans="1:64" ht="15" hidden="1" customHeight="1" x14ac:dyDescent="0.3">
      <c r="A496" s="253">
        <v>495</v>
      </c>
      <c r="B496" s="201" t="s">
        <v>819</v>
      </c>
      <c r="C496" s="211" t="s">
        <v>820</v>
      </c>
      <c r="D496" s="201">
        <v>10004029</v>
      </c>
      <c r="E496" s="253" t="s">
        <v>1510</v>
      </c>
      <c r="F496" s="253">
        <v>4535</v>
      </c>
      <c r="G496" s="217">
        <v>20724</v>
      </c>
      <c r="H496" s="201">
        <v>2004</v>
      </c>
      <c r="I496" s="216">
        <v>414404.54</v>
      </c>
      <c r="J496" s="214">
        <v>24379</v>
      </c>
      <c r="K496" s="170">
        <v>376349.16999999987</v>
      </c>
      <c r="L496" s="207">
        <v>0.88</v>
      </c>
      <c r="M496" s="212">
        <v>3542</v>
      </c>
      <c r="N496" s="212">
        <v>157194</v>
      </c>
      <c r="O496" s="171">
        <v>555</v>
      </c>
      <c r="P496" s="271" t="str">
        <f>IFERROR(VLOOKUP(Tabela1[[#This Row],[TAG]],#REF!,14,FALSE),"")</f>
        <v/>
      </c>
      <c r="Q496" s="204" t="e">
        <f t="shared" si="992"/>
        <v>#VALUE!</v>
      </c>
      <c r="R496" s="204" t="e">
        <f t="shared" si="993"/>
        <v>#VALUE!</v>
      </c>
      <c r="S496" s="204" t="e">
        <f t="shared" si="994"/>
        <v>#VALUE!</v>
      </c>
      <c r="T496" s="204" t="e">
        <f t="shared" si="995"/>
        <v>#VALUE!</v>
      </c>
      <c r="U496" s="204" t="e">
        <f t="shared" si="996"/>
        <v>#VALUE!</v>
      </c>
      <c r="V496" s="204" t="e">
        <f t="shared" si="997"/>
        <v>#VALUE!</v>
      </c>
      <c r="W496" s="218">
        <v>740.62</v>
      </c>
      <c r="X496" s="218">
        <v>1282.1500000000001</v>
      </c>
      <c r="Y496" s="203">
        <v>0.1</v>
      </c>
      <c r="Z496" s="203">
        <f>IF(Tabela1[[#This Row],[Ano Aquisição]]=2023,0,IFERROR(VLOOKUP(H496,inflação!$F:$H,3,FALSE),""))</f>
        <v>1.1001000000000001</v>
      </c>
      <c r="AA496" s="203">
        <v>0.8</v>
      </c>
      <c r="AB496" s="202">
        <f t="shared" si="932"/>
        <v>-414404.54</v>
      </c>
      <c r="AC496" s="204" t="e">
        <f t="shared" si="998"/>
        <v>#VALUE!</v>
      </c>
      <c r="AD496" s="204" t="e">
        <f t="shared" si="999"/>
        <v>#VALUE!</v>
      </c>
      <c r="AE496" s="204" t="e">
        <f t="shared" si="1000"/>
        <v>#VALUE!</v>
      </c>
      <c r="AF496" s="204" t="e">
        <f t="shared" si="1001"/>
        <v>#VALUE!</v>
      </c>
      <c r="AG496" s="204" t="e">
        <f t="shared" si="1002"/>
        <v>#VALUE!</v>
      </c>
      <c r="AH496" s="204" t="e">
        <f t="shared" si="1003"/>
        <v>#VALUE!</v>
      </c>
      <c r="AI496" s="204" t="e">
        <f t="shared" si="1004"/>
        <v>#VALUE!</v>
      </c>
      <c r="AJ496" s="205">
        <f t="shared" si="940"/>
        <v>-870290.97445400013</v>
      </c>
      <c r="AK496" s="204" t="e">
        <f t="shared" si="1005"/>
        <v>#VALUE!</v>
      </c>
      <c r="AL496" s="204" t="e">
        <f t="shared" si="1006"/>
        <v>#VALUE!</v>
      </c>
      <c r="AM496" s="204" t="e">
        <f t="shared" si="1007"/>
        <v>#VALUE!</v>
      </c>
      <c r="AN496" s="204" t="e">
        <f t="shared" si="1008"/>
        <v>#VALUE!</v>
      </c>
      <c r="AO496" s="204" t="e">
        <f t="shared" si="1009"/>
        <v>#VALUE!</v>
      </c>
      <c r="AP496" s="204" t="e">
        <f t="shared" si="1010"/>
        <v>#VALUE!</v>
      </c>
      <c r="AQ496" s="204" t="e">
        <f t="shared" si="1011"/>
        <v>#VALUE!</v>
      </c>
      <c r="AR496" s="206" t="e">
        <f t="shared" si="948"/>
        <v>#VALUE!</v>
      </c>
      <c r="AS496" s="170" t="e">
        <f t="shared" si="1012"/>
        <v>#VALUE!</v>
      </c>
      <c r="AT496" s="170" t="e">
        <f t="shared" si="1013"/>
        <v>#VALUE!</v>
      </c>
      <c r="AU496" s="207" t="e">
        <f t="shared" si="951"/>
        <v>#VALUE!</v>
      </c>
      <c r="AV496" s="208" t="e">
        <f t="shared" si="952"/>
        <v>#VALUE!</v>
      </c>
      <c r="AW496" s="201" t="str">
        <f t="shared" si="953"/>
        <v>Confiabilidade em Crescimento</v>
      </c>
      <c r="AX496" s="253" t="e">
        <f>VLOOKUP(D496,#REF!,5,FALSE)</f>
        <v>#REF!</v>
      </c>
      <c r="AY496" s="201"/>
      <c r="AZ496" s="273" t="s">
        <v>1224</v>
      </c>
      <c r="BB496">
        <f>IFERROR(VLOOKUP(Tabela1[[#This Row],[Denominação]],[10]Planilha1!$A:$B,2,FALSE),"")</f>
        <v>376349.16999999987</v>
      </c>
      <c r="BC496" s="219"/>
      <c r="BD496" s="219"/>
      <c r="BE496" s="219"/>
      <c r="BF496" s="219"/>
      <c r="BG496" s="219"/>
      <c r="BH496" s="219"/>
      <c r="BI496" s="219"/>
      <c r="BJ496" s="219"/>
      <c r="BK496" s="219"/>
      <c r="BL496" s="219"/>
    </row>
    <row r="497" spans="1:64" ht="15" hidden="1" customHeight="1" x14ac:dyDescent="0.3">
      <c r="A497" s="268">
        <v>496</v>
      </c>
      <c r="B497" s="171" t="s">
        <v>301</v>
      </c>
      <c r="C497" s="209" t="s">
        <v>302</v>
      </c>
      <c r="D497" s="171">
        <v>10005224</v>
      </c>
      <c r="E497" s="253" t="s">
        <v>1503</v>
      </c>
      <c r="F497" s="210">
        <v>4561</v>
      </c>
      <c r="G497" s="171">
        <v>35334</v>
      </c>
      <c r="H497" s="171">
        <v>2008</v>
      </c>
      <c r="I497" s="213">
        <v>431223.22</v>
      </c>
      <c r="J497" s="213">
        <v>0</v>
      </c>
      <c r="K497" s="170">
        <v>394873.8499999987</v>
      </c>
      <c r="L497" s="207">
        <v>2.25</v>
      </c>
      <c r="M497" s="212">
        <v>3542</v>
      </c>
      <c r="N497" s="212">
        <v>128175</v>
      </c>
      <c r="O497" s="171">
        <v>807</v>
      </c>
      <c r="P497" s="271" t="str">
        <f>IFERROR(VLOOKUP(Tabela1[[#This Row],[TAG]],#REF!,14,FALSE),"")</f>
        <v/>
      </c>
      <c r="Q497" s="204" t="e">
        <f>P497+P497</f>
        <v>#VALUE!</v>
      </c>
      <c r="R497" s="204" t="e">
        <f t="shared" si="993"/>
        <v>#VALUE!</v>
      </c>
      <c r="S497" s="204" t="e">
        <f t="shared" si="994"/>
        <v>#VALUE!</v>
      </c>
      <c r="T497" s="204" t="e">
        <f t="shared" si="995"/>
        <v>#VALUE!</v>
      </c>
      <c r="U497" s="204" t="e">
        <f t="shared" si="996"/>
        <v>#VALUE!</v>
      </c>
      <c r="V497" s="204" t="e">
        <f t="shared" si="997"/>
        <v>#VALUE!</v>
      </c>
      <c r="W497" s="218">
        <v>329.52</v>
      </c>
      <c r="X497" s="218">
        <v>2297.44</v>
      </c>
      <c r="Y497" s="203">
        <v>0.1</v>
      </c>
      <c r="Z497" s="203">
        <f>IF(Tabela1[[#This Row],[Ano Aquisição]]=2023,0,IFERROR(VLOOKUP(H497,inflação!$F:$H,3,FALSE),""))</f>
        <v>0.89119999999999999</v>
      </c>
      <c r="AA497" s="203">
        <v>0.8</v>
      </c>
      <c r="AB497" s="202">
        <f t="shared" si="932"/>
        <v>-431223.22</v>
      </c>
      <c r="AC497" s="204" t="e">
        <f t="shared" si="998"/>
        <v>#VALUE!</v>
      </c>
      <c r="AD497" s="204" t="e">
        <f t="shared" si="999"/>
        <v>#VALUE!</v>
      </c>
      <c r="AE497" s="204" t="e">
        <f t="shared" si="1000"/>
        <v>#VALUE!</v>
      </c>
      <c r="AF497" s="204" t="e">
        <f t="shared" si="1001"/>
        <v>#VALUE!</v>
      </c>
      <c r="AG497" s="204" t="e">
        <f t="shared" si="1002"/>
        <v>#VALUE!</v>
      </c>
      <c r="AH497" s="204" t="e">
        <f t="shared" si="1003"/>
        <v>#VALUE!</v>
      </c>
      <c r="AI497" s="204" t="e">
        <f t="shared" si="1004"/>
        <v>#VALUE!</v>
      </c>
      <c r="AJ497" s="205">
        <f t="shared" si="940"/>
        <v>-815529.35366399994</v>
      </c>
      <c r="AK497" s="204" t="e">
        <f t="shared" si="1005"/>
        <v>#VALUE!</v>
      </c>
      <c r="AL497" s="204" t="e">
        <f t="shared" si="1006"/>
        <v>#VALUE!</v>
      </c>
      <c r="AM497" s="204" t="e">
        <f t="shared" si="1007"/>
        <v>#VALUE!</v>
      </c>
      <c r="AN497" s="204" t="e">
        <f t="shared" si="1008"/>
        <v>#VALUE!</v>
      </c>
      <c r="AO497" s="204" t="e">
        <f t="shared" si="1009"/>
        <v>#VALUE!</v>
      </c>
      <c r="AP497" s="204" t="e">
        <f t="shared" si="1010"/>
        <v>#VALUE!</v>
      </c>
      <c r="AQ497" s="204" t="e">
        <f t="shared" si="1011"/>
        <v>#VALUE!</v>
      </c>
      <c r="AR497" s="206" t="e">
        <f t="shared" si="948"/>
        <v>#VALUE!</v>
      </c>
      <c r="AS497" s="170" t="e">
        <f t="shared" si="1012"/>
        <v>#VALUE!</v>
      </c>
      <c r="AT497" s="170" t="e">
        <f t="shared" si="1013"/>
        <v>#VALUE!</v>
      </c>
      <c r="AU497" s="207" t="e">
        <f t="shared" si="951"/>
        <v>#VALUE!</v>
      </c>
      <c r="AV497" s="208" t="e">
        <f t="shared" si="952"/>
        <v>#VALUE!</v>
      </c>
      <c r="AW497" s="201" t="str">
        <f t="shared" si="953"/>
        <v>Fase de Degradação</v>
      </c>
      <c r="AX497" s="253" t="e">
        <f>VLOOKUP(D497,#REF!,5,FALSE)</f>
        <v>#REF!</v>
      </c>
      <c r="AY497" s="201"/>
      <c r="AZ497" s="273" t="s">
        <v>1224</v>
      </c>
      <c r="BB497">
        <f>IFERROR(VLOOKUP(Tabela1[[#This Row],[Denominação]],[10]Planilha1!$A:$B,2,FALSE),"")</f>
        <v>394873.8499999987</v>
      </c>
      <c r="BC497" s="219"/>
      <c r="BD497" s="219"/>
      <c r="BE497" s="219"/>
      <c r="BF497" s="219"/>
      <c r="BG497" s="219"/>
      <c r="BH497" s="219"/>
      <c r="BI497" s="219"/>
      <c r="BJ497" s="219"/>
      <c r="BK497" s="219"/>
      <c r="BL497" s="219"/>
    </row>
    <row r="498" spans="1:64" ht="15" hidden="1" customHeight="1" x14ac:dyDescent="0.3">
      <c r="A498" s="253">
        <v>497</v>
      </c>
      <c r="B498" s="171" t="s">
        <v>607</v>
      </c>
      <c r="C498" s="209" t="s">
        <v>608</v>
      </c>
      <c r="D498" s="171">
        <v>10005226</v>
      </c>
      <c r="E498" s="253" t="s">
        <v>1511</v>
      </c>
      <c r="F498" s="210">
        <v>3318</v>
      </c>
      <c r="G498" s="171">
        <v>35269</v>
      </c>
      <c r="H498" s="171">
        <v>2008</v>
      </c>
      <c r="I498" s="213">
        <v>133787.01</v>
      </c>
      <c r="J498" s="213">
        <v>47765</v>
      </c>
      <c r="K498" s="170">
        <v>185953.83</v>
      </c>
      <c r="L498" s="207">
        <v>0.93</v>
      </c>
      <c r="M498" s="212">
        <v>4392</v>
      </c>
      <c r="N498" s="212">
        <v>129118</v>
      </c>
      <c r="O498" s="171">
        <v>232</v>
      </c>
      <c r="P498" s="271" t="str">
        <f>IFERROR(VLOOKUP(Tabela1[[#This Row],[TAG]],#REF!,14,FALSE),"")</f>
        <v/>
      </c>
      <c r="Q498" s="204" t="e">
        <f t="shared" si="992"/>
        <v>#VALUE!</v>
      </c>
      <c r="R498" s="204" t="e">
        <f t="shared" si="993"/>
        <v>#VALUE!</v>
      </c>
      <c r="S498" s="204" t="e">
        <f t="shared" si="994"/>
        <v>#VALUE!</v>
      </c>
      <c r="T498" s="204" t="e">
        <f t="shared" si="995"/>
        <v>#VALUE!</v>
      </c>
      <c r="U498" s="204" t="e">
        <f t="shared" si="996"/>
        <v>#VALUE!</v>
      </c>
      <c r="V498" s="204" t="e">
        <f t="shared" si="997"/>
        <v>#VALUE!</v>
      </c>
      <c r="W498" s="218">
        <v>301.17</v>
      </c>
      <c r="X498" s="218">
        <v>498.12</v>
      </c>
      <c r="Y498" s="203">
        <v>0.1</v>
      </c>
      <c r="Z498" s="203">
        <f>IF(Tabela1[[#This Row],[Ano Aquisição]]=2023,0,IFERROR(VLOOKUP(H498,inflação!$F:$H,3,FALSE),""))</f>
        <v>0.89119999999999999</v>
      </c>
      <c r="AA498" s="203">
        <v>0.8</v>
      </c>
      <c r="AB498" s="202">
        <f t="shared" si="932"/>
        <v>-133787.01</v>
      </c>
      <c r="AC498" s="204" t="e">
        <f t="shared" si="998"/>
        <v>#VALUE!</v>
      </c>
      <c r="AD498" s="204" t="e">
        <f t="shared" si="999"/>
        <v>#VALUE!</v>
      </c>
      <c r="AE498" s="204" t="e">
        <f t="shared" si="1000"/>
        <v>#VALUE!</v>
      </c>
      <c r="AF498" s="204" t="e">
        <f t="shared" si="1001"/>
        <v>#VALUE!</v>
      </c>
      <c r="AG498" s="204" t="e">
        <f t="shared" si="1002"/>
        <v>#VALUE!</v>
      </c>
      <c r="AH498" s="204" t="e">
        <f t="shared" si="1003"/>
        <v>#VALUE!</v>
      </c>
      <c r="AI498" s="204" t="e">
        <f t="shared" si="1004"/>
        <v>#VALUE!</v>
      </c>
      <c r="AJ498" s="205">
        <f t="shared" si="940"/>
        <v>-253017.99331200001</v>
      </c>
      <c r="AK498" s="204" t="e">
        <f t="shared" si="1005"/>
        <v>#VALUE!</v>
      </c>
      <c r="AL498" s="204" t="e">
        <f t="shared" si="1006"/>
        <v>#VALUE!</v>
      </c>
      <c r="AM498" s="204" t="e">
        <f t="shared" si="1007"/>
        <v>#VALUE!</v>
      </c>
      <c r="AN498" s="204" t="e">
        <f t="shared" si="1008"/>
        <v>#VALUE!</v>
      </c>
      <c r="AO498" s="204" t="e">
        <f t="shared" si="1009"/>
        <v>#VALUE!</v>
      </c>
      <c r="AP498" s="204" t="e">
        <f t="shared" si="1010"/>
        <v>#VALUE!</v>
      </c>
      <c r="AQ498" s="204" t="e">
        <f t="shared" si="1011"/>
        <v>#VALUE!</v>
      </c>
      <c r="AR498" s="206" t="e">
        <f t="shared" si="948"/>
        <v>#VALUE!</v>
      </c>
      <c r="AS498" s="170" t="e">
        <f t="shared" si="1012"/>
        <v>#VALUE!</v>
      </c>
      <c r="AT498" s="170" t="e">
        <f t="shared" si="1013"/>
        <v>#VALUE!</v>
      </c>
      <c r="AU498" s="207" t="e">
        <f t="shared" si="951"/>
        <v>#VALUE!</v>
      </c>
      <c r="AV498" s="208" t="e">
        <f t="shared" si="952"/>
        <v>#VALUE!</v>
      </c>
      <c r="AW498" s="201" t="str">
        <f t="shared" si="953"/>
        <v>Confiabilidade em Crescimento</v>
      </c>
      <c r="AX498" s="253" t="e">
        <f>VLOOKUP(D498,#REF!,5,FALSE)</f>
        <v>#REF!</v>
      </c>
      <c r="AY498" s="201"/>
      <c r="AZ498" s="273" t="s">
        <v>1224</v>
      </c>
      <c r="BB498">
        <f>IFERROR(VLOOKUP(Tabela1[[#This Row],[Denominação]],[10]Planilha1!$A:$B,2,FALSE),"")</f>
        <v>185953.83</v>
      </c>
      <c r="BC498" s="219"/>
      <c r="BD498" s="219"/>
      <c r="BE498" s="219"/>
      <c r="BF498" s="219"/>
      <c r="BG498" s="219"/>
      <c r="BH498" s="219"/>
      <c r="BI498" s="219"/>
      <c r="BJ498" s="219"/>
      <c r="BK498" s="219"/>
      <c r="BL498" s="219"/>
    </row>
    <row r="499" spans="1:64" ht="15" hidden="1" customHeight="1" x14ac:dyDescent="0.3">
      <c r="A499" s="268">
        <v>498</v>
      </c>
      <c r="B499" s="171" t="s">
        <v>641</v>
      </c>
      <c r="C499" s="209" t="s">
        <v>642</v>
      </c>
      <c r="D499" s="171">
        <v>10005644</v>
      </c>
      <c r="E499" s="253" t="s">
        <v>1323</v>
      </c>
      <c r="F499" s="210">
        <v>1074</v>
      </c>
      <c r="G499" s="171">
        <v>20392</v>
      </c>
      <c r="H499" s="171">
        <v>1995</v>
      </c>
      <c r="I499" s="213">
        <v>150435.76999999999</v>
      </c>
      <c r="J499" s="213">
        <v>28976</v>
      </c>
      <c r="K499" s="170">
        <v>169230.05000000005</v>
      </c>
      <c r="L499" s="207">
        <v>0.9</v>
      </c>
      <c r="M499" s="212">
        <v>4116</v>
      </c>
      <c r="N499" s="212">
        <v>106611</v>
      </c>
      <c r="O499" s="171">
        <v>188</v>
      </c>
      <c r="P499" s="271" t="str">
        <f>IFERROR(VLOOKUP(Tabela1[[#This Row],[TAG]],#REF!,14,FALSE),"")</f>
        <v/>
      </c>
      <c r="Q499" s="204" t="e">
        <f t="shared" si="992"/>
        <v>#VALUE!</v>
      </c>
      <c r="R499" s="204" t="e">
        <f t="shared" si="993"/>
        <v>#VALUE!</v>
      </c>
      <c r="S499" s="204" t="e">
        <f t="shared" si="994"/>
        <v>#VALUE!</v>
      </c>
      <c r="T499" s="204" t="e">
        <f t="shared" si="995"/>
        <v>#VALUE!</v>
      </c>
      <c r="U499" s="204" t="e">
        <f t="shared" si="996"/>
        <v>#VALUE!</v>
      </c>
      <c r="V499" s="204" t="e">
        <f t="shared" si="997"/>
        <v>#VALUE!</v>
      </c>
      <c r="W499" s="218">
        <v>444.43</v>
      </c>
      <c r="X499" s="170">
        <v>675.76222222222236</v>
      </c>
      <c r="Y499" s="203">
        <v>0.1</v>
      </c>
      <c r="Z499" s="203">
        <f>IF(Tabela1[[#This Row],[Ano Aquisição]]=2023,0,IFERROR(VLOOKUP(H499,inflação!$F:$H,3,FALSE),""))</f>
        <v>1.7719846153846153</v>
      </c>
      <c r="AA499" s="203">
        <v>0.8</v>
      </c>
      <c r="AB499" s="202">
        <f t="shared" si="932"/>
        <v>-150435.76999999999</v>
      </c>
      <c r="AC499" s="204" t="e">
        <f t="shared" si="998"/>
        <v>#VALUE!</v>
      </c>
      <c r="AD499" s="204" t="e">
        <f t="shared" si="999"/>
        <v>#VALUE!</v>
      </c>
      <c r="AE499" s="204" t="e">
        <f t="shared" si="1000"/>
        <v>#VALUE!</v>
      </c>
      <c r="AF499" s="204" t="e">
        <f t="shared" si="1001"/>
        <v>#VALUE!</v>
      </c>
      <c r="AG499" s="204" t="e">
        <f t="shared" si="1002"/>
        <v>#VALUE!</v>
      </c>
      <c r="AH499" s="204" t="e">
        <f t="shared" si="1003"/>
        <v>#VALUE!</v>
      </c>
      <c r="AI499" s="204" t="e">
        <f t="shared" si="1004"/>
        <v>#VALUE!</v>
      </c>
      <c r="AJ499" s="205">
        <f t="shared" si="940"/>
        <v>-417005.64004353835</v>
      </c>
      <c r="AK499" s="204" t="e">
        <f t="shared" si="1005"/>
        <v>#VALUE!</v>
      </c>
      <c r="AL499" s="204" t="e">
        <f t="shared" si="1006"/>
        <v>#VALUE!</v>
      </c>
      <c r="AM499" s="204" t="e">
        <f t="shared" si="1007"/>
        <v>#VALUE!</v>
      </c>
      <c r="AN499" s="204" t="e">
        <f t="shared" si="1008"/>
        <v>#VALUE!</v>
      </c>
      <c r="AO499" s="204" t="e">
        <f t="shared" si="1009"/>
        <v>#VALUE!</v>
      </c>
      <c r="AP499" s="204" t="e">
        <f t="shared" si="1010"/>
        <v>#VALUE!</v>
      </c>
      <c r="AQ499" s="204" t="e">
        <f t="shared" si="1011"/>
        <v>#VALUE!</v>
      </c>
      <c r="AR499" s="206" t="e">
        <f t="shared" si="948"/>
        <v>#VALUE!</v>
      </c>
      <c r="AS499" s="170" t="e">
        <f t="shared" si="1012"/>
        <v>#VALUE!</v>
      </c>
      <c r="AT499" s="170" t="e">
        <f t="shared" si="1013"/>
        <v>#VALUE!</v>
      </c>
      <c r="AU499" s="207" t="e">
        <f t="shared" si="951"/>
        <v>#VALUE!</v>
      </c>
      <c r="AV499" s="208" t="e">
        <f t="shared" si="952"/>
        <v>#VALUE!</v>
      </c>
      <c r="AW499" s="201" t="str">
        <f t="shared" si="953"/>
        <v>Confiabilidade em Crescimento</v>
      </c>
      <c r="AX499" s="253" t="e">
        <f>VLOOKUP(D499,#REF!,5,FALSE)</f>
        <v>#REF!</v>
      </c>
      <c r="AY499" s="201"/>
      <c r="AZ499" s="273" t="s">
        <v>1224</v>
      </c>
      <c r="BB499">
        <f>IFERROR(VLOOKUP(Tabela1[[#This Row],[Denominação]],[10]Planilha1!$A:$B,2,FALSE),"")</f>
        <v>169230.05000000005</v>
      </c>
      <c r="BC499" s="219"/>
      <c r="BD499" s="219"/>
      <c r="BE499" s="219"/>
      <c r="BF499" s="219"/>
      <c r="BG499" s="219"/>
      <c r="BH499" s="219"/>
      <c r="BI499" s="219"/>
      <c r="BJ499" s="219"/>
      <c r="BK499" s="219"/>
      <c r="BL499" s="219"/>
    </row>
    <row r="500" spans="1:64" ht="15" hidden="1" customHeight="1" x14ac:dyDescent="0.3">
      <c r="A500" s="253">
        <v>499</v>
      </c>
      <c r="B500" s="171" t="s">
        <v>707</v>
      </c>
      <c r="C500" s="209" t="s">
        <v>708</v>
      </c>
      <c r="D500" s="171">
        <v>10005701</v>
      </c>
      <c r="E500" s="253" t="s">
        <v>1512</v>
      </c>
      <c r="F500" s="210">
        <v>4568</v>
      </c>
      <c r="G500" s="171" t="s">
        <v>1666</v>
      </c>
      <c r="H500" s="171">
        <v>2011</v>
      </c>
      <c r="I500" s="213">
        <v>274937.14</v>
      </c>
      <c r="J500" s="213">
        <v>0</v>
      </c>
      <c r="K500" s="170">
        <v>27697.150000000009</v>
      </c>
      <c r="L500" s="207">
        <v>0.91</v>
      </c>
      <c r="M500" s="212">
        <v>5391</v>
      </c>
      <c r="N500" s="212">
        <v>98923</v>
      </c>
      <c r="O500" s="171">
        <v>88</v>
      </c>
      <c r="P500" s="271" t="str">
        <f>IFERROR(VLOOKUP(Tabela1[[#This Row],[TAG]],#REF!,14,FALSE),"")</f>
        <v/>
      </c>
      <c r="Q500" s="262" t="e">
        <f t="shared" si="992"/>
        <v>#VALUE!</v>
      </c>
      <c r="R500" s="262" t="e">
        <f t="shared" si="993"/>
        <v>#VALUE!</v>
      </c>
      <c r="S500" s="262" t="e">
        <f t="shared" si="994"/>
        <v>#VALUE!</v>
      </c>
      <c r="T500" s="262" t="e">
        <f t="shared" si="995"/>
        <v>#VALUE!</v>
      </c>
      <c r="U500" s="262" t="e">
        <f t="shared" si="996"/>
        <v>#VALUE!</v>
      </c>
      <c r="V500" s="262" t="e">
        <f t="shared" si="997"/>
        <v>#VALUE!</v>
      </c>
      <c r="W500" s="218">
        <v>289.43</v>
      </c>
      <c r="X500" s="218">
        <v>439.17</v>
      </c>
      <c r="Y500" s="203">
        <v>0.1</v>
      </c>
      <c r="Z500" s="203">
        <f>IF(Tabela1[[#This Row],[Ano Aquisição]]=2023,0,IFERROR(VLOOKUP(H500,inflação!$F:$H,3,FALSE),""))</f>
        <v>0.73</v>
      </c>
      <c r="AA500" s="203">
        <v>0.8</v>
      </c>
      <c r="AB500" s="202">
        <f t="shared" si="932"/>
        <v>-274937.14</v>
      </c>
      <c r="AC500" s="204" t="e">
        <f t="shared" si="998"/>
        <v>#VALUE!</v>
      </c>
      <c r="AD500" s="204" t="e">
        <f t="shared" si="999"/>
        <v>#VALUE!</v>
      </c>
      <c r="AE500" s="204" t="e">
        <f t="shared" si="1000"/>
        <v>#VALUE!</v>
      </c>
      <c r="AF500" s="204" t="e">
        <f t="shared" si="1001"/>
        <v>#VALUE!</v>
      </c>
      <c r="AG500" s="204" t="e">
        <f t="shared" si="1002"/>
        <v>#VALUE!</v>
      </c>
      <c r="AH500" s="204" t="e">
        <f t="shared" si="1003"/>
        <v>#VALUE!</v>
      </c>
      <c r="AI500" s="204" t="e">
        <f t="shared" si="1004"/>
        <v>#VALUE!</v>
      </c>
      <c r="AJ500" s="205">
        <f t="shared" si="940"/>
        <v>-475641.25220000005</v>
      </c>
      <c r="AK500" s="204" t="e">
        <f t="shared" si="1005"/>
        <v>#VALUE!</v>
      </c>
      <c r="AL500" s="204" t="e">
        <f t="shared" si="1006"/>
        <v>#VALUE!</v>
      </c>
      <c r="AM500" s="204" t="e">
        <f t="shared" si="1007"/>
        <v>#VALUE!</v>
      </c>
      <c r="AN500" s="204" t="e">
        <f t="shared" si="1008"/>
        <v>#VALUE!</v>
      </c>
      <c r="AO500" s="204" t="e">
        <f t="shared" si="1009"/>
        <v>#VALUE!</v>
      </c>
      <c r="AP500" s="204" t="e">
        <f t="shared" si="1010"/>
        <v>#VALUE!</v>
      </c>
      <c r="AQ500" s="204" t="e">
        <f t="shared" si="1011"/>
        <v>#VALUE!</v>
      </c>
      <c r="AR500" s="206" t="e">
        <f t="shared" si="948"/>
        <v>#VALUE!</v>
      </c>
      <c r="AS500" s="170" t="e">
        <f t="shared" si="1012"/>
        <v>#VALUE!</v>
      </c>
      <c r="AT500" s="170" t="e">
        <f t="shared" si="1013"/>
        <v>#VALUE!</v>
      </c>
      <c r="AU500" s="207" t="e">
        <f t="shared" si="951"/>
        <v>#VALUE!</v>
      </c>
      <c r="AV500" s="208" t="e">
        <f t="shared" si="952"/>
        <v>#VALUE!</v>
      </c>
      <c r="AW500" s="201" t="str">
        <f t="shared" si="953"/>
        <v>Confiabilidade em Crescimento</v>
      </c>
      <c r="AX500" s="253" t="e">
        <f>VLOOKUP(D500,#REF!,5,FALSE)</f>
        <v>#REF!</v>
      </c>
      <c r="AY500" s="201"/>
      <c r="AZ500" s="273" t="s">
        <v>1224</v>
      </c>
      <c r="BB500">
        <f>IFERROR(VLOOKUP(Tabela1[[#This Row],[Denominação]],[10]Planilha1!$A:$B,2,FALSE),"")</f>
        <v>27697.150000000009</v>
      </c>
      <c r="BC500" s="219"/>
      <c r="BD500" s="219"/>
      <c r="BE500" s="219"/>
      <c r="BF500" s="219"/>
      <c r="BG500" s="219"/>
      <c r="BH500" s="219"/>
      <c r="BI500" s="219"/>
      <c r="BJ500" s="219"/>
      <c r="BK500" s="219"/>
      <c r="BL500" s="219"/>
    </row>
    <row r="501" spans="1:64" ht="15" hidden="1" customHeight="1" x14ac:dyDescent="0.3">
      <c r="A501" s="268">
        <v>500</v>
      </c>
      <c r="B501" s="171" t="s">
        <v>663</v>
      </c>
      <c r="C501" s="209" t="s">
        <v>664</v>
      </c>
      <c r="D501" s="171">
        <v>10005923</v>
      </c>
      <c r="E501" s="253" t="s">
        <v>1513</v>
      </c>
      <c r="F501" s="210">
        <v>4568</v>
      </c>
      <c r="G501" s="171">
        <v>43439</v>
      </c>
      <c r="H501" s="171">
        <v>2013</v>
      </c>
      <c r="I501" s="213">
        <v>394263.8</v>
      </c>
      <c r="J501" s="213">
        <v>212734</v>
      </c>
      <c r="K501" s="170">
        <v>208126.24999999977</v>
      </c>
      <c r="L501" s="207">
        <v>1.54</v>
      </c>
      <c r="M501" s="212">
        <v>5434</v>
      </c>
      <c r="N501" s="212">
        <v>101142</v>
      </c>
      <c r="O501" s="171">
        <v>561</v>
      </c>
      <c r="P501" s="271" t="str">
        <f>IFERROR(VLOOKUP(Tabela1[[#This Row],[TAG]],#REF!,14,FALSE),"")</f>
        <v/>
      </c>
      <c r="Q501" s="262" t="e">
        <f t="shared" si="992"/>
        <v>#VALUE!</v>
      </c>
      <c r="R501" s="262" t="e">
        <f t="shared" si="993"/>
        <v>#VALUE!</v>
      </c>
      <c r="S501" s="262" t="e">
        <f t="shared" si="994"/>
        <v>#VALUE!</v>
      </c>
      <c r="T501" s="262" t="e">
        <f t="shared" si="995"/>
        <v>#VALUE!</v>
      </c>
      <c r="U501" s="262" t="e">
        <f t="shared" si="996"/>
        <v>#VALUE!</v>
      </c>
      <c r="V501" s="262" t="e">
        <f t="shared" si="997"/>
        <v>#VALUE!</v>
      </c>
      <c r="W501" s="218">
        <v>403.41</v>
      </c>
      <c r="X501" s="218">
        <v>2574.3200000000002</v>
      </c>
      <c r="Y501" s="203">
        <v>0.1</v>
      </c>
      <c r="Z501" s="203">
        <f>IF(Tabela1[[#This Row],[Ano Aquisição]]=2023,0,IFERROR(VLOOKUP(H501,inflação!$F:$H,3,FALSE),""))</f>
        <v>0.60660000000000003</v>
      </c>
      <c r="AA501" s="203">
        <v>0.8</v>
      </c>
      <c r="AB501" s="202">
        <f t="shared" si="932"/>
        <v>-394263.8</v>
      </c>
      <c r="AC501" s="204" t="e">
        <f t="shared" si="998"/>
        <v>#VALUE!</v>
      </c>
      <c r="AD501" s="204" t="e">
        <f t="shared" si="999"/>
        <v>#VALUE!</v>
      </c>
      <c r="AE501" s="204" t="e">
        <f t="shared" si="1000"/>
        <v>#VALUE!</v>
      </c>
      <c r="AF501" s="204" t="e">
        <f t="shared" si="1001"/>
        <v>#VALUE!</v>
      </c>
      <c r="AG501" s="204" t="e">
        <f t="shared" si="1002"/>
        <v>#VALUE!</v>
      </c>
      <c r="AH501" s="204" t="e">
        <f t="shared" si="1003"/>
        <v>#VALUE!</v>
      </c>
      <c r="AI501" s="204" t="e">
        <f t="shared" si="1004"/>
        <v>#VALUE!</v>
      </c>
      <c r="AJ501" s="205">
        <f t="shared" si="940"/>
        <v>-633424.22108000005</v>
      </c>
      <c r="AK501" s="204" t="e">
        <f t="shared" si="1005"/>
        <v>#VALUE!</v>
      </c>
      <c r="AL501" s="204" t="e">
        <f t="shared" si="1006"/>
        <v>#VALUE!</v>
      </c>
      <c r="AM501" s="204" t="e">
        <f t="shared" si="1007"/>
        <v>#VALUE!</v>
      </c>
      <c r="AN501" s="204" t="e">
        <f t="shared" si="1008"/>
        <v>#VALUE!</v>
      </c>
      <c r="AO501" s="204" t="e">
        <f t="shared" si="1009"/>
        <v>#VALUE!</v>
      </c>
      <c r="AP501" s="204" t="e">
        <f t="shared" si="1010"/>
        <v>#VALUE!</v>
      </c>
      <c r="AQ501" s="204" t="e">
        <f t="shared" si="1011"/>
        <v>#VALUE!</v>
      </c>
      <c r="AR501" s="206" t="e">
        <f t="shared" si="948"/>
        <v>#VALUE!</v>
      </c>
      <c r="AS501" s="170" t="e">
        <f t="shared" si="1012"/>
        <v>#VALUE!</v>
      </c>
      <c r="AT501" s="170" t="e">
        <f t="shared" si="1013"/>
        <v>#VALUE!</v>
      </c>
      <c r="AU501" s="207" t="e">
        <f t="shared" si="951"/>
        <v>#VALUE!</v>
      </c>
      <c r="AV501" s="208" t="e">
        <f t="shared" si="952"/>
        <v>#VALUE!</v>
      </c>
      <c r="AW501" s="201" t="str">
        <f t="shared" si="953"/>
        <v>Fase de Degradação</v>
      </c>
      <c r="AX501" s="253" t="e">
        <f>VLOOKUP(D501,#REF!,5,FALSE)</f>
        <v>#REF!</v>
      </c>
      <c r="AY501" s="201"/>
      <c r="AZ501" s="273" t="s">
        <v>1224</v>
      </c>
      <c r="BB501">
        <f>IFERROR(VLOOKUP(Tabela1[[#This Row],[Denominação]],[10]Planilha1!$A:$B,2,FALSE),"")</f>
        <v>208126.24999999977</v>
      </c>
      <c r="BC501" s="219"/>
      <c r="BD501" s="219"/>
      <c r="BE501" s="219"/>
      <c r="BF501" s="219"/>
      <c r="BG501" s="219"/>
      <c r="BH501" s="219"/>
      <c r="BI501" s="219"/>
      <c r="BJ501" s="219"/>
      <c r="BK501" s="219"/>
      <c r="BL501" s="219"/>
    </row>
    <row r="502" spans="1:64" ht="15" hidden="1" customHeight="1" x14ac:dyDescent="0.3">
      <c r="A502" s="253">
        <v>501</v>
      </c>
      <c r="B502" s="171" t="s">
        <v>629</v>
      </c>
      <c r="C502" s="209" t="s">
        <v>630</v>
      </c>
      <c r="D502" s="171">
        <v>10006222</v>
      </c>
      <c r="E502" s="253" t="s">
        <v>1514</v>
      </c>
      <c r="F502" s="210">
        <v>4568</v>
      </c>
      <c r="G502" s="171">
        <v>43169</v>
      </c>
      <c r="H502" s="171">
        <v>2013</v>
      </c>
      <c r="I502" s="213">
        <v>470560.24</v>
      </c>
      <c r="J502" s="213">
        <v>254513</v>
      </c>
      <c r="K502" s="170">
        <v>258043.48999999985</v>
      </c>
      <c r="L502" s="207">
        <v>1.32</v>
      </c>
      <c r="M502" s="212">
        <v>5347</v>
      </c>
      <c r="N502" s="212">
        <v>87507</v>
      </c>
      <c r="O502" s="171">
        <v>621</v>
      </c>
      <c r="P502" s="271" t="str">
        <f>IFERROR(VLOOKUP(Tabela1[[#This Row],[TAG]],#REF!,14,FALSE),"")</f>
        <v/>
      </c>
      <c r="Q502" s="262" t="e">
        <f t="shared" si="992"/>
        <v>#VALUE!</v>
      </c>
      <c r="R502" s="262" t="e">
        <f t="shared" si="993"/>
        <v>#VALUE!</v>
      </c>
      <c r="S502" s="262" t="e">
        <f t="shared" si="994"/>
        <v>#VALUE!</v>
      </c>
      <c r="T502" s="262" t="e">
        <f t="shared" si="995"/>
        <v>#VALUE!</v>
      </c>
      <c r="U502" s="262" t="e">
        <f t="shared" si="996"/>
        <v>#VALUE!</v>
      </c>
      <c r="V502" s="262" t="e">
        <f t="shared" si="997"/>
        <v>#VALUE!</v>
      </c>
      <c r="W502" s="218">
        <v>468.93</v>
      </c>
      <c r="X502" s="218">
        <v>2740.41</v>
      </c>
      <c r="Y502" s="203">
        <v>0.1</v>
      </c>
      <c r="Z502" s="203">
        <f>IF(Tabela1[[#This Row],[Ano Aquisição]]=2023,0,IFERROR(VLOOKUP(H502,inflação!$F:$H,3,FALSE),""))</f>
        <v>0.60660000000000003</v>
      </c>
      <c r="AA502" s="203">
        <v>0.8</v>
      </c>
      <c r="AB502" s="202">
        <f t="shared" si="932"/>
        <v>-470560.24</v>
      </c>
      <c r="AC502" s="204" t="e">
        <f t="shared" si="998"/>
        <v>#VALUE!</v>
      </c>
      <c r="AD502" s="204" t="e">
        <f t="shared" si="999"/>
        <v>#VALUE!</v>
      </c>
      <c r="AE502" s="204" t="e">
        <f t="shared" si="1000"/>
        <v>#VALUE!</v>
      </c>
      <c r="AF502" s="204" t="e">
        <f t="shared" si="1001"/>
        <v>#VALUE!</v>
      </c>
      <c r="AG502" s="204" t="e">
        <f t="shared" si="1002"/>
        <v>#VALUE!</v>
      </c>
      <c r="AH502" s="204" t="e">
        <f t="shared" si="1003"/>
        <v>#VALUE!</v>
      </c>
      <c r="AI502" s="204" t="e">
        <f t="shared" si="1004"/>
        <v>#VALUE!</v>
      </c>
      <c r="AJ502" s="205">
        <f t="shared" si="940"/>
        <v>-756002.08158400003</v>
      </c>
      <c r="AK502" s="204" t="e">
        <f t="shared" si="1005"/>
        <v>#VALUE!</v>
      </c>
      <c r="AL502" s="204" t="e">
        <f t="shared" si="1006"/>
        <v>#VALUE!</v>
      </c>
      <c r="AM502" s="204" t="e">
        <f t="shared" si="1007"/>
        <v>#VALUE!</v>
      </c>
      <c r="AN502" s="204" t="e">
        <f t="shared" si="1008"/>
        <v>#VALUE!</v>
      </c>
      <c r="AO502" s="204" t="e">
        <f t="shared" si="1009"/>
        <v>#VALUE!</v>
      </c>
      <c r="AP502" s="204" t="e">
        <f t="shared" si="1010"/>
        <v>#VALUE!</v>
      </c>
      <c r="AQ502" s="204" t="e">
        <f t="shared" si="1011"/>
        <v>#VALUE!</v>
      </c>
      <c r="AR502" s="206" t="e">
        <f t="shared" si="948"/>
        <v>#VALUE!</v>
      </c>
      <c r="AS502" s="170" t="e">
        <f t="shared" si="1012"/>
        <v>#VALUE!</v>
      </c>
      <c r="AT502" s="170" t="e">
        <f t="shared" si="1013"/>
        <v>#VALUE!</v>
      </c>
      <c r="AU502" s="207" t="e">
        <f t="shared" si="951"/>
        <v>#VALUE!</v>
      </c>
      <c r="AV502" s="208" t="e">
        <f t="shared" si="952"/>
        <v>#VALUE!</v>
      </c>
      <c r="AW502" s="201" t="str">
        <f t="shared" si="953"/>
        <v>Fase de Degradação</v>
      </c>
      <c r="AX502" s="253" t="e">
        <f>VLOOKUP(D502,#REF!,5,FALSE)</f>
        <v>#REF!</v>
      </c>
      <c r="AY502" s="201"/>
      <c r="AZ502" s="273" t="s">
        <v>1224</v>
      </c>
      <c r="BB502">
        <f>IFERROR(VLOOKUP(Tabela1[[#This Row],[Denominação]],[10]Planilha1!$A:$B,2,FALSE),"")</f>
        <v>258043.48999999985</v>
      </c>
      <c r="BC502" s="219"/>
      <c r="BD502" s="219"/>
      <c r="BE502" s="219"/>
      <c r="BF502" s="219"/>
      <c r="BG502" s="219"/>
      <c r="BH502" s="219"/>
      <c r="BI502" s="219"/>
      <c r="BJ502" s="219"/>
      <c r="BK502" s="219"/>
      <c r="BL502" s="219"/>
    </row>
    <row r="503" spans="1:64" ht="15" hidden="1" customHeight="1" x14ac:dyDescent="0.3">
      <c r="A503" s="268">
        <v>502</v>
      </c>
      <c r="B503" s="171" t="s">
        <v>280</v>
      </c>
      <c r="C503" s="209" t="s">
        <v>281</v>
      </c>
      <c r="D503" s="171">
        <v>10006245</v>
      </c>
      <c r="E503" s="253" t="s">
        <v>1278</v>
      </c>
      <c r="F503" s="210">
        <v>1074</v>
      </c>
      <c r="G503" s="171">
        <v>42622</v>
      </c>
      <c r="H503" s="171">
        <v>2012</v>
      </c>
      <c r="I503" s="213">
        <v>650207.77</v>
      </c>
      <c r="J503" s="213">
        <v>332565</v>
      </c>
      <c r="K503" s="170">
        <v>729400.01000000094</v>
      </c>
      <c r="L503" s="207">
        <v>1.91</v>
      </c>
      <c r="M503" s="212">
        <v>4116</v>
      </c>
      <c r="N503" s="212">
        <v>84215</v>
      </c>
      <c r="O503" s="171">
        <v>465</v>
      </c>
      <c r="P503" s="271" t="str">
        <f>IFERROR(VLOOKUP(Tabela1[[#This Row],[TAG]],#REF!,14,FALSE),"")</f>
        <v/>
      </c>
      <c r="Q503" s="204" t="e">
        <f t="shared" si="992"/>
        <v>#VALUE!</v>
      </c>
      <c r="R503" s="204" t="e">
        <f t="shared" si="993"/>
        <v>#VALUE!</v>
      </c>
      <c r="S503" s="204" t="e">
        <f t="shared" si="994"/>
        <v>#VALUE!</v>
      </c>
      <c r="T503" s="204" t="e">
        <f t="shared" si="995"/>
        <v>#VALUE!</v>
      </c>
      <c r="U503" s="204" t="e">
        <f t="shared" si="996"/>
        <v>#VALUE!</v>
      </c>
      <c r="V503" s="204" t="e">
        <f t="shared" si="997"/>
        <v>#VALUE!</v>
      </c>
      <c r="W503" s="218">
        <v>1187.1400000000001</v>
      </c>
      <c r="X503" s="170">
        <v>13113.37</v>
      </c>
      <c r="Y503" s="203">
        <v>0.1</v>
      </c>
      <c r="Z503" s="203">
        <f>IF(Tabela1[[#This Row],[Ano Aquisição]]=2023,0,IFERROR(VLOOKUP(H503,inflação!$F:$H,3,FALSE),""))</f>
        <v>0.66500000000000004</v>
      </c>
      <c r="AA503" s="203">
        <v>0.8</v>
      </c>
      <c r="AB503" s="202">
        <f t="shared" ref="AB503:AB534" si="1014">I503*-1</f>
        <v>-650207.77</v>
      </c>
      <c r="AC503" s="204" t="e">
        <f t="shared" si="998"/>
        <v>#VALUE!</v>
      </c>
      <c r="AD503" s="204" t="e">
        <f t="shared" si="999"/>
        <v>#VALUE!</v>
      </c>
      <c r="AE503" s="204" t="e">
        <f t="shared" si="1000"/>
        <v>#VALUE!</v>
      </c>
      <c r="AF503" s="204" t="e">
        <f t="shared" si="1001"/>
        <v>#VALUE!</v>
      </c>
      <c r="AG503" s="204" t="e">
        <f t="shared" si="1002"/>
        <v>#VALUE!</v>
      </c>
      <c r="AH503" s="204" t="e">
        <f t="shared" si="1003"/>
        <v>#VALUE!</v>
      </c>
      <c r="AI503" s="204" t="e">
        <f t="shared" si="1004"/>
        <v>#VALUE!</v>
      </c>
      <c r="AJ503" s="205">
        <f t="shared" ref="AJ503:AJ534" si="1015">-(I503*(1+Z503))</f>
        <v>-1082595.9370500001</v>
      </c>
      <c r="AK503" s="204" t="e">
        <f t="shared" si="1005"/>
        <v>#VALUE!</v>
      </c>
      <c r="AL503" s="204" t="e">
        <f t="shared" si="1006"/>
        <v>#VALUE!</v>
      </c>
      <c r="AM503" s="204" t="e">
        <f t="shared" si="1007"/>
        <v>#VALUE!</v>
      </c>
      <c r="AN503" s="204" t="e">
        <f t="shared" si="1008"/>
        <v>#VALUE!</v>
      </c>
      <c r="AO503" s="204" t="e">
        <f t="shared" si="1009"/>
        <v>#VALUE!</v>
      </c>
      <c r="AP503" s="204" t="e">
        <f t="shared" si="1010"/>
        <v>#VALUE!</v>
      </c>
      <c r="AQ503" s="204" t="e">
        <f t="shared" si="1011"/>
        <v>#VALUE!</v>
      </c>
      <c r="AR503" s="206" t="e">
        <f t="shared" ref="AR503:AR534" si="1016">(NPV(Y503,AK503,AL503,AM503,AN503,AO503,AP503,AQ503)+(SUM(AJ503,(J503*-1))))-(NPV(Y503,AC503,AD503,AE503,AF503,AG503,AH503,AI503))</f>
        <v>#VALUE!</v>
      </c>
      <c r="AS503" s="170" t="e">
        <f t="shared" si="1012"/>
        <v>#VALUE!</v>
      </c>
      <c r="AT503" s="170" t="e">
        <f t="shared" si="1013"/>
        <v>#VALUE!</v>
      </c>
      <c r="AU503" s="207" t="e">
        <f t="shared" ref="AU503:AU534" si="1017">(((AVERAGE(AC503:AI503)/1000)-(AVERAGE(AK503:AQ503)/1000))+(((AJ503/1000)*-1)/7)+((J503/1000)/7))*-1</f>
        <v>#VALUE!</v>
      </c>
      <c r="AV503" s="208" t="e">
        <f t="shared" ref="AV503:AV534" si="1018">AU503/(((J503/1000)+((AJ503*-1)/1000)))</f>
        <v>#VALUE!</v>
      </c>
      <c r="AW503" s="201" t="str">
        <f t="shared" ref="AW503:AW534" si="1019">IF(L503&gt;1.1,"Fase de Degradação",IF(L503&lt;1,"Confiabilidade em Crescimento","Fase de Vida Útil"))</f>
        <v>Fase de Degradação</v>
      </c>
      <c r="AX503" s="253" t="e">
        <f>VLOOKUP(D503,#REF!,5,FALSE)</f>
        <v>#REF!</v>
      </c>
      <c r="AY503" s="201"/>
      <c r="AZ503" s="273" t="s">
        <v>1224</v>
      </c>
      <c r="BB503">
        <f>IFERROR(VLOOKUP(Tabela1[[#This Row],[Denominação]],[10]Planilha1!$A:$B,2,FALSE),"")</f>
        <v>729400.01000000094</v>
      </c>
      <c r="BC503" s="219"/>
      <c r="BD503" s="219"/>
      <c r="BE503" s="219"/>
      <c r="BF503" s="219"/>
      <c r="BG503" s="219"/>
      <c r="BH503" s="219"/>
      <c r="BI503" s="219"/>
      <c r="BJ503" s="219"/>
      <c r="BK503" s="219"/>
      <c r="BL503" s="219"/>
    </row>
    <row r="504" spans="1:64" ht="15" hidden="1" customHeight="1" x14ac:dyDescent="0.3">
      <c r="A504" s="253">
        <v>503</v>
      </c>
      <c r="B504" s="171" t="s">
        <v>1599</v>
      </c>
      <c r="C504" s="270" t="s">
        <v>1598</v>
      </c>
      <c r="D504" s="171">
        <v>10006683</v>
      </c>
      <c r="E504" s="253" t="s">
        <v>1672</v>
      </c>
      <c r="F504" s="210">
        <v>3318</v>
      </c>
      <c r="G504" s="271">
        <v>58808</v>
      </c>
      <c r="H504" s="171">
        <v>2021</v>
      </c>
      <c r="I504" s="213">
        <v>284781.64</v>
      </c>
      <c r="J504" s="213">
        <v>278848</v>
      </c>
      <c r="K504" s="170">
        <v>13700.490000000002</v>
      </c>
      <c r="L504" s="207">
        <v>0.99</v>
      </c>
      <c r="M504" s="212">
        <v>4392</v>
      </c>
      <c r="N504" s="212">
        <v>9320</v>
      </c>
      <c r="O504" s="171">
        <v>25</v>
      </c>
      <c r="P504" s="271" t="str">
        <f>IFERROR(VLOOKUP(Tabela1[[#This Row],[TAG]],#REF!,14,FALSE),"")</f>
        <v/>
      </c>
      <c r="Q504" s="204" t="e">
        <f t="shared" si="992"/>
        <v>#VALUE!</v>
      </c>
      <c r="R504" s="204" t="e">
        <f t="shared" si="993"/>
        <v>#VALUE!</v>
      </c>
      <c r="S504" s="204" t="e">
        <f t="shared" si="994"/>
        <v>#VALUE!</v>
      </c>
      <c r="T504" s="204" t="e">
        <f t="shared" si="995"/>
        <v>#VALUE!</v>
      </c>
      <c r="U504" s="204" t="e">
        <f t="shared" si="996"/>
        <v>#VALUE!</v>
      </c>
      <c r="V504" s="204" t="e">
        <f t="shared" si="997"/>
        <v>#VALUE!</v>
      </c>
      <c r="W504" s="218">
        <v>730.26</v>
      </c>
      <c r="X504" s="218">
        <v>1071.06</v>
      </c>
      <c r="Y504" s="203">
        <v>0.1</v>
      </c>
      <c r="Z504" s="203">
        <f>IF(Tabela1[[#This Row],[Ano Aquisição]]=2023,0,IFERROR(VLOOKUP(H504,inflação!$F:$H,3,FALSE),""))</f>
        <v>0.1585</v>
      </c>
      <c r="AA504" s="203">
        <v>0.8</v>
      </c>
      <c r="AB504" s="202">
        <f t="shared" si="1014"/>
        <v>-284781.64</v>
      </c>
      <c r="AC504" s="204" t="e">
        <f t="shared" si="998"/>
        <v>#VALUE!</v>
      </c>
      <c r="AD504" s="204" t="e">
        <f t="shared" si="999"/>
        <v>#VALUE!</v>
      </c>
      <c r="AE504" s="204" t="e">
        <f t="shared" si="1000"/>
        <v>#VALUE!</v>
      </c>
      <c r="AF504" s="204" t="e">
        <f t="shared" si="1001"/>
        <v>#VALUE!</v>
      </c>
      <c r="AG504" s="204" t="e">
        <f t="shared" si="1002"/>
        <v>#VALUE!</v>
      </c>
      <c r="AH504" s="204" t="e">
        <f t="shared" si="1003"/>
        <v>#VALUE!</v>
      </c>
      <c r="AI504" s="204" t="e">
        <f t="shared" si="1004"/>
        <v>#VALUE!</v>
      </c>
      <c r="AJ504" s="205">
        <f t="shared" si="1015"/>
        <v>-329919.52994000004</v>
      </c>
      <c r="AK504" s="204" t="e">
        <f t="shared" si="1005"/>
        <v>#VALUE!</v>
      </c>
      <c r="AL504" s="204" t="e">
        <f t="shared" si="1006"/>
        <v>#VALUE!</v>
      </c>
      <c r="AM504" s="204" t="e">
        <f t="shared" si="1007"/>
        <v>#VALUE!</v>
      </c>
      <c r="AN504" s="204" t="e">
        <f t="shared" si="1008"/>
        <v>#VALUE!</v>
      </c>
      <c r="AO504" s="204" t="e">
        <f t="shared" si="1009"/>
        <v>#VALUE!</v>
      </c>
      <c r="AP504" s="204" t="e">
        <f t="shared" si="1010"/>
        <v>#VALUE!</v>
      </c>
      <c r="AQ504" s="204" t="e">
        <f t="shared" si="1011"/>
        <v>#VALUE!</v>
      </c>
      <c r="AR504" s="206" t="e">
        <f t="shared" si="1016"/>
        <v>#VALUE!</v>
      </c>
      <c r="AS504" s="170" t="e">
        <f t="shared" si="1012"/>
        <v>#VALUE!</v>
      </c>
      <c r="AT504" s="170" t="e">
        <f t="shared" si="1013"/>
        <v>#VALUE!</v>
      </c>
      <c r="AU504" s="207" t="e">
        <f t="shared" si="1017"/>
        <v>#VALUE!</v>
      </c>
      <c r="AV504" s="208" t="e">
        <f t="shared" si="1018"/>
        <v>#VALUE!</v>
      </c>
      <c r="AW504" s="201" t="str">
        <f t="shared" si="1019"/>
        <v>Confiabilidade em Crescimento</v>
      </c>
      <c r="AX504" s="253" t="e">
        <f>VLOOKUP(D504,#REF!,5,FALSE)</f>
        <v>#REF!</v>
      </c>
      <c r="AY504" s="201"/>
      <c r="AZ504" s="273" t="s">
        <v>1224</v>
      </c>
      <c r="BB504">
        <f>IFERROR(VLOOKUP(Tabela1[[#This Row],[Denominação]],[10]Planilha1!$A:$B,2,FALSE),"")</f>
        <v>13700.490000000002</v>
      </c>
      <c r="BC504" s="219"/>
      <c r="BD504" s="219"/>
      <c r="BE504" s="219"/>
      <c r="BF504" s="219"/>
      <c r="BG504" s="219"/>
      <c r="BH504" s="219"/>
      <c r="BI504" s="219"/>
      <c r="BJ504" s="219"/>
      <c r="BK504" s="219"/>
      <c r="BL504" s="219"/>
    </row>
    <row r="505" spans="1:64" ht="15" hidden="1" customHeight="1" x14ac:dyDescent="0.3">
      <c r="A505" s="268">
        <v>504</v>
      </c>
      <c r="B505" s="201" t="s">
        <v>1134</v>
      </c>
      <c r="C505" s="211" t="s">
        <v>1135</v>
      </c>
      <c r="D505" s="201">
        <v>10004451</v>
      </c>
      <c r="E505" s="253" t="s">
        <v>1515</v>
      </c>
      <c r="F505" s="253">
        <v>2538</v>
      </c>
      <c r="G505" s="201">
        <v>34273</v>
      </c>
      <c r="H505" s="201">
        <v>2006</v>
      </c>
      <c r="I505" s="216">
        <v>653578.49</v>
      </c>
      <c r="J505" s="214">
        <v>0</v>
      </c>
      <c r="K505" s="170">
        <v>261050.36999999994</v>
      </c>
      <c r="L505" s="207">
        <v>0.75</v>
      </c>
      <c r="M505" s="307">
        <v>4795.2647999999999</v>
      </c>
      <c r="N505" s="212">
        <v>149149</v>
      </c>
      <c r="O505" s="171">
        <v>351</v>
      </c>
      <c r="P505" s="271" t="str">
        <f>IFERROR(VLOOKUP(Tabela1[[#This Row],[TAG]],#REF!,14,FALSE),"")</f>
        <v/>
      </c>
      <c r="Q505" s="204" t="e">
        <f t="shared" si="992"/>
        <v>#VALUE!</v>
      </c>
      <c r="R505" s="204" t="e">
        <f t="shared" si="993"/>
        <v>#VALUE!</v>
      </c>
      <c r="S505" s="204" t="e">
        <f t="shared" si="994"/>
        <v>#VALUE!</v>
      </c>
      <c r="T505" s="204" t="e">
        <f t="shared" si="995"/>
        <v>#VALUE!</v>
      </c>
      <c r="U505" s="204" t="e">
        <f t="shared" si="996"/>
        <v>#VALUE!</v>
      </c>
      <c r="V505" s="204" t="e">
        <f t="shared" si="997"/>
        <v>#VALUE!</v>
      </c>
      <c r="W505" s="304">
        <v>628.86</v>
      </c>
      <c r="X505" s="304">
        <v>1791.64</v>
      </c>
      <c r="Y505" s="203">
        <v>0.1</v>
      </c>
      <c r="Z505" s="203">
        <f>IF(Tabela1[[#This Row],[Ano Aquisição]]=2023,0,IFERROR(VLOOKUP(H505,inflação!$F:$H,3,FALSE),""))</f>
        <v>0.96719999999999995</v>
      </c>
      <c r="AA505" s="203">
        <v>0.8</v>
      </c>
      <c r="AB505" s="202">
        <f t="shared" si="1014"/>
        <v>-653578.49</v>
      </c>
      <c r="AC505" s="204" t="e">
        <f t="shared" si="998"/>
        <v>#VALUE!</v>
      </c>
      <c r="AD505" s="204" t="e">
        <f t="shared" si="999"/>
        <v>#VALUE!</v>
      </c>
      <c r="AE505" s="204" t="e">
        <f t="shared" si="1000"/>
        <v>#VALUE!</v>
      </c>
      <c r="AF505" s="204" t="e">
        <f t="shared" si="1001"/>
        <v>#VALUE!</v>
      </c>
      <c r="AG505" s="204" t="e">
        <f t="shared" si="1002"/>
        <v>#VALUE!</v>
      </c>
      <c r="AH505" s="204" t="e">
        <f t="shared" si="1003"/>
        <v>#VALUE!</v>
      </c>
      <c r="AI505" s="204" t="e">
        <f t="shared" si="1004"/>
        <v>#VALUE!</v>
      </c>
      <c r="AJ505" s="205">
        <f t="shared" si="1015"/>
        <v>-1285719.605528</v>
      </c>
      <c r="AK505" s="204" t="e">
        <f t="shared" si="1005"/>
        <v>#VALUE!</v>
      </c>
      <c r="AL505" s="204" t="e">
        <f t="shared" si="1006"/>
        <v>#VALUE!</v>
      </c>
      <c r="AM505" s="204" t="e">
        <f t="shared" si="1007"/>
        <v>#VALUE!</v>
      </c>
      <c r="AN505" s="204" t="e">
        <f t="shared" si="1008"/>
        <v>#VALUE!</v>
      </c>
      <c r="AO505" s="204" t="e">
        <f t="shared" si="1009"/>
        <v>#VALUE!</v>
      </c>
      <c r="AP505" s="204" t="e">
        <f t="shared" si="1010"/>
        <v>#VALUE!</v>
      </c>
      <c r="AQ505" s="204" t="e">
        <f t="shared" si="1011"/>
        <v>#VALUE!</v>
      </c>
      <c r="AR505" s="206" t="e">
        <f t="shared" si="1016"/>
        <v>#VALUE!</v>
      </c>
      <c r="AS505" s="170" t="e">
        <f t="shared" si="1012"/>
        <v>#VALUE!</v>
      </c>
      <c r="AT505" s="170" t="e">
        <f t="shared" si="1013"/>
        <v>#VALUE!</v>
      </c>
      <c r="AU505" s="207" t="e">
        <f t="shared" si="1017"/>
        <v>#VALUE!</v>
      </c>
      <c r="AV505" s="208" t="e">
        <f t="shared" si="1018"/>
        <v>#VALUE!</v>
      </c>
      <c r="AW505" s="201" t="str">
        <f t="shared" si="1019"/>
        <v>Confiabilidade em Crescimento</v>
      </c>
      <c r="AX505" s="253" t="e">
        <f>VLOOKUP(D505,#REF!,5,FALSE)</f>
        <v>#REF!</v>
      </c>
      <c r="AY505" s="201"/>
      <c r="AZ505" s="273" t="s">
        <v>1224</v>
      </c>
      <c r="BB505">
        <f>IFERROR(VLOOKUP(Tabela1[[#This Row],[Denominação]],[10]Planilha1!$A:$B,2,FALSE),"")</f>
        <v>261050.36999999994</v>
      </c>
      <c r="BC505" s="219"/>
      <c r="BD505" s="219"/>
      <c r="BE505" s="219"/>
      <c r="BF505" s="219"/>
      <c r="BG505" s="219"/>
      <c r="BH505" s="219"/>
      <c r="BI505" s="219"/>
      <c r="BJ505" s="219"/>
      <c r="BK505" s="219"/>
      <c r="BL505" s="219"/>
    </row>
    <row r="506" spans="1:64" ht="15" hidden="1" customHeight="1" x14ac:dyDescent="0.3">
      <c r="A506" s="253">
        <v>505</v>
      </c>
      <c r="B506" s="201" t="s">
        <v>1136</v>
      </c>
      <c r="C506" s="211" t="s">
        <v>1137</v>
      </c>
      <c r="D506" s="201">
        <v>20001033</v>
      </c>
      <c r="E506" s="253" t="s">
        <v>1516</v>
      </c>
      <c r="F506" s="253">
        <v>2537</v>
      </c>
      <c r="G506" s="201">
        <v>42637</v>
      </c>
      <c r="H506" s="201">
        <v>2012</v>
      </c>
      <c r="I506" s="216">
        <v>255974.6</v>
      </c>
      <c r="J506" s="214">
        <v>16</v>
      </c>
      <c r="K506" s="170">
        <v>232120.25000000003</v>
      </c>
      <c r="L506" s="207">
        <v>1.17</v>
      </c>
      <c r="M506" s="320">
        <v>5512</v>
      </c>
      <c r="N506" s="212">
        <v>92015</v>
      </c>
      <c r="O506" s="171">
        <v>188</v>
      </c>
      <c r="P506" s="271" t="str">
        <f>IFERROR(VLOOKUP(Tabela1[[#This Row],[TAG]],#REF!,14,FALSE),"")</f>
        <v/>
      </c>
      <c r="Q506" s="204" t="e">
        <f t="shared" si="992"/>
        <v>#VALUE!</v>
      </c>
      <c r="R506" s="204" t="e">
        <f t="shared" si="993"/>
        <v>#VALUE!</v>
      </c>
      <c r="S506" s="204" t="e">
        <f t="shared" si="994"/>
        <v>#VALUE!</v>
      </c>
      <c r="T506" s="204" t="e">
        <f t="shared" si="995"/>
        <v>#VALUE!</v>
      </c>
      <c r="U506" s="204" t="e">
        <f t="shared" si="996"/>
        <v>#VALUE!</v>
      </c>
      <c r="V506" s="204" t="e">
        <f t="shared" si="997"/>
        <v>#VALUE!</v>
      </c>
      <c r="W506" s="304">
        <v>468.78</v>
      </c>
      <c r="X506" s="304">
        <v>1134.06</v>
      </c>
      <c r="Y506" s="203">
        <v>0.1</v>
      </c>
      <c r="Z506" s="203">
        <f>IF(Tabela1[[#This Row],[Ano Aquisição]]=2023,0,IFERROR(VLOOKUP(H506,inflação!$F:$H,3,FALSE),""))</f>
        <v>0.66500000000000004</v>
      </c>
      <c r="AA506" s="203">
        <v>0.8</v>
      </c>
      <c r="AB506" s="202">
        <f t="shared" si="1014"/>
        <v>-255974.6</v>
      </c>
      <c r="AC506" s="204" t="e">
        <f t="shared" si="998"/>
        <v>#VALUE!</v>
      </c>
      <c r="AD506" s="204" t="e">
        <f t="shared" si="999"/>
        <v>#VALUE!</v>
      </c>
      <c r="AE506" s="204" t="e">
        <f t="shared" si="1000"/>
        <v>#VALUE!</v>
      </c>
      <c r="AF506" s="204" t="e">
        <f t="shared" si="1001"/>
        <v>#VALUE!</v>
      </c>
      <c r="AG506" s="204" t="e">
        <f t="shared" si="1002"/>
        <v>#VALUE!</v>
      </c>
      <c r="AH506" s="204" t="e">
        <f t="shared" si="1003"/>
        <v>#VALUE!</v>
      </c>
      <c r="AI506" s="204" t="e">
        <f t="shared" si="1004"/>
        <v>#VALUE!</v>
      </c>
      <c r="AJ506" s="205">
        <f t="shared" si="1015"/>
        <v>-426197.70900000003</v>
      </c>
      <c r="AK506" s="204" t="e">
        <f t="shared" si="1005"/>
        <v>#VALUE!</v>
      </c>
      <c r="AL506" s="204" t="e">
        <f t="shared" si="1006"/>
        <v>#VALUE!</v>
      </c>
      <c r="AM506" s="204" t="e">
        <f t="shared" si="1007"/>
        <v>#VALUE!</v>
      </c>
      <c r="AN506" s="204" t="e">
        <f t="shared" si="1008"/>
        <v>#VALUE!</v>
      </c>
      <c r="AO506" s="204" t="e">
        <f t="shared" si="1009"/>
        <v>#VALUE!</v>
      </c>
      <c r="AP506" s="204" t="e">
        <f t="shared" si="1010"/>
        <v>#VALUE!</v>
      </c>
      <c r="AQ506" s="204" t="e">
        <f t="shared" si="1011"/>
        <v>#VALUE!</v>
      </c>
      <c r="AR506" s="206" t="e">
        <f t="shared" si="1016"/>
        <v>#VALUE!</v>
      </c>
      <c r="AS506" s="170" t="e">
        <f t="shared" si="1012"/>
        <v>#VALUE!</v>
      </c>
      <c r="AT506" s="170" t="e">
        <f t="shared" si="1013"/>
        <v>#VALUE!</v>
      </c>
      <c r="AU506" s="207" t="e">
        <f t="shared" si="1017"/>
        <v>#VALUE!</v>
      </c>
      <c r="AV506" s="208" t="e">
        <f t="shared" si="1018"/>
        <v>#VALUE!</v>
      </c>
      <c r="AW506" s="201" t="str">
        <f t="shared" si="1019"/>
        <v>Fase de Degradação</v>
      </c>
      <c r="AX506" s="253" t="e">
        <f>VLOOKUP(D506,#REF!,5,FALSE)</f>
        <v>#REF!</v>
      </c>
      <c r="AY506" s="201"/>
      <c r="AZ506" s="273" t="s">
        <v>1224</v>
      </c>
      <c r="BB506">
        <f>IFERROR(VLOOKUP(Tabela1[[#This Row],[Denominação]],[10]Planilha1!$A:$B,2,FALSE),"")</f>
        <v>232120.25000000003</v>
      </c>
      <c r="BC506" s="219"/>
      <c r="BD506" s="219"/>
      <c r="BE506" s="219"/>
      <c r="BF506" s="219"/>
      <c r="BG506" s="219"/>
      <c r="BH506" s="219"/>
      <c r="BI506" s="219"/>
      <c r="BJ506" s="219"/>
      <c r="BK506" s="219"/>
      <c r="BL506" s="219"/>
    </row>
    <row r="507" spans="1:64" ht="15" hidden="1" customHeight="1" x14ac:dyDescent="0.3">
      <c r="A507" s="268">
        <v>506</v>
      </c>
      <c r="B507" s="171" t="s">
        <v>117</v>
      </c>
      <c r="C507" s="209" t="s">
        <v>118</v>
      </c>
      <c r="D507" s="171">
        <v>10001270</v>
      </c>
      <c r="E507" s="253" t="s">
        <v>1517</v>
      </c>
      <c r="F507" s="210">
        <v>4540</v>
      </c>
      <c r="G507" s="171">
        <v>20396</v>
      </c>
      <c r="H507" s="171">
        <v>1998</v>
      </c>
      <c r="I507" s="213">
        <v>778963.47</v>
      </c>
      <c r="J507" s="213">
        <v>83389</v>
      </c>
      <c r="K507" s="170">
        <v>1141227.8700000006</v>
      </c>
      <c r="L507" s="215">
        <v>1.24</v>
      </c>
      <c r="M507" s="212">
        <v>4299</v>
      </c>
      <c r="N507" s="212">
        <v>198708</v>
      </c>
      <c r="O507" s="171">
        <v>1779</v>
      </c>
      <c r="P507" s="271" t="str">
        <f>IFERROR(VLOOKUP(Tabela1[[#This Row],[TAG]],#REF!,14,FALSE),"")</f>
        <v/>
      </c>
      <c r="Q507" s="204" t="e">
        <f t="shared" si="992"/>
        <v>#VALUE!</v>
      </c>
      <c r="R507" s="204" t="e">
        <f t="shared" si="993"/>
        <v>#VALUE!</v>
      </c>
      <c r="S507" s="204" t="e">
        <f t="shared" si="994"/>
        <v>#VALUE!</v>
      </c>
      <c r="T507" s="204" t="e">
        <f t="shared" si="995"/>
        <v>#VALUE!</v>
      </c>
      <c r="U507" s="204" t="e">
        <f t="shared" si="996"/>
        <v>#VALUE!</v>
      </c>
      <c r="V507" s="204" t="e">
        <f t="shared" si="997"/>
        <v>#VALUE!</v>
      </c>
      <c r="W507" s="218">
        <v>386.25</v>
      </c>
      <c r="X507" s="218">
        <v>3215.74</v>
      </c>
      <c r="Y507" s="203">
        <v>0.1</v>
      </c>
      <c r="Z507" s="203">
        <f>IF(Tabela1[[#This Row],[Ano Aquisição]]=2023,0,IFERROR(VLOOKUP(H507,inflação!$F:$H,3,FALSE),""))</f>
        <v>1.5607</v>
      </c>
      <c r="AA507" s="203">
        <v>0.8</v>
      </c>
      <c r="AB507" s="202">
        <f t="shared" si="1014"/>
        <v>-778963.47</v>
      </c>
      <c r="AC507" s="204" t="e">
        <f t="shared" si="998"/>
        <v>#VALUE!</v>
      </c>
      <c r="AD507" s="204" t="e">
        <f t="shared" si="999"/>
        <v>#VALUE!</v>
      </c>
      <c r="AE507" s="204" t="e">
        <f t="shared" si="1000"/>
        <v>#VALUE!</v>
      </c>
      <c r="AF507" s="204" t="e">
        <f t="shared" si="1001"/>
        <v>#VALUE!</v>
      </c>
      <c r="AG507" s="204" t="e">
        <f t="shared" si="1002"/>
        <v>#VALUE!</v>
      </c>
      <c r="AH507" s="204" t="e">
        <f t="shared" si="1003"/>
        <v>#VALUE!</v>
      </c>
      <c r="AI507" s="204" t="e">
        <f t="shared" si="1004"/>
        <v>#VALUE!</v>
      </c>
      <c r="AJ507" s="205">
        <f t="shared" si="1015"/>
        <v>-1994691.7576289997</v>
      </c>
      <c r="AK507" s="204" t="e">
        <f t="shared" si="1005"/>
        <v>#VALUE!</v>
      </c>
      <c r="AL507" s="204" t="e">
        <f t="shared" si="1006"/>
        <v>#VALUE!</v>
      </c>
      <c r="AM507" s="204" t="e">
        <f t="shared" si="1007"/>
        <v>#VALUE!</v>
      </c>
      <c r="AN507" s="204" t="e">
        <f t="shared" si="1008"/>
        <v>#VALUE!</v>
      </c>
      <c r="AO507" s="204" t="e">
        <f t="shared" si="1009"/>
        <v>#VALUE!</v>
      </c>
      <c r="AP507" s="204" t="e">
        <f t="shared" si="1010"/>
        <v>#VALUE!</v>
      </c>
      <c r="AQ507" s="204" t="e">
        <f t="shared" si="1011"/>
        <v>#VALUE!</v>
      </c>
      <c r="AR507" s="206" t="e">
        <f t="shared" si="1016"/>
        <v>#VALUE!</v>
      </c>
      <c r="AS507" s="170" t="e">
        <f t="shared" si="1012"/>
        <v>#VALUE!</v>
      </c>
      <c r="AT507" s="170" t="e">
        <f t="shared" si="1013"/>
        <v>#VALUE!</v>
      </c>
      <c r="AU507" s="207" t="e">
        <f t="shared" si="1017"/>
        <v>#VALUE!</v>
      </c>
      <c r="AV507" s="208" t="e">
        <f t="shared" si="1018"/>
        <v>#VALUE!</v>
      </c>
      <c r="AW507" s="201" t="str">
        <f t="shared" si="1019"/>
        <v>Fase de Degradação</v>
      </c>
      <c r="AX507" s="253" t="e">
        <f>VLOOKUP(D507,#REF!,5,FALSE)</f>
        <v>#REF!</v>
      </c>
      <c r="AY507" s="201"/>
      <c r="AZ507" s="273" t="s">
        <v>1224</v>
      </c>
      <c r="BB507">
        <f>IFERROR(VLOOKUP(Tabela1[[#This Row],[Denominação]],[10]Planilha1!$A:$B,2,FALSE),"")</f>
        <v>1141227.8700000006</v>
      </c>
      <c r="BC507" s="219"/>
      <c r="BD507" s="219"/>
      <c r="BE507" s="219"/>
      <c r="BF507" s="219"/>
      <c r="BG507" s="219"/>
      <c r="BH507" s="219"/>
      <c r="BI507" s="219"/>
      <c r="BJ507" s="219"/>
      <c r="BK507" s="219"/>
      <c r="BL507" s="219"/>
    </row>
    <row r="508" spans="1:64" ht="15" hidden="1" customHeight="1" x14ac:dyDescent="0.3">
      <c r="A508" s="253">
        <v>507</v>
      </c>
      <c r="B508" s="171" t="s">
        <v>41</v>
      </c>
      <c r="C508" s="209" t="s">
        <v>13</v>
      </c>
      <c r="D508" s="171">
        <v>10003386</v>
      </c>
      <c r="E508" s="253" t="s">
        <v>1518</v>
      </c>
      <c r="F508" s="210">
        <v>4540</v>
      </c>
      <c r="G508" s="171">
        <v>20624</v>
      </c>
      <c r="H508" s="171">
        <v>2003</v>
      </c>
      <c r="I508" s="213">
        <v>1116572.8999999999</v>
      </c>
      <c r="J508" s="213">
        <v>14093</v>
      </c>
      <c r="K508" s="170">
        <v>1842696.9900000077</v>
      </c>
      <c r="L508" s="215">
        <v>1.46</v>
      </c>
      <c r="M508" s="212">
        <v>4315</v>
      </c>
      <c r="N508" s="212">
        <v>172691</v>
      </c>
      <c r="O508" s="171">
        <v>2698</v>
      </c>
      <c r="P508" s="271" t="str">
        <f>IFERROR(VLOOKUP(Tabela1[[#This Row],[TAG]],#REF!,14,FALSE),"")</f>
        <v/>
      </c>
      <c r="Q508" s="204" t="e">
        <f t="shared" si="992"/>
        <v>#VALUE!</v>
      </c>
      <c r="R508" s="204" t="e">
        <f t="shared" si="993"/>
        <v>#VALUE!</v>
      </c>
      <c r="S508" s="204" t="e">
        <f t="shared" si="994"/>
        <v>#VALUE!</v>
      </c>
      <c r="T508" s="204" t="e">
        <f t="shared" si="995"/>
        <v>#VALUE!</v>
      </c>
      <c r="U508" s="204" t="e">
        <f t="shared" si="996"/>
        <v>#VALUE!</v>
      </c>
      <c r="V508" s="204" t="e">
        <f t="shared" si="997"/>
        <v>#VALUE!</v>
      </c>
      <c r="W508" s="218">
        <v>452.77</v>
      </c>
      <c r="X508" s="218">
        <v>5065.34</v>
      </c>
      <c r="Y508" s="203">
        <v>0.1</v>
      </c>
      <c r="Z508" s="203">
        <f>IF(Tabela1[[#This Row],[Ano Aquisição]]=2023,0,IFERROR(VLOOKUP(H508,inflação!$F:$H,3,FALSE),""))</f>
        <v>1.1931</v>
      </c>
      <c r="AA508" s="203">
        <v>0.8</v>
      </c>
      <c r="AB508" s="202">
        <f t="shared" si="1014"/>
        <v>-1116572.8999999999</v>
      </c>
      <c r="AC508" s="204" t="e">
        <f t="shared" si="998"/>
        <v>#VALUE!</v>
      </c>
      <c r="AD508" s="204" t="e">
        <f t="shared" si="999"/>
        <v>#VALUE!</v>
      </c>
      <c r="AE508" s="204" t="e">
        <f t="shared" si="1000"/>
        <v>#VALUE!</v>
      </c>
      <c r="AF508" s="204" t="e">
        <f t="shared" si="1001"/>
        <v>#VALUE!</v>
      </c>
      <c r="AG508" s="204" t="e">
        <f t="shared" si="1002"/>
        <v>#VALUE!</v>
      </c>
      <c r="AH508" s="204" t="e">
        <f t="shared" si="1003"/>
        <v>#VALUE!</v>
      </c>
      <c r="AI508" s="204" t="e">
        <f t="shared" si="1004"/>
        <v>#VALUE!</v>
      </c>
      <c r="AJ508" s="205">
        <f t="shared" si="1015"/>
        <v>-2448756.0269900002</v>
      </c>
      <c r="AK508" s="204" t="e">
        <f t="shared" si="1005"/>
        <v>#VALUE!</v>
      </c>
      <c r="AL508" s="204" t="e">
        <f t="shared" si="1006"/>
        <v>#VALUE!</v>
      </c>
      <c r="AM508" s="204" t="e">
        <f t="shared" si="1007"/>
        <v>#VALUE!</v>
      </c>
      <c r="AN508" s="204" t="e">
        <f t="shared" si="1008"/>
        <v>#VALUE!</v>
      </c>
      <c r="AO508" s="204" t="e">
        <f t="shared" si="1009"/>
        <v>#VALUE!</v>
      </c>
      <c r="AP508" s="204" t="e">
        <f t="shared" si="1010"/>
        <v>#VALUE!</v>
      </c>
      <c r="AQ508" s="204" t="e">
        <f t="shared" si="1011"/>
        <v>#VALUE!</v>
      </c>
      <c r="AR508" s="206" t="e">
        <f t="shared" si="1016"/>
        <v>#VALUE!</v>
      </c>
      <c r="AS508" s="170" t="e">
        <f t="shared" si="1012"/>
        <v>#VALUE!</v>
      </c>
      <c r="AT508" s="170" t="e">
        <f t="shared" si="1013"/>
        <v>#VALUE!</v>
      </c>
      <c r="AU508" s="207" t="e">
        <f t="shared" si="1017"/>
        <v>#VALUE!</v>
      </c>
      <c r="AV508" s="208" t="e">
        <f t="shared" si="1018"/>
        <v>#VALUE!</v>
      </c>
      <c r="AW508" s="201" t="str">
        <f t="shared" si="1019"/>
        <v>Fase de Degradação</v>
      </c>
      <c r="AX508" s="253" t="e">
        <f>VLOOKUP(D508,#REF!,5,FALSE)</f>
        <v>#REF!</v>
      </c>
      <c r="AY508" s="201"/>
      <c r="AZ508" s="273" t="s">
        <v>1224</v>
      </c>
      <c r="BB508">
        <f>IFERROR(VLOOKUP(Tabela1[[#This Row],[Denominação]],[10]Planilha1!$A:$B,2,FALSE),"")</f>
        <v>1842696.9900000077</v>
      </c>
      <c r="BC508" s="219"/>
      <c r="BD508" s="219"/>
      <c r="BE508" s="219"/>
      <c r="BF508" s="219"/>
      <c r="BG508" s="219"/>
      <c r="BH508" s="219"/>
      <c r="BI508" s="219"/>
      <c r="BJ508" s="219"/>
      <c r="BK508" s="219"/>
      <c r="BL508" s="219"/>
    </row>
    <row r="509" spans="1:64" ht="15" hidden="1" customHeight="1" x14ac:dyDescent="0.3">
      <c r="A509" s="268">
        <v>508</v>
      </c>
      <c r="B509" s="171" t="s">
        <v>115</v>
      </c>
      <c r="C509" s="209" t="s">
        <v>116</v>
      </c>
      <c r="D509" s="171">
        <v>10005125</v>
      </c>
      <c r="E509" s="253" t="s">
        <v>1519</v>
      </c>
      <c r="F509" s="210">
        <v>4540</v>
      </c>
      <c r="G509" s="171">
        <v>35091</v>
      </c>
      <c r="H509" s="171">
        <v>2007</v>
      </c>
      <c r="I509" s="213">
        <v>1071885.2</v>
      </c>
      <c r="J509" s="213">
        <v>168604</v>
      </c>
      <c r="K509" s="170">
        <v>1142471.6300000006</v>
      </c>
      <c r="L509" s="215">
        <v>1.19</v>
      </c>
      <c r="M509" s="212">
        <v>5141</v>
      </c>
      <c r="N509" s="212">
        <v>135614</v>
      </c>
      <c r="O509" s="171">
        <v>1785</v>
      </c>
      <c r="P509" s="271" t="str">
        <f>IFERROR(VLOOKUP(Tabela1[[#This Row],[TAG]],#REF!,14,FALSE),"")</f>
        <v/>
      </c>
      <c r="Q509" s="204" t="e">
        <f t="shared" si="992"/>
        <v>#VALUE!</v>
      </c>
      <c r="R509" s="204" t="e">
        <f t="shared" si="993"/>
        <v>#VALUE!</v>
      </c>
      <c r="S509" s="204" t="e">
        <f t="shared" si="994"/>
        <v>#VALUE!</v>
      </c>
      <c r="T509" s="204" t="e">
        <f t="shared" si="995"/>
        <v>#VALUE!</v>
      </c>
      <c r="U509" s="204" t="e">
        <f t="shared" si="996"/>
        <v>#VALUE!</v>
      </c>
      <c r="V509" s="204" t="e">
        <f t="shared" si="997"/>
        <v>#VALUE!</v>
      </c>
      <c r="W509" s="218">
        <v>502.3</v>
      </c>
      <c r="X509" s="218">
        <v>3610.92</v>
      </c>
      <c r="Y509" s="203">
        <v>0.1</v>
      </c>
      <c r="Z509" s="203">
        <f>IF(Tabela1[[#This Row],[Ano Aquisição]]=2023,0,IFERROR(VLOOKUP(H509,inflação!$F:$H,3,FALSE),""))</f>
        <v>0.93579999999999997</v>
      </c>
      <c r="AA509" s="203">
        <v>0.8</v>
      </c>
      <c r="AB509" s="202">
        <f t="shared" si="1014"/>
        <v>-1071885.2</v>
      </c>
      <c r="AC509" s="204" t="e">
        <f t="shared" si="998"/>
        <v>#VALUE!</v>
      </c>
      <c r="AD509" s="204" t="e">
        <f t="shared" si="999"/>
        <v>#VALUE!</v>
      </c>
      <c r="AE509" s="204" t="e">
        <f t="shared" si="1000"/>
        <v>#VALUE!</v>
      </c>
      <c r="AF509" s="204" t="e">
        <f t="shared" si="1001"/>
        <v>#VALUE!</v>
      </c>
      <c r="AG509" s="204" t="e">
        <f t="shared" si="1002"/>
        <v>#VALUE!</v>
      </c>
      <c r="AH509" s="204" t="e">
        <f t="shared" si="1003"/>
        <v>#VALUE!</v>
      </c>
      <c r="AI509" s="204" t="e">
        <f t="shared" si="1004"/>
        <v>#VALUE!</v>
      </c>
      <c r="AJ509" s="205">
        <f t="shared" si="1015"/>
        <v>-2074955.3701599999</v>
      </c>
      <c r="AK509" s="204" t="e">
        <f t="shared" si="1005"/>
        <v>#VALUE!</v>
      </c>
      <c r="AL509" s="204" t="e">
        <f t="shared" si="1006"/>
        <v>#VALUE!</v>
      </c>
      <c r="AM509" s="204" t="e">
        <f t="shared" si="1007"/>
        <v>#VALUE!</v>
      </c>
      <c r="AN509" s="204" t="e">
        <f t="shared" si="1008"/>
        <v>#VALUE!</v>
      </c>
      <c r="AO509" s="204" t="e">
        <f t="shared" si="1009"/>
        <v>#VALUE!</v>
      </c>
      <c r="AP509" s="204" t="e">
        <f t="shared" si="1010"/>
        <v>#VALUE!</v>
      </c>
      <c r="AQ509" s="204" t="e">
        <f t="shared" si="1011"/>
        <v>#VALUE!</v>
      </c>
      <c r="AR509" s="206" t="e">
        <f t="shared" si="1016"/>
        <v>#VALUE!</v>
      </c>
      <c r="AS509" s="170" t="e">
        <f t="shared" si="1012"/>
        <v>#VALUE!</v>
      </c>
      <c r="AT509" s="170" t="e">
        <f t="shared" si="1013"/>
        <v>#VALUE!</v>
      </c>
      <c r="AU509" s="207" t="e">
        <f t="shared" si="1017"/>
        <v>#VALUE!</v>
      </c>
      <c r="AV509" s="208" t="e">
        <f t="shared" si="1018"/>
        <v>#VALUE!</v>
      </c>
      <c r="AW509" s="201" t="str">
        <f t="shared" si="1019"/>
        <v>Fase de Degradação</v>
      </c>
      <c r="AX509" s="253" t="e">
        <f>VLOOKUP(D509,#REF!,5,FALSE)</f>
        <v>#REF!</v>
      </c>
      <c r="AY509" s="201"/>
      <c r="AZ509" s="273" t="s">
        <v>1224</v>
      </c>
      <c r="BB509">
        <f>IFERROR(VLOOKUP(Tabela1[[#This Row],[Denominação]],[10]Planilha1!$A:$B,2,FALSE),"")</f>
        <v>1142471.6300000006</v>
      </c>
      <c r="BC509" s="219"/>
      <c r="BD509" s="219"/>
      <c r="BE509" s="219"/>
      <c r="BF509" s="219"/>
      <c r="BG509" s="219"/>
      <c r="BH509" s="219"/>
      <c r="BI509" s="219"/>
      <c r="BJ509" s="219"/>
      <c r="BK509" s="219"/>
      <c r="BL509" s="219"/>
    </row>
    <row r="510" spans="1:64" ht="15" hidden="1" customHeight="1" x14ac:dyDescent="0.3">
      <c r="A510" s="253">
        <v>509</v>
      </c>
      <c r="B510" s="201" t="s">
        <v>821</v>
      </c>
      <c r="C510" s="211" t="s">
        <v>822</v>
      </c>
      <c r="D510" s="201">
        <v>10006243</v>
      </c>
      <c r="E510" s="253" t="s">
        <v>1520</v>
      </c>
      <c r="F510" s="253">
        <v>4540</v>
      </c>
      <c r="G510" s="201">
        <v>43373</v>
      </c>
      <c r="H510" s="201">
        <v>2013</v>
      </c>
      <c r="I510" s="216">
        <v>1346093.57</v>
      </c>
      <c r="J510" s="214">
        <v>217167</v>
      </c>
      <c r="K510" s="170">
        <v>787389.53000000026</v>
      </c>
      <c r="L510" s="207">
        <v>1.07</v>
      </c>
      <c r="M510" s="212">
        <v>4964</v>
      </c>
      <c r="N510" s="212">
        <v>85444</v>
      </c>
      <c r="O510" s="171">
        <v>1346</v>
      </c>
      <c r="P510" s="271" t="str">
        <f>IFERROR(VLOOKUP(Tabela1[[#This Row],[TAG]],#REF!,14,FALSE),"")</f>
        <v/>
      </c>
      <c r="Q510" s="204" t="e">
        <f t="shared" si="992"/>
        <v>#VALUE!</v>
      </c>
      <c r="R510" s="204" t="e">
        <f t="shared" si="993"/>
        <v>#VALUE!</v>
      </c>
      <c r="S510" s="204" t="e">
        <f t="shared" si="994"/>
        <v>#VALUE!</v>
      </c>
      <c r="T510" s="204" t="e">
        <f t="shared" si="995"/>
        <v>#VALUE!</v>
      </c>
      <c r="U510" s="204" t="e">
        <f t="shared" si="996"/>
        <v>#VALUE!</v>
      </c>
      <c r="V510" s="204" t="e">
        <f t="shared" si="997"/>
        <v>#VALUE!</v>
      </c>
      <c r="W510" s="218">
        <v>456.59</v>
      </c>
      <c r="X510" s="218">
        <v>3861.6</v>
      </c>
      <c r="Y510" s="203">
        <v>0.1</v>
      </c>
      <c r="Z510" s="203">
        <f>IF(Tabela1[[#This Row],[Ano Aquisição]]=2023,0,IFERROR(VLOOKUP(H510,inflação!$F:$H,3,FALSE),""))</f>
        <v>0.60660000000000003</v>
      </c>
      <c r="AA510" s="203">
        <v>0.8</v>
      </c>
      <c r="AB510" s="202">
        <f t="shared" si="1014"/>
        <v>-1346093.57</v>
      </c>
      <c r="AC510" s="204" t="e">
        <f t="shared" si="998"/>
        <v>#VALUE!</v>
      </c>
      <c r="AD510" s="204" t="e">
        <f t="shared" si="999"/>
        <v>#VALUE!</v>
      </c>
      <c r="AE510" s="204" t="e">
        <f t="shared" si="1000"/>
        <v>#VALUE!</v>
      </c>
      <c r="AF510" s="204" t="e">
        <f t="shared" si="1001"/>
        <v>#VALUE!</v>
      </c>
      <c r="AG510" s="204" t="e">
        <f t="shared" si="1002"/>
        <v>#VALUE!</v>
      </c>
      <c r="AH510" s="204" t="e">
        <f t="shared" si="1003"/>
        <v>#VALUE!</v>
      </c>
      <c r="AI510" s="204" t="e">
        <f t="shared" si="1004"/>
        <v>#VALUE!</v>
      </c>
      <c r="AJ510" s="205">
        <f t="shared" si="1015"/>
        <v>-2162633.9295620001</v>
      </c>
      <c r="AK510" s="204" t="e">
        <f t="shared" si="1005"/>
        <v>#VALUE!</v>
      </c>
      <c r="AL510" s="204" t="e">
        <f t="shared" si="1006"/>
        <v>#VALUE!</v>
      </c>
      <c r="AM510" s="204" t="e">
        <f t="shared" si="1007"/>
        <v>#VALUE!</v>
      </c>
      <c r="AN510" s="204" t="e">
        <f t="shared" si="1008"/>
        <v>#VALUE!</v>
      </c>
      <c r="AO510" s="204" t="e">
        <f t="shared" si="1009"/>
        <v>#VALUE!</v>
      </c>
      <c r="AP510" s="204" t="e">
        <f t="shared" si="1010"/>
        <v>#VALUE!</v>
      </c>
      <c r="AQ510" s="204" t="e">
        <f t="shared" si="1011"/>
        <v>#VALUE!</v>
      </c>
      <c r="AR510" s="206" t="e">
        <f t="shared" si="1016"/>
        <v>#VALUE!</v>
      </c>
      <c r="AS510" s="170" t="e">
        <f t="shared" si="1012"/>
        <v>#VALUE!</v>
      </c>
      <c r="AT510" s="170" t="e">
        <f t="shared" si="1013"/>
        <v>#VALUE!</v>
      </c>
      <c r="AU510" s="207" t="e">
        <f t="shared" si="1017"/>
        <v>#VALUE!</v>
      </c>
      <c r="AV510" s="208" t="e">
        <f t="shared" si="1018"/>
        <v>#VALUE!</v>
      </c>
      <c r="AW510" s="201" t="str">
        <f t="shared" si="1019"/>
        <v>Fase de Vida Útil</v>
      </c>
      <c r="AX510" s="253" t="e">
        <f>VLOOKUP(D510,#REF!,5,FALSE)</f>
        <v>#REF!</v>
      </c>
      <c r="AY510" s="201"/>
      <c r="AZ510" s="273" t="s">
        <v>1224</v>
      </c>
      <c r="BB510">
        <f>IFERROR(VLOOKUP(Tabela1[[#This Row],[Denominação]],[10]Planilha1!$A:$B,2,FALSE),"")</f>
        <v>787389.53000000026</v>
      </c>
      <c r="BC510" s="219"/>
      <c r="BD510" s="219"/>
      <c r="BE510" s="219"/>
      <c r="BF510" s="219"/>
      <c r="BG510" s="219"/>
      <c r="BH510" s="219"/>
      <c r="BI510" s="219"/>
      <c r="BJ510" s="219"/>
      <c r="BK510" s="219"/>
      <c r="BL510" s="219"/>
    </row>
    <row r="511" spans="1:64" ht="15" hidden="1" customHeight="1" x14ac:dyDescent="0.3">
      <c r="A511" s="268">
        <v>510</v>
      </c>
      <c r="B511" s="201" t="s">
        <v>823</v>
      </c>
      <c r="C511" s="211" t="s">
        <v>824</v>
      </c>
      <c r="D511" s="201">
        <v>10006324</v>
      </c>
      <c r="E511" s="253" t="s">
        <v>1521</v>
      </c>
      <c r="F511" s="253">
        <v>4540</v>
      </c>
      <c r="G511" s="201">
        <v>45295</v>
      </c>
      <c r="H511" s="201">
        <v>2014</v>
      </c>
      <c r="I511" s="216">
        <v>530377.51</v>
      </c>
      <c r="J511" s="214">
        <v>174882</v>
      </c>
      <c r="K511" s="170">
        <v>392224.85999999987</v>
      </c>
      <c r="L511" s="207">
        <v>1.3</v>
      </c>
      <c r="M511" s="212">
        <v>4500</v>
      </c>
      <c r="N511" s="212">
        <v>67870</v>
      </c>
      <c r="O511" s="171">
        <v>541</v>
      </c>
      <c r="P511" s="271" t="str">
        <f>IFERROR(VLOOKUP(Tabela1[[#This Row],[TAG]],#REF!,14,FALSE),"")</f>
        <v/>
      </c>
      <c r="Q511" s="204" t="e">
        <f>P511+P511</f>
        <v>#VALUE!</v>
      </c>
      <c r="R511" s="204" t="e">
        <f t="shared" si="993"/>
        <v>#VALUE!</v>
      </c>
      <c r="S511" s="204" t="e">
        <f t="shared" si="994"/>
        <v>#VALUE!</v>
      </c>
      <c r="T511" s="204" t="e">
        <f t="shared" si="995"/>
        <v>#VALUE!</v>
      </c>
      <c r="U511" s="204" t="e">
        <f t="shared" si="996"/>
        <v>#VALUE!</v>
      </c>
      <c r="V511" s="204" t="e">
        <f t="shared" si="997"/>
        <v>#VALUE!</v>
      </c>
      <c r="W511" s="218">
        <v>479.5</v>
      </c>
      <c r="X511" s="218">
        <v>2243.6999999999998</v>
      </c>
      <c r="Y511" s="203">
        <v>0.1</v>
      </c>
      <c r="Z511" s="203">
        <f>IF(Tabela1[[#This Row],[Ano Aquisição]]=2023,0,IFERROR(VLOOKUP(H511,inflação!$F:$H,3,FALSE),""))</f>
        <v>0.54749999999999999</v>
      </c>
      <c r="AA511" s="203">
        <v>0.8</v>
      </c>
      <c r="AB511" s="202">
        <f t="shared" si="1014"/>
        <v>-530377.51</v>
      </c>
      <c r="AC511" s="204" t="e">
        <f t="shared" si="998"/>
        <v>#VALUE!</v>
      </c>
      <c r="AD511" s="204" t="e">
        <f t="shared" si="999"/>
        <v>#VALUE!</v>
      </c>
      <c r="AE511" s="204" t="e">
        <f t="shared" si="1000"/>
        <v>#VALUE!</v>
      </c>
      <c r="AF511" s="204" t="e">
        <f t="shared" si="1001"/>
        <v>#VALUE!</v>
      </c>
      <c r="AG511" s="204" t="e">
        <f t="shared" si="1002"/>
        <v>#VALUE!</v>
      </c>
      <c r="AH511" s="204" t="e">
        <f t="shared" si="1003"/>
        <v>#VALUE!</v>
      </c>
      <c r="AI511" s="204" t="e">
        <f t="shared" si="1004"/>
        <v>#VALUE!</v>
      </c>
      <c r="AJ511" s="205">
        <f t="shared" si="1015"/>
        <v>-820759.19672499993</v>
      </c>
      <c r="AK511" s="204" t="e">
        <f t="shared" si="1005"/>
        <v>#VALUE!</v>
      </c>
      <c r="AL511" s="204" t="e">
        <f t="shared" si="1006"/>
        <v>#VALUE!</v>
      </c>
      <c r="AM511" s="204" t="e">
        <f t="shared" si="1007"/>
        <v>#VALUE!</v>
      </c>
      <c r="AN511" s="204" t="e">
        <f t="shared" si="1008"/>
        <v>#VALUE!</v>
      </c>
      <c r="AO511" s="204" t="e">
        <f t="shared" si="1009"/>
        <v>#VALUE!</v>
      </c>
      <c r="AP511" s="204" t="e">
        <f t="shared" si="1010"/>
        <v>#VALUE!</v>
      </c>
      <c r="AQ511" s="204" t="e">
        <f t="shared" si="1011"/>
        <v>#VALUE!</v>
      </c>
      <c r="AR511" s="206" t="e">
        <f t="shared" si="1016"/>
        <v>#VALUE!</v>
      </c>
      <c r="AS511" s="170" t="e">
        <f t="shared" si="1012"/>
        <v>#VALUE!</v>
      </c>
      <c r="AT511" s="170" t="e">
        <f t="shared" si="1013"/>
        <v>#VALUE!</v>
      </c>
      <c r="AU511" s="207" t="e">
        <f t="shared" si="1017"/>
        <v>#VALUE!</v>
      </c>
      <c r="AV511" s="208" t="e">
        <f t="shared" si="1018"/>
        <v>#VALUE!</v>
      </c>
      <c r="AW511" s="201" t="str">
        <f t="shared" si="1019"/>
        <v>Fase de Degradação</v>
      </c>
      <c r="AX511" s="253" t="e">
        <f>VLOOKUP(D511,#REF!,5,FALSE)</f>
        <v>#REF!</v>
      </c>
      <c r="AY511" s="201"/>
      <c r="AZ511" s="273" t="s">
        <v>1224</v>
      </c>
      <c r="BB511">
        <f>IFERROR(VLOOKUP(Tabela1[[#This Row],[Denominação]],[10]Planilha1!$A:$B,2,FALSE),"")</f>
        <v>392224.85999999987</v>
      </c>
      <c r="BC511" s="219"/>
      <c r="BD511" s="219"/>
      <c r="BE511" s="219"/>
      <c r="BF511" s="219"/>
      <c r="BG511" s="219"/>
      <c r="BH511" s="219"/>
      <c r="BI511" s="219"/>
      <c r="BJ511" s="219"/>
      <c r="BK511" s="219"/>
      <c r="BL511" s="219"/>
    </row>
    <row r="512" spans="1:64" ht="15" hidden="1" customHeight="1" x14ac:dyDescent="0.3">
      <c r="A512" s="253">
        <v>511</v>
      </c>
      <c r="B512" s="201" t="s">
        <v>825</v>
      </c>
      <c r="C512" s="211" t="s">
        <v>826</v>
      </c>
      <c r="D512" s="201">
        <v>10006370</v>
      </c>
      <c r="E512" s="253" t="s">
        <v>1522</v>
      </c>
      <c r="F512" s="253">
        <v>4540</v>
      </c>
      <c r="G512" s="201">
        <v>46268</v>
      </c>
      <c r="H512" s="201">
        <v>2015</v>
      </c>
      <c r="I512" s="216">
        <v>1582342.71</v>
      </c>
      <c r="J512" s="214">
        <v>508886</v>
      </c>
      <c r="K512" s="170">
        <v>597640.38000000024</v>
      </c>
      <c r="L512" s="207">
        <v>1.48</v>
      </c>
      <c r="M512" s="212">
        <v>3676</v>
      </c>
      <c r="N512" s="212">
        <v>66023</v>
      </c>
      <c r="O512" s="171">
        <v>686</v>
      </c>
      <c r="P512" s="271" t="str">
        <f>IFERROR(VLOOKUP(Tabela1[[#This Row],[TAG]],#REF!,14,FALSE),"")</f>
        <v/>
      </c>
      <c r="Q512" s="204" t="e">
        <f t="shared" si="992"/>
        <v>#VALUE!</v>
      </c>
      <c r="R512" s="204" t="e">
        <f t="shared" si="993"/>
        <v>#VALUE!</v>
      </c>
      <c r="S512" s="204" t="e">
        <f t="shared" si="994"/>
        <v>#VALUE!</v>
      </c>
      <c r="T512" s="204" t="e">
        <f t="shared" si="995"/>
        <v>#VALUE!</v>
      </c>
      <c r="U512" s="204" t="e">
        <f t="shared" si="996"/>
        <v>#VALUE!</v>
      </c>
      <c r="V512" s="204" t="e">
        <f t="shared" si="997"/>
        <v>#VALUE!</v>
      </c>
      <c r="W512" s="218">
        <v>528.12</v>
      </c>
      <c r="X512" s="218">
        <v>5636.99</v>
      </c>
      <c r="Y512" s="203">
        <v>0.1</v>
      </c>
      <c r="Z512" s="203">
        <f>IF(Tabela1[[#This Row],[Ano Aquisição]]=2023,0,IFERROR(VLOOKUP(H512,inflação!$F:$H,3,FALSE),""))</f>
        <v>0.4834</v>
      </c>
      <c r="AA512" s="203">
        <v>0.8</v>
      </c>
      <c r="AB512" s="202">
        <f t="shared" si="1014"/>
        <v>-1582342.71</v>
      </c>
      <c r="AC512" s="204" t="e">
        <f t="shared" si="998"/>
        <v>#VALUE!</v>
      </c>
      <c r="AD512" s="204" t="e">
        <f t="shared" si="999"/>
        <v>#VALUE!</v>
      </c>
      <c r="AE512" s="204" t="e">
        <f t="shared" si="1000"/>
        <v>#VALUE!</v>
      </c>
      <c r="AF512" s="204" t="e">
        <f t="shared" si="1001"/>
        <v>#VALUE!</v>
      </c>
      <c r="AG512" s="204" t="e">
        <f t="shared" si="1002"/>
        <v>#VALUE!</v>
      </c>
      <c r="AH512" s="204" t="e">
        <f t="shared" si="1003"/>
        <v>#VALUE!</v>
      </c>
      <c r="AI512" s="204" t="e">
        <f t="shared" si="1004"/>
        <v>#VALUE!</v>
      </c>
      <c r="AJ512" s="205">
        <f t="shared" si="1015"/>
        <v>-2347247.1760140001</v>
      </c>
      <c r="AK512" s="204" t="e">
        <f t="shared" si="1005"/>
        <v>#VALUE!</v>
      </c>
      <c r="AL512" s="204" t="e">
        <f t="shared" si="1006"/>
        <v>#VALUE!</v>
      </c>
      <c r="AM512" s="204" t="e">
        <f t="shared" si="1007"/>
        <v>#VALUE!</v>
      </c>
      <c r="AN512" s="204" t="e">
        <f t="shared" si="1008"/>
        <v>#VALUE!</v>
      </c>
      <c r="AO512" s="204" t="e">
        <f t="shared" si="1009"/>
        <v>#VALUE!</v>
      </c>
      <c r="AP512" s="204" t="e">
        <f t="shared" si="1010"/>
        <v>#VALUE!</v>
      </c>
      <c r="AQ512" s="204" t="e">
        <f t="shared" si="1011"/>
        <v>#VALUE!</v>
      </c>
      <c r="AR512" s="206" t="e">
        <f t="shared" si="1016"/>
        <v>#VALUE!</v>
      </c>
      <c r="AS512" s="170" t="e">
        <f t="shared" si="1012"/>
        <v>#VALUE!</v>
      </c>
      <c r="AT512" s="170" t="e">
        <f t="shared" si="1013"/>
        <v>#VALUE!</v>
      </c>
      <c r="AU512" s="207" t="e">
        <f t="shared" si="1017"/>
        <v>#VALUE!</v>
      </c>
      <c r="AV512" s="208" t="e">
        <f t="shared" si="1018"/>
        <v>#VALUE!</v>
      </c>
      <c r="AW512" s="201" t="str">
        <f t="shared" si="1019"/>
        <v>Fase de Degradação</v>
      </c>
      <c r="AX512" s="253" t="e">
        <f>VLOOKUP(D512,#REF!,5,FALSE)</f>
        <v>#REF!</v>
      </c>
      <c r="AY512" s="201"/>
      <c r="AZ512" s="273" t="s">
        <v>1224</v>
      </c>
      <c r="BB512">
        <f>IFERROR(VLOOKUP(Tabela1[[#This Row],[Denominação]],[10]Planilha1!$A:$B,2,FALSE),"")</f>
        <v>597640.38000000024</v>
      </c>
      <c r="BC512" s="219"/>
      <c r="BD512" s="219"/>
      <c r="BE512" s="219"/>
      <c r="BF512" s="219"/>
      <c r="BG512" s="219"/>
      <c r="BH512" s="219"/>
      <c r="BI512" s="219"/>
      <c r="BJ512" s="219"/>
      <c r="BK512" s="219"/>
      <c r="BL512" s="219"/>
    </row>
    <row r="513" spans="1:64" ht="15" hidden="1" customHeight="1" x14ac:dyDescent="0.3">
      <c r="A513" s="268">
        <v>512</v>
      </c>
      <c r="B513" s="201" t="s">
        <v>1138</v>
      </c>
      <c r="C513" s="211" t="s">
        <v>1139</v>
      </c>
      <c r="D513" s="201">
        <v>10006375</v>
      </c>
      <c r="E513" s="253" t="s">
        <v>1523</v>
      </c>
      <c r="F513" s="253">
        <v>3320</v>
      </c>
      <c r="G513" s="201">
        <v>35175</v>
      </c>
      <c r="H513" s="201">
        <v>2008</v>
      </c>
      <c r="I513" s="216">
        <v>81681.05</v>
      </c>
      <c r="J513" s="214">
        <v>0</v>
      </c>
      <c r="K513" s="170">
        <v>93492.020000000062</v>
      </c>
      <c r="L513" s="207">
        <v>1.25</v>
      </c>
      <c r="M513" s="212">
        <v>4392</v>
      </c>
      <c r="N513" s="212">
        <v>64305</v>
      </c>
      <c r="O513" s="171">
        <v>200</v>
      </c>
      <c r="P513" s="271" t="str">
        <f>IFERROR(VLOOKUP(Tabela1[[#This Row],[TAG]],#REF!,14,FALSE),"")</f>
        <v/>
      </c>
      <c r="Q513" s="204" t="e">
        <f t="shared" si="992"/>
        <v>#VALUE!</v>
      </c>
      <c r="R513" s="204" t="e">
        <f t="shared" si="993"/>
        <v>#VALUE!</v>
      </c>
      <c r="S513" s="204" t="e">
        <f t="shared" si="994"/>
        <v>#VALUE!</v>
      </c>
      <c r="T513" s="204" t="e">
        <f t="shared" si="995"/>
        <v>#VALUE!</v>
      </c>
      <c r="U513" s="204" t="e">
        <f t="shared" si="996"/>
        <v>#VALUE!</v>
      </c>
      <c r="V513" s="204" t="e">
        <f t="shared" si="997"/>
        <v>#VALUE!</v>
      </c>
      <c r="W513" s="218">
        <v>398.32</v>
      </c>
      <c r="X513" s="218">
        <v>1480.77</v>
      </c>
      <c r="Y513" s="203">
        <v>0.1</v>
      </c>
      <c r="Z513" s="203">
        <f>IF(Tabela1[[#This Row],[Ano Aquisição]]=2023,0,IFERROR(VLOOKUP(H513,inflação!$F:$H,3,FALSE),""))</f>
        <v>0.89119999999999999</v>
      </c>
      <c r="AA513" s="203">
        <v>0.8</v>
      </c>
      <c r="AB513" s="202">
        <f t="shared" si="1014"/>
        <v>-81681.05</v>
      </c>
      <c r="AC513" s="204" t="e">
        <f t="shared" si="998"/>
        <v>#VALUE!</v>
      </c>
      <c r="AD513" s="204" t="e">
        <f t="shared" si="999"/>
        <v>#VALUE!</v>
      </c>
      <c r="AE513" s="204" t="e">
        <f t="shared" si="1000"/>
        <v>#VALUE!</v>
      </c>
      <c r="AF513" s="204" t="e">
        <f t="shared" si="1001"/>
        <v>#VALUE!</v>
      </c>
      <c r="AG513" s="204" t="e">
        <f t="shared" si="1002"/>
        <v>#VALUE!</v>
      </c>
      <c r="AH513" s="204" t="e">
        <f t="shared" si="1003"/>
        <v>#VALUE!</v>
      </c>
      <c r="AI513" s="204" t="e">
        <f t="shared" si="1004"/>
        <v>#VALUE!</v>
      </c>
      <c r="AJ513" s="205">
        <f t="shared" si="1015"/>
        <v>-154475.20176</v>
      </c>
      <c r="AK513" s="204" t="e">
        <f t="shared" si="1005"/>
        <v>#VALUE!</v>
      </c>
      <c r="AL513" s="204" t="e">
        <f t="shared" si="1006"/>
        <v>#VALUE!</v>
      </c>
      <c r="AM513" s="204" t="e">
        <f t="shared" si="1007"/>
        <v>#VALUE!</v>
      </c>
      <c r="AN513" s="204" t="e">
        <f t="shared" si="1008"/>
        <v>#VALUE!</v>
      </c>
      <c r="AO513" s="204" t="e">
        <f t="shared" si="1009"/>
        <v>#VALUE!</v>
      </c>
      <c r="AP513" s="204" t="e">
        <f t="shared" si="1010"/>
        <v>#VALUE!</v>
      </c>
      <c r="AQ513" s="204" t="e">
        <f t="shared" si="1011"/>
        <v>#VALUE!</v>
      </c>
      <c r="AR513" s="206" t="e">
        <f t="shared" si="1016"/>
        <v>#VALUE!</v>
      </c>
      <c r="AS513" s="170" t="e">
        <f t="shared" si="1012"/>
        <v>#VALUE!</v>
      </c>
      <c r="AT513" s="170" t="e">
        <f t="shared" si="1013"/>
        <v>#VALUE!</v>
      </c>
      <c r="AU513" s="207" t="e">
        <f t="shared" si="1017"/>
        <v>#VALUE!</v>
      </c>
      <c r="AV513" s="208" t="e">
        <f t="shared" si="1018"/>
        <v>#VALUE!</v>
      </c>
      <c r="AW513" s="201" t="str">
        <f t="shared" si="1019"/>
        <v>Fase de Degradação</v>
      </c>
      <c r="AX513" s="253" t="e">
        <f>VLOOKUP(D513,#REF!,5,FALSE)</f>
        <v>#REF!</v>
      </c>
      <c r="AY513" s="201"/>
      <c r="AZ513" s="273" t="s">
        <v>1224</v>
      </c>
      <c r="BB513">
        <f>IFERROR(VLOOKUP(Tabela1[[#This Row],[Denominação]],[10]Planilha1!$A:$B,2,FALSE),"")</f>
        <v>93492.020000000062</v>
      </c>
      <c r="BC513" s="219"/>
      <c r="BD513" s="219"/>
      <c r="BE513" s="219"/>
      <c r="BF513" s="219"/>
      <c r="BG513" s="219"/>
      <c r="BH513" s="219"/>
      <c r="BI513" s="219"/>
      <c r="BJ513" s="219"/>
      <c r="BK513" s="219"/>
      <c r="BL513" s="219"/>
    </row>
    <row r="514" spans="1:64" ht="15" hidden="1" customHeight="1" x14ac:dyDescent="0.3">
      <c r="A514" s="253">
        <v>513</v>
      </c>
      <c r="B514" s="201" t="s">
        <v>827</v>
      </c>
      <c r="C514" s="211" t="s">
        <v>828</v>
      </c>
      <c r="D514" s="201">
        <v>10006510</v>
      </c>
      <c r="E514" s="253" t="s">
        <v>1524</v>
      </c>
      <c r="F514" s="253">
        <v>4540</v>
      </c>
      <c r="G514" s="201">
        <v>48348</v>
      </c>
      <c r="H514" s="201">
        <v>2017</v>
      </c>
      <c r="I514" s="216">
        <v>1589626.11</v>
      </c>
      <c r="J514" s="214">
        <v>806313</v>
      </c>
      <c r="K514" s="170">
        <v>215099.81999999998</v>
      </c>
      <c r="L514" s="207">
        <v>1.29</v>
      </c>
      <c r="M514" s="212">
        <v>4053</v>
      </c>
      <c r="N514" s="212">
        <v>44496</v>
      </c>
      <c r="O514" s="171">
        <v>294</v>
      </c>
      <c r="P514" s="271" t="str">
        <f>IFERROR(VLOOKUP(Tabela1[[#This Row],[TAG]],#REF!,14,FALSE),"")</f>
        <v/>
      </c>
      <c r="Q514" s="204" t="e">
        <f t="shared" si="992"/>
        <v>#VALUE!</v>
      </c>
      <c r="R514" s="204" t="e">
        <f t="shared" si="993"/>
        <v>#VALUE!</v>
      </c>
      <c r="S514" s="204" t="e">
        <f t="shared" si="994"/>
        <v>#VALUE!</v>
      </c>
      <c r="T514" s="204" t="e">
        <f t="shared" si="995"/>
        <v>#VALUE!</v>
      </c>
      <c r="U514" s="204" t="e">
        <f t="shared" si="996"/>
        <v>#VALUE!</v>
      </c>
      <c r="V514" s="204" t="e">
        <f t="shared" si="997"/>
        <v>#VALUE!</v>
      </c>
      <c r="W514" s="218">
        <v>556.97</v>
      </c>
      <c r="X514" s="218">
        <v>2984.15</v>
      </c>
      <c r="Y514" s="203">
        <v>0.1</v>
      </c>
      <c r="Z514" s="203">
        <f>IF(Tabela1[[#This Row],[Ano Aquisição]]=2023,0,IFERROR(VLOOKUP(H514,inflação!$F:$H,3,FALSE),""))</f>
        <v>0.31379999999999997</v>
      </c>
      <c r="AA514" s="203">
        <v>0.8</v>
      </c>
      <c r="AB514" s="202">
        <f t="shared" si="1014"/>
        <v>-1589626.11</v>
      </c>
      <c r="AC514" s="204" t="e">
        <f t="shared" si="998"/>
        <v>#VALUE!</v>
      </c>
      <c r="AD514" s="204" t="e">
        <f t="shared" si="999"/>
        <v>#VALUE!</v>
      </c>
      <c r="AE514" s="204" t="e">
        <f t="shared" si="1000"/>
        <v>#VALUE!</v>
      </c>
      <c r="AF514" s="204" t="e">
        <f t="shared" si="1001"/>
        <v>#VALUE!</v>
      </c>
      <c r="AG514" s="204" t="e">
        <f t="shared" si="1002"/>
        <v>#VALUE!</v>
      </c>
      <c r="AH514" s="204" t="e">
        <f t="shared" si="1003"/>
        <v>#VALUE!</v>
      </c>
      <c r="AI514" s="204" t="e">
        <f t="shared" si="1004"/>
        <v>#VALUE!</v>
      </c>
      <c r="AJ514" s="205">
        <f t="shared" si="1015"/>
        <v>-2088450.7833180001</v>
      </c>
      <c r="AK514" s="204" t="e">
        <f t="shared" si="1005"/>
        <v>#VALUE!</v>
      </c>
      <c r="AL514" s="204" t="e">
        <f t="shared" si="1006"/>
        <v>#VALUE!</v>
      </c>
      <c r="AM514" s="204" t="e">
        <f t="shared" si="1007"/>
        <v>#VALUE!</v>
      </c>
      <c r="AN514" s="204" t="e">
        <f t="shared" si="1008"/>
        <v>#VALUE!</v>
      </c>
      <c r="AO514" s="204" t="e">
        <f t="shared" si="1009"/>
        <v>#VALUE!</v>
      </c>
      <c r="AP514" s="204" t="e">
        <f t="shared" si="1010"/>
        <v>#VALUE!</v>
      </c>
      <c r="AQ514" s="204" t="e">
        <f t="shared" si="1011"/>
        <v>#VALUE!</v>
      </c>
      <c r="AR514" s="206" t="e">
        <f t="shared" si="1016"/>
        <v>#VALUE!</v>
      </c>
      <c r="AS514" s="170" t="e">
        <f t="shared" si="1012"/>
        <v>#VALUE!</v>
      </c>
      <c r="AT514" s="170" t="e">
        <f t="shared" si="1013"/>
        <v>#VALUE!</v>
      </c>
      <c r="AU514" s="207" t="e">
        <f t="shared" si="1017"/>
        <v>#VALUE!</v>
      </c>
      <c r="AV514" s="208" t="e">
        <f t="shared" si="1018"/>
        <v>#VALUE!</v>
      </c>
      <c r="AW514" s="201" t="str">
        <f t="shared" si="1019"/>
        <v>Fase de Degradação</v>
      </c>
      <c r="AX514" s="253" t="e">
        <f>VLOOKUP(D514,#REF!,5,FALSE)</f>
        <v>#REF!</v>
      </c>
      <c r="AY514" s="201"/>
      <c r="AZ514" s="273" t="s">
        <v>1224</v>
      </c>
      <c r="BB514">
        <f>IFERROR(VLOOKUP(Tabela1[[#This Row],[Denominação]],[10]Planilha1!$A:$B,2,FALSE),"")</f>
        <v>215099.81999999998</v>
      </c>
      <c r="BC514" s="219"/>
      <c r="BD514" s="219"/>
      <c r="BE514" s="219"/>
      <c r="BF514" s="219"/>
      <c r="BG514" s="219"/>
      <c r="BH514" s="219"/>
      <c r="BI514" s="219"/>
      <c r="BJ514" s="219"/>
      <c r="BK514" s="219"/>
      <c r="BL514" s="219"/>
    </row>
    <row r="515" spans="1:64" ht="15" hidden="1" customHeight="1" x14ac:dyDescent="0.3">
      <c r="A515" s="268">
        <v>514</v>
      </c>
      <c r="B515" s="300" t="s">
        <v>1861</v>
      </c>
      <c r="C515" s="318" t="s">
        <v>1730</v>
      </c>
      <c r="D515" s="315">
        <v>10006919</v>
      </c>
      <c r="E515" s="299" t="s">
        <v>1791</v>
      </c>
      <c r="F515" s="299">
        <v>4540</v>
      </c>
      <c r="G515" s="323">
        <v>900000022475</v>
      </c>
      <c r="H515" s="315">
        <v>2022</v>
      </c>
      <c r="I515" s="329">
        <v>2917957.84</v>
      </c>
      <c r="J515" s="329">
        <v>2917957.84</v>
      </c>
      <c r="K515" s="326">
        <v>534.84</v>
      </c>
      <c r="L515" s="319">
        <v>3.36</v>
      </c>
      <c r="M515" s="320">
        <v>4421</v>
      </c>
      <c r="N515" s="320">
        <v>766</v>
      </c>
      <c r="O515" s="321">
        <v>5</v>
      </c>
      <c r="P515" s="271" t="str">
        <f>IFERROR(VLOOKUP(Tabela1[[#This Row],[TAG]],#REF!,14,FALSE),"")</f>
        <v/>
      </c>
      <c r="Q515" s="323" t="e">
        <f t="shared" ref="Q515" si="1020">P515+P515</f>
        <v>#VALUE!</v>
      </c>
      <c r="R515" s="323" t="e">
        <f t="shared" ref="R515" si="1021">Q515+P515</f>
        <v>#VALUE!</v>
      </c>
      <c r="S515" s="323" t="e">
        <f t="shared" ref="S515" si="1022">R515+P515</f>
        <v>#VALUE!</v>
      </c>
      <c r="T515" s="323" t="e">
        <f t="shared" ref="T515" si="1023">S515+P515</f>
        <v>#VALUE!</v>
      </c>
      <c r="U515" s="323" t="e">
        <f t="shared" ref="U515" si="1024">T515+P515</f>
        <v>#VALUE!</v>
      </c>
      <c r="V515" s="323" t="e">
        <f t="shared" ref="V515" si="1025">U515+P515</f>
        <v>#VALUE!</v>
      </c>
      <c r="W515" s="304">
        <v>174.84</v>
      </c>
      <c r="X515" s="304">
        <v>268.79000000000002</v>
      </c>
      <c r="Y515" s="322">
        <v>0.1</v>
      </c>
      <c r="Z515" s="322">
        <f>IF(Tabela1[[#This Row],[Ano Aquisição]]=2023,0,IFERROR(VLOOKUP(H515,inflação!$F:$H,3,FALSE),""))</f>
        <v>5.79E-2</v>
      </c>
      <c r="AA515" s="322">
        <v>0.8</v>
      </c>
      <c r="AB515" s="310">
        <f t="shared" si="1014"/>
        <v>-2917957.84</v>
      </c>
      <c r="AC515" s="323" t="e">
        <f t="shared" ref="AC515" si="1026">-(((P515*$W515)+($X515*12))*((1+$Y515)^AC$1))</f>
        <v>#VALUE!</v>
      </c>
      <c r="AD515" s="323" t="e">
        <f t="shared" ref="AD515" si="1027">-((((Q515-P515)*$W515)+($X515*12))*((1+$Y515)^AD$1))</f>
        <v>#VALUE!</v>
      </c>
      <c r="AE515" s="323" t="e">
        <f t="shared" ref="AE515" si="1028">-((((R515-Q515)*$W515)+($X515*12))*((1+$Y515)^AE$1))</f>
        <v>#VALUE!</v>
      </c>
      <c r="AF515" s="323" t="e">
        <f t="shared" ref="AF515" si="1029">-((((S515-R515)*$W515)+($X515*12))*((1+$Y515)^AF$1))</f>
        <v>#VALUE!</v>
      </c>
      <c r="AG515" s="323" t="e">
        <f t="shared" ref="AG515" si="1030">-((((T515-S515)*$W515)+($X515*12))*((1+$Y515)^AG$1))</f>
        <v>#VALUE!</v>
      </c>
      <c r="AH515" s="323" t="e">
        <f t="shared" ref="AH515" si="1031">-((((U515-T515)*$W515)+($X515*12))*((1+$Y515)^AH$1))</f>
        <v>#VALUE!</v>
      </c>
      <c r="AI515" s="323" t="e">
        <f t="shared" ref="AI515" si="1032">-((((V515-U515)*$W515)+($X515*12))*((1+$Y515)^AI$1))</f>
        <v>#VALUE!</v>
      </c>
      <c r="AJ515" s="324">
        <f t="shared" si="1015"/>
        <v>-3086907.5989359999</v>
      </c>
      <c r="AK515" s="323" t="e">
        <f t="shared" ref="AK515" si="1033">AC515*(1-$AA515)</f>
        <v>#VALUE!</v>
      </c>
      <c r="AL515" s="323" t="e">
        <f t="shared" ref="AL515" si="1034">AD515*(1-$AA515)</f>
        <v>#VALUE!</v>
      </c>
      <c r="AM515" s="323" t="e">
        <f t="shared" ref="AM515" si="1035">AE515*(1-$AA515)</f>
        <v>#VALUE!</v>
      </c>
      <c r="AN515" s="323" t="e">
        <f t="shared" ref="AN515" si="1036">AF515*(1-$AA515)</f>
        <v>#VALUE!</v>
      </c>
      <c r="AO515" s="323" t="e">
        <f t="shared" ref="AO515" si="1037">AG515*(1-$AA515)</f>
        <v>#VALUE!</v>
      </c>
      <c r="AP515" s="323" t="e">
        <f t="shared" ref="AP515" si="1038">AH515*(1-$AA515)</f>
        <v>#VALUE!</v>
      </c>
      <c r="AQ515" s="323" t="e">
        <f t="shared" ref="AQ515" si="1039">AI515*(1-$AA515)</f>
        <v>#VALUE!</v>
      </c>
      <c r="AR515" s="325" t="e">
        <f t="shared" si="1016"/>
        <v>#VALUE!</v>
      </c>
      <c r="AS515" s="326" t="e">
        <f t="shared" ref="AS515" si="1040">SUM(AC515:AI515)</f>
        <v>#VALUE!</v>
      </c>
      <c r="AT515" s="326" t="e">
        <f t="shared" ref="AT515" si="1041">SUM(AK515:AQ515)</f>
        <v>#VALUE!</v>
      </c>
      <c r="AU515" s="319" t="e">
        <f t="shared" si="1017"/>
        <v>#VALUE!</v>
      </c>
      <c r="AV515" s="327" t="e">
        <f t="shared" si="1018"/>
        <v>#VALUE!</v>
      </c>
      <c r="AW515" s="315" t="str">
        <f t="shared" si="1019"/>
        <v>Fase de Degradação</v>
      </c>
      <c r="AX515" s="299" t="e">
        <f>VLOOKUP(D515,#REF!,5,FALSE)</f>
        <v>#REF!</v>
      </c>
      <c r="AY515" s="315"/>
      <c r="AZ515" s="316" t="s">
        <v>1224</v>
      </c>
      <c r="BB515">
        <f>IFERROR(VLOOKUP(Tabela1[[#This Row],[Denominação]],[10]Planilha1!$A:$B,2,FALSE),"")</f>
        <v>534.84</v>
      </c>
      <c r="BC515" s="219"/>
      <c r="BD515" s="219"/>
      <c r="BE515" s="219"/>
      <c r="BF515" s="219"/>
      <c r="BG515" s="219"/>
      <c r="BH515" s="219"/>
      <c r="BI515" s="219"/>
      <c r="BJ515" s="219"/>
      <c r="BK515" s="219"/>
      <c r="BL515" s="219"/>
    </row>
    <row r="516" spans="1:64" ht="15" hidden="1" customHeight="1" x14ac:dyDescent="0.3">
      <c r="A516" s="253">
        <v>515</v>
      </c>
      <c r="B516" s="171" t="s">
        <v>374</v>
      </c>
      <c r="C516" s="209" t="s">
        <v>195</v>
      </c>
      <c r="D516" s="171">
        <v>10000381</v>
      </c>
      <c r="E516" s="253" t="s">
        <v>1525</v>
      </c>
      <c r="F516" s="210">
        <v>3319</v>
      </c>
      <c r="G516" s="171">
        <v>20311</v>
      </c>
      <c r="H516" s="171">
        <v>1977</v>
      </c>
      <c r="I516" s="213">
        <v>403404.94</v>
      </c>
      <c r="J516" s="213">
        <v>82638</v>
      </c>
      <c r="K516" s="170">
        <v>1593976.0499999998</v>
      </c>
      <c r="L516" s="207">
        <v>1.93</v>
      </c>
      <c r="M516" s="212">
        <v>4200.4440000000004</v>
      </c>
      <c r="N516" s="212">
        <v>198584</v>
      </c>
      <c r="O516" s="171">
        <v>1176</v>
      </c>
      <c r="P516" s="271" t="str">
        <f>IFERROR(VLOOKUP(Tabela1[[#This Row],[TAG]],#REF!,14,FALSE),"")</f>
        <v/>
      </c>
      <c r="Q516" s="204" t="e">
        <f t="shared" ref="Q516:Q537" si="1042">P516+P516</f>
        <v>#VALUE!</v>
      </c>
      <c r="R516" s="204" t="e">
        <f t="shared" ref="R516:R537" si="1043">Q516+P516</f>
        <v>#VALUE!</v>
      </c>
      <c r="S516" s="204" t="e">
        <f t="shared" ref="S516:S537" si="1044">R516+P516</f>
        <v>#VALUE!</v>
      </c>
      <c r="T516" s="204" t="e">
        <f t="shared" ref="T516:T537" si="1045">S516+P516</f>
        <v>#VALUE!</v>
      </c>
      <c r="U516" s="204" t="e">
        <f t="shared" ref="U516:U537" si="1046">T516+P516</f>
        <v>#VALUE!</v>
      </c>
      <c r="V516" s="204" t="e">
        <f t="shared" ref="V516:V537" si="1047">U516+P516</f>
        <v>#VALUE!</v>
      </c>
      <c r="W516" s="218">
        <v>843.14</v>
      </c>
      <c r="X516" s="218">
        <v>8526.75</v>
      </c>
      <c r="Y516" s="203">
        <v>0.1</v>
      </c>
      <c r="Z516" s="203">
        <f>IF(Tabela1[[#This Row],[Ano Aquisição]]=2023,0,IFERROR(VLOOKUP(H516,inflação!$F:$H,3,FALSE),""))</f>
        <v>2.9147076923076951</v>
      </c>
      <c r="AA516" s="203">
        <v>0.8</v>
      </c>
      <c r="AB516" s="202">
        <f t="shared" si="1014"/>
        <v>-403404.94</v>
      </c>
      <c r="AC516" s="204" t="e">
        <f t="shared" ref="AC516:AC537" si="1048">-(((P516*$W516)+($X516*12))*((1+$Y516)^AC$1))</f>
        <v>#VALUE!</v>
      </c>
      <c r="AD516" s="204" t="e">
        <f t="shared" ref="AD516:AD537" si="1049">-((((Q516-P516)*$W516)+($X516*12))*((1+$Y516)^AD$1))</f>
        <v>#VALUE!</v>
      </c>
      <c r="AE516" s="204" t="e">
        <f t="shared" ref="AE516:AE537" si="1050">-((((R516-Q516)*$W516)+($X516*12))*((1+$Y516)^AE$1))</f>
        <v>#VALUE!</v>
      </c>
      <c r="AF516" s="204" t="e">
        <f t="shared" ref="AF516:AF537" si="1051">-((((S516-R516)*$W516)+($X516*12))*((1+$Y516)^AF$1))</f>
        <v>#VALUE!</v>
      </c>
      <c r="AG516" s="204" t="e">
        <f t="shared" ref="AG516:AG537" si="1052">-((((T516-S516)*$W516)+($X516*12))*((1+$Y516)^AG$1))</f>
        <v>#VALUE!</v>
      </c>
      <c r="AH516" s="204" t="e">
        <f t="shared" ref="AH516:AH537" si="1053">-((((U516-T516)*$W516)+($X516*12))*((1+$Y516)^AH$1))</f>
        <v>#VALUE!</v>
      </c>
      <c r="AI516" s="204" t="e">
        <f t="shared" ref="AI516:AI537" si="1054">-((((V516-U516)*$W516)+($X516*12))*((1+$Y516)^AI$1))</f>
        <v>#VALUE!</v>
      </c>
      <c r="AJ516" s="205">
        <f t="shared" si="1015"/>
        <v>-1579212.4217329242</v>
      </c>
      <c r="AK516" s="204" t="e">
        <f t="shared" ref="AK516:AK537" si="1055">AC516*(1-$AA516)</f>
        <v>#VALUE!</v>
      </c>
      <c r="AL516" s="204" t="e">
        <f t="shared" ref="AL516:AL537" si="1056">AD516*(1-$AA516)</f>
        <v>#VALUE!</v>
      </c>
      <c r="AM516" s="204" t="e">
        <f t="shared" ref="AM516:AM537" si="1057">AE516*(1-$AA516)</f>
        <v>#VALUE!</v>
      </c>
      <c r="AN516" s="204" t="e">
        <f t="shared" ref="AN516:AN537" si="1058">AF516*(1-$AA516)</f>
        <v>#VALUE!</v>
      </c>
      <c r="AO516" s="204" t="e">
        <f t="shared" ref="AO516:AO537" si="1059">AG516*(1-$AA516)</f>
        <v>#VALUE!</v>
      </c>
      <c r="AP516" s="204" t="e">
        <f t="shared" ref="AP516:AP537" si="1060">AH516*(1-$AA516)</f>
        <v>#VALUE!</v>
      </c>
      <c r="AQ516" s="204" t="e">
        <f t="shared" ref="AQ516:AQ537" si="1061">AI516*(1-$AA516)</f>
        <v>#VALUE!</v>
      </c>
      <c r="AR516" s="206" t="e">
        <f t="shared" si="1016"/>
        <v>#VALUE!</v>
      </c>
      <c r="AS516" s="170" t="e">
        <f t="shared" ref="AS516:AS537" si="1062">SUM(AC516:AI516)</f>
        <v>#VALUE!</v>
      </c>
      <c r="AT516" s="170" t="e">
        <f t="shared" ref="AT516:AT537" si="1063">SUM(AK516:AQ516)</f>
        <v>#VALUE!</v>
      </c>
      <c r="AU516" s="207" t="e">
        <f t="shared" si="1017"/>
        <v>#VALUE!</v>
      </c>
      <c r="AV516" s="208" t="e">
        <f t="shared" si="1018"/>
        <v>#VALUE!</v>
      </c>
      <c r="AW516" s="201" t="str">
        <f t="shared" si="1019"/>
        <v>Fase de Degradação</v>
      </c>
      <c r="AX516" s="253" t="e">
        <f>VLOOKUP(D516,#REF!,5,FALSE)</f>
        <v>#REF!</v>
      </c>
      <c r="AY516" s="201"/>
      <c r="AZ516" s="273" t="s">
        <v>1224</v>
      </c>
      <c r="BB516">
        <f>IFERROR(VLOOKUP(Tabela1[[#This Row],[Denominação]],[10]Planilha1!$A:$B,2,FALSE),"")</f>
        <v>1593976.0499999998</v>
      </c>
      <c r="BC516" s="219"/>
      <c r="BD516" s="219"/>
      <c r="BE516" s="219"/>
      <c r="BF516" s="219"/>
      <c r="BG516" s="219"/>
      <c r="BH516" s="219"/>
      <c r="BI516" s="219"/>
      <c r="BJ516" s="219"/>
      <c r="BK516" s="219"/>
      <c r="BL516" s="219"/>
    </row>
    <row r="517" spans="1:64" ht="15" hidden="1" customHeight="1" x14ac:dyDescent="0.3">
      <c r="A517" s="268">
        <v>516</v>
      </c>
      <c r="B517" s="201" t="s">
        <v>829</v>
      </c>
      <c r="C517" s="211" t="s">
        <v>830</v>
      </c>
      <c r="D517" s="201">
        <v>10000388</v>
      </c>
      <c r="E517" s="253" t="s">
        <v>2060</v>
      </c>
      <c r="F517" s="253">
        <v>3319</v>
      </c>
      <c r="G517" s="201">
        <v>5700100200</v>
      </c>
      <c r="H517" s="201">
        <v>1977</v>
      </c>
      <c r="I517" s="216">
        <v>315444.75</v>
      </c>
      <c r="J517" s="214">
        <v>0</v>
      </c>
      <c r="K517" s="170">
        <v>1205452.4099999988</v>
      </c>
      <c r="L517" s="207">
        <v>1.35</v>
      </c>
      <c r="M517" s="212">
        <v>4200.4440000000004</v>
      </c>
      <c r="N517" s="212">
        <v>198569</v>
      </c>
      <c r="O517" s="171">
        <v>784</v>
      </c>
      <c r="P517" s="271" t="str">
        <f>IFERROR(VLOOKUP(Tabela1[[#This Row],[TAG]],#REF!,14,FALSE),"")</f>
        <v/>
      </c>
      <c r="Q517" s="204" t="e">
        <f t="shared" si="1042"/>
        <v>#VALUE!</v>
      </c>
      <c r="R517" s="204" t="e">
        <f t="shared" si="1043"/>
        <v>#VALUE!</v>
      </c>
      <c r="S517" s="204" t="e">
        <f t="shared" si="1044"/>
        <v>#VALUE!</v>
      </c>
      <c r="T517" s="204" t="e">
        <f t="shared" si="1045"/>
        <v>#VALUE!</v>
      </c>
      <c r="U517" s="204" t="e">
        <f t="shared" si="1046"/>
        <v>#VALUE!</v>
      </c>
      <c r="V517" s="204" t="e">
        <f t="shared" si="1047"/>
        <v>#VALUE!</v>
      </c>
      <c r="W517" s="218">
        <v>817.74</v>
      </c>
      <c r="X517" s="218">
        <v>3817.28</v>
      </c>
      <c r="Y517" s="203">
        <v>0.1</v>
      </c>
      <c r="Z517" s="203">
        <f>IF(Tabela1[[#This Row],[Ano Aquisição]]=2023,0,IFERROR(VLOOKUP(H517,inflação!$F:$H,3,FALSE),""))</f>
        <v>2.9147076923076951</v>
      </c>
      <c r="AA517" s="203">
        <v>0.8</v>
      </c>
      <c r="AB517" s="202">
        <f t="shared" si="1014"/>
        <v>-315444.75</v>
      </c>
      <c r="AC517" s="204" t="e">
        <f t="shared" si="1048"/>
        <v>#VALUE!</v>
      </c>
      <c r="AD517" s="204" t="e">
        <f t="shared" si="1049"/>
        <v>#VALUE!</v>
      </c>
      <c r="AE517" s="204" t="e">
        <f t="shared" si="1050"/>
        <v>#VALUE!</v>
      </c>
      <c r="AF517" s="204" t="e">
        <f t="shared" si="1051"/>
        <v>#VALUE!</v>
      </c>
      <c r="AG517" s="204" t="e">
        <f t="shared" si="1052"/>
        <v>#VALUE!</v>
      </c>
      <c r="AH517" s="204" t="e">
        <f t="shared" si="1053"/>
        <v>#VALUE!</v>
      </c>
      <c r="AI517" s="204" t="e">
        <f t="shared" si="1054"/>
        <v>#VALUE!</v>
      </c>
      <c r="AJ517" s="205">
        <f t="shared" si="1015"/>
        <v>-1234873.9893230777</v>
      </c>
      <c r="AK517" s="204" t="e">
        <f t="shared" si="1055"/>
        <v>#VALUE!</v>
      </c>
      <c r="AL517" s="204" t="e">
        <f t="shared" si="1056"/>
        <v>#VALUE!</v>
      </c>
      <c r="AM517" s="204" t="e">
        <f t="shared" si="1057"/>
        <v>#VALUE!</v>
      </c>
      <c r="AN517" s="204" t="e">
        <f t="shared" si="1058"/>
        <v>#VALUE!</v>
      </c>
      <c r="AO517" s="204" t="e">
        <f t="shared" si="1059"/>
        <v>#VALUE!</v>
      </c>
      <c r="AP517" s="204" t="e">
        <f t="shared" si="1060"/>
        <v>#VALUE!</v>
      </c>
      <c r="AQ517" s="204" t="e">
        <f t="shared" si="1061"/>
        <v>#VALUE!</v>
      </c>
      <c r="AR517" s="206" t="e">
        <f t="shared" si="1016"/>
        <v>#VALUE!</v>
      </c>
      <c r="AS517" s="170" t="e">
        <f t="shared" si="1062"/>
        <v>#VALUE!</v>
      </c>
      <c r="AT517" s="170" t="e">
        <f t="shared" si="1063"/>
        <v>#VALUE!</v>
      </c>
      <c r="AU517" s="207" t="e">
        <f t="shared" si="1017"/>
        <v>#VALUE!</v>
      </c>
      <c r="AV517" s="208" t="e">
        <f t="shared" si="1018"/>
        <v>#VALUE!</v>
      </c>
      <c r="AW517" s="201" t="str">
        <f t="shared" si="1019"/>
        <v>Fase de Degradação</v>
      </c>
      <c r="AX517" s="253" t="e">
        <f>VLOOKUP(D517,#REF!,5,FALSE)</f>
        <v>#REF!</v>
      </c>
      <c r="AY517" s="201"/>
      <c r="AZ517" s="273" t="s">
        <v>1224</v>
      </c>
      <c r="BB517">
        <f>IFERROR(VLOOKUP(Tabela1[[#This Row],[Denominação]],[10]Planilha1!$A:$B,2,FALSE),"")</f>
        <v>1205452.4099999988</v>
      </c>
      <c r="BC517" s="219"/>
      <c r="BD517" s="219"/>
      <c r="BE517" s="219"/>
      <c r="BF517" s="219"/>
      <c r="BG517" s="219"/>
      <c r="BH517" s="219"/>
      <c r="BI517" s="219"/>
      <c r="BJ517" s="219"/>
      <c r="BK517" s="219"/>
      <c r="BL517" s="219"/>
    </row>
    <row r="518" spans="1:64" ht="15" hidden="1" customHeight="1" x14ac:dyDescent="0.3">
      <c r="A518" s="253">
        <v>517</v>
      </c>
      <c r="B518" s="171" t="s">
        <v>347</v>
      </c>
      <c r="C518" s="209" t="s">
        <v>168</v>
      </c>
      <c r="D518" s="171">
        <v>10000395</v>
      </c>
      <c r="E518" s="253" t="s">
        <v>1526</v>
      </c>
      <c r="F518" s="210">
        <v>3319</v>
      </c>
      <c r="G518" s="171">
        <v>5700100600</v>
      </c>
      <c r="H518" s="171">
        <v>1982</v>
      </c>
      <c r="I518" s="213">
        <v>621256.14</v>
      </c>
      <c r="J518" s="213">
        <v>80554</v>
      </c>
      <c r="K518" s="170">
        <v>1571071.1099999994</v>
      </c>
      <c r="L518" s="207">
        <v>1.53</v>
      </c>
      <c r="M518" s="212">
        <v>4200.4440000000004</v>
      </c>
      <c r="N518" s="212">
        <v>197981</v>
      </c>
      <c r="O518" s="171">
        <v>1052</v>
      </c>
      <c r="P518" s="271" t="str">
        <f>IFERROR(VLOOKUP(Tabela1[[#This Row],[TAG]],#REF!,14,FALSE),"")</f>
        <v/>
      </c>
      <c r="Q518" s="204" t="e">
        <f t="shared" si="1042"/>
        <v>#VALUE!</v>
      </c>
      <c r="R518" s="204" t="e">
        <f t="shared" si="1043"/>
        <v>#VALUE!</v>
      </c>
      <c r="S518" s="204" t="e">
        <f t="shared" si="1044"/>
        <v>#VALUE!</v>
      </c>
      <c r="T518" s="204" t="e">
        <f t="shared" si="1045"/>
        <v>#VALUE!</v>
      </c>
      <c r="U518" s="204" t="e">
        <f t="shared" si="1046"/>
        <v>#VALUE!</v>
      </c>
      <c r="V518" s="204" t="e">
        <f t="shared" si="1047"/>
        <v>#VALUE!</v>
      </c>
      <c r="W518" s="218">
        <v>966.98</v>
      </c>
      <c r="X518" s="218">
        <v>6651.7</v>
      </c>
      <c r="Y518" s="203">
        <v>0.1</v>
      </c>
      <c r="Z518" s="203">
        <f>IF(Tabela1[[#This Row],[Ano Aquisição]]=2023,0,IFERROR(VLOOKUP(H518,inflação!$F:$H,3,FALSE),""))</f>
        <v>2.5972846153846172</v>
      </c>
      <c r="AA518" s="203">
        <v>0.8</v>
      </c>
      <c r="AB518" s="202">
        <f t="shared" si="1014"/>
        <v>-621256.14</v>
      </c>
      <c r="AC518" s="204" t="e">
        <f t="shared" si="1048"/>
        <v>#VALUE!</v>
      </c>
      <c r="AD518" s="204" t="e">
        <f t="shared" si="1049"/>
        <v>#VALUE!</v>
      </c>
      <c r="AE518" s="204" t="e">
        <f t="shared" si="1050"/>
        <v>#VALUE!</v>
      </c>
      <c r="AF518" s="204" t="e">
        <f t="shared" si="1051"/>
        <v>#VALUE!</v>
      </c>
      <c r="AG518" s="204" t="e">
        <f t="shared" si="1052"/>
        <v>#VALUE!</v>
      </c>
      <c r="AH518" s="204" t="e">
        <f t="shared" si="1053"/>
        <v>#VALUE!</v>
      </c>
      <c r="AI518" s="204" t="e">
        <f t="shared" si="1054"/>
        <v>#VALUE!</v>
      </c>
      <c r="AJ518" s="205">
        <f t="shared" si="1015"/>
        <v>-2234835.1546352319</v>
      </c>
      <c r="AK518" s="204" t="e">
        <f t="shared" si="1055"/>
        <v>#VALUE!</v>
      </c>
      <c r="AL518" s="204" t="e">
        <f t="shared" si="1056"/>
        <v>#VALUE!</v>
      </c>
      <c r="AM518" s="204" t="e">
        <f t="shared" si="1057"/>
        <v>#VALUE!</v>
      </c>
      <c r="AN518" s="204" t="e">
        <f t="shared" si="1058"/>
        <v>#VALUE!</v>
      </c>
      <c r="AO518" s="204" t="e">
        <f t="shared" si="1059"/>
        <v>#VALUE!</v>
      </c>
      <c r="AP518" s="204" t="e">
        <f t="shared" si="1060"/>
        <v>#VALUE!</v>
      </c>
      <c r="AQ518" s="204" t="e">
        <f t="shared" si="1061"/>
        <v>#VALUE!</v>
      </c>
      <c r="AR518" s="206" t="e">
        <f t="shared" si="1016"/>
        <v>#VALUE!</v>
      </c>
      <c r="AS518" s="170" t="e">
        <f t="shared" si="1062"/>
        <v>#VALUE!</v>
      </c>
      <c r="AT518" s="170" t="e">
        <f t="shared" si="1063"/>
        <v>#VALUE!</v>
      </c>
      <c r="AU518" s="207" t="e">
        <f t="shared" si="1017"/>
        <v>#VALUE!</v>
      </c>
      <c r="AV518" s="208" t="e">
        <f t="shared" si="1018"/>
        <v>#VALUE!</v>
      </c>
      <c r="AW518" s="201" t="str">
        <f t="shared" si="1019"/>
        <v>Fase de Degradação</v>
      </c>
      <c r="AX518" s="253" t="e">
        <f>VLOOKUP(D518,#REF!,5,FALSE)</f>
        <v>#REF!</v>
      </c>
      <c r="AY518" s="201"/>
      <c r="AZ518" s="273" t="s">
        <v>1224</v>
      </c>
      <c r="BB518">
        <f>IFERROR(VLOOKUP(Tabela1[[#This Row],[Denominação]],[10]Planilha1!$A:$B,2,FALSE),"")</f>
        <v>1571071.1099999994</v>
      </c>
      <c r="BC518" s="219"/>
      <c r="BD518" s="219"/>
      <c r="BE518" s="219"/>
      <c r="BF518" s="219"/>
      <c r="BG518" s="219"/>
      <c r="BH518" s="219"/>
      <c r="BI518" s="219"/>
      <c r="BJ518" s="219"/>
      <c r="BK518" s="219"/>
      <c r="BL518" s="219"/>
    </row>
    <row r="519" spans="1:64" ht="15" hidden="1" customHeight="1" x14ac:dyDescent="0.3">
      <c r="A519" s="268">
        <v>518</v>
      </c>
      <c r="B519" s="171" t="s">
        <v>380</v>
      </c>
      <c r="C519" s="209" t="s">
        <v>201</v>
      </c>
      <c r="D519" s="171">
        <v>10000402</v>
      </c>
      <c r="E519" s="253" t="s">
        <v>1527</v>
      </c>
      <c r="F519" s="210">
        <v>3316</v>
      </c>
      <c r="G519" s="171">
        <v>5700101700</v>
      </c>
      <c r="H519" s="171">
        <v>1988</v>
      </c>
      <c r="I519" s="213">
        <v>355723.46</v>
      </c>
      <c r="J519" s="213">
        <v>89154</v>
      </c>
      <c r="K519" s="170">
        <v>1000447.4200000003</v>
      </c>
      <c r="L519" s="207">
        <v>1.47</v>
      </c>
      <c r="M519" s="212">
        <v>4392</v>
      </c>
      <c r="N519" s="212">
        <v>198452</v>
      </c>
      <c r="O519" s="171">
        <v>676</v>
      </c>
      <c r="P519" s="271" t="str">
        <f>IFERROR(VLOOKUP(Tabela1[[#This Row],[TAG]],#REF!,14,FALSE),"")</f>
        <v/>
      </c>
      <c r="Q519" s="204" t="e">
        <f t="shared" si="1042"/>
        <v>#VALUE!</v>
      </c>
      <c r="R519" s="204" t="e">
        <f t="shared" si="1043"/>
        <v>#VALUE!</v>
      </c>
      <c r="S519" s="204" t="e">
        <f t="shared" si="1044"/>
        <v>#VALUE!</v>
      </c>
      <c r="T519" s="204" t="e">
        <f t="shared" si="1045"/>
        <v>#VALUE!</v>
      </c>
      <c r="U519" s="204" t="e">
        <f t="shared" si="1046"/>
        <v>#VALUE!</v>
      </c>
      <c r="V519" s="204" t="e">
        <f t="shared" si="1047"/>
        <v>#VALUE!</v>
      </c>
      <c r="W519" s="218">
        <v>1089.79</v>
      </c>
      <c r="X519" s="218">
        <v>5621.7</v>
      </c>
      <c r="Y519" s="203">
        <v>0.1</v>
      </c>
      <c r="Z519" s="203">
        <f>IF(Tabela1[[#This Row],[Ano Aquisição]]=2023,0,IFERROR(VLOOKUP(H519,inflação!$F:$H,3,FALSE),""))</f>
        <v>2.2163769230769237</v>
      </c>
      <c r="AA519" s="203">
        <v>0.8</v>
      </c>
      <c r="AB519" s="202">
        <f t="shared" si="1014"/>
        <v>-355723.46</v>
      </c>
      <c r="AC519" s="204" t="e">
        <f t="shared" si="1048"/>
        <v>#VALUE!</v>
      </c>
      <c r="AD519" s="204" t="e">
        <f t="shared" si="1049"/>
        <v>#VALUE!</v>
      </c>
      <c r="AE519" s="204" t="e">
        <f t="shared" si="1050"/>
        <v>#VALUE!</v>
      </c>
      <c r="AF519" s="204" t="e">
        <f t="shared" si="1051"/>
        <v>#VALUE!</v>
      </c>
      <c r="AG519" s="204" t="e">
        <f t="shared" si="1052"/>
        <v>#VALUE!</v>
      </c>
      <c r="AH519" s="204" t="e">
        <f t="shared" si="1053"/>
        <v>#VALUE!</v>
      </c>
      <c r="AI519" s="204" t="e">
        <f t="shared" si="1054"/>
        <v>#VALUE!</v>
      </c>
      <c r="AJ519" s="205">
        <f t="shared" si="1015"/>
        <v>-1144140.7277410773</v>
      </c>
      <c r="AK519" s="204" t="e">
        <f t="shared" si="1055"/>
        <v>#VALUE!</v>
      </c>
      <c r="AL519" s="204" t="e">
        <f t="shared" si="1056"/>
        <v>#VALUE!</v>
      </c>
      <c r="AM519" s="204" t="e">
        <f t="shared" si="1057"/>
        <v>#VALUE!</v>
      </c>
      <c r="AN519" s="204" t="e">
        <f t="shared" si="1058"/>
        <v>#VALUE!</v>
      </c>
      <c r="AO519" s="204" t="e">
        <f t="shared" si="1059"/>
        <v>#VALUE!</v>
      </c>
      <c r="AP519" s="204" t="e">
        <f t="shared" si="1060"/>
        <v>#VALUE!</v>
      </c>
      <c r="AQ519" s="204" t="e">
        <f t="shared" si="1061"/>
        <v>#VALUE!</v>
      </c>
      <c r="AR519" s="206" t="e">
        <f t="shared" si="1016"/>
        <v>#VALUE!</v>
      </c>
      <c r="AS519" s="170" t="e">
        <f t="shared" si="1062"/>
        <v>#VALUE!</v>
      </c>
      <c r="AT519" s="170" t="e">
        <f t="shared" si="1063"/>
        <v>#VALUE!</v>
      </c>
      <c r="AU519" s="207" t="e">
        <f t="shared" si="1017"/>
        <v>#VALUE!</v>
      </c>
      <c r="AV519" s="208" t="e">
        <f t="shared" si="1018"/>
        <v>#VALUE!</v>
      </c>
      <c r="AW519" s="201" t="str">
        <f t="shared" si="1019"/>
        <v>Fase de Degradação</v>
      </c>
      <c r="AX519" s="253" t="e">
        <f>VLOOKUP(D519,#REF!,5,FALSE)</f>
        <v>#REF!</v>
      </c>
      <c r="AY519" s="201"/>
      <c r="AZ519" s="273" t="s">
        <v>1224</v>
      </c>
      <c r="BB519">
        <f>IFERROR(VLOOKUP(Tabela1[[#This Row],[Denominação]],[10]Planilha1!$A:$B,2,FALSE),"")</f>
        <v>1000447.4200000003</v>
      </c>
      <c r="BC519" s="219"/>
      <c r="BD519" s="219"/>
      <c r="BE519" s="219"/>
      <c r="BF519" s="219"/>
      <c r="BG519" s="219"/>
      <c r="BH519" s="219"/>
      <c r="BI519" s="219"/>
      <c r="BJ519" s="219"/>
      <c r="BK519" s="219"/>
      <c r="BL519" s="219"/>
    </row>
    <row r="520" spans="1:64" ht="15" hidden="1" customHeight="1" x14ac:dyDescent="0.3">
      <c r="A520" s="253">
        <v>519</v>
      </c>
      <c r="B520" s="171" t="s">
        <v>412</v>
      </c>
      <c r="C520" s="209" t="s">
        <v>233</v>
      </c>
      <c r="D520" s="171">
        <v>10000536</v>
      </c>
      <c r="E520" s="253" t="s">
        <v>1528</v>
      </c>
      <c r="F520" s="210">
        <v>2518</v>
      </c>
      <c r="G520" s="171">
        <v>5700200200</v>
      </c>
      <c r="H520" s="171">
        <v>1982</v>
      </c>
      <c r="I520" s="213">
        <v>753053.96</v>
      </c>
      <c r="J520" s="213">
        <v>0</v>
      </c>
      <c r="K520" s="170">
        <v>2064684.9100000006</v>
      </c>
      <c r="L520" s="215">
        <v>1.1100000000000001</v>
      </c>
      <c r="M520" s="320">
        <v>3438</v>
      </c>
      <c r="N520" s="212">
        <v>199309</v>
      </c>
      <c r="O520" s="171">
        <v>1584</v>
      </c>
      <c r="P520" s="271" t="str">
        <f>IFERROR(VLOOKUP(Tabela1[[#This Row],[TAG]],#REF!,14,FALSE),"")</f>
        <v/>
      </c>
      <c r="Q520" s="204" t="e">
        <f t="shared" si="1042"/>
        <v>#VALUE!</v>
      </c>
      <c r="R520" s="204" t="e">
        <f t="shared" si="1043"/>
        <v>#VALUE!</v>
      </c>
      <c r="S520" s="204" t="e">
        <f t="shared" si="1044"/>
        <v>#VALUE!</v>
      </c>
      <c r="T520" s="204" t="e">
        <f t="shared" si="1045"/>
        <v>#VALUE!</v>
      </c>
      <c r="U520" s="204" t="e">
        <f t="shared" si="1046"/>
        <v>#VALUE!</v>
      </c>
      <c r="V520" s="204" t="e">
        <f t="shared" si="1047"/>
        <v>#VALUE!</v>
      </c>
      <c r="W520" s="304">
        <v>758.64</v>
      </c>
      <c r="X520" s="304">
        <v>7522.55</v>
      </c>
      <c r="Y520" s="203">
        <v>0.1</v>
      </c>
      <c r="Z520" s="203">
        <f>IF(Tabela1[[#This Row],[Ano Aquisição]]=2023,0,IFERROR(VLOOKUP(H520,inflação!$F:$H,3,FALSE),""))</f>
        <v>2.5972846153846172</v>
      </c>
      <c r="AA520" s="203">
        <v>0.8</v>
      </c>
      <c r="AB520" s="202">
        <f t="shared" si="1014"/>
        <v>-753053.96</v>
      </c>
      <c r="AC520" s="204" t="e">
        <f t="shared" si="1048"/>
        <v>#VALUE!</v>
      </c>
      <c r="AD520" s="204" t="e">
        <f t="shared" si="1049"/>
        <v>#VALUE!</v>
      </c>
      <c r="AE520" s="204" t="e">
        <f t="shared" si="1050"/>
        <v>#VALUE!</v>
      </c>
      <c r="AF520" s="204" t="e">
        <f t="shared" si="1051"/>
        <v>#VALUE!</v>
      </c>
      <c r="AG520" s="204" t="e">
        <f t="shared" si="1052"/>
        <v>#VALUE!</v>
      </c>
      <c r="AH520" s="204" t="e">
        <f t="shared" si="1053"/>
        <v>#VALUE!</v>
      </c>
      <c r="AI520" s="204" t="e">
        <f t="shared" si="1054"/>
        <v>#VALUE!</v>
      </c>
      <c r="AJ520" s="205">
        <f t="shared" si="1015"/>
        <v>-2708949.4248624626</v>
      </c>
      <c r="AK520" s="204" t="e">
        <f t="shared" si="1055"/>
        <v>#VALUE!</v>
      </c>
      <c r="AL520" s="204" t="e">
        <f t="shared" si="1056"/>
        <v>#VALUE!</v>
      </c>
      <c r="AM520" s="204" t="e">
        <f t="shared" si="1057"/>
        <v>#VALUE!</v>
      </c>
      <c r="AN520" s="204" t="e">
        <f t="shared" si="1058"/>
        <v>#VALUE!</v>
      </c>
      <c r="AO520" s="204" t="e">
        <f t="shared" si="1059"/>
        <v>#VALUE!</v>
      </c>
      <c r="AP520" s="204" t="e">
        <f t="shared" si="1060"/>
        <v>#VALUE!</v>
      </c>
      <c r="AQ520" s="204" t="e">
        <f t="shared" si="1061"/>
        <v>#VALUE!</v>
      </c>
      <c r="AR520" s="206" t="e">
        <f t="shared" si="1016"/>
        <v>#VALUE!</v>
      </c>
      <c r="AS520" s="170" t="e">
        <f t="shared" si="1062"/>
        <v>#VALUE!</v>
      </c>
      <c r="AT520" s="170" t="e">
        <f t="shared" si="1063"/>
        <v>#VALUE!</v>
      </c>
      <c r="AU520" s="207" t="e">
        <f t="shared" si="1017"/>
        <v>#VALUE!</v>
      </c>
      <c r="AV520" s="208" t="e">
        <f t="shared" si="1018"/>
        <v>#VALUE!</v>
      </c>
      <c r="AW520" s="201" t="str">
        <f t="shared" si="1019"/>
        <v>Fase de Degradação</v>
      </c>
      <c r="AX520" s="253" t="e">
        <f>VLOOKUP(D520,#REF!,5,FALSE)</f>
        <v>#REF!</v>
      </c>
      <c r="AY520" s="201"/>
      <c r="AZ520" s="273" t="s">
        <v>1224</v>
      </c>
      <c r="BB520">
        <f>IFERROR(VLOOKUP(Tabela1[[#This Row],[Denominação]],[10]Planilha1!$A:$B,2,FALSE),"")</f>
        <v>2064684.9100000006</v>
      </c>
      <c r="BC520" s="219"/>
      <c r="BD520" s="219"/>
      <c r="BE520" s="219"/>
      <c r="BF520" s="219"/>
      <c r="BG520" s="219"/>
      <c r="BH520" s="219"/>
      <c r="BI520" s="219"/>
      <c r="BJ520" s="219"/>
      <c r="BK520" s="219"/>
      <c r="BL520" s="219"/>
    </row>
    <row r="521" spans="1:64" ht="15" hidden="1" customHeight="1" x14ac:dyDescent="0.3">
      <c r="A521" s="268">
        <v>520</v>
      </c>
      <c r="B521" s="171" t="s">
        <v>42</v>
      </c>
      <c r="C521" s="209" t="s">
        <v>17</v>
      </c>
      <c r="D521" s="171">
        <v>10000542</v>
      </c>
      <c r="E521" s="253" t="s">
        <v>1529</v>
      </c>
      <c r="F521" s="210">
        <v>2520</v>
      </c>
      <c r="G521" s="171">
        <v>5700100900</v>
      </c>
      <c r="H521" s="171">
        <v>1981</v>
      </c>
      <c r="I521" s="213">
        <v>651868.06000000006</v>
      </c>
      <c r="J521" s="213">
        <v>255480</v>
      </c>
      <c r="K521" s="170">
        <v>2190208.1699999943</v>
      </c>
      <c r="L521" s="215">
        <v>0.94</v>
      </c>
      <c r="M521" s="320">
        <v>2343</v>
      </c>
      <c r="N521" s="212">
        <v>198853</v>
      </c>
      <c r="O521" s="171">
        <v>1417</v>
      </c>
      <c r="P521" s="271" t="str">
        <f>IFERROR(VLOOKUP(Tabela1[[#This Row],[TAG]],#REF!,14,FALSE),"")</f>
        <v/>
      </c>
      <c r="Q521" s="204" t="e">
        <f t="shared" si="1042"/>
        <v>#VALUE!</v>
      </c>
      <c r="R521" s="204" t="e">
        <f t="shared" si="1043"/>
        <v>#VALUE!</v>
      </c>
      <c r="S521" s="204" t="e">
        <f t="shared" si="1044"/>
        <v>#VALUE!</v>
      </c>
      <c r="T521" s="204" t="e">
        <f t="shared" si="1045"/>
        <v>#VALUE!</v>
      </c>
      <c r="U521" s="204" t="e">
        <f t="shared" si="1046"/>
        <v>#VALUE!</v>
      </c>
      <c r="V521" s="204" t="e">
        <f t="shared" si="1047"/>
        <v>#VALUE!</v>
      </c>
      <c r="W521" s="304">
        <v>833.21</v>
      </c>
      <c r="X521" s="304">
        <v>11111.29</v>
      </c>
      <c r="Y521" s="203">
        <v>0.1</v>
      </c>
      <c r="Z521" s="203">
        <f>IF(Tabela1[[#This Row],[Ano Aquisição]]=2023,0,IFERROR(VLOOKUP(H521,inflação!$F:$H,3,FALSE),""))</f>
        <v>2.6607692307692328</v>
      </c>
      <c r="AA521" s="203">
        <v>0.8</v>
      </c>
      <c r="AB521" s="202">
        <f t="shared" si="1014"/>
        <v>-651868.06000000006</v>
      </c>
      <c r="AC521" s="204" t="e">
        <f t="shared" si="1048"/>
        <v>#VALUE!</v>
      </c>
      <c r="AD521" s="204" t="e">
        <f t="shared" si="1049"/>
        <v>#VALUE!</v>
      </c>
      <c r="AE521" s="204" t="e">
        <f t="shared" si="1050"/>
        <v>#VALUE!</v>
      </c>
      <c r="AF521" s="204" t="e">
        <f t="shared" si="1051"/>
        <v>#VALUE!</v>
      </c>
      <c r="AG521" s="204" t="e">
        <f t="shared" si="1052"/>
        <v>#VALUE!</v>
      </c>
      <c r="AH521" s="204" t="e">
        <f t="shared" si="1053"/>
        <v>#VALUE!</v>
      </c>
      <c r="AI521" s="204" t="e">
        <f t="shared" si="1054"/>
        <v>#VALUE!</v>
      </c>
      <c r="AJ521" s="205">
        <f t="shared" si="1015"/>
        <v>-2386338.5365692321</v>
      </c>
      <c r="AK521" s="204" t="e">
        <f t="shared" si="1055"/>
        <v>#VALUE!</v>
      </c>
      <c r="AL521" s="204" t="e">
        <f t="shared" si="1056"/>
        <v>#VALUE!</v>
      </c>
      <c r="AM521" s="204" t="e">
        <f t="shared" si="1057"/>
        <v>#VALUE!</v>
      </c>
      <c r="AN521" s="204" t="e">
        <f t="shared" si="1058"/>
        <v>#VALUE!</v>
      </c>
      <c r="AO521" s="204" t="e">
        <f t="shared" si="1059"/>
        <v>#VALUE!</v>
      </c>
      <c r="AP521" s="204" t="e">
        <f t="shared" si="1060"/>
        <v>#VALUE!</v>
      </c>
      <c r="AQ521" s="204" t="e">
        <f t="shared" si="1061"/>
        <v>#VALUE!</v>
      </c>
      <c r="AR521" s="206" t="e">
        <f t="shared" si="1016"/>
        <v>#VALUE!</v>
      </c>
      <c r="AS521" s="170" t="e">
        <f t="shared" si="1062"/>
        <v>#VALUE!</v>
      </c>
      <c r="AT521" s="170" t="e">
        <f t="shared" si="1063"/>
        <v>#VALUE!</v>
      </c>
      <c r="AU521" s="207" t="e">
        <f t="shared" si="1017"/>
        <v>#VALUE!</v>
      </c>
      <c r="AV521" s="208" t="e">
        <f t="shared" si="1018"/>
        <v>#VALUE!</v>
      </c>
      <c r="AW521" s="201" t="str">
        <f t="shared" si="1019"/>
        <v>Confiabilidade em Crescimento</v>
      </c>
      <c r="AX521" s="253" t="e">
        <f>VLOOKUP(D521,#REF!,5,FALSE)</f>
        <v>#REF!</v>
      </c>
      <c r="AY521" s="201"/>
      <c r="AZ521" s="273" t="s">
        <v>1224</v>
      </c>
      <c r="BB521">
        <f>IFERROR(VLOOKUP(Tabela1[[#This Row],[Denominação]],[10]Planilha1!$A:$B,2,FALSE),"")</f>
        <v>2190208.1699999943</v>
      </c>
      <c r="BC521" s="219"/>
      <c r="BD521" s="219"/>
      <c r="BE521" s="219"/>
      <c r="BF521" s="219"/>
      <c r="BG521" s="219"/>
      <c r="BH521" s="219"/>
      <c r="BI521" s="219"/>
      <c r="BJ521" s="219"/>
      <c r="BK521" s="219"/>
      <c r="BL521" s="219"/>
    </row>
    <row r="522" spans="1:64" ht="15" hidden="1" customHeight="1" x14ac:dyDescent="0.3">
      <c r="A522" s="253">
        <v>521</v>
      </c>
      <c r="B522" s="171" t="s">
        <v>43</v>
      </c>
      <c r="C522" s="209" t="s">
        <v>15</v>
      </c>
      <c r="D522" s="171">
        <v>10000553</v>
      </c>
      <c r="E522" s="253" t="s">
        <v>1530</v>
      </c>
      <c r="F522" s="210">
        <v>2520</v>
      </c>
      <c r="G522" s="171">
        <v>34786</v>
      </c>
      <c r="H522" s="171">
        <v>2007</v>
      </c>
      <c r="I522" s="213">
        <v>557689.21</v>
      </c>
      <c r="J522" s="213">
        <v>228024</v>
      </c>
      <c r="K522" s="170">
        <v>2069959.3099999935</v>
      </c>
      <c r="L522" s="215">
        <v>0.89</v>
      </c>
      <c r="M522" s="320">
        <v>4006</v>
      </c>
      <c r="N522" s="212">
        <v>198773</v>
      </c>
      <c r="O522" s="171">
        <v>1535</v>
      </c>
      <c r="P522" s="271" t="str">
        <f>IFERROR(VLOOKUP(Tabela1[[#This Row],[TAG]],#REF!,14,FALSE),"")</f>
        <v/>
      </c>
      <c r="Q522" s="204" t="e">
        <f t="shared" si="1042"/>
        <v>#VALUE!</v>
      </c>
      <c r="R522" s="204" t="e">
        <f t="shared" si="1043"/>
        <v>#VALUE!</v>
      </c>
      <c r="S522" s="204" t="e">
        <f t="shared" si="1044"/>
        <v>#VALUE!</v>
      </c>
      <c r="T522" s="204" t="e">
        <f t="shared" si="1045"/>
        <v>#VALUE!</v>
      </c>
      <c r="U522" s="204" t="e">
        <f t="shared" si="1046"/>
        <v>#VALUE!</v>
      </c>
      <c r="V522" s="204" t="e">
        <f t="shared" si="1047"/>
        <v>#VALUE!</v>
      </c>
      <c r="W522" s="304">
        <v>906.38</v>
      </c>
      <c r="X522" s="304">
        <v>9537.11</v>
      </c>
      <c r="Y522" s="203">
        <v>0.1</v>
      </c>
      <c r="Z522" s="203">
        <f>IF(Tabela1[[#This Row],[Ano Aquisição]]=2023,0,IFERROR(VLOOKUP(H522,inflação!$F:$H,3,FALSE),""))</f>
        <v>0.93579999999999997</v>
      </c>
      <c r="AA522" s="203">
        <v>0.8</v>
      </c>
      <c r="AB522" s="202">
        <f t="shared" si="1014"/>
        <v>-557689.21</v>
      </c>
      <c r="AC522" s="204" t="e">
        <f t="shared" si="1048"/>
        <v>#VALUE!</v>
      </c>
      <c r="AD522" s="204" t="e">
        <f t="shared" si="1049"/>
        <v>#VALUE!</v>
      </c>
      <c r="AE522" s="204" t="e">
        <f t="shared" si="1050"/>
        <v>#VALUE!</v>
      </c>
      <c r="AF522" s="204" t="e">
        <f t="shared" si="1051"/>
        <v>#VALUE!</v>
      </c>
      <c r="AG522" s="204" t="e">
        <f t="shared" si="1052"/>
        <v>#VALUE!</v>
      </c>
      <c r="AH522" s="204" t="e">
        <f t="shared" si="1053"/>
        <v>#VALUE!</v>
      </c>
      <c r="AI522" s="204" t="e">
        <f t="shared" si="1054"/>
        <v>#VALUE!</v>
      </c>
      <c r="AJ522" s="205">
        <f t="shared" si="1015"/>
        <v>-1079574.772718</v>
      </c>
      <c r="AK522" s="204" t="e">
        <f t="shared" si="1055"/>
        <v>#VALUE!</v>
      </c>
      <c r="AL522" s="204" t="e">
        <f t="shared" si="1056"/>
        <v>#VALUE!</v>
      </c>
      <c r="AM522" s="204" t="e">
        <f t="shared" si="1057"/>
        <v>#VALUE!</v>
      </c>
      <c r="AN522" s="204" t="e">
        <f t="shared" si="1058"/>
        <v>#VALUE!</v>
      </c>
      <c r="AO522" s="204" t="e">
        <f t="shared" si="1059"/>
        <v>#VALUE!</v>
      </c>
      <c r="AP522" s="204" t="e">
        <f t="shared" si="1060"/>
        <v>#VALUE!</v>
      </c>
      <c r="AQ522" s="204" t="e">
        <f t="shared" si="1061"/>
        <v>#VALUE!</v>
      </c>
      <c r="AR522" s="206" t="e">
        <f t="shared" si="1016"/>
        <v>#VALUE!</v>
      </c>
      <c r="AS522" s="170" t="e">
        <f t="shared" si="1062"/>
        <v>#VALUE!</v>
      </c>
      <c r="AT522" s="170" t="e">
        <f t="shared" si="1063"/>
        <v>#VALUE!</v>
      </c>
      <c r="AU522" s="207" t="e">
        <f t="shared" si="1017"/>
        <v>#VALUE!</v>
      </c>
      <c r="AV522" s="208" t="e">
        <f t="shared" si="1018"/>
        <v>#VALUE!</v>
      </c>
      <c r="AW522" s="201" t="str">
        <f t="shared" si="1019"/>
        <v>Confiabilidade em Crescimento</v>
      </c>
      <c r="AX522" s="253" t="e">
        <f>VLOOKUP(D522,#REF!,5,FALSE)</f>
        <v>#REF!</v>
      </c>
      <c r="AY522" s="201"/>
      <c r="AZ522" s="273" t="s">
        <v>1224</v>
      </c>
      <c r="BB522">
        <f>IFERROR(VLOOKUP(Tabela1[[#This Row],[Denominação]],[10]Planilha1!$A:$B,2,FALSE),"")</f>
        <v>2069959.3099999935</v>
      </c>
      <c r="BC522" s="219"/>
      <c r="BD522" s="219"/>
      <c r="BE522" s="219"/>
      <c r="BF522" s="219"/>
      <c r="BG522" s="219"/>
      <c r="BH522" s="219"/>
      <c r="BI522" s="219"/>
      <c r="BJ522" s="219"/>
      <c r="BK522" s="219"/>
      <c r="BL522" s="219"/>
    </row>
    <row r="523" spans="1:64" ht="15" hidden="1" customHeight="1" x14ac:dyDescent="0.3">
      <c r="A523" s="268">
        <v>522</v>
      </c>
      <c r="B523" s="171" t="s">
        <v>19</v>
      </c>
      <c r="C523" s="209" t="s">
        <v>16</v>
      </c>
      <c r="D523" s="171">
        <v>10000564</v>
      </c>
      <c r="E523" s="253" t="s">
        <v>1531</v>
      </c>
      <c r="F523" s="210">
        <v>2520</v>
      </c>
      <c r="G523" s="171">
        <v>20040</v>
      </c>
      <c r="H523" s="171">
        <v>1982</v>
      </c>
      <c r="I523" s="213">
        <v>605586.18000000005</v>
      </c>
      <c r="J523" s="213">
        <v>173806</v>
      </c>
      <c r="K523" s="170">
        <v>2146002.349999995</v>
      </c>
      <c r="L523" s="215">
        <v>0.88</v>
      </c>
      <c r="M523" s="320">
        <v>4026</v>
      </c>
      <c r="N523" s="212">
        <v>199412</v>
      </c>
      <c r="O523" s="171">
        <v>1717</v>
      </c>
      <c r="P523" s="271" t="str">
        <f>IFERROR(VLOOKUP(Tabela1[[#This Row],[TAG]],#REF!,14,FALSE),"")</f>
        <v/>
      </c>
      <c r="Q523" s="204" t="e">
        <f t="shared" si="1042"/>
        <v>#VALUE!</v>
      </c>
      <c r="R523" s="204" t="e">
        <f t="shared" si="1043"/>
        <v>#VALUE!</v>
      </c>
      <c r="S523" s="204" t="e">
        <f t="shared" si="1044"/>
        <v>#VALUE!</v>
      </c>
      <c r="T523" s="204" t="e">
        <f t="shared" si="1045"/>
        <v>#VALUE!</v>
      </c>
      <c r="U523" s="204" t="e">
        <f t="shared" si="1046"/>
        <v>#VALUE!</v>
      </c>
      <c r="V523" s="204" t="e">
        <f t="shared" si="1047"/>
        <v>#VALUE!</v>
      </c>
      <c r="W523" s="304">
        <v>956.84</v>
      </c>
      <c r="X523" s="304">
        <v>11957.37</v>
      </c>
      <c r="Y523" s="203">
        <v>0.1</v>
      </c>
      <c r="Z523" s="203">
        <f>IF(Tabela1[[#This Row],[Ano Aquisição]]=2023,0,IFERROR(VLOOKUP(H523,inflação!$F:$H,3,FALSE),""))</f>
        <v>2.5972846153846172</v>
      </c>
      <c r="AA523" s="203">
        <v>0.8</v>
      </c>
      <c r="AB523" s="202">
        <f t="shared" si="1014"/>
        <v>-605586.18000000005</v>
      </c>
      <c r="AC523" s="204" t="e">
        <f t="shared" si="1048"/>
        <v>#VALUE!</v>
      </c>
      <c r="AD523" s="204" t="e">
        <f t="shared" si="1049"/>
        <v>#VALUE!</v>
      </c>
      <c r="AE523" s="204" t="e">
        <f t="shared" si="1050"/>
        <v>#VALUE!</v>
      </c>
      <c r="AF523" s="204" t="e">
        <f t="shared" si="1051"/>
        <v>#VALUE!</v>
      </c>
      <c r="AG523" s="204" t="e">
        <f t="shared" si="1052"/>
        <v>#VALUE!</v>
      </c>
      <c r="AH523" s="204" t="e">
        <f t="shared" si="1053"/>
        <v>#VALUE!</v>
      </c>
      <c r="AI523" s="204" t="e">
        <f t="shared" si="1054"/>
        <v>#VALUE!</v>
      </c>
      <c r="AJ523" s="205">
        <f t="shared" si="1015"/>
        <v>-2178465.8486035396</v>
      </c>
      <c r="AK523" s="204" t="e">
        <f t="shared" si="1055"/>
        <v>#VALUE!</v>
      </c>
      <c r="AL523" s="204" t="e">
        <f t="shared" si="1056"/>
        <v>#VALUE!</v>
      </c>
      <c r="AM523" s="204" t="e">
        <f t="shared" si="1057"/>
        <v>#VALUE!</v>
      </c>
      <c r="AN523" s="204" t="e">
        <f t="shared" si="1058"/>
        <v>#VALUE!</v>
      </c>
      <c r="AO523" s="204" t="e">
        <f t="shared" si="1059"/>
        <v>#VALUE!</v>
      </c>
      <c r="AP523" s="204" t="e">
        <f t="shared" si="1060"/>
        <v>#VALUE!</v>
      </c>
      <c r="AQ523" s="204" t="e">
        <f t="shared" si="1061"/>
        <v>#VALUE!</v>
      </c>
      <c r="AR523" s="206" t="e">
        <f t="shared" si="1016"/>
        <v>#VALUE!</v>
      </c>
      <c r="AS523" s="170" t="e">
        <f t="shared" si="1062"/>
        <v>#VALUE!</v>
      </c>
      <c r="AT523" s="170" t="e">
        <f t="shared" si="1063"/>
        <v>#VALUE!</v>
      </c>
      <c r="AU523" s="207" t="e">
        <f t="shared" si="1017"/>
        <v>#VALUE!</v>
      </c>
      <c r="AV523" s="208" t="e">
        <f t="shared" si="1018"/>
        <v>#VALUE!</v>
      </c>
      <c r="AW523" s="201" t="str">
        <f t="shared" si="1019"/>
        <v>Confiabilidade em Crescimento</v>
      </c>
      <c r="AX523" s="253" t="e">
        <f>VLOOKUP(D523,#REF!,5,FALSE)</f>
        <v>#REF!</v>
      </c>
      <c r="AY523" s="201"/>
      <c r="AZ523" s="273" t="s">
        <v>1224</v>
      </c>
      <c r="BB523">
        <f>IFERROR(VLOOKUP(Tabela1[[#This Row],[Denominação]],[10]Planilha1!$A:$B,2,FALSE),"")</f>
        <v>2146002.349999995</v>
      </c>
      <c r="BC523" s="219"/>
      <c r="BD523" s="219"/>
      <c r="BE523" s="219"/>
      <c r="BF523" s="219"/>
      <c r="BG523" s="219"/>
      <c r="BH523" s="219"/>
      <c r="BI523" s="219"/>
      <c r="BJ523" s="219"/>
      <c r="BK523" s="219"/>
      <c r="BL523" s="219"/>
    </row>
    <row r="524" spans="1:64" ht="15" hidden="1" customHeight="1" x14ac:dyDescent="0.3">
      <c r="A524" s="253">
        <v>523</v>
      </c>
      <c r="B524" s="171" t="s">
        <v>313</v>
      </c>
      <c r="C524" s="209" t="s">
        <v>112</v>
      </c>
      <c r="D524" s="171">
        <v>10000575</v>
      </c>
      <c r="E524" s="253" t="s">
        <v>1532</v>
      </c>
      <c r="F524" s="210">
        <v>2520</v>
      </c>
      <c r="G524" s="171">
        <v>5700101100</v>
      </c>
      <c r="H524" s="171">
        <v>1986</v>
      </c>
      <c r="I524" s="213">
        <v>620106.74</v>
      </c>
      <c r="J524" s="213">
        <v>179965</v>
      </c>
      <c r="K524" s="170">
        <v>1729322.9999999953</v>
      </c>
      <c r="L524" s="215">
        <v>0.86</v>
      </c>
      <c r="M524" s="320">
        <v>2479</v>
      </c>
      <c r="N524" s="212">
        <v>199211</v>
      </c>
      <c r="O524" s="171">
        <v>1338</v>
      </c>
      <c r="P524" s="271" t="str">
        <f>IFERROR(VLOOKUP(Tabela1[[#This Row],[TAG]],#REF!,14,FALSE),"")</f>
        <v/>
      </c>
      <c r="Q524" s="204" t="e">
        <f t="shared" si="1042"/>
        <v>#VALUE!</v>
      </c>
      <c r="R524" s="204" t="e">
        <f t="shared" si="1043"/>
        <v>#VALUE!</v>
      </c>
      <c r="S524" s="204" t="e">
        <f t="shared" si="1044"/>
        <v>#VALUE!</v>
      </c>
      <c r="T524" s="204" t="e">
        <f t="shared" si="1045"/>
        <v>#VALUE!</v>
      </c>
      <c r="U524" s="204" t="e">
        <f t="shared" si="1046"/>
        <v>#VALUE!</v>
      </c>
      <c r="V524" s="204" t="e">
        <f t="shared" si="1047"/>
        <v>#VALUE!</v>
      </c>
      <c r="W524" s="304">
        <v>900.19</v>
      </c>
      <c r="X524" s="304">
        <v>7932.76</v>
      </c>
      <c r="Y524" s="203">
        <v>0.1</v>
      </c>
      <c r="Z524" s="203">
        <f>IF(Tabela1[[#This Row],[Ano Aquisição]]=2023,0,IFERROR(VLOOKUP(H524,inflação!$F:$H,3,FALSE),""))</f>
        <v>2.3433461538461549</v>
      </c>
      <c r="AA524" s="203">
        <v>0.8</v>
      </c>
      <c r="AB524" s="202">
        <f t="shared" si="1014"/>
        <v>-620106.74</v>
      </c>
      <c r="AC524" s="204" t="e">
        <f t="shared" si="1048"/>
        <v>#VALUE!</v>
      </c>
      <c r="AD524" s="204" t="e">
        <f t="shared" si="1049"/>
        <v>#VALUE!</v>
      </c>
      <c r="AE524" s="204" t="e">
        <f t="shared" si="1050"/>
        <v>#VALUE!</v>
      </c>
      <c r="AF524" s="204" t="e">
        <f t="shared" si="1051"/>
        <v>#VALUE!</v>
      </c>
      <c r="AG524" s="204" t="e">
        <f t="shared" si="1052"/>
        <v>#VALUE!</v>
      </c>
      <c r="AH524" s="204" t="e">
        <f t="shared" si="1053"/>
        <v>#VALUE!</v>
      </c>
      <c r="AI524" s="204" t="e">
        <f t="shared" si="1054"/>
        <v>#VALUE!</v>
      </c>
      <c r="AJ524" s="205">
        <f t="shared" si="1015"/>
        <v>-2073231.4841530775</v>
      </c>
      <c r="AK524" s="204" t="e">
        <f t="shared" si="1055"/>
        <v>#VALUE!</v>
      </c>
      <c r="AL524" s="204" t="e">
        <f t="shared" si="1056"/>
        <v>#VALUE!</v>
      </c>
      <c r="AM524" s="204" t="e">
        <f t="shared" si="1057"/>
        <v>#VALUE!</v>
      </c>
      <c r="AN524" s="204" t="e">
        <f t="shared" si="1058"/>
        <v>#VALUE!</v>
      </c>
      <c r="AO524" s="204" t="e">
        <f t="shared" si="1059"/>
        <v>#VALUE!</v>
      </c>
      <c r="AP524" s="204" t="e">
        <f t="shared" si="1060"/>
        <v>#VALUE!</v>
      </c>
      <c r="AQ524" s="204" t="e">
        <f t="shared" si="1061"/>
        <v>#VALUE!</v>
      </c>
      <c r="AR524" s="206" t="e">
        <f t="shared" si="1016"/>
        <v>#VALUE!</v>
      </c>
      <c r="AS524" s="170" t="e">
        <f t="shared" si="1062"/>
        <v>#VALUE!</v>
      </c>
      <c r="AT524" s="170" t="e">
        <f t="shared" si="1063"/>
        <v>#VALUE!</v>
      </c>
      <c r="AU524" s="207" t="e">
        <f t="shared" si="1017"/>
        <v>#VALUE!</v>
      </c>
      <c r="AV524" s="208" t="e">
        <f t="shared" si="1018"/>
        <v>#VALUE!</v>
      </c>
      <c r="AW524" s="201" t="str">
        <f t="shared" si="1019"/>
        <v>Confiabilidade em Crescimento</v>
      </c>
      <c r="AX524" s="253" t="e">
        <f>VLOOKUP(D524,#REF!,5,FALSE)</f>
        <v>#REF!</v>
      </c>
      <c r="AY524" s="201"/>
      <c r="AZ524" s="273" t="s">
        <v>1224</v>
      </c>
      <c r="BB524">
        <f>IFERROR(VLOOKUP(Tabela1[[#This Row],[Denominação]],[10]Planilha1!$A:$B,2,FALSE),"")</f>
        <v>1729322.9999999953</v>
      </c>
      <c r="BC524" s="219"/>
      <c r="BD524" s="219"/>
      <c r="BE524" s="219"/>
      <c r="BF524" s="219"/>
      <c r="BG524" s="219"/>
      <c r="BH524" s="219"/>
      <c r="BI524" s="219"/>
      <c r="BJ524" s="219"/>
      <c r="BK524" s="219"/>
      <c r="BL524" s="219"/>
    </row>
    <row r="525" spans="1:64" ht="15" hidden="1" customHeight="1" x14ac:dyDescent="0.3">
      <c r="A525" s="268">
        <v>524</v>
      </c>
      <c r="B525" s="171" t="s">
        <v>44</v>
      </c>
      <c r="C525" s="209" t="s">
        <v>14</v>
      </c>
      <c r="D525" s="171">
        <v>10000586</v>
      </c>
      <c r="E525" s="253" t="s">
        <v>1533</v>
      </c>
      <c r="F525" s="210">
        <v>2520</v>
      </c>
      <c r="G525" s="171">
        <v>5700200400</v>
      </c>
      <c r="H525" s="171">
        <v>1989</v>
      </c>
      <c r="I525" s="213">
        <v>548737.44999999995</v>
      </c>
      <c r="J525" s="213">
        <v>230285</v>
      </c>
      <c r="K525" s="170">
        <v>2045599.6299999962</v>
      </c>
      <c r="L525" s="215">
        <v>1.1200000000000001</v>
      </c>
      <c r="M525" s="320">
        <v>4458</v>
      </c>
      <c r="N525" s="212">
        <v>197997</v>
      </c>
      <c r="O525" s="171">
        <v>1760</v>
      </c>
      <c r="P525" s="271" t="str">
        <f>IFERROR(VLOOKUP(Tabela1[[#This Row],[TAG]],#REF!,14,FALSE),"")</f>
        <v/>
      </c>
      <c r="Q525" s="204" t="e">
        <f t="shared" si="1042"/>
        <v>#VALUE!</v>
      </c>
      <c r="R525" s="204" t="e">
        <f t="shared" si="1043"/>
        <v>#VALUE!</v>
      </c>
      <c r="S525" s="204" t="e">
        <f t="shared" si="1044"/>
        <v>#VALUE!</v>
      </c>
      <c r="T525" s="204" t="e">
        <f t="shared" si="1045"/>
        <v>#VALUE!</v>
      </c>
      <c r="U525" s="204" t="e">
        <f t="shared" si="1046"/>
        <v>#VALUE!</v>
      </c>
      <c r="V525" s="204" t="e">
        <f t="shared" si="1047"/>
        <v>#VALUE!</v>
      </c>
      <c r="W525" s="304">
        <v>884.07</v>
      </c>
      <c r="X525" s="304">
        <v>9491.17</v>
      </c>
      <c r="Y525" s="203">
        <v>0.1</v>
      </c>
      <c r="Z525" s="203">
        <f>IF(Tabela1[[#This Row],[Ano Aquisição]]=2023,0,IFERROR(VLOOKUP(H525,inflação!$F:$H,3,FALSE),""))</f>
        <v>2.1528923076923081</v>
      </c>
      <c r="AA525" s="203">
        <v>0.8</v>
      </c>
      <c r="AB525" s="202">
        <f t="shared" si="1014"/>
        <v>-548737.44999999995</v>
      </c>
      <c r="AC525" s="204" t="e">
        <f t="shared" si="1048"/>
        <v>#VALUE!</v>
      </c>
      <c r="AD525" s="204" t="e">
        <f t="shared" si="1049"/>
        <v>#VALUE!</v>
      </c>
      <c r="AE525" s="204" t="e">
        <f t="shared" si="1050"/>
        <v>#VALUE!</v>
      </c>
      <c r="AF525" s="204" t="e">
        <f t="shared" si="1051"/>
        <v>#VALUE!</v>
      </c>
      <c r="AG525" s="204" t="e">
        <f t="shared" si="1052"/>
        <v>#VALUE!</v>
      </c>
      <c r="AH525" s="204" t="e">
        <f t="shared" si="1053"/>
        <v>#VALUE!</v>
      </c>
      <c r="AI525" s="204" t="e">
        <f t="shared" si="1054"/>
        <v>#VALUE!</v>
      </c>
      <c r="AJ525" s="205">
        <f t="shared" si="1015"/>
        <v>-1730110.0850476923</v>
      </c>
      <c r="AK525" s="204" t="e">
        <f t="shared" si="1055"/>
        <v>#VALUE!</v>
      </c>
      <c r="AL525" s="204" t="e">
        <f t="shared" si="1056"/>
        <v>#VALUE!</v>
      </c>
      <c r="AM525" s="204" t="e">
        <f t="shared" si="1057"/>
        <v>#VALUE!</v>
      </c>
      <c r="AN525" s="204" t="e">
        <f t="shared" si="1058"/>
        <v>#VALUE!</v>
      </c>
      <c r="AO525" s="204" t="e">
        <f t="shared" si="1059"/>
        <v>#VALUE!</v>
      </c>
      <c r="AP525" s="204" t="e">
        <f t="shared" si="1060"/>
        <v>#VALUE!</v>
      </c>
      <c r="AQ525" s="204" t="e">
        <f t="shared" si="1061"/>
        <v>#VALUE!</v>
      </c>
      <c r="AR525" s="206" t="e">
        <f t="shared" si="1016"/>
        <v>#VALUE!</v>
      </c>
      <c r="AS525" s="170" t="e">
        <f t="shared" si="1062"/>
        <v>#VALUE!</v>
      </c>
      <c r="AT525" s="170" t="e">
        <f t="shared" si="1063"/>
        <v>#VALUE!</v>
      </c>
      <c r="AU525" s="207" t="e">
        <f t="shared" si="1017"/>
        <v>#VALUE!</v>
      </c>
      <c r="AV525" s="208" t="e">
        <f t="shared" si="1018"/>
        <v>#VALUE!</v>
      </c>
      <c r="AW525" s="201" t="str">
        <f t="shared" si="1019"/>
        <v>Fase de Degradação</v>
      </c>
      <c r="AX525" s="253" t="e">
        <f>VLOOKUP(D525,#REF!,5,FALSE)</f>
        <v>#REF!</v>
      </c>
      <c r="AY525" s="201"/>
      <c r="AZ525" s="273" t="s">
        <v>1224</v>
      </c>
      <c r="BB525">
        <f>IFERROR(VLOOKUP(Tabela1[[#This Row],[Denominação]],[10]Planilha1!$A:$B,2,FALSE),"")</f>
        <v>2045599.6299999962</v>
      </c>
      <c r="BC525" s="219"/>
      <c r="BD525" s="219"/>
      <c r="BE525" s="219"/>
      <c r="BF525" s="219"/>
      <c r="BG525" s="219"/>
      <c r="BH525" s="219"/>
      <c r="BI525" s="219"/>
      <c r="BJ525" s="219"/>
      <c r="BK525" s="219"/>
      <c r="BL525" s="219"/>
    </row>
    <row r="526" spans="1:64" ht="15" hidden="1" customHeight="1" x14ac:dyDescent="0.3">
      <c r="A526" s="253">
        <v>525</v>
      </c>
      <c r="B526" s="315" t="s">
        <v>1140</v>
      </c>
      <c r="C526" s="318" t="s">
        <v>1141</v>
      </c>
      <c r="D526" s="315">
        <v>10004444</v>
      </c>
      <c r="E526" s="299" t="s">
        <v>1323</v>
      </c>
      <c r="F526" s="299">
        <v>1074</v>
      </c>
      <c r="G526" s="315">
        <v>20009</v>
      </c>
      <c r="H526" s="315">
        <v>1989</v>
      </c>
      <c r="I526" s="329">
        <v>192673.02</v>
      </c>
      <c r="J526" s="330">
        <v>21992</v>
      </c>
      <c r="K526" s="326">
        <v>73453.94</v>
      </c>
      <c r="L526" s="319">
        <v>1.19</v>
      </c>
      <c r="M526" s="320">
        <v>4116</v>
      </c>
      <c r="N526" s="320">
        <v>104864</v>
      </c>
      <c r="O526" s="321">
        <v>52</v>
      </c>
      <c r="P526" s="271" t="str">
        <f>IFERROR(VLOOKUP(Tabela1[[#This Row],[TAG]],#REF!,14,FALSE),"")</f>
        <v/>
      </c>
      <c r="Q526" s="323" t="e">
        <f t="shared" si="1042"/>
        <v>#VALUE!</v>
      </c>
      <c r="R526" s="323" t="e">
        <f t="shared" si="1043"/>
        <v>#VALUE!</v>
      </c>
      <c r="S526" s="323" t="e">
        <f t="shared" si="1044"/>
        <v>#VALUE!</v>
      </c>
      <c r="T526" s="323" t="e">
        <f t="shared" si="1045"/>
        <v>#VALUE!</v>
      </c>
      <c r="U526" s="323" t="e">
        <f t="shared" si="1046"/>
        <v>#VALUE!</v>
      </c>
      <c r="V526" s="323" t="e">
        <f t="shared" si="1047"/>
        <v>#VALUE!</v>
      </c>
      <c r="W526" s="304">
        <v>202.56</v>
      </c>
      <c r="X526" s="326">
        <v>158.82750000000001</v>
      </c>
      <c r="Y526" s="322">
        <v>0.1</v>
      </c>
      <c r="Z526" s="322">
        <f>IF(Tabela1[[#This Row],[Ano Aquisição]]=2023,0,IFERROR(VLOOKUP(H526,inflação!$F:$H,3,FALSE),""))</f>
        <v>2.1528923076923081</v>
      </c>
      <c r="AA526" s="322">
        <v>0.8</v>
      </c>
      <c r="AB526" s="310">
        <f t="shared" si="1014"/>
        <v>-192673.02</v>
      </c>
      <c r="AC526" s="323" t="e">
        <f t="shared" si="1048"/>
        <v>#VALUE!</v>
      </c>
      <c r="AD526" s="323" t="e">
        <f t="shared" si="1049"/>
        <v>#VALUE!</v>
      </c>
      <c r="AE526" s="323" t="e">
        <f t="shared" si="1050"/>
        <v>#VALUE!</v>
      </c>
      <c r="AF526" s="323" t="e">
        <f t="shared" si="1051"/>
        <v>#VALUE!</v>
      </c>
      <c r="AG526" s="323" t="e">
        <f t="shared" si="1052"/>
        <v>#VALUE!</v>
      </c>
      <c r="AH526" s="323" t="e">
        <f t="shared" si="1053"/>
        <v>#VALUE!</v>
      </c>
      <c r="AI526" s="323" t="e">
        <f t="shared" si="1054"/>
        <v>#VALUE!</v>
      </c>
      <c r="AJ526" s="324">
        <f t="shared" si="1015"/>
        <v>-607477.28265784623</v>
      </c>
      <c r="AK526" s="323" t="e">
        <f t="shared" si="1055"/>
        <v>#VALUE!</v>
      </c>
      <c r="AL526" s="323" t="e">
        <f t="shared" si="1056"/>
        <v>#VALUE!</v>
      </c>
      <c r="AM526" s="323" t="e">
        <f t="shared" si="1057"/>
        <v>#VALUE!</v>
      </c>
      <c r="AN526" s="323" t="e">
        <f t="shared" si="1058"/>
        <v>#VALUE!</v>
      </c>
      <c r="AO526" s="323" t="e">
        <f t="shared" si="1059"/>
        <v>#VALUE!</v>
      </c>
      <c r="AP526" s="323" t="e">
        <f t="shared" si="1060"/>
        <v>#VALUE!</v>
      </c>
      <c r="AQ526" s="323" t="e">
        <f t="shared" si="1061"/>
        <v>#VALUE!</v>
      </c>
      <c r="AR526" s="325" t="e">
        <f t="shared" si="1016"/>
        <v>#VALUE!</v>
      </c>
      <c r="AS526" s="326" t="e">
        <f t="shared" si="1062"/>
        <v>#VALUE!</v>
      </c>
      <c r="AT526" s="326" t="e">
        <f t="shared" si="1063"/>
        <v>#VALUE!</v>
      </c>
      <c r="AU526" s="319" t="e">
        <f t="shared" si="1017"/>
        <v>#VALUE!</v>
      </c>
      <c r="AV526" s="327" t="e">
        <f t="shared" si="1018"/>
        <v>#VALUE!</v>
      </c>
      <c r="AW526" s="315" t="str">
        <f t="shared" si="1019"/>
        <v>Fase de Degradação</v>
      </c>
      <c r="AX526" s="299" t="e">
        <f>VLOOKUP(D526,#REF!,5,FALSE)</f>
        <v>#REF!</v>
      </c>
      <c r="AY526" s="315"/>
      <c r="AZ526" s="316" t="s">
        <v>1224</v>
      </c>
      <c r="BB526" t="str">
        <f>IFERROR(VLOOKUP(Tabela1[[#This Row],[Denominação]],[10]Planilha1!$A:$B,2,FALSE),"")</f>
        <v/>
      </c>
      <c r="BC526" s="219"/>
      <c r="BD526" s="219"/>
      <c r="BE526" s="219"/>
      <c r="BF526" s="219"/>
      <c r="BG526" s="219"/>
      <c r="BH526" s="219"/>
      <c r="BI526" s="219"/>
      <c r="BJ526" s="219"/>
      <c r="BK526" s="219"/>
      <c r="BL526" s="219"/>
    </row>
    <row r="527" spans="1:64" ht="15" hidden="1" customHeight="1" x14ac:dyDescent="0.3">
      <c r="A527" s="268">
        <v>526</v>
      </c>
      <c r="B527" s="171" t="s">
        <v>669</v>
      </c>
      <c r="C527" s="209" t="s">
        <v>670</v>
      </c>
      <c r="D527" s="171">
        <v>10002062</v>
      </c>
      <c r="E527" s="253" t="s">
        <v>1534</v>
      </c>
      <c r="F527" s="210">
        <v>2522</v>
      </c>
      <c r="G527" s="171">
        <v>20362</v>
      </c>
      <c r="H527" s="171">
        <v>2001</v>
      </c>
      <c r="I527" s="213">
        <v>14080</v>
      </c>
      <c r="J527" s="213">
        <v>0</v>
      </c>
      <c r="K527" s="170">
        <v>133617.51</v>
      </c>
      <c r="L527" s="215">
        <v>1.34</v>
      </c>
      <c r="M527" s="307">
        <v>4795.2647999999999</v>
      </c>
      <c r="N527" s="212">
        <v>179783</v>
      </c>
      <c r="O527" s="171">
        <v>73</v>
      </c>
      <c r="P527" s="271" t="str">
        <f>IFERROR(VLOOKUP(Tabela1[[#This Row],[TAG]],#REF!,14,FALSE),"")</f>
        <v/>
      </c>
      <c r="Q527" s="204" t="e">
        <f t="shared" si="1042"/>
        <v>#VALUE!</v>
      </c>
      <c r="R527" s="204" t="e">
        <f t="shared" si="1043"/>
        <v>#VALUE!</v>
      </c>
      <c r="S527" s="204" t="e">
        <f t="shared" si="1044"/>
        <v>#VALUE!</v>
      </c>
      <c r="T527" s="204" t="e">
        <f t="shared" si="1045"/>
        <v>#VALUE!</v>
      </c>
      <c r="U527" s="204" t="e">
        <f t="shared" si="1046"/>
        <v>#VALUE!</v>
      </c>
      <c r="V527" s="204" t="e">
        <f t="shared" si="1047"/>
        <v>#VALUE!</v>
      </c>
      <c r="W527" s="304">
        <v>596.09</v>
      </c>
      <c r="X527" s="304">
        <v>747.53</v>
      </c>
      <c r="Y527" s="203">
        <v>0.1</v>
      </c>
      <c r="Z527" s="203">
        <f>IF(Tabela1[[#This Row],[Ano Aquisição]]=2023,0,IFERROR(VLOOKUP(H527,inflação!$F:$H,3,FALSE),""))</f>
        <v>1.3951</v>
      </c>
      <c r="AA527" s="203">
        <v>0.8</v>
      </c>
      <c r="AB527" s="202">
        <f t="shared" si="1014"/>
        <v>-14080</v>
      </c>
      <c r="AC527" s="204" t="e">
        <f t="shared" si="1048"/>
        <v>#VALUE!</v>
      </c>
      <c r="AD527" s="204" t="e">
        <f t="shared" si="1049"/>
        <v>#VALUE!</v>
      </c>
      <c r="AE527" s="204" t="e">
        <f t="shared" si="1050"/>
        <v>#VALUE!</v>
      </c>
      <c r="AF527" s="204" t="e">
        <f t="shared" si="1051"/>
        <v>#VALUE!</v>
      </c>
      <c r="AG527" s="204" t="e">
        <f t="shared" si="1052"/>
        <v>#VALUE!</v>
      </c>
      <c r="AH527" s="204" t="e">
        <f t="shared" si="1053"/>
        <v>#VALUE!</v>
      </c>
      <c r="AI527" s="204" t="e">
        <f t="shared" si="1054"/>
        <v>#VALUE!</v>
      </c>
      <c r="AJ527" s="205">
        <f t="shared" si="1015"/>
        <v>-33723.008000000002</v>
      </c>
      <c r="AK527" s="204" t="e">
        <f t="shared" si="1055"/>
        <v>#VALUE!</v>
      </c>
      <c r="AL527" s="204" t="e">
        <f t="shared" si="1056"/>
        <v>#VALUE!</v>
      </c>
      <c r="AM527" s="204" t="e">
        <f t="shared" si="1057"/>
        <v>#VALUE!</v>
      </c>
      <c r="AN527" s="204" t="e">
        <f t="shared" si="1058"/>
        <v>#VALUE!</v>
      </c>
      <c r="AO527" s="204" t="e">
        <f t="shared" si="1059"/>
        <v>#VALUE!</v>
      </c>
      <c r="AP527" s="204" t="e">
        <f t="shared" si="1060"/>
        <v>#VALUE!</v>
      </c>
      <c r="AQ527" s="204" t="e">
        <f t="shared" si="1061"/>
        <v>#VALUE!</v>
      </c>
      <c r="AR527" s="206" t="e">
        <f t="shared" si="1016"/>
        <v>#VALUE!</v>
      </c>
      <c r="AS527" s="170" t="e">
        <f t="shared" si="1062"/>
        <v>#VALUE!</v>
      </c>
      <c r="AT527" s="170" t="e">
        <f t="shared" si="1063"/>
        <v>#VALUE!</v>
      </c>
      <c r="AU527" s="207" t="e">
        <f t="shared" si="1017"/>
        <v>#VALUE!</v>
      </c>
      <c r="AV527" s="208" t="e">
        <f t="shared" si="1018"/>
        <v>#VALUE!</v>
      </c>
      <c r="AW527" s="201" t="str">
        <f t="shared" si="1019"/>
        <v>Fase de Degradação</v>
      </c>
      <c r="AX527" s="253" t="e">
        <f>VLOOKUP(D527,#REF!,5,FALSE)</f>
        <v>#REF!</v>
      </c>
      <c r="AY527" s="201"/>
      <c r="AZ527" s="273" t="s">
        <v>1224</v>
      </c>
      <c r="BB527">
        <f>IFERROR(VLOOKUP(Tabela1[[#This Row],[Denominação]],[10]Planilha1!$A:$B,2,FALSE),"")</f>
        <v>133617.51</v>
      </c>
      <c r="BC527" s="219"/>
      <c r="BD527" s="219"/>
      <c r="BE527" s="219"/>
      <c r="BF527" s="219"/>
      <c r="BG527" s="219"/>
      <c r="BH527" s="219"/>
      <c r="BI527" s="219"/>
      <c r="BJ527" s="219"/>
      <c r="BK527" s="219"/>
      <c r="BL527" s="219"/>
    </row>
    <row r="528" spans="1:64" ht="15" hidden="1" customHeight="1" x14ac:dyDescent="0.3">
      <c r="A528" s="253">
        <v>527</v>
      </c>
      <c r="B528" s="321" t="s">
        <v>705</v>
      </c>
      <c r="C528" s="328" t="s">
        <v>706</v>
      </c>
      <c r="D528" s="321">
        <v>10003095</v>
      </c>
      <c r="E528" s="299" t="s">
        <v>1278</v>
      </c>
      <c r="F528" s="332">
        <v>1074</v>
      </c>
      <c r="G528" s="308">
        <v>20104</v>
      </c>
      <c r="H528" s="321">
        <v>1997</v>
      </c>
      <c r="I528" s="333">
        <v>44100</v>
      </c>
      <c r="J528" s="333">
        <v>0</v>
      </c>
      <c r="K528" s="326">
        <v>34369.799999999996</v>
      </c>
      <c r="L528" s="319">
        <v>1.66</v>
      </c>
      <c r="M528" s="320">
        <v>4116</v>
      </c>
      <c r="N528" s="320">
        <v>144323</v>
      </c>
      <c r="O528" s="321">
        <v>40</v>
      </c>
      <c r="P528" s="271" t="str">
        <f>IFERROR(VLOOKUP(Tabela1[[#This Row],[TAG]],#REF!,14,FALSE),"")</f>
        <v/>
      </c>
      <c r="Q528" s="323" t="e">
        <f t="shared" si="1042"/>
        <v>#VALUE!</v>
      </c>
      <c r="R528" s="323" t="e">
        <f t="shared" si="1043"/>
        <v>#VALUE!</v>
      </c>
      <c r="S528" s="323" t="e">
        <f t="shared" si="1044"/>
        <v>#VALUE!</v>
      </c>
      <c r="T528" s="323" t="e">
        <f t="shared" si="1045"/>
        <v>#VALUE!</v>
      </c>
      <c r="U528" s="323" t="e">
        <f t="shared" si="1046"/>
        <v>#VALUE!</v>
      </c>
      <c r="V528" s="323" t="e">
        <f t="shared" si="1047"/>
        <v>#VALUE!</v>
      </c>
      <c r="W528" s="304">
        <v>391.37</v>
      </c>
      <c r="X528" s="326">
        <v>153.41999999999999</v>
      </c>
      <c r="Y528" s="322">
        <v>0.1</v>
      </c>
      <c r="Z528" s="322">
        <f>IF(Tabela1[[#This Row],[Ano Aquisição]]=2023,0,IFERROR(VLOOKUP(H528,inflação!$F:$H,3,FALSE),""))</f>
        <v>1.6129</v>
      </c>
      <c r="AA528" s="322">
        <v>0.8</v>
      </c>
      <c r="AB528" s="310">
        <f t="shared" si="1014"/>
        <v>-44100</v>
      </c>
      <c r="AC528" s="323" t="e">
        <f t="shared" si="1048"/>
        <v>#VALUE!</v>
      </c>
      <c r="AD528" s="323" t="e">
        <f t="shared" si="1049"/>
        <v>#VALUE!</v>
      </c>
      <c r="AE528" s="323" t="e">
        <f t="shared" si="1050"/>
        <v>#VALUE!</v>
      </c>
      <c r="AF528" s="323" t="e">
        <f t="shared" si="1051"/>
        <v>#VALUE!</v>
      </c>
      <c r="AG528" s="323" t="e">
        <f t="shared" si="1052"/>
        <v>#VALUE!</v>
      </c>
      <c r="AH528" s="323" t="e">
        <f t="shared" si="1053"/>
        <v>#VALUE!</v>
      </c>
      <c r="AI528" s="323" t="e">
        <f t="shared" si="1054"/>
        <v>#VALUE!</v>
      </c>
      <c r="AJ528" s="324">
        <f t="shared" si="1015"/>
        <v>-115228.88999999998</v>
      </c>
      <c r="AK528" s="323" t="e">
        <f t="shared" si="1055"/>
        <v>#VALUE!</v>
      </c>
      <c r="AL528" s="323" t="e">
        <f t="shared" si="1056"/>
        <v>#VALUE!</v>
      </c>
      <c r="AM528" s="323" t="e">
        <f t="shared" si="1057"/>
        <v>#VALUE!</v>
      </c>
      <c r="AN528" s="323" t="e">
        <f t="shared" si="1058"/>
        <v>#VALUE!</v>
      </c>
      <c r="AO528" s="323" t="e">
        <f t="shared" si="1059"/>
        <v>#VALUE!</v>
      </c>
      <c r="AP528" s="323" t="e">
        <f t="shared" si="1060"/>
        <v>#VALUE!</v>
      </c>
      <c r="AQ528" s="323" t="e">
        <f t="shared" si="1061"/>
        <v>#VALUE!</v>
      </c>
      <c r="AR528" s="325" t="e">
        <f t="shared" si="1016"/>
        <v>#VALUE!</v>
      </c>
      <c r="AS528" s="326" t="e">
        <f t="shared" si="1062"/>
        <v>#VALUE!</v>
      </c>
      <c r="AT528" s="326" t="e">
        <f t="shared" si="1063"/>
        <v>#VALUE!</v>
      </c>
      <c r="AU528" s="319" t="e">
        <f t="shared" si="1017"/>
        <v>#VALUE!</v>
      </c>
      <c r="AV528" s="327" t="e">
        <f t="shared" si="1018"/>
        <v>#VALUE!</v>
      </c>
      <c r="AW528" s="315" t="str">
        <f t="shared" si="1019"/>
        <v>Fase de Degradação</v>
      </c>
      <c r="AX528" s="299" t="e">
        <f>VLOOKUP(D528,#REF!,5,FALSE)</f>
        <v>#REF!</v>
      </c>
      <c r="AY528" s="315"/>
      <c r="AZ528" s="316" t="s">
        <v>1224</v>
      </c>
      <c r="BB528" t="str">
        <f>IFERROR(VLOOKUP(Tabela1[[#This Row],[Denominação]],[10]Planilha1!$A:$B,2,FALSE),"")</f>
        <v/>
      </c>
      <c r="BC528" s="219"/>
      <c r="BD528" s="219"/>
      <c r="BE528" s="219"/>
      <c r="BF528" s="219"/>
      <c r="BG528" s="219"/>
      <c r="BH528" s="219"/>
      <c r="BI528" s="219"/>
      <c r="BJ528" s="219"/>
      <c r="BK528" s="219"/>
      <c r="BL528" s="219"/>
    </row>
    <row r="529" spans="1:64" ht="15" hidden="1" customHeight="1" x14ac:dyDescent="0.3">
      <c r="A529" s="268">
        <v>528</v>
      </c>
      <c r="B529" s="171" t="s">
        <v>635</v>
      </c>
      <c r="C529" s="209" t="s">
        <v>636</v>
      </c>
      <c r="D529" s="171">
        <v>10001564</v>
      </c>
      <c r="E529" s="253" t="s">
        <v>1535</v>
      </c>
      <c r="F529" s="210">
        <v>3326</v>
      </c>
      <c r="G529" s="171">
        <v>20185</v>
      </c>
      <c r="H529" s="171">
        <v>1999</v>
      </c>
      <c r="I529" s="213">
        <v>161359.06</v>
      </c>
      <c r="J529" s="213">
        <v>0</v>
      </c>
      <c r="K529" s="170">
        <v>328368.0399999994</v>
      </c>
      <c r="L529" s="207">
        <v>1.49</v>
      </c>
      <c r="M529" s="212">
        <v>2763.6480000000001</v>
      </c>
      <c r="N529" s="212">
        <v>198569</v>
      </c>
      <c r="O529" s="171">
        <v>347</v>
      </c>
      <c r="P529" s="271" t="str">
        <f>IFERROR(VLOOKUP(Tabela1[[#This Row],[TAG]],#REF!,14,FALSE),"")</f>
        <v/>
      </c>
      <c r="Q529" s="204" t="e">
        <f t="shared" si="1042"/>
        <v>#VALUE!</v>
      </c>
      <c r="R529" s="204" t="e">
        <f t="shared" si="1043"/>
        <v>#VALUE!</v>
      </c>
      <c r="S529" s="204" t="e">
        <f t="shared" si="1044"/>
        <v>#VALUE!</v>
      </c>
      <c r="T529" s="204" t="e">
        <f t="shared" si="1045"/>
        <v>#VALUE!</v>
      </c>
      <c r="U529" s="204" t="e">
        <f t="shared" si="1046"/>
        <v>#VALUE!</v>
      </c>
      <c r="V529" s="204" t="e">
        <f t="shared" si="1047"/>
        <v>#VALUE!</v>
      </c>
      <c r="W529" s="218">
        <v>587.24</v>
      </c>
      <c r="X529" s="218">
        <v>1717.71</v>
      </c>
      <c r="Y529" s="203">
        <v>0.1</v>
      </c>
      <c r="Z529" s="203">
        <f>IF(Tabela1[[#This Row],[Ano Aquisição]]=2023,0,IFERROR(VLOOKUP(H529,inflação!$F:$H,3,FALSE),""))</f>
        <v>1.5442</v>
      </c>
      <c r="AA529" s="203">
        <v>0.8</v>
      </c>
      <c r="AB529" s="202">
        <f t="shared" si="1014"/>
        <v>-161359.06</v>
      </c>
      <c r="AC529" s="204" t="e">
        <f t="shared" si="1048"/>
        <v>#VALUE!</v>
      </c>
      <c r="AD529" s="204" t="e">
        <f t="shared" si="1049"/>
        <v>#VALUE!</v>
      </c>
      <c r="AE529" s="204" t="e">
        <f t="shared" si="1050"/>
        <v>#VALUE!</v>
      </c>
      <c r="AF529" s="204" t="e">
        <f t="shared" si="1051"/>
        <v>#VALUE!</v>
      </c>
      <c r="AG529" s="204" t="e">
        <f t="shared" si="1052"/>
        <v>#VALUE!</v>
      </c>
      <c r="AH529" s="204" t="e">
        <f t="shared" si="1053"/>
        <v>#VALUE!</v>
      </c>
      <c r="AI529" s="204" t="e">
        <f t="shared" si="1054"/>
        <v>#VALUE!</v>
      </c>
      <c r="AJ529" s="205">
        <f t="shared" si="1015"/>
        <v>-410529.72045199998</v>
      </c>
      <c r="AK529" s="204" t="e">
        <f t="shared" si="1055"/>
        <v>#VALUE!</v>
      </c>
      <c r="AL529" s="204" t="e">
        <f t="shared" si="1056"/>
        <v>#VALUE!</v>
      </c>
      <c r="AM529" s="204" t="e">
        <f t="shared" si="1057"/>
        <v>#VALUE!</v>
      </c>
      <c r="AN529" s="204" t="e">
        <f t="shared" si="1058"/>
        <v>#VALUE!</v>
      </c>
      <c r="AO529" s="204" t="e">
        <f t="shared" si="1059"/>
        <v>#VALUE!</v>
      </c>
      <c r="AP529" s="204" t="e">
        <f t="shared" si="1060"/>
        <v>#VALUE!</v>
      </c>
      <c r="AQ529" s="204" t="e">
        <f t="shared" si="1061"/>
        <v>#VALUE!</v>
      </c>
      <c r="AR529" s="206" t="e">
        <f t="shared" si="1016"/>
        <v>#VALUE!</v>
      </c>
      <c r="AS529" s="170" t="e">
        <f t="shared" si="1062"/>
        <v>#VALUE!</v>
      </c>
      <c r="AT529" s="170" t="e">
        <f t="shared" si="1063"/>
        <v>#VALUE!</v>
      </c>
      <c r="AU529" s="207" t="e">
        <f t="shared" si="1017"/>
        <v>#VALUE!</v>
      </c>
      <c r="AV529" s="208" t="e">
        <f t="shared" si="1018"/>
        <v>#VALUE!</v>
      </c>
      <c r="AW529" s="201" t="str">
        <f t="shared" si="1019"/>
        <v>Fase de Degradação</v>
      </c>
      <c r="AX529" s="253" t="e">
        <f>VLOOKUP(D529,#REF!,5,FALSE)</f>
        <v>#REF!</v>
      </c>
      <c r="AY529" s="201"/>
      <c r="AZ529" s="273" t="s">
        <v>1224</v>
      </c>
      <c r="BB529">
        <f>IFERROR(VLOOKUP(Tabela1[[#This Row],[Denominação]],[10]Planilha1!$A:$B,2,FALSE),"")</f>
        <v>328368.0399999994</v>
      </c>
      <c r="BC529" s="219"/>
      <c r="BD529" s="219"/>
      <c r="BE529" s="219"/>
      <c r="BF529" s="219"/>
      <c r="BG529" s="219"/>
      <c r="BH529" s="219"/>
      <c r="BI529" s="219"/>
      <c r="BJ529" s="219"/>
      <c r="BK529" s="219"/>
      <c r="BL529" s="219"/>
    </row>
    <row r="530" spans="1:64" ht="15" hidden="1" customHeight="1" x14ac:dyDescent="0.3">
      <c r="A530" s="253">
        <v>529</v>
      </c>
      <c r="B530" s="171" t="s">
        <v>615</v>
      </c>
      <c r="C530" s="209" t="s">
        <v>616</v>
      </c>
      <c r="D530" s="171">
        <v>10004104</v>
      </c>
      <c r="E530" s="253" t="s">
        <v>1536</v>
      </c>
      <c r="F530" s="210">
        <v>3316</v>
      </c>
      <c r="G530" s="171">
        <v>33902</v>
      </c>
      <c r="H530" s="171">
        <v>2004</v>
      </c>
      <c r="I530" s="213">
        <v>587995.59</v>
      </c>
      <c r="J530" s="213">
        <v>9168</v>
      </c>
      <c r="K530" s="170">
        <v>600437.08999999892</v>
      </c>
      <c r="L530" s="207">
        <v>1.1200000000000001</v>
      </c>
      <c r="M530" s="212">
        <v>2763.6480000000001</v>
      </c>
      <c r="N530" s="212">
        <v>150274</v>
      </c>
      <c r="O530" s="171">
        <v>327</v>
      </c>
      <c r="P530" s="271" t="str">
        <f>IFERROR(VLOOKUP(Tabela1[[#This Row],[TAG]],#REF!,14,FALSE),"")</f>
        <v/>
      </c>
      <c r="Q530" s="204" t="e">
        <f t="shared" si="1042"/>
        <v>#VALUE!</v>
      </c>
      <c r="R530" s="204" t="e">
        <f t="shared" si="1043"/>
        <v>#VALUE!</v>
      </c>
      <c r="S530" s="204" t="e">
        <f t="shared" si="1044"/>
        <v>#VALUE!</v>
      </c>
      <c r="T530" s="204" t="e">
        <f t="shared" si="1045"/>
        <v>#VALUE!</v>
      </c>
      <c r="U530" s="204" t="e">
        <f t="shared" si="1046"/>
        <v>#VALUE!</v>
      </c>
      <c r="V530" s="204" t="e">
        <f t="shared" si="1047"/>
        <v>#VALUE!</v>
      </c>
      <c r="W530" s="218">
        <v>790.9</v>
      </c>
      <c r="X530" s="218">
        <v>2552.58</v>
      </c>
      <c r="Y530" s="203">
        <v>0.1</v>
      </c>
      <c r="Z530" s="203">
        <f>IF(Tabela1[[#This Row],[Ano Aquisição]]=2023,0,IFERROR(VLOOKUP(H530,inflação!$F:$H,3,FALSE),""))</f>
        <v>1.1001000000000001</v>
      </c>
      <c r="AA530" s="203">
        <v>0.8</v>
      </c>
      <c r="AB530" s="202">
        <f t="shared" si="1014"/>
        <v>-587995.59</v>
      </c>
      <c r="AC530" s="204" t="e">
        <f t="shared" si="1048"/>
        <v>#VALUE!</v>
      </c>
      <c r="AD530" s="204" t="e">
        <f t="shared" si="1049"/>
        <v>#VALUE!</v>
      </c>
      <c r="AE530" s="204" t="e">
        <f t="shared" si="1050"/>
        <v>#VALUE!</v>
      </c>
      <c r="AF530" s="204" t="e">
        <f t="shared" si="1051"/>
        <v>#VALUE!</v>
      </c>
      <c r="AG530" s="204" t="e">
        <f t="shared" si="1052"/>
        <v>#VALUE!</v>
      </c>
      <c r="AH530" s="204" t="e">
        <f t="shared" si="1053"/>
        <v>#VALUE!</v>
      </c>
      <c r="AI530" s="204" t="e">
        <f t="shared" si="1054"/>
        <v>#VALUE!</v>
      </c>
      <c r="AJ530" s="205">
        <f t="shared" si="1015"/>
        <v>-1234849.538559</v>
      </c>
      <c r="AK530" s="204" t="e">
        <f t="shared" si="1055"/>
        <v>#VALUE!</v>
      </c>
      <c r="AL530" s="204" t="e">
        <f t="shared" si="1056"/>
        <v>#VALUE!</v>
      </c>
      <c r="AM530" s="204" t="e">
        <f t="shared" si="1057"/>
        <v>#VALUE!</v>
      </c>
      <c r="AN530" s="204" t="e">
        <f t="shared" si="1058"/>
        <v>#VALUE!</v>
      </c>
      <c r="AO530" s="204" t="e">
        <f t="shared" si="1059"/>
        <v>#VALUE!</v>
      </c>
      <c r="AP530" s="204" t="e">
        <f t="shared" si="1060"/>
        <v>#VALUE!</v>
      </c>
      <c r="AQ530" s="204" t="e">
        <f t="shared" si="1061"/>
        <v>#VALUE!</v>
      </c>
      <c r="AR530" s="206" t="e">
        <f t="shared" si="1016"/>
        <v>#VALUE!</v>
      </c>
      <c r="AS530" s="170" t="e">
        <f t="shared" si="1062"/>
        <v>#VALUE!</v>
      </c>
      <c r="AT530" s="170" t="e">
        <f t="shared" si="1063"/>
        <v>#VALUE!</v>
      </c>
      <c r="AU530" s="207" t="e">
        <f t="shared" si="1017"/>
        <v>#VALUE!</v>
      </c>
      <c r="AV530" s="208" t="e">
        <f t="shared" si="1018"/>
        <v>#VALUE!</v>
      </c>
      <c r="AW530" s="201" t="str">
        <f t="shared" si="1019"/>
        <v>Fase de Degradação</v>
      </c>
      <c r="AX530" s="253" t="e">
        <f>VLOOKUP(D530,#REF!,5,FALSE)</f>
        <v>#REF!</v>
      </c>
      <c r="AY530" s="201"/>
      <c r="AZ530" s="273" t="s">
        <v>1224</v>
      </c>
      <c r="BB530">
        <f>IFERROR(VLOOKUP(Tabela1[[#This Row],[Denominação]],[10]Planilha1!$A:$B,2,FALSE),"")</f>
        <v>600437.08999999892</v>
      </c>
      <c r="BC530" s="219"/>
      <c r="BD530" s="219"/>
      <c r="BE530" s="219"/>
      <c r="BF530" s="219"/>
      <c r="BG530" s="219"/>
      <c r="BH530" s="219"/>
      <c r="BI530" s="219"/>
      <c r="BJ530" s="219"/>
      <c r="BK530" s="219"/>
      <c r="BL530" s="219"/>
    </row>
    <row r="531" spans="1:64" ht="15" hidden="1" customHeight="1" x14ac:dyDescent="0.3">
      <c r="A531" s="268">
        <v>530</v>
      </c>
      <c r="B531" s="171" t="s">
        <v>373</v>
      </c>
      <c r="C531" s="209" t="s">
        <v>194</v>
      </c>
      <c r="D531" s="171">
        <v>10004866</v>
      </c>
      <c r="E531" s="253" t="s">
        <v>1537</v>
      </c>
      <c r="F531" s="210">
        <v>3339</v>
      </c>
      <c r="G531" s="171">
        <v>34777</v>
      </c>
      <c r="H531" s="171">
        <v>2007</v>
      </c>
      <c r="I531" s="213">
        <v>1879426.84</v>
      </c>
      <c r="J531" s="213">
        <v>32266</v>
      </c>
      <c r="K531" s="170">
        <v>1517076.1</v>
      </c>
      <c r="L531" s="207">
        <v>1.1599999999999999</v>
      </c>
      <c r="M531" s="212">
        <v>5933.8320000000003</v>
      </c>
      <c r="N531" s="212">
        <v>139943</v>
      </c>
      <c r="O531" s="171">
        <v>1086</v>
      </c>
      <c r="P531" s="271" t="str">
        <f>IFERROR(VLOOKUP(Tabela1[[#This Row],[TAG]],#REF!,14,FALSE),"")</f>
        <v/>
      </c>
      <c r="Q531" s="204" t="e">
        <f t="shared" si="1042"/>
        <v>#VALUE!</v>
      </c>
      <c r="R531" s="204" t="e">
        <f t="shared" si="1043"/>
        <v>#VALUE!</v>
      </c>
      <c r="S531" s="204" t="e">
        <f t="shared" si="1044"/>
        <v>#VALUE!</v>
      </c>
      <c r="T531" s="204" t="e">
        <f t="shared" si="1045"/>
        <v>#VALUE!</v>
      </c>
      <c r="U531" s="204" t="e">
        <f t="shared" si="1046"/>
        <v>#VALUE!</v>
      </c>
      <c r="V531" s="204" t="e">
        <f t="shared" si="1047"/>
        <v>#VALUE!</v>
      </c>
      <c r="W531" s="218">
        <v>684.5</v>
      </c>
      <c r="X531" s="218">
        <v>5987.45</v>
      </c>
      <c r="Y531" s="203">
        <v>0.1</v>
      </c>
      <c r="Z531" s="203">
        <f>IF(Tabela1[[#This Row],[Ano Aquisição]]=2023,0,IFERROR(VLOOKUP(H531,inflação!$F:$H,3,FALSE),""))</f>
        <v>0.93579999999999997</v>
      </c>
      <c r="AA531" s="203">
        <v>0.8</v>
      </c>
      <c r="AB531" s="202">
        <f t="shared" si="1014"/>
        <v>-1879426.84</v>
      </c>
      <c r="AC531" s="204" t="e">
        <f t="shared" si="1048"/>
        <v>#VALUE!</v>
      </c>
      <c r="AD531" s="204" t="e">
        <f t="shared" si="1049"/>
        <v>#VALUE!</v>
      </c>
      <c r="AE531" s="204" t="e">
        <f t="shared" si="1050"/>
        <v>#VALUE!</v>
      </c>
      <c r="AF531" s="204" t="e">
        <f t="shared" si="1051"/>
        <v>#VALUE!</v>
      </c>
      <c r="AG531" s="204" t="e">
        <f t="shared" si="1052"/>
        <v>#VALUE!</v>
      </c>
      <c r="AH531" s="204" t="e">
        <f t="shared" si="1053"/>
        <v>#VALUE!</v>
      </c>
      <c r="AI531" s="204" t="e">
        <f t="shared" si="1054"/>
        <v>#VALUE!</v>
      </c>
      <c r="AJ531" s="205">
        <f t="shared" si="1015"/>
        <v>-3638194.4768719999</v>
      </c>
      <c r="AK531" s="204" t="e">
        <f t="shared" si="1055"/>
        <v>#VALUE!</v>
      </c>
      <c r="AL531" s="204" t="e">
        <f t="shared" si="1056"/>
        <v>#VALUE!</v>
      </c>
      <c r="AM531" s="204" t="e">
        <f t="shared" si="1057"/>
        <v>#VALUE!</v>
      </c>
      <c r="AN531" s="204" t="e">
        <f t="shared" si="1058"/>
        <v>#VALUE!</v>
      </c>
      <c r="AO531" s="204" t="e">
        <f t="shared" si="1059"/>
        <v>#VALUE!</v>
      </c>
      <c r="AP531" s="204" t="e">
        <f t="shared" si="1060"/>
        <v>#VALUE!</v>
      </c>
      <c r="AQ531" s="204" t="e">
        <f t="shared" si="1061"/>
        <v>#VALUE!</v>
      </c>
      <c r="AR531" s="206" t="e">
        <f t="shared" si="1016"/>
        <v>#VALUE!</v>
      </c>
      <c r="AS531" s="170" t="e">
        <f t="shared" si="1062"/>
        <v>#VALUE!</v>
      </c>
      <c r="AT531" s="170" t="e">
        <f t="shared" si="1063"/>
        <v>#VALUE!</v>
      </c>
      <c r="AU531" s="207" t="e">
        <f t="shared" si="1017"/>
        <v>#VALUE!</v>
      </c>
      <c r="AV531" s="208" t="e">
        <f t="shared" si="1018"/>
        <v>#VALUE!</v>
      </c>
      <c r="AW531" s="201" t="str">
        <f t="shared" si="1019"/>
        <v>Fase de Degradação</v>
      </c>
      <c r="AX531" s="253" t="e">
        <f>VLOOKUP(D531,#REF!,5,FALSE)</f>
        <v>#REF!</v>
      </c>
      <c r="AY531" s="201"/>
      <c r="AZ531" s="273" t="s">
        <v>1224</v>
      </c>
      <c r="BB531">
        <f>IFERROR(VLOOKUP(Tabela1[[#This Row],[Denominação]],[10]Planilha1!$A:$B,2,FALSE),"")</f>
        <v>1517076.1</v>
      </c>
      <c r="BC531" s="219"/>
      <c r="BD531" s="219"/>
      <c r="BE531" s="219"/>
      <c r="BF531" s="219"/>
      <c r="BG531" s="219"/>
      <c r="BH531" s="219"/>
      <c r="BI531" s="219"/>
      <c r="BJ531" s="219"/>
      <c r="BK531" s="219"/>
      <c r="BL531" s="219"/>
    </row>
    <row r="532" spans="1:64" ht="15" hidden="1" customHeight="1" x14ac:dyDescent="0.3">
      <c r="A532" s="253">
        <v>531</v>
      </c>
      <c r="B532" s="201" t="s">
        <v>831</v>
      </c>
      <c r="C532" s="211" t="s">
        <v>832</v>
      </c>
      <c r="D532" s="201">
        <v>10004975</v>
      </c>
      <c r="E532" s="253" t="s">
        <v>1538</v>
      </c>
      <c r="F532" s="253">
        <v>3319</v>
      </c>
      <c r="G532" s="201">
        <v>34712</v>
      </c>
      <c r="H532" s="201">
        <v>2007</v>
      </c>
      <c r="I532" s="216">
        <v>370131.9</v>
      </c>
      <c r="J532" s="214">
        <v>0</v>
      </c>
      <c r="K532" s="170">
        <v>974945.0900000002</v>
      </c>
      <c r="L532" s="207">
        <v>1.05</v>
      </c>
      <c r="M532" s="212">
        <v>4200.4440000000004</v>
      </c>
      <c r="N532" s="212">
        <v>137101</v>
      </c>
      <c r="O532" s="171">
        <v>633</v>
      </c>
      <c r="P532" s="271" t="str">
        <f>IFERROR(VLOOKUP(Tabela1[[#This Row],[TAG]],#REF!,14,FALSE),"")</f>
        <v/>
      </c>
      <c r="Q532" s="204" t="e">
        <f t="shared" si="1042"/>
        <v>#VALUE!</v>
      </c>
      <c r="R532" s="204" t="e">
        <f t="shared" si="1043"/>
        <v>#VALUE!</v>
      </c>
      <c r="S532" s="204" t="e">
        <f t="shared" si="1044"/>
        <v>#VALUE!</v>
      </c>
      <c r="T532" s="204" t="e">
        <f t="shared" si="1045"/>
        <v>#VALUE!</v>
      </c>
      <c r="U532" s="204" t="e">
        <f t="shared" si="1046"/>
        <v>#VALUE!</v>
      </c>
      <c r="V532" s="204" t="e">
        <f t="shared" si="1047"/>
        <v>#VALUE!</v>
      </c>
      <c r="W532" s="218">
        <v>824.08</v>
      </c>
      <c r="X532" s="218">
        <v>3885.62</v>
      </c>
      <c r="Y532" s="203">
        <v>0.1</v>
      </c>
      <c r="Z532" s="203">
        <f>IF(Tabela1[[#This Row],[Ano Aquisição]]=2023,0,IFERROR(VLOOKUP(H532,inflação!$F:$H,3,FALSE),""))</f>
        <v>0.93579999999999997</v>
      </c>
      <c r="AA532" s="203">
        <v>0.8</v>
      </c>
      <c r="AB532" s="202">
        <f t="shared" si="1014"/>
        <v>-370131.9</v>
      </c>
      <c r="AC532" s="204" t="e">
        <f t="shared" si="1048"/>
        <v>#VALUE!</v>
      </c>
      <c r="AD532" s="204" t="e">
        <f t="shared" si="1049"/>
        <v>#VALUE!</v>
      </c>
      <c r="AE532" s="204" t="e">
        <f t="shared" si="1050"/>
        <v>#VALUE!</v>
      </c>
      <c r="AF532" s="204" t="e">
        <f t="shared" si="1051"/>
        <v>#VALUE!</v>
      </c>
      <c r="AG532" s="204" t="e">
        <f t="shared" si="1052"/>
        <v>#VALUE!</v>
      </c>
      <c r="AH532" s="204" t="e">
        <f t="shared" si="1053"/>
        <v>#VALUE!</v>
      </c>
      <c r="AI532" s="204" t="e">
        <f t="shared" si="1054"/>
        <v>#VALUE!</v>
      </c>
      <c r="AJ532" s="205">
        <f t="shared" si="1015"/>
        <v>-716501.33202000009</v>
      </c>
      <c r="AK532" s="204" t="e">
        <f t="shared" si="1055"/>
        <v>#VALUE!</v>
      </c>
      <c r="AL532" s="204" t="e">
        <f t="shared" si="1056"/>
        <v>#VALUE!</v>
      </c>
      <c r="AM532" s="204" t="e">
        <f t="shared" si="1057"/>
        <v>#VALUE!</v>
      </c>
      <c r="AN532" s="204" t="e">
        <f t="shared" si="1058"/>
        <v>#VALUE!</v>
      </c>
      <c r="AO532" s="204" t="e">
        <f t="shared" si="1059"/>
        <v>#VALUE!</v>
      </c>
      <c r="AP532" s="204" t="e">
        <f t="shared" si="1060"/>
        <v>#VALUE!</v>
      </c>
      <c r="AQ532" s="204" t="e">
        <f t="shared" si="1061"/>
        <v>#VALUE!</v>
      </c>
      <c r="AR532" s="206" t="e">
        <f t="shared" si="1016"/>
        <v>#VALUE!</v>
      </c>
      <c r="AS532" s="170" t="e">
        <f t="shared" si="1062"/>
        <v>#VALUE!</v>
      </c>
      <c r="AT532" s="170" t="e">
        <f t="shared" si="1063"/>
        <v>#VALUE!</v>
      </c>
      <c r="AU532" s="207" t="e">
        <f t="shared" si="1017"/>
        <v>#VALUE!</v>
      </c>
      <c r="AV532" s="208" t="e">
        <f t="shared" si="1018"/>
        <v>#VALUE!</v>
      </c>
      <c r="AW532" s="201" t="str">
        <f t="shared" si="1019"/>
        <v>Fase de Vida Útil</v>
      </c>
      <c r="AX532" s="253" t="e">
        <f>VLOOKUP(D532,#REF!,5,FALSE)</f>
        <v>#REF!</v>
      </c>
      <c r="AY532" s="201"/>
      <c r="AZ532" s="273" t="s">
        <v>1224</v>
      </c>
      <c r="BB532">
        <f>IFERROR(VLOOKUP(Tabela1[[#This Row],[Denominação]],[10]Planilha1!$A:$B,2,FALSE),"")</f>
        <v>974945.0900000002</v>
      </c>
      <c r="BC532" s="219"/>
      <c r="BD532" s="219"/>
      <c r="BE532" s="219"/>
      <c r="BF532" s="219"/>
      <c r="BG532" s="219"/>
      <c r="BH532" s="219"/>
      <c r="BI532" s="219"/>
      <c r="BJ532" s="219"/>
      <c r="BK532" s="219"/>
      <c r="BL532" s="219"/>
    </row>
    <row r="533" spans="1:64" ht="15" hidden="1" customHeight="1" x14ac:dyDescent="0.3">
      <c r="A533" s="268">
        <v>532</v>
      </c>
      <c r="B533" s="171" t="s">
        <v>311</v>
      </c>
      <c r="C533" s="209" t="s">
        <v>737</v>
      </c>
      <c r="D533" s="171">
        <v>10005143</v>
      </c>
      <c r="E533" s="253" t="s">
        <v>1539</v>
      </c>
      <c r="F533" s="210">
        <v>2520</v>
      </c>
      <c r="G533" s="171">
        <v>20380</v>
      </c>
      <c r="H533" s="171">
        <v>2001</v>
      </c>
      <c r="I533" s="213">
        <v>356005.56</v>
      </c>
      <c r="J533" s="213">
        <v>246151</v>
      </c>
      <c r="K533" s="170">
        <v>1717433.0499999966</v>
      </c>
      <c r="L533" s="215">
        <v>1.1399999999999999</v>
      </c>
      <c r="M533" s="320">
        <v>3316</v>
      </c>
      <c r="N533" s="212">
        <v>133737</v>
      </c>
      <c r="O533" s="171">
        <v>882</v>
      </c>
      <c r="P533" s="271" t="str">
        <f>IFERROR(VLOOKUP(Tabela1[[#This Row],[TAG]],#REF!,14,FALSE),"")</f>
        <v/>
      </c>
      <c r="Q533" s="204" t="e">
        <f t="shared" si="1042"/>
        <v>#VALUE!</v>
      </c>
      <c r="R533" s="204" t="e">
        <f t="shared" si="1043"/>
        <v>#VALUE!</v>
      </c>
      <c r="S533" s="204" t="e">
        <f t="shared" si="1044"/>
        <v>#VALUE!</v>
      </c>
      <c r="T533" s="204" t="e">
        <f t="shared" si="1045"/>
        <v>#VALUE!</v>
      </c>
      <c r="U533" s="204" t="e">
        <f t="shared" si="1046"/>
        <v>#VALUE!</v>
      </c>
      <c r="V533" s="204" t="e">
        <f t="shared" si="1047"/>
        <v>#VALUE!</v>
      </c>
      <c r="W533" s="304">
        <v>735.96</v>
      </c>
      <c r="X533" s="304">
        <v>10066.66</v>
      </c>
      <c r="Y533" s="203">
        <v>0.1</v>
      </c>
      <c r="Z533" s="203">
        <f>IF(Tabela1[[#This Row],[Ano Aquisição]]=2023,0,IFERROR(VLOOKUP(H533,inflação!$F:$H,3,FALSE),""))</f>
        <v>1.3951</v>
      </c>
      <c r="AA533" s="203">
        <v>0.8</v>
      </c>
      <c r="AB533" s="202">
        <f t="shared" si="1014"/>
        <v>-356005.56</v>
      </c>
      <c r="AC533" s="204" t="e">
        <f t="shared" si="1048"/>
        <v>#VALUE!</v>
      </c>
      <c r="AD533" s="204" t="e">
        <f t="shared" si="1049"/>
        <v>#VALUE!</v>
      </c>
      <c r="AE533" s="204" t="e">
        <f t="shared" si="1050"/>
        <v>#VALUE!</v>
      </c>
      <c r="AF533" s="204" t="e">
        <f t="shared" si="1051"/>
        <v>#VALUE!</v>
      </c>
      <c r="AG533" s="204" t="e">
        <f t="shared" si="1052"/>
        <v>#VALUE!</v>
      </c>
      <c r="AH533" s="204" t="e">
        <f t="shared" si="1053"/>
        <v>#VALUE!</v>
      </c>
      <c r="AI533" s="204" t="e">
        <f t="shared" si="1054"/>
        <v>#VALUE!</v>
      </c>
      <c r="AJ533" s="205">
        <f t="shared" si="1015"/>
        <v>-852668.91675600002</v>
      </c>
      <c r="AK533" s="204" t="e">
        <f t="shared" si="1055"/>
        <v>#VALUE!</v>
      </c>
      <c r="AL533" s="204" t="e">
        <f t="shared" si="1056"/>
        <v>#VALUE!</v>
      </c>
      <c r="AM533" s="204" t="e">
        <f t="shared" si="1057"/>
        <v>#VALUE!</v>
      </c>
      <c r="AN533" s="204" t="e">
        <f t="shared" si="1058"/>
        <v>#VALUE!</v>
      </c>
      <c r="AO533" s="204" t="e">
        <f t="shared" si="1059"/>
        <v>#VALUE!</v>
      </c>
      <c r="AP533" s="204" t="e">
        <f t="shared" si="1060"/>
        <v>#VALUE!</v>
      </c>
      <c r="AQ533" s="204" t="e">
        <f t="shared" si="1061"/>
        <v>#VALUE!</v>
      </c>
      <c r="AR533" s="206" t="e">
        <f t="shared" si="1016"/>
        <v>#VALUE!</v>
      </c>
      <c r="AS533" s="170" t="e">
        <f t="shared" si="1062"/>
        <v>#VALUE!</v>
      </c>
      <c r="AT533" s="170" t="e">
        <f t="shared" si="1063"/>
        <v>#VALUE!</v>
      </c>
      <c r="AU533" s="207" t="e">
        <f t="shared" si="1017"/>
        <v>#VALUE!</v>
      </c>
      <c r="AV533" s="208" t="e">
        <f t="shared" si="1018"/>
        <v>#VALUE!</v>
      </c>
      <c r="AW533" s="201" t="str">
        <f t="shared" si="1019"/>
        <v>Fase de Degradação</v>
      </c>
      <c r="AX533" s="253" t="e">
        <f>VLOOKUP(D533,#REF!,5,FALSE)</f>
        <v>#REF!</v>
      </c>
      <c r="AY533" s="201"/>
      <c r="AZ533" s="273" t="s">
        <v>1224</v>
      </c>
      <c r="BB533">
        <f>IFERROR(VLOOKUP(Tabela1[[#This Row],[Denominação]],[10]Planilha1!$A:$B,2,FALSE),"")</f>
        <v>1717433.0499999966</v>
      </c>
      <c r="BC533" s="219"/>
      <c r="BD533" s="219"/>
      <c r="BE533" s="219"/>
      <c r="BF533" s="219"/>
      <c r="BG533" s="219"/>
      <c r="BH533" s="219"/>
      <c r="BI533" s="219"/>
      <c r="BJ533" s="219"/>
      <c r="BK533" s="219"/>
      <c r="BL533" s="219"/>
    </row>
    <row r="534" spans="1:64" ht="15" hidden="1" customHeight="1" x14ac:dyDescent="0.3">
      <c r="A534" s="253">
        <v>533</v>
      </c>
      <c r="B534" s="171" t="s">
        <v>350</v>
      </c>
      <c r="C534" s="209" t="s">
        <v>171</v>
      </c>
      <c r="D534" s="171">
        <v>10005908</v>
      </c>
      <c r="E534" s="253" t="s">
        <v>1540</v>
      </c>
      <c r="F534" s="210">
        <v>3335</v>
      </c>
      <c r="G534" s="171">
        <v>40608</v>
      </c>
      <c r="H534" s="171">
        <v>2011</v>
      </c>
      <c r="I534" s="213">
        <v>679054.92</v>
      </c>
      <c r="J534" s="213">
        <v>16375</v>
      </c>
      <c r="K534" s="170">
        <v>1590614.3899999997</v>
      </c>
      <c r="L534" s="207">
        <v>1.57</v>
      </c>
      <c r="M534" s="212">
        <v>5980.2623999999996</v>
      </c>
      <c r="N534" s="212">
        <v>101940</v>
      </c>
      <c r="O534" s="171">
        <v>932</v>
      </c>
      <c r="P534" s="271" t="str">
        <f>IFERROR(VLOOKUP(Tabela1[[#This Row],[TAG]],#REF!,14,FALSE),"")</f>
        <v/>
      </c>
      <c r="Q534" s="204" t="e">
        <f t="shared" si="1042"/>
        <v>#VALUE!</v>
      </c>
      <c r="R534" s="204" t="e">
        <f t="shared" si="1043"/>
        <v>#VALUE!</v>
      </c>
      <c r="S534" s="204" t="e">
        <f t="shared" si="1044"/>
        <v>#VALUE!</v>
      </c>
      <c r="T534" s="204" t="e">
        <f t="shared" si="1045"/>
        <v>#VALUE!</v>
      </c>
      <c r="U534" s="204" t="e">
        <f t="shared" si="1046"/>
        <v>#VALUE!</v>
      </c>
      <c r="V534" s="204" t="e">
        <f t="shared" si="1047"/>
        <v>#VALUE!</v>
      </c>
      <c r="W534" s="218">
        <v>604.52</v>
      </c>
      <c r="X534" s="218">
        <v>7270.32</v>
      </c>
      <c r="Y534" s="203">
        <v>0.1</v>
      </c>
      <c r="Z534" s="203">
        <f>IF(Tabela1[[#This Row],[Ano Aquisição]]=2023,0,IFERROR(VLOOKUP(H534,inflação!$F:$H,3,FALSE),""))</f>
        <v>0.73</v>
      </c>
      <c r="AA534" s="203">
        <v>0.8</v>
      </c>
      <c r="AB534" s="202">
        <f t="shared" si="1014"/>
        <v>-679054.92</v>
      </c>
      <c r="AC534" s="204" t="e">
        <f t="shared" si="1048"/>
        <v>#VALUE!</v>
      </c>
      <c r="AD534" s="204" t="e">
        <f t="shared" si="1049"/>
        <v>#VALUE!</v>
      </c>
      <c r="AE534" s="204" t="e">
        <f t="shared" si="1050"/>
        <v>#VALUE!</v>
      </c>
      <c r="AF534" s="204" t="e">
        <f t="shared" si="1051"/>
        <v>#VALUE!</v>
      </c>
      <c r="AG534" s="204" t="e">
        <f t="shared" si="1052"/>
        <v>#VALUE!</v>
      </c>
      <c r="AH534" s="204" t="e">
        <f t="shared" si="1053"/>
        <v>#VALUE!</v>
      </c>
      <c r="AI534" s="204" t="e">
        <f t="shared" si="1054"/>
        <v>#VALUE!</v>
      </c>
      <c r="AJ534" s="205">
        <f t="shared" si="1015"/>
        <v>-1174765.0116000001</v>
      </c>
      <c r="AK534" s="204" t="e">
        <f t="shared" si="1055"/>
        <v>#VALUE!</v>
      </c>
      <c r="AL534" s="204" t="e">
        <f t="shared" si="1056"/>
        <v>#VALUE!</v>
      </c>
      <c r="AM534" s="204" t="e">
        <f t="shared" si="1057"/>
        <v>#VALUE!</v>
      </c>
      <c r="AN534" s="204" t="e">
        <f t="shared" si="1058"/>
        <v>#VALUE!</v>
      </c>
      <c r="AO534" s="204" t="e">
        <f t="shared" si="1059"/>
        <v>#VALUE!</v>
      </c>
      <c r="AP534" s="204" t="e">
        <f t="shared" si="1060"/>
        <v>#VALUE!</v>
      </c>
      <c r="AQ534" s="204" t="e">
        <f t="shared" si="1061"/>
        <v>#VALUE!</v>
      </c>
      <c r="AR534" s="206" t="e">
        <f t="shared" si="1016"/>
        <v>#VALUE!</v>
      </c>
      <c r="AS534" s="170" t="e">
        <f t="shared" si="1062"/>
        <v>#VALUE!</v>
      </c>
      <c r="AT534" s="170" t="e">
        <f t="shared" si="1063"/>
        <v>#VALUE!</v>
      </c>
      <c r="AU534" s="207" t="e">
        <f t="shared" si="1017"/>
        <v>#VALUE!</v>
      </c>
      <c r="AV534" s="208" t="e">
        <f t="shared" si="1018"/>
        <v>#VALUE!</v>
      </c>
      <c r="AW534" s="201" t="str">
        <f t="shared" si="1019"/>
        <v>Fase de Degradação</v>
      </c>
      <c r="AX534" s="253" t="e">
        <f>VLOOKUP(D534,#REF!,5,FALSE)</f>
        <v>#REF!</v>
      </c>
      <c r="AY534" s="201"/>
      <c r="AZ534" s="273" t="s">
        <v>1224</v>
      </c>
      <c r="BB534">
        <f>IFERROR(VLOOKUP(Tabela1[[#This Row],[Denominação]],[10]Planilha1!$A:$B,2,FALSE),"")</f>
        <v>1590614.3899999997</v>
      </c>
      <c r="BC534" s="219"/>
      <c r="BD534" s="219"/>
      <c r="BE534" s="219"/>
      <c r="BF534" s="219"/>
      <c r="BG534" s="219"/>
      <c r="BH534" s="219"/>
      <c r="BI534" s="219"/>
      <c r="BJ534" s="219"/>
      <c r="BK534" s="219"/>
      <c r="BL534" s="219"/>
    </row>
    <row r="535" spans="1:64" ht="15" hidden="1" customHeight="1" x14ac:dyDescent="0.3">
      <c r="A535" s="268">
        <v>534</v>
      </c>
      <c r="B535" s="171" t="s">
        <v>657</v>
      </c>
      <c r="C535" s="209" t="s">
        <v>658</v>
      </c>
      <c r="D535" s="171">
        <v>20002852</v>
      </c>
      <c r="E535" s="253" t="s">
        <v>1541</v>
      </c>
      <c r="F535" s="210">
        <v>3319</v>
      </c>
      <c r="G535" s="171">
        <v>49141</v>
      </c>
      <c r="H535" s="171">
        <v>2018</v>
      </c>
      <c r="I535" s="213">
        <v>2248496.4500000002</v>
      </c>
      <c r="J535" s="213">
        <v>1327692</v>
      </c>
      <c r="K535" s="170">
        <v>1112346.1500000004</v>
      </c>
      <c r="L535" s="207">
        <v>1.1599999999999999</v>
      </c>
      <c r="M535" s="212">
        <v>3938.13</v>
      </c>
      <c r="N535" s="212">
        <v>40756</v>
      </c>
      <c r="O535" s="171">
        <v>417</v>
      </c>
      <c r="P535" s="271" t="str">
        <f>IFERROR(VLOOKUP(Tabela1[[#This Row],[TAG]],#REF!,14,FALSE),"")</f>
        <v/>
      </c>
      <c r="Q535" s="204" t="e">
        <f t="shared" si="1042"/>
        <v>#VALUE!</v>
      </c>
      <c r="R535" s="204" t="e">
        <f t="shared" si="1043"/>
        <v>#VALUE!</v>
      </c>
      <c r="S535" s="204" t="e">
        <f t="shared" si="1044"/>
        <v>#VALUE!</v>
      </c>
      <c r="T535" s="204" t="e">
        <f t="shared" si="1045"/>
        <v>#VALUE!</v>
      </c>
      <c r="U535" s="204" t="e">
        <f t="shared" si="1046"/>
        <v>#VALUE!</v>
      </c>
      <c r="V535" s="204" t="e">
        <f t="shared" si="1047"/>
        <v>#VALUE!</v>
      </c>
      <c r="W535" s="218">
        <v>914.59</v>
      </c>
      <c r="X535" s="218">
        <v>9619.7800000000007</v>
      </c>
      <c r="Y535" s="203">
        <v>0.1</v>
      </c>
      <c r="Z535" s="203">
        <f>IF(Tabela1[[#This Row],[Ano Aquisição]]=2023,0,IFERROR(VLOOKUP(H535,inflação!$F:$H,3,FALSE),""))</f>
        <v>0.2843</v>
      </c>
      <c r="AA535" s="203">
        <v>0.8</v>
      </c>
      <c r="AB535" s="202">
        <f t="shared" ref="AB535:AB566" si="1064">I535*-1</f>
        <v>-2248496.4500000002</v>
      </c>
      <c r="AC535" s="204" t="e">
        <f t="shared" si="1048"/>
        <v>#VALUE!</v>
      </c>
      <c r="AD535" s="204" t="e">
        <f t="shared" si="1049"/>
        <v>#VALUE!</v>
      </c>
      <c r="AE535" s="204" t="e">
        <f t="shared" si="1050"/>
        <v>#VALUE!</v>
      </c>
      <c r="AF535" s="204" t="e">
        <f t="shared" si="1051"/>
        <v>#VALUE!</v>
      </c>
      <c r="AG535" s="204" t="e">
        <f t="shared" si="1052"/>
        <v>#VALUE!</v>
      </c>
      <c r="AH535" s="204" t="e">
        <f t="shared" si="1053"/>
        <v>#VALUE!</v>
      </c>
      <c r="AI535" s="204" t="e">
        <f t="shared" si="1054"/>
        <v>#VALUE!</v>
      </c>
      <c r="AJ535" s="205">
        <f t="shared" ref="AJ535:AJ566" si="1065">-(I535*(1+Z535))</f>
        <v>-2887743.9907350005</v>
      </c>
      <c r="AK535" s="204" t="e">
        <f t="shared" si="1055"/>
        <v>#VALUE!</v>
      </c>
      <c r="AL535" s="204" t="e">
        <f t="shared" si="1056"/>
        <v>#VALUE!</v>
      </c>
      <c r="AM535" s="204" t="e">
        <f t="shared" si="1057"/>
        <v>#VALUE!</v>
      </c>
      <c r="AN535" s="204" t="e">
        <f t="shared" si="1058"/>
        <v>#VALUE!</v>
      </c>
      <c r="AO535" s="204" t="e">
        <f t="shared" si="1059"/>
        <v>#VALUE!</v>
      </c>
      <c r="AP535" s="204" t="e">
        <f t="shared" si="1060"/>
        <v>#VALUE!</v>
      </c>
      <c r="AQ535" s="204" t="e">
        <f t="shared" si="1061"/>
        <v>#VALUE!</v>
      </c>
      <c r="AR535" s="206" t="e">
        <f t="shared" ref="AR535:AR566" si="1066">(NPV(Y535,AK535,AL535,AM535,AN535,AO535,AP535,AQ535)+(SUM(AJ535,(J535*-1))))-(NPV(Y535,AC535,AD535,AE535,AF535,AG535,AH535,AI535))</f>
        <v>#VALUE!</v>
      </c>
      <c r="AS535" s="170" t="e">
        <f t="shared" si="1062"/>
        <v>#VALUE!</v>
      </c>
      <c r="AT535" s="170" t="e">
        <f t="shared" si="1063"/>
        <v>#VALUE!</v>
      </c>
      <c r="AU535" s="207" t="e">
        <f t="shared" ref="AU535:AU566" si="1067">(((AVERAGE(AC535:AI535)/1000)-(AVERAGE(AK535:AQ535)/1000))+(((AJ535/1000)*-1)/7)+((J535/1000)/7))*-1</f>
        <v>#VALUE!</v>
      </c>
      <c r="AV535" s="208" t="e">
        <f t="shared" ref="AV535:AV566" si="1068">AU535/(((J535/1000)+((AJ535*-1)/1000)))</f>
        <v>#VALUE!</v>
      </c>
      <c r="AW535" s="201" t="str">
        <f t="shared" ref="AW535:AW566" si="1069">IF(L535&gt;1.1,"Fase de Degradação",IF(L535&lt;1,"Confiabilidade em Crescimento","Fase de Vida Útil"))</f>
        <v>Fase de Degradação</v>
      </c>
      <c r="AX535" s="253" t="e">
        <f>VLOOKUP(D535,#REF!,5,FALSE)</f>
        <v>#REF!</v>
      </c>
      <c r="AY535" s="201"/>
      <c r="AZ535" s="273" t="s">
        <v>1224</v>
      </c>
      <c r="BB535">
        <f>IFERROR(VLOOKUP(Tabela1[[#This Row],[Denominação]],[10]Planilha1!$A:$B,2,FALSE),"")</f>
        <v>1112346.1500000004</v>
      </c>
      <c r="BC535" s="219"/>
      <c r="BD535" s="219"/>
      <c r="BE535" s="219"/>
      <c r="BF535" s="219"/>
      <c r="BG535" s="219"/>
      <c r="BH535" s="219"/>
      <c r="BI535" s="219"/>
      <c r="BJ535" s="219"/>
      <c r="BK535" s="219"/>
      <c r="BL535" s="219"/>
    </row>
    <row r="536" spans="1:64" ht="15" hidden="1" customHeight="1" x14ac:dyDescent="0.3">
      <c r="A536" s="253">
        <v>535</v>
      </c>
      <c r="B536" s="171" t="s">
        <v>675</v>
      </c>
      <c r="C536" s="209" t="s">
        <v>676</v>
      </c>
      <c r="D536" s="171">
        <v>20002859</v>
      </c>
      <c r="E536" s="253" t="s">
        <v>1542</v>
      </c>
      <c r="F536" s="210">
        <v>3319</v>
      </c>
      <c r="G536" s="171">
        <v>49142</v>
      </c>
      <c r="H536" s="171">
        <v>2018</v>
      </c>
      <c r="I536" s="213">
        <v>2266540.96</v>
      </c>
      <c r="J536" s="213">
        <v>1339261</v>
      </c>
      <c r="K536" s="170">
        <v>556985.81000000006</v>
      </c>
      <c r="L536" s="207">
        <v>1.24</v>
      </c>
      <c r="M536" s="212">
        <v>3938.13</v>
      </c>
      <c r="N536" s="212">
        <v>39991</v>
      </c>
      <c r="O536" s="171">
        <v>371</v>
      </c>
      <c r="P536" s="271" t="str">
        <f>IFERROR(VLOOKUP(Tabela1[[#This Row],[TAG]],#REF!,14,FALSE),"")</f>
        <v/>
      </c>
      <c r="Q536" s="204" t="e">
        <f t="shared" si="1042"/>
        <v>#VALUE!</v>
      </c>
      <c r="R536" s="204" t="e">
        <f t="shared" si="1043"/>
        <v>#VALUE!</v>
      </c>
      <c r="S536" s="204" t="e">
        <f t="shared" si="1044"/>
        <v>#VALUE!</v>
      </c>
      <c r="T536" s="204" t="e">
        <f t="shared" si="1045"/>
        <v>#VALUE!</v>
      </c>
      <c r="U536" s="204" t="e">
        <f t="shared" si="1046"/>
        <v>#VALUE!</v>
      </c>
      <c r="V536" s="204" t="e">
        <f t="shared" si="1047"/>
        <v>#VALUE!</v>
      </c>
      <c r="W536" s="218">
        <v>682.16</v>
      </c>
      <c r="X536" s="218">
        <v>6821.3</v>
      </c>
      <c r="Y536" s="203">
        <v>0.1</v>
      </c>
      <c r="Z536" s="203">
        <f>IF(Tabela1[[#This Row],[Ano Aquisição]]=2023,0,IFERROR(VLOOKUP(H536,inflação!$F:$H,3,FALSE),""))</f>
        <v>0.2843</v>
      </c>
      <c r="AA536" s="203">
        <v>0.8</v>
      </c>
      <c r="AB536" s="202">
        <f t="shared" si="1064"/>
        <v>-2266540.96</v>
      </c>
      <c r="AC536" s="204" t="e">
        <f t="shared" si="1048"/>
        <v>#VALUE!</v>
      </c>
      <c r="AD536" s="204" t="e">
        <f t="shared" si="1049"/>
        <v>#VALUE!</v>
      </c>
      <c r="AE536" s="204" t="e">
        <f t="shared" si="1050"/>
        <v>#VALUE!</v>
      </c>
      <c r="AF536" s="204" t="e">
        <f t="shared" si="1051"/>
        <v>#VALUE!</v>
      </c>
      <c r="AG536" s="204" t="e">
        <f t="shared" si="1052"/>
        <v>#VALUE!</v>
      </c>
      <c r="AH536" s="204" t="e">
        <f t="shared" si="1053"/>
        <v>#VALUE!</v>
      </c>
      <c r="AI536" s="204" t="e">
        <f t="shared" si="1054"/>
        <v>#VALUE!</v>
      </c>
      <c r="AJ536" s="205">
        <f t="shared" si="1065"/>
        <v>-2910918.5549280001</v>
      </c>
      <c r="AK536" s="204" t="e">
        <f t="shared" si="1055"/>
        <v>#VALUE!</v>
      </c>
      <c r="AL536" s="204" t="e">
        <f t="shared" si="1056"/>
        <v>#VALUE!</v>
      </c>
      <c r="AM536" s="204" t="e">
        <f t="shared" si="1057"/>
        <v>#VALUE!</v>
      </c>
      <c r="AN536" s="204" t="e">
        <f t="shared" si="1058"/>
        <v>#VALUE!</v>
      </c>
      <c r="AO536" s="204" t="e">
        <f t="shared" si="1059"/>
        <v>#VALUE!</v>
      </c>
      <c r="AP536" s="204" t="e">
        <f t="shared" si="1060"/>
        <v>#VALUE!</v>
      </c>
      <c r="AQ536" s="204" t="e">
        <f t="shared" si="1061"/>
        <v>#VALUE!</v>
      </c>
      <c r="AR536" s="206" t="e">
        <f t="shared" si="1066"/>
        <v>#VALUE!</v>
      </c>
      <c r="AS536" s="170" t="e">
        <f t="shared" si="1062"/>
        <v>#VALUE!</v>
      </c>
      <c r="AT536" s="170" t="e">
        <f t="shared" si="1063"/>
        <v>#VALUE!</v>
      </c>
      <c r="AU536" s="207" t="e">
        <f t="shared" si="1067"/>
        <v>#VALUE!</v>
      </c>
      <c r="AV536" s="208" t="e">
        <f t="shared" si="1068"/>
        <v>#VALUE!</v>
      </c>
      <c r="AW536" s="201" t="str">
        <f t="shared" si="1069"/>
        <v>Fase de Degradação</v>
      </c>
      <c r="AX536" s="253" t="e">
        <f>VLOOKUP(D536,#REF!,5,FALSE)</f>
        <v>#REF!</v>
      </c>
      <c r="AY536" s="201"/>
      <c r="AZ536" s="273" t="s">
        <v>1224</v>
      </c>
      <c r="BB536">
        <f>IFERROR(VLOOKUP(Tabela1[[#This Row],[Denominação]],[10]Planilha1!$A:$B,2,FALSE),"")</f>
        <v>556985.81000000006</v>
      </c>
      <c r="BC536" s="219"/>
      <c r="BD536" s="219"/>
      <c r="BE536" s="219"/>
      <c r="BF536" s="219"/>
      <c r="BG536" s="219"/>
      <c r="BH536" s="219"/>
      <c r="BI536" s="219"/>
      <c r="BJ536" s="219"/>
      <c r="BK536" s="219"/>
      <c r="BL536" s="219"/>
    </row>
    <row r="537" spans="1:64" ht="15" hidden="1" customHeight="1" x14ac:dyDescent="0.3">
      <c r="A537" s="268">
        <v>536</v>
      </c>
      <c r="B537" s="201" t="s">
        <v>1142</v>
      </c>
      <c r="C537" s="211" t="s">
        <v>1143</v>
      </c>
      <c r="D537" s="201">
        <v>20003542</v>
      </c>
      <c r="E537" s="253" t="s">
        <v>1278</v>
      </c>
      <c r="F537" s="253">
        <v>1074</v>
      </c>
      <c r="G537" s="201">
        <v>50460</v>
      </c>
      <c r="H537" s="201">
        <v>2018</v>
      </c>
      <c r="I537" s="216">
        <v>165405.91</v>
      </c>
      <c r="J537" s="214">
        <v>103124</v>
      </c>
      <c r="K537" s="170">
        <v>10336.89</v>
      </c>
      <c r="L537" s="207">
        <v>1.29</v>
      </c>
      <c r="M537" s="212">
        <v>4116</v>
      </c>
      <c r="N537" s="212">
        <v>26401</v>
      </c>
      <c r="O537" s="171">
        <v>24</v>
      </c>
      <c r="P537" s="271" t="str">
        <f>IFERROR(VLOOKUP(Tabela1[[#This Row],[TAG]],#REF!,14,FALSE),"")</f>
        <v/>
      </c>
      <c r="Q537" s="204" t="e">
        <f t="shared" si="1042"/>
        <v>#VALUE!</v>
      </c>
      <c r="R537" s="204" t="e">
        <f t="shared" si="1043"/>
        <v>#VALUE!</v>
      </c>
      <c r="S537" s="204" t="e">
        <f t="shared" si="1044"/>
        <v>#VALUE!</v>
      </c>
      <c r="T537" s="204" t="e">
        <f t="shared" si="1045"/>
        <v>#VALUE!</v>
      </c>
      <c r="U537" s="204" t="e">
        <f t="shared" si="1046"/>
        <v>#VALUE!</v>
      </c>
      <c r="V537" s="204" t="e">
        <f t="shared" si="1047"/>
        <v>#VALUE!</v>
      </c>
      <c r="W537" s="218">
        <v>1162.83</v>
      </c>
      <c r="X537" s="170">
        <v>549.19000000000005</v>
      </c>
      <c r="Y537" s="203">
        <v>0.1</v>
      </c>
      <c r="Z537" s="203">
        <f>IF(Tabela1[[#This Row],[Ano Aquisição]]=2023,0,IFERROR(VLOOKUP(H537,inflação!$F:$H,3,FALSE),""))</f>
        <v>0.2843</v>
      </c>
      <c r="AA537" s="203">
        <v>0.8</v>
      </c>
      <c r="AB537" s="202">
        <f t="shared" si="1064"/>
        <v>-165405.91</v>
      </c>
      <c r="AC537" s="204" t="e">
        <f t="shared" si="1048"/>
        <v>#VALUE!</v>
      </c>
      <c r="AD537" s="204" t="e">
        <f t="shared" si="1049"/>
        <v>#VALUE!</v>
      </c>
      <c r="AE537" s="204" t="e">
        <f t="shared" si="1050"/>
        <v>#VALUE!</v>
      </c>
      <c r="AF537" s="204" t="e">
        <f t="shared" si="1051"/>
        <v>#VALUE!</v>
      </c>
      <c r="AG537" s="204" t="e">
        <f t="shared" si="1052"/>
        <v>#VALUE!</v>
      </c>
      <c r="AH537" s="204" t="e">
        <f t="shared" si="1053"/>
        <v>#VALUE!</v>
      </c>
      <c r="AI537" s="204" t="e">
        <f t="shared" si="1054"/>
        <v>#VALUE!</v>
      </c>
      <c r="AJ537" s="205">
        <f t="shared" si="1065"/>
        <v>-212430.81021299999</v>
      </c>
      <c r="AK537" s="204" t="e">
        <f t="shared" si="1055"/>
        <v>#VALUE!</v>
      </c>
      <c r="AL537" s="204" t="e">
        <f t="shared" si="1056"/>
        <v>#VALUE!</v>
      </c>
      <c r="AM537" s="204" t="e">
        <f t="shared" si="1057"/>
        <v>#VALUE!</v>
      </c>
      <c r="AN537" s="204" t="e">
        <f t="shared" si="1058"/>
        <v>#VALUE!</v>
      </c>
      <c r="AO537" s="204" t="e">
        <f t="shared" si="1059"/>
        <v>#VALUE!</v>
      </c>
      <c r="AP537" s="204" t="e">
        <f t="shared" si="1060"/>
        <v>#VALUE!</v>
      </c>
      <c r="AQ537" s="204" t="e">
        <f t="shared" si="1061"/>
        <v>#VALUE!</v>
      </c>
      <c r="AR537" s="206" t="e">
        <f t="shared" si="1066"/>
        <v>#VALUE!</v>
      </c>
      <c r="AS537" s="170" t="e">
        <f t="shared" si="1062"/>
        <v>#VALUE!</v>
      </c>
      <c r="AT537" s="170" t="e">
        <f t="shared" si="1063"/>
        <v>#VALUE!</v>
      </c>
      <c r="AU537" s="207" t="e">
        <f t="shared" si="1067"/>
        <v>#VALUE!</v>
      </c>
      <c r="AV537" s="208" t="e">
        <f t="shared" si="1068"/>
        <v>#VALUE!</v>
      </c>
      <c r="AW537" s="201" t="str">
        <f t="shared" si="1069"/>
        <v>Fase de Degradação</v>
      </c>
      <c r="AX537" s="253" t="e">
        <f>VLOOKUP(D537,#REF!,5,FALSE)</f>
        <v>#REF!</v>
      </c>
      <c r="AY537" s="201"/>
      <c r="AZ537" s="273" t="s">
        <v>1224</v>
      </c>
      <c r="BB537">
        <f>IFERROR(VLOOKUP(Tabela1[[#This Row],[Denominação]],[10]Planilha1!$A:$B,2,FALSE),"")</f>
        <v>10336.89</v>
      </c>
      <c r="BC537" s="219"/>
      <c r="BD537" s="219"/>
      <c r="BE537" s="219"/>
      <c r="BF537" s="219"/>
      <c r="BG537" s="219"/>
      <c r="BH537" s="219"/>
      <c r="BI537" s="219"/>
      <c r="BJ537" s="219"/>
      <c r="BK537" s="219"/>
      <c r="BL537" s="219"/>
    </row>
    <row r="538" spans="1:64" ht="15" hidden="1" customHeight="1" x14ac:dyDescent="0.3">
      <c r="A538" s="253">
        <v>537</v>
      </c>
      <c r="B538" s="255" t="s">
        <v>1862</v>
      </c>
      <c r="C538" s="211" t="s">
        <v>1731</v>
      </c>
      <c r="D538" s="201">
        <v>10006682</v>
      </c>
      <c r="E538" s="253" t="s">
        <v>1784</v>
      </c>
      <c r="F538" s="253">
        <v>3319</v>
      </c>
      <c r="G538" s="201">
        <v>57510</v>
      </c>
      <c r="H538" s="201">
        <v>2021</v>
      </c>
      <c r="I538" s="216">
        <v>2798708.59</v>
      </c>
      <c r="J538" s="214">
        <v>2612127</v>
      </c>
      <c r="K538" s="170">
        <v>65458.57999999998</v>
      </c>
      <c r="L538" s="207">
        <v>1.37</v>
      </c>
      <c r="M538" s="212">
        <v>3938.13</v>
      </c>
      <c r="N538" s="212">
        <v>7674</v>
      </c>
      <c r="O538" s="171">
        <v>89</v>
      </c>
      <c r="P538" s="271" t="str">
        <f>IFERROR(VLOOKUP(Tabela1[[#This Row],[TAG]],#REF!,14,FALSE),"")</f>
        <v/>
      </c>
      <c r="Q538" s="204" t="e">
        <f t="shared" ref="Q538:Q540" si="1070">P538+P538</f>
        <v>#VALUE!</v>
      </c>
      <c r="R538" s="204" t="e">
        <f t="shared" ref="R538:R540" si="1071">Q538+P538</f>
        <v>#VALUE!</v>
      </c>
      <c r="S538" s="204" t="e">
        <f t="shared" ref="S538:S540" si="1072">R538+P538</f>
        <v>#VALUE!</v>
      </c>
      <c r="T538" s="204" t="e">
        <f t="shared" ref="T538:T540" si="1073">S538+P538</f>
        <v>#VALUE!</v>
      </c>
      <c r="U538" s="204" t="e">
        <f t="shared" ref="U538:U540" si="1074">T538+P538</f>
        <v>#VALUE!</v>
      </c>
      <c r="V538" s="204" t="e">
        <f t="shared" ref="V538:V540" si="1075">U538+P538</f>
        <v>#VALUE!</v>
      </c>
      <c r="W538" s="218">
        <v>767.11</v>
      </c>
      <c r="X538" s="218">
        <v>5156.53</v>
      </c>
      <c r="Y538" s="203">
        <v>0.1</v>
      </c>
      <c r="Z538" s="203">
        <f>IF(Tabela1[[#This Row],[Ano Aquisição]]=2023,0,IFERROR(VLOOKUP(H538,inflação!$F:$H,3,FALSE),""))</f>
        <v>0.1585</v>
      </c>
      <c r="AA538" s="203">
        <v>0.8</v>
      </c>
      <c r="AB538" s="202">
        <f t="shared" si="1064"/>
        <v>-2798708.59</v>
      </c>
      <c r="AC538" s="204" t="e">
        <f t="shared" ref="AC538:AC540" si="1076">-(((P538*$W538)+($X538*12))*((1+$Y538)^AC$1))</f>
        <v>#VALUE!</v>
      </c>
      <c r="AD538" s="204" t="e">
        <f t="shared" ref="AD538:AD540" si="1077">-((((Q538-P538)*$W538)+($X538*12))*((1+$Y538)^AD$1))</f>
        <v>#VALUE!</v>
      </c>
      <c r="AE538" s="204" t="e">
        <f t="shared" ref="AE538:AE540" si="1078">-((((R538-Q538)*$W538)+($X538*12))*((1+$Y538)^AE$1))</f>
        <v>#VALUE!</v>
      </c>
      <c r="AF538" s="204" t="e">
        <f t="shared" ref="AF538:AF540" si="1079">-((((S538-R538)*$W538)+($X538*12))*((1+$Y538)^AF$1))</f>
        <v>#VALUE!</v>
      </c>
      <c r="AG538" s="204" t="e">
        <f t="shared" ref="AG538:AG540" si="1080">-((((T538-S538)*$W538)+($X538*12))*((1+$Y538)^AG$1))</f>
        <v>#VALUE!</v>
      </c>
      <c r="AH538" s="204" t="e">
        <f t="shared" ref="AH538:AH540" si="1081">-((((U538-T538)*$W538)+($X538*12))*((1+$Y538)^AH$1))</f>
        <v>#VALUE!</v>
      </c>
      <c r="AI538" s="204" t="e">
        <f t="shared" ref="AI538:AI540" si="1082">-((((V538-U538)*$W538)+($X538*12))*((1+$Y538)^AI$1))</f>
        <v>#VALUE!</v>
      </c>
      <c r="AJ538" s="205">
        <f t="shared" si="1065"/>
        <v>-3242303.901515</v>
      </c>
      <c r="AK538" s="204" t="e">
        <f t="shared" ref="AK538:AK540" si="1083">AC538*(1-$AA538)</f>
        <v>#VALUE!</v>
      </c>
      <c r="AL538" s="204" t="e">
        <f t="shared" ref="AL538:AL540" si="1084">AD538*(1-$AA538)</f>
        <v>#VALUE!</v>
      </c>
      <c r="AM538" s="204" t="e">
        <f t="shared" ref="AM538:AM540" si="1085">AE538*(1-$AA538)</f>
        <v>#VALUE!</v>
      </c>
      <c r="AN538" s="204" t="e">
        <f t="shared" ref="AN538:AN540" si="1086">AF538*(1-$AA538)</f>
        <v>#VALUE!</v>
      </c>
      <c r="AO538" s="204" t="e">
        <f t="shared" ref="AO538:AO540" si="1087">AG538*(1-$AA538)</f>
        <v>#VALUE!</v>
      </c>
      <c r="AP538" s="204" t="e">
        <f t="shared" ref="AP538:AP540" si="1088">AH538*(1-$AA538)</f>
        <v>#VALUE!</v>
      </c>
      <c r="AQ538" s="204" t="e">
        <f t="shared" ref="AQ538:AQ540" si="1089">AI538*(1-$AA538)</f>
        <v>#VALUE!</v>
      </c>
      <c r="AR538" s="206" t="e">
        <f t="shared" si="1066"/>
        <v>#VALUE!</v>
      </c>
      <c r="AS538" s="170" t="e">
        <f t="shared" ref="AS538:AS540" si="1090">SUM(AC538:AI538)</f>
        <v>#VALUE!</v>
      </c>
      <c r="AT538" s="170" t="e">
        <f t="shared" ref="AT538:AT540" si="1091">SUM(AK538:AQ538)</f>
        <v>#VALUE!</v>
      </c>
      <c r="AU538" s="207" t="e">
        <f t="shared" si="1067"/>
        <v>#VALUE!</v>
      </c>
      <c r="AV538" s="208" t="e">
        <f t="shared" si="1068"/>
        <v>#VALUE!</v>
      </c>
      <c r="AW538" s="201" t="str">
        <f t="shared" si="1069"/>
        <v>Fase de Degradação</v>
      </c>
      <c r="AX538" s="253" t="e">
        <f>VLOOKUP(D538,#REF!,5,FALSE)</f>
        <v>#REF!</v>
      </c>
      <c r="AY538" s="201"/>
      <c r="AZ538" s="273" t="s">
        <v>1224</v>
      </c>
      <c r="BB538">
        <f>IFERROR(VLOOKUP(Tabela1[[#This Row],[Denominação]],[10]Planilha1!$A:$B,2,FALSE),"")</f>
        <v>65458.57999999998</v>
      </c>
      <c r="BC538" s="219"/>
      <c r="BD538" s="219"/>
      <c r="BE538" s="219"/>
      <c r="BF538" s="219"/>
      <c r="BG538" s="219"/>
      <c r="BH538" s="219"/>
      <c r="BI538" s="219"/>
      <c r="BJ538" s="219"/>
      <c r="BK538" s="219"/>
      <c r="BL538" s="219"/>
    </row>
    <row r="539" spans="1:64" ht="15" hidden="1" customHeight="1" x14ac:dyDescent="0.3">
      <c r="A539" s="268">
        <v>538</v>
      </c>
      <c r="B539" s="300" t="s">
        <v>1863</v>
      </c>
      <c r="C539" s="318" t="s">
        <v>1732</v>
      </c>
      <c r="D539" s="315">
        <v>10006928</v>
      </c>
      <c r="E539" s="299" t="s">
        <v>1792</v>
      </c>
      <c r="F539" s="299">
        <v>3335</v>
      </c>
      <c r="G539" s="331">
        <v>900000023311</v>
      </c>
      <c r="H539" s="315">
        <v>2022</v>
      </c>
      <c r="I539" s="329">
        <v>2029939.86</v>
      </c>
      <c r="J539" s="329">
        <v>2029939.86</v>
      </c>
      <c r="K539" s="326"/>
      <c r="L539" s="319">
        <v>1.06</v>
      </c>
      <c r="M539" s="320">
        <v>3938.13</v>
      </c>
      <c r="N539" s="320">
        <v>31087</v>
      </c>
      <c r="O539" s="321">
        <v>233</v>
      </c>
      <c r="P539" s="271" t="str">
        <f>IFERROR(VLOOKUP(Tabela1[[#This Row],[TAG]],#REF!,14,FALSE),"")</f>
        <v/>
      </c>
      <c r="Q539" s="323" t="e">
        <f t="shared" si="1070"/>
        <v>#VALUE!</v>
      </c>
      <c r="R539" s="323" t="e">
        <f t="shared" si="1071"/>
        <v>#VALUE!</v>
      </c>
      <c r="S539" s="323" t="e">
        <f t="shared" si="1072"/>
        <v>#VALUE!</v>
      </c>
      <c r="T539" s="323" t="e">
        <f t="shared" si="1073"/>
        <v>#VALUE!</v>
      </c>
      <c r="U539" s="323" t="e">
        <f t="shared" si="1074"/>
        <v>#VALUE!</v>
      </c>
      <c r="V539" s="323" t="e">
        <f t="shared" si="1075"/>
        <v>#VALUE!</v>
      </c>
      <c r="W539" s="304">
        <v>554.74</v>
      </c>
      <c r="X539" s="304">
        <v>5397.6702777777755</v>
      </c>
      <c r="Y539" s="322">
        <v>0.1</v>
      </c>
      <c r="Z539" s="322">
        <f>IF(Tabela1[[#This Row],[Ano Aquisição]]=2023,0,IFERROR(VLOOKUP(H539,inflação!$F:$H,3,FALSE),""))</f>
        <v>5.79E-2</v>
      </c>
      <c r="AA539" s="322">
        <v>0.8</v>
      </c>
      <c r="AB539" s="310">
        <f t="shared" si="1064"/>
        <v>-2029939.86</v>
      </c>
      <c r="AC539" s="323" t="e">
        <f t="shared" si="1076"/>
        <v>#VALUE!</v>
      </c>
      <c r="AD539" s="323" t="e">
        <f t="shared" si="1077"/>
        <v>#VALUE!</v>
      </c>
      <c r="AE539" s="323" t="e">
        <f t="shared" si="1078"/>
        <v>#VALUE!</v>
      </c>
      <c r="AF539" s="323" t="e">
        <f t="shared" si="1079"/>
        <v>#VALUE!</v>
      </c>
      <c r="AG539" s="323" t="e">
        <f t="shared" si="1080"/>
        <v>#VALUE!</v>
      </c>
      <c r="AH539" s="323" t="e">
        <f t="shared" si="1081"/>
        <v>#VALUE!</v>
      </c>
      <c r="AI539" s="323" t="e">
        <f t="shared" si="1082"/>
        <v>#VALUE!</v>
      </c>
      <c r="AJ539" s="324">
        <f t="shared" si="1065"/>
        <v>-2147473.3778940002</v>
      </c>
      <c r="AK539" s="323" t="e">
        <f t="shared" si="1083"/>
        <v>#VALUE!</v>
      </c>
      <c r="AL539" s="323" t="e">
        <f t="shared" si="1084"/>
        <v>#VALUE!</v>
      </c>
      <c r="AM539" s="323" t="e">
        <f t="shared" si="1085"/>
        <v>#VALUE!</v>
      </c>
      <c r="AN539" s="323" t="e">
        <f t="shared" si="1086"/>
        <v>#VALUE!</v>
      </c>
      <c r="AO539" s="323" t="e">
        <f t="shared" si="1087"/>
        <v>#VALUE!</v>
      </c>
      <c r="AP539" s="323" t="e">
        <f t="shared" si="1088"/>
        <v>#VALUE!</v>
      </c>
      <c r="AQ539" s="323" t="e">
        <f t="shared" si="1089"/>
        <v>#VALUE!</v>
      </c>
      <c r="AR539" s="325" t="e">
        <f t="shared" si="1066"/>
        <v>#VALUE!</v>
      </c>
      <c r="AS539" s="326" t="e">
        <f t="shared" si="1090"/>
        <v>#VALUE!</v>
      </c>
      <c r="AT539" s="326" t="e">
        <f t="shared" si="1091"/>
        <v>#VALUE!</v>
      </c>
      <c r="AU539" s="319" t="e">
        <f t="shared" si="1067"/>
        <v>#VALUE!</v>
      </c>
      <c r="AV539" s="327" t="e">
        <f t="shared" si="1068"/>
        <v>#VALUE!</v>
      </c>
      <c r="AW539" s="315" t="str">
        <f t="shared" si="1069"/>
        <v>Fase de Vida Útil</v>
      </c>
      <c r="AX539" s="299" t="e">
        <f>VLOOKUP(D539,#REF!,5,FALSE)</f>
        <v>#REF!</v>
      </c>
      <c r="AY539" s="201"/>
      <c r="AZ539" s="273" t="s">
        <v>1224</v>
      </c>
      <c r="BB539" t="str">
        <f>IFERROR(VLOOKUP(Tabela1[[#This Row],[Denominação]],[10]Planilha1!$A:$B,2,FALSE),"")</f>
        <v/>
      </c>
      <c r="BC539" s="219"/>
      <c r="BD539" s="219"/>
      <c r="BE539" s="219"/>
      <c r="BF539" s="219"/>
      <c r="BG539" s="219"/>
      <c r="BH539" s="219"/>
      <c r="BI539" s="219"/>
      <c r="BJ539" s="219"/>
      <c r="BK539" s="219"/>
      <c r="BL539" s="219"/>
    </row>
    <row r="540" spans="1:64" ht="15" hidden="1" customHeight="1" x14ac:dyDescent="0.3">
      <c r="A540" s="253">
        <v>539</v>
      </c>
      <c r="B540" s="300" t="s">
        <v>1864</v>
      </c>
      <c r="C540" s="328" t="s">
        <v>1733</v>
      </c>
      <c r="D540" s="321">
        <v>10006927</v>
      </c>
      <c r="E540" s="299" t="s">
        <v>1793</v>
      </c>
      <c r="F540" s="332">
        <v>3319</v>
      </c>
      <c r="G540" s="331">
        <v>900000023474</v>
      </c>
      <c r="H540" s="321">
        <v>2023</v>
      </c>
      <c r="I540" s="333">
        <v>2494386.1</v>
      </c>
      <c r="J540" s="333">
        <v>2494386.1</v>
      </c>
      <c r="K540" s="326"/>
      <c r="L540" s="319">
        <v>1.06</v>
      </c>
      <c r="M540" s="320">
        <v>3938.13</v>
      </c>
      <c r="N540" s="320">
        <v>31087</v>
      </c>
      <c r="O540" s="321">
        <v>233</v>
      </c>
      <c r="P540" s="271" t="str">
        <f>IFERROR(VLOOKUP(Tabela1[[#This Row],[TAG]],#REF!,14,FALSE),"")</f>
        <v/>
      </c>
      <c r="Q540" s="323" t="e">
        <f t="shared" si="1070"/>
        <v>#VALUE!</v>
      </c>
      <c r="R540" s="323" t="e">
        <f t="shared" si="1071"/>
        <v>#VALUE!</v>
      </c>
      <c r="S540" s="323" t="e">
        <f t="shared" si="1072"/>
        <v>#VALUE!</v>
      </c>
      <c r="T540" s="323" t="e">
        <f t="shared" si="1073"/>
        <v>#VALUE!</v>
      </c>
      <c r="U540" s="323" t="e">
        <f t="shared" si="1074"/>
        <v>#VALUE!</v>
      </c>
      <c r="V540" s="323" t="e">
        <f t="shared" si="1075"/>
        <v>#VALUE!</v>
      </c>
      <c r="W540" s="304">
        <v>554.74</v>
      </c>
      <c r="X540" s="304">
        <v>5397.6702777777755</v>
      </c>
      <c r="Y540" s="322">
        <v>0.1</v>
      </c>
      <c r="Z540" s="322">
        <f>IF(Tabela1[[#This Row],[Ano Aquisição]]=2023,0,IFERROR(VLOOKUP(H540,inflação!$F:$H,3,FALSE),""))</f>
        <v>0</v>
      </c>
      <c r="AA540" s="322">
        <v>0.8</v>
      </c>
      <c r="AB540" s="310">
        <f t="shared" si="1064"/>
        <v>-2494386.1</v>
      </c>
      <c r="AC540" s="323" t="e">
        <f t="shared" si="1076"/>
        <v>#VALUE!</v>
      </c>
      <c r="AD540" s="323" t="e">
        <f t="shared" si="1077"/>
        <v>#VALUE!</v>
      </c>
      <c r="AE540" s="323" t="e">
        <f t="shared" si="1078"/>
        <v>#VALUE!</v>
      </c>
      <c r="AF540" s="323" t="e">
        <f t="shared" si="1079"/>
        <v>#VALUE!</v>
      </c>
      <c r="AG540" s="323" t="e">
        <f t="shared" si="1080"/>
        <v>#VALUE!</v>
      </c>
      <c r="AH540" s="323" t="e">
        <f t="shared" si="1081"/>
        <v>#VALUE!</v>
      </c>
      <c r="AI540" s="323" t="e">
        <f t="shared" si="1082"/>
        <v>#VALUE!</v>
      </c>
      <c r="AJ540" s="324">
        <f t="shared" si="1065"/>
        <v>-2494386.1</v>
      </c>
      <c r="AK540" s="323" t="e">
        <f t="shared" si="1083"/>
        <v>#VALUE!</v>
      </c>
      <c r="AL540" s="323" t="e">
        <f t="shared" si="1084"/>
        <v>#VALUE!</v>
      </c>
      <c r="AM540" s="323" t="e">
        <f t="shared" si="1085"/>
        <v>#VALUE!</v>
      </c>
      <c r="AN540" s="323" t="e">
        <f t="shared" si="1086"/>
        <v>#VALUE!</v>
      </c>
      <c r="AO540" s="323" t="e">
        <f t="shared" si="1087"/>
        <v>#VALUE!</v>
      </c>
      <c r="AP540" s="323" t="e">
        <f t="shared" si="1088"/>
        <v>#VALUE!</v>
      </c>
      <c r="AQ540" s="323" t="e">
        <f t="shared" si="1089"/>
        <v>#VALUE!</v>
      </c>
      <c r="AR540" s="325" t="e">
        <f t="shared" si="1066"/>
        <v>#VALUE!</v>
      </c>
      <c r="AS540" s="326" t="e">
        <f t="shared" si="1090"/>
        <v>#VALUE!</v>
      </c>
      <c r="AT540" s="326" t="e">
        <f t="shared" si="1091"/>
        <v>#VALUE!</v>
      </c>
      <c r="AU540" s="319" t="e">
        <f t="shared" si="1067"/>
        <v>#VALUE!</v>
      </c>
      <c r="AV540" s="327" t="e">
        <f t="shared" si="1068"/>
        <v>#VALUE!</v>
      </c>
      <c r="AW540" s="315" t="str">
        <f t="shared" si="1069"/>
        <v>Fase de Vida Útil</v>
      </c>
      <c r="AX540" s="299" t="e">
        <f>VLOOKUP(D540,#REF!,5,FALSE)</f>
        <v>#REF!</v>
      </c>
      <c r="AY540" s="201"/>
      <c r="AZ540" s="273" t="s">
        <v>1224</v>
      </c>
      <c r="BB540" t="str">
        <f>IFERROR(VLOOKUP(Tabela1[[#This Row],[Denominação]],[10]Planilha1!$A:$B,2,FALSE),"")</f>
        <v/>
      </c>
      <c r="BC540" s="219"/>
      <c r="BD540" s="219"/>
      <c r="BE540" s="219"/>
      <c r="BF540" s="219"/>
      <c r="BG540" s="219"/>
      <c r="BH540" s="219"/>
      <c r="BI540" s="219"/>
      <c r="BJ540" s="219"/>
      <c r="BK540" s="219"/>
      <c r="BL540" s="219"/>
    </row>
    <row r="541" spans="1:64" ht="15" hidden="1" customHeight="1" x14ac:dyDescent="0.3">
      <c r="A541" s="268">
        <v>540</v>
      </c>
      <c r="B541" s="171" t="s">
        <v>131</v>
      </c>
      <c r="C541" s="209" t="s">
        <v>132</v>
      </c>
      <c r="D541" s="171">
        <v>10004900</v>
      </c>
      <c r="E541" s="253" t="s">
        <v>1543</v>
      </c>
      <c r="F541" s="210">
        <v>4511</v>
      </c>
      <c r="G541" s="171">
        <v>34942</v>
      </c>
      <c r="H541" s="171">
        <v>2007</v>
      </c>
      <c r="I541" s="213">
        <v>152885.69</v>
      </c>
      <c r="J541" s="213">
        <v>0</v>
      </c>
      <c r="K541" s="170">
        <v>106095.32999999997</v>
      </c>
      <c r="L541" s="215">
        <v>1.46</v>
      </c>
      <c r="M541" s="212">
        <v>4414</v>
      </c>
      <c r="N541" s="212">
        <v>127848</v>
      </c>
      <c r="O541" s="171">
        <v>110</v>
      </c>
      <c r="P541" s="271" t="str">
        <f>IFERROR(VLOOKUP(Tabela1[[#This Row],[TAG]],#REF!,14,FALSE),"")</f>
        <v/>
      </c>
      <c r="Q541" s="204" t="e">
        <f t="shared" ref="Q541:Q572" si="1092">P541+P541</f>
        <v>#VALUE!</v>
      </c>
      <c r="R541" s="204" t="e">
        <f t="shared" ref="R541:R572" si="1093">Q541+P541</f>
        <v>#VALUE!</v>
      </c>
      <c r="S541" s="204" t="e">
        <f t="shared" ref="S541:S572" si="1094">R541+P541</f>
        <v>#VALUE!</v>
      </c>
      <c r="T541" s="204" t="e">
        <f t="shared" ref="T541:T572" si="1095">S541+P541</f>
        <v>#VALUE!</v>
      </c>
      <c r="U541" s="204" t="e">
        <f t="shared" ref="U541:U572" si="1096">T541+P541</f>
        <v>#VALUE!</v>
      </c>
      <c r="V541" s="204" t="e">
        <f t="shared" ref="V541:V572" si="1097">U541+P541</f>
        <v>#VALUE!</v>
      </c>
      <c r="W541" s="218">
        <v>387.21</v>
      </c>
      <c r="X541" s="218">
        <v>1414.42</v>
      </c>
      <c r="Y541" s="203">
        <v>0.1</v>
      </c>
      <c r="Z541" s="203">
        <f>IF(Tabela1[[#This Row],[Ano Aquisição]]=2023,0,IFERROR(VLOOKUP(H541,inflação!$F:$H,3,FALSE),""))</f>
        <v>0.93579999999999997</v>
      </c>
      <c r="AA541" s="203">
        <v>0.8</v>
      </c>
      <c r="AB541" s="202">
        <f t="shared" si="1064"/>
        <v>-152885.69</v>
      </c>
      <c r="AC541" s="204" t="e">
        <f t="shared" ref="AC541:AC572" si="1098">-(((P541*$W541)+($X541*12))*((1+$Y541)^AC$1))</f>
        <v>#VALUE!</v>
      </c>
      <c r="AD541" s="204" t="e">
        <f t="shared" ref="AD541:AD572" si="1099">-((((Q541-P541)*$W541)+($X541*12))*((1+$Y541)^AD$1))</f>
        <v>#VALUE!</v>
      </c>
      <c r="AE541" s="204" t="e">
        <f t="shared" ref="AE541:AE572" si="1100">-((((R541-Q541)*$W541)+($X541*12))*((1+$Y541)^AE$1))</f>
        <v>#VALUE!</v>
      </c>
      <c r="AF541" s="204" t="e">
        <f t="shared" ref="AF541:AF572" si="1101">-((((S541-R541)*$W541)+($X541*12))*((1+$Y541)^AF$1))</f>
        <v>#VALUE!</v>
      </c>
      <c r="AG541" s="204" t="e">
        <f t="shared" ref="AG541:AG572" si="1102">-((((T541-S541)*$W541)+($X541*12))*((1+$Y541)^AG$1))</f>
        <v>#VALUE!</v>
      </c>
      <c r="AH541" s="204" t="e">
        <f t="shared" ref="AH541:AH572" si="1103">-((((U541-T541)*$W541)+($X541*12))*((1+$Y541)^AH$1))</f>
        <v>#VALUE!</v>
      </c>
      <c r="AI541" s="204" t="e">
        <f t="shared" ref="AI541:AI572" si="1104">-((((V541-U541)*$W541)+($X541*12))*((1+$Y541)^AI$1))</f>
        <v>#VALUE!</v>
      </c>
      <c r="AJ541" s="205">
        <f t="shared" si="1065"/>
        <v>-295956.11870200001</v>
      </c>
      <c r="AK541" s="204" t="e">
        <f t="shared" ref="AK541:AK572" si="1105">AC541*(1-$AA541)</f>
        <v>#VALUE!</v>
      </c>
      <c r="AL541" s="204" t="e">
        <f t="shared" ref="AL541:AL572" si="1106">AD541*(1-$AA541)</f>
        <v>#VALUE!</v>
      </c>
      <c r="AM541" s="204" t="e">
        <f t="shared" ref="AM541:AM572" si="1107">AE541*(1-$AA541)</f>
        <v>#VALUE!</v>
      </c>
      <c r="AN541" s="204" t="e">
        <f t="shared" ref="AN541:AN572" si="1108">AF541*(1-$AA541)</f>
        <v>#VALUE!</v>
      </c>
      <c r="AO541" s="204" t="e">
        <f t="shared" ref="AO541:AO572" si="1109">AG541*(1-$AA541)</f>
        <v>#VALUE!</v>
      </c>
      <c r="AP541" s="204" t="e">
        <f t="shared" ref="AP541:AP572" si="1110">AH541*(1-$AA541)</f>
        <v>#VALUE!</v>
      </c>
      <c r="AQ541" s="204" t="e">
        <f t="shared" ref="AQ541:AQ572" si="1111">AI541*(1-$AA541)</f>
        <v>#VALUE!</v>
      </c>
      <c r="AR541" s="206" t="e">
        <f t="shared" si="1066"/>
        <v>#VALUE!</v>
      </c>
      <c r="AS541" s="170" t="e">
        <f t="shared" ref="AS541:AS572" si="1112">SUM(AC541:AI541)</f>
        <v>#VALUE!</v>
      </c>
      <c r="AT541" s="170" t="e">
        <f t="shared" ref="AT541:AT572" si="1113">SUM(AK541:AQ541)</f>
        <v>#VALUE!</v>
      </c>
      <c r="AU541" s="207" t="e">
        <f t="shared" si="1067"/>
        <v>#VALUE!</v>
      </c>
      <c r="AV541" s="208" t="e">
        <f t="shared" si="1068"/>
        <v>#VALUE!</v>
      </c>
      <c r="AW541" s="201" t="str">
        <f t="shared" si="1069"/>
        <v>Fase de Degradação</v>
      </c>
      <c r="AX541" s="253" t="e">
        <f>VLOOKUP(D541,#REF!,5,FALSE)</f>
        <v>#REF!</v>
      </c>
      <c r="AY541" s="201" t="s">
        <v>1224</v>
      </c>
      <c r="AZ541" s="273" t="s">
        <v>1224</v>
      </c>
      <c r="BB541">
        <f>IFERROR(VLOOKUP(Tabela1[[#This Row],[Denominação]],[10]Planilha1!$A:$B,2,FALSE),"")</f>
        <v>106095.32999999997</v>
      </c>
      <c r="BC541" s="219"/>
      <c r="BD541" s="219"/>
      <c r="BE541" s="219"/>
      <c r="BF541" s="219"/>
      <c r="BG541" s="219"/>
      <c r="BH541" s="219"/>
      <c r="BI541" s="219"/>
      <c r="BJ541" s="219"/>
      <c r="BK541" s="219"/>
      <c r="BL541" s="219"/>
    </row>
    <row r="542" spans="1:64" ht="15" hidden="1" customHeight="1" x14ac:dyDescent="0.3">
      <c r="A542" s="253">
        <v>541</v>
      </c>
      <c r="B542" s="171" t="s">
        <v>133</v>
      </c>
      <c r="C542" s="209" t="s">
        <v>134</v>
      </c>
      <c r="D542" s="171">
        <v>10004901</v>
      </c>
      <c r="E542" s="253" t="s">
        <v>1372</v>
      </c>
      <c r="F542" s="210">
        <v>4711</v>
      </c>
      <c r="G542" s="171">
        <v>35461</v>
      </c>
      <c r="H542" s="171">
        <v>2008</v>
      </c>
      <c r="I542" s="213">
        <v>135432.43</v>
      </c>
      <c r="J542" s="213">
        <v>17288</v>
      </c>
      <c r="K542" s="170">
        <v>141075.74000000002</v>
      </c>
      <c r="L542" s="215">
        <v>1.46</v>
      </c>
      <c r="M542" s="212">
        <v>3654</v>
      </c>
      <c r="N542" s="212">
        <v>137407</v>
      </c>
      <c r="O542" s="171">
        <v>110</v>
      </c>
      <c r="P542" s="271" t="str">
        <f>IFERROR(VLOOKUP(Tabela1[[#This Row],[TAG]],#REF!,14,FALSE),"")</f>
        <v/>
      </c>
      <c r="Q542" s="204" t="e">
        <f t="shared" si="1092"/>
        <v>#VALUE!</v>
      </c>
      <c r="R542" s="204" t="e">
        <f t="shared" si="1093"/>
        <v>#VALUE!</v>
      </c>
      <c r="S542" s="204" t="e">
        <f t="shared" si="1094"/>
        <v>#VALUE!</v>
      </c>
      <c r="T542" s="204" t="e">
        <f t="shared" si="1095"/>
        <v>#VALUE!</v>
      </c>
      <c r="U542" s="204" t="e">
        <f t="shared" si="1096"/>
        <v>#VALUE!</v>
      </c>
      <c r="V542" s="204" t="e">
        <f t="shared" si="1097"/>
        <v>#VALUE!</v>
      </c>
      <c r="W542" s="218">
        <v>372.76</v>
      </c>
      <c r="X542" s="218">
        <v>727.11</v>
      </c>
      <c r="Y542" s="203">
        <v>0.1</v>
      </c>
      <c r="Z542" s="203">
        <f>IF(Tabela1[[#This Row],[Ano Aquisição]]=2023,0,IFERROR(VLOOKUP(H542,inflação!$F:$H,3,FALSE),""))</f>
        <v>0.89119999999999999</v>
      </c>
      <c r="AA542" s="203">
        <v>0.8</v>
      </c>
      <c r="AB542" s="202">
        <f t="shared" si="1064"/>
        <v>-135432.43</v>
      </c>
      <c r="AC542" s="204" t="e">
        <f t="shared" si="1098"/>
        <v>#VALUE!</v>
      </c>
      <c r="AD542" s="204" t="e">
        <f t="shared" si="1099"/>
        <v>#VALUE!</v>
      </c>
      <c r="AE542" s="204" t="e">
        <f t="shared" si="1100"/>
        <v>#VALUE!</v>
      </c>
      <c r="AF542" s="204" t="e">
        <f t="shared" si="1101"/>
        <v>#VALUE!</v>
      </c>
      <c r="AG542" s="204" t="e">
        <f t="shared" si="1102"/>
        <v>#VALUE!</v>
      </c>
      <c r="AH542" s="204" t="e">
        <f t="shared" si="1103"/>
        <v>#VALUE!</v>
      </c>
      <c r="AI542" s="204" t="e">
        <f t="shared" si="1104"/>
        <v>#VALUE!</v>
      </c>
      <c r="AJ542" s="205">
        <f t="shared" si="1065"/>
        <v>-256129.81161599999</v>
      </c>
      <c r="AK542" s="204" t="e">
        <f t="shared" si="1105"/>
        <v>#VALUE!</v>
      </c>
      <c r="AL542" s="204" t="e">
        <f t="shared" si="1106"/>
        <v>#VALUE!</v>
      </c>
      <c r="AM542" s="204" t="e">
        <f t="shared" si="1107"/>
        <v>#VALUE!</v>
      </c>
      <c r="AN542" s="204" t="e">
        <f t="shared" si="1108"/>
        <v>#VALUE!</v>
      </c>
      <c r="AO542" s="204" t="e">
        <f t="shared" si="1109"/>
        <v>#VALUE!</v>
      </c>
      <c r="AP542" s="204" t="e">
        <f t="shared" si="1110"/>
        <v>#VALUE!</v>
      </c>
      <c r="AQ542" s="204" t="e">
        <f t="shared" si="1111"/>
        <v>#VALUE!</v>
      </c>
      <c r="AR542" s="206" t="e">
        <f t="shared" si="1066"/>
        <v>#VALUE!</v>
      </c>
      <c r="AS542" s="170" t="e">
        <f t="shared" si="1112"/>
        <v>#VALUE!</v>
      </c>
      <c r="AT542" s="170" t="e">
        <f t="shared" si="1113"/>
        <v>#VALUE!</v>
      </c>
      <c r="AU542" s="207" t="e">
        <f t="shared" si="1067"/>
        <v>#VALUE!</v>
      </c>
      <c r="AV542" s="208" t="e">
        <f t="shared" si="1068"/>
        <v>#VALUE!</v>
      </c>
      <c r="AW542" s="201" t="str">
        <f t="shared" si="1069"/>
        <v>Fase de Degradação</v>
      </c>
      <c r="AX542" s="253" t="e">
        <f>VLOOKUP(D542,#REF!,5,FALSE)</f>
        <v>#REF!</v>
      </c>
      <c r="AY542" s="201"/>
      <c r="AZ542" s="273" t="s">
        <v>1224</v>
      </c>
      <c r="BB542">
        <f>IFERROR(VLOOKUP(Tabela1[[#This Row],[Denominação]],[10]Planilha1!$A:$B,2,FALSE),"")</f>
        <v>141075.74000000002</v>
      </c>
      <c r="BC542" s="219"/>
      <c r="BD542" s="219"/>
      <c r="BE542" s="219"/>
      <c r="BF542" s="219"/>
      <c r="BG542" s="219"/>
      <c r="BH542" s="219"/>
      <c r="BI542" s="219"/>
      <c r="BJ542" s="219"/>
      <c r="BK542" s="219"/>
      <c r="BL542" s="219"/>
    </row>
    <row r="543" spans="1:64" ht="15" hidden="1" customHeight="1" x14ac:dyDescent="0.3">
      <c r="A543" s="268">
        <v>542</v>
      </c>
      <c r="B543" s="171" t="s">
        <v>451</v>
      </c>
      <c r="C543" s="209" t="s">
        <v>479</v>
      </c>
      <c r="D543" s="171">
        <v>10004911</v>
      </c>
      <c r="E543" s="253" t="s">
        <v>1373</v>
      </c>
      <c r="F543" s="210">
        <v>4711</v>
      </c>
      <c r="G543" s="171">
        <v>34857</v>
      </c>
      <c r="H543" s="171">
        <v>2007</v>
      </c>
      <c r="I543" s="213">
        <v>227461.1</v>
      </c>
      <c r="J543" s="213">
        <v>22098</v>
      </c>
      <c r="K543" s="170">
        <v>203950.67</v>
      </c>
      <c r="L543" s="215">
        <v>1.92</v>
      </c>
      <c r="M543" s="212">
        <v>3992</v>
      </c>
      <c r="N543" s="212">
        <v>136283</v>
      </c>
      <c r="O543" s="171">
        <v>122</v>
      </c>
      <c r="P543" s="271" t="str">
        <f>IFERROR(VLOOKUP(Tabela1[[#This Row],[TAG]],#REF!,14,FALSE),"")</f>
        <v/>
      </c>
      <c r="Q543" s="204" t="e">
        <f t="shared" si="1092"/>
        <v>#VALUE!</v>
      </c>
      <c r="R543" s="204" t="e">
        <f t="shared" si="1093"/>
        <v>#VALUE!</v>
      </c>
      <c r="S543" s="204" t="e">
        <f t="shared" si="1094"/>
        <v>#VALUE!</v>
      </c>
      <c r="T543" s="204" t="e">
        <f t="shared" si="1095"/>
        <v>#VALUE!</v>
      </c>
      <c r="U543" s="204" t="e">
        <f t="shared" si="1096"/>
        <v>#VALUE!</v>
      </c>
      <c r="V543" s="204" t="e">
        <f t="shared" si="1097"/>
        <v>#VALUE!</v>
      </c>
      <c r="W543" s="218">
        <v>546.66999999999996</v>
      </c>
      <c r="X543" s="218">
        <v>1492.09</v>
      </c>
      <c r="Y543" s="203">
        <v>0.1</v>
      </c>
      <c r="Z543" s="203">
        <f>IF(Tabela1[[#This Row],[Ano Aquisição]]=2023,0,IFERROR(VLOOKUP(H543,inflação!$F:$H,3,FALSE),""))</f>
        <v>0.93579999999999997</v>
      </c>
      <c r="AA543" s="203">
        <v>0.8</v>
      </c>
      <c r="AB543" s="202">
        <f t="shared" si="1064"/>
        <v>-227461.1</v>
      </c>
      <c r="AC543" s="204" t="e">
        <f t="shared" si="1098"/>
        <v>#VALUE!</v>
      </c>
      <c r="AD543" s="204" t="e">
        <f t="shared" si="1099"/>
        <v>#VALUE!</v>
      </c>
      <c r="AE543" s="204" t="e">
        <f t="shared" si="1100"/>
        <v>#VALUE!</v>
      </c>
      <c r="AF543" s="204" t="e">
        <f t="shared" si="1101"/>
        <v>#VALUE!</v>
      </c>
      <c r="AG543" s="204" t="e">
        <f t="shared" si="1102"/>
        <v>#VALUE!</v>
      </c>
      <c r="AH543" s="204" t="e">
        <f t="shared" si="1103"/>
        <v>#VALUE!</v>
      </c>
      <c r="AI543" s="204" t="e">
        <f t="shared" si="1104"/>
        <v>#VALUE!</v>
      </c>
      <c r="AJ543" s="205">
        <f t="shared" si="1065"/>
        <v>-440319.19738000003</v>
      </c>
      <c r="AK543" s="204" t="e">
        <f t="shared" si="1105"/>
        <v>#VALUE!</v>
      </c>
      <c r="AL543" s="204" t="e">
        <f t="shared" si="1106"/>
        <v>#VALUE!</v>
      </c>
      <c r="AM543" s="204" t="e">
        <f t="shared" si="1107"/>
        <v>#VALUE!</v>
      </c>
      <c r="AN543" s="204" t="e">
        <f t="shared" si="1108"/>
        <v>#VALUE!</v>
      </c>
      <c r="AO543" s="204" t="e">
        <f t="shared" si="1109"/>
        <v>#VALUE!</v>
      </c>
      <c r="AP543" s="204" t="e">
        <f t="shared" si="1110"/>
        <v>#VALUE!</v>
      </c>
      <c r="AQ543" s="204" t="e">
        <f t="shared" si="1111"/>
        <v>#VALUE!</v>
      </c>
      <c r="AR543" s="206" t="e">
        <f t="shared" si="1066"/>
        <v>#VALUE!</v>
      </c>
      <c r="AS543" s="170" t="e">
        <f t="shared" si="1112"/>
        <v>#VALUE!</v>
      </c>
      <c r="AT543" s="170" t="e">
        <f t="shared" si="1113"/>
        <v>#VALUE!</v>
      </c>
      <c r="AU543" s="207" t="e">
        <f t="shared" si="1067"/>
        <v>#VALUE!</v>
      </c>
      <c r="AV543" s="208" t="e">
        <f t="shared" si="1068"/>
        <v>#VALUE!</v>
      </c>
      <c r="AW543" s="201" t="str">
        <f t="shared" si="1069"/>
        <v>Fase de Degradação</v>
      </c>
      <c r="AX543" s="253" t="e">
        <f>VLOOKUP(D543,#REF!,5,FALSE)</f>
        <v>#REF!</v>
      </c>
      <c r="AY543" s="201"/>
      <c r="AZ543" s="273" t="s">
        <v>1224</v>
      </c>
      <c r="BB543">
        <f>IFERROR(VLOOKUP(Tabela1[[#This Row],[Denominação]],[10]Planilha1!$A:$B,2,FALSE),"")</f>
        <v>203950.67</v>
      </c>
      <c r="BC543" s="219"/>
      <c r="BD543" s="219"/>
      <c r="BE543" s="219"/>
      <c r="BF543" s="219"/>
      <c r="BG543" s="219"/>
      <c r="BH543" s="219"/>
      <c r="BI543" s="219"/>
      <c r="BJ543" s="219"/>
      <c r="BK543" s="219"/>
      <c r="BL543" s="219"/>
    </row>
    <row r="544" spans="1:64" ht="15" hidden="1" customHeight="1" x14ac:dyDescent="0.3">
      <c r="A544" s="253">
        <v>543</v>
      </c>
      <c r="B544" s="171" t="s">
        <v>125</v>
      </c>
      <c r="C544" s="209" t="s">
        <v>126</v>
      </c>
      <c r="D544" s="171">
        <v>10004091</v>
      </c>
      <c r="E544" s="253" t="s">
        <v>1430</v>
      </c>
      <c r="F544" s="210">
        <v>4511</v>
      </c>
      <c r="G544" s="171">
        <v>35045</v>
      </c>
      <c r="H544" s="171">
        <v>2007</v>
      </c>
      <c r="I544" s="213">
        <v>340660.41</v>
      </c>
      <c r="J544" s="213">
        <v>0</v>
      </c>
      <c r="K544" s="170">
        <v>263969.37000000011</v>
      </c>
      <c r="L544" s="215">
        <v>2.17</v>
      </c>
      <c r="M544" s="212" t="str">
        <f>IFERROR(VLOOKUP(Tabela1[[#This Row],[Denominação]],#REF!,7,FALSE),"")</f>
        <v/>
      </c>
      <c r="N544" s="212">
        <v>147988</v>
      </c>
      <c r="O544" s="171">
        <v>157</v>
      </c>
      <c r="P544" s="271" t="str">
        <f>IFERROR(VLOOKUP(Tabela1[[#This Row],[TAG]],#REF!,14,FALSE),"")</f>
        <v/>
      </c>
      <c r="Q544" s="204" t="e">
        <f t="shared" si="1092"/>
        <v>#VALUE!</v>
      </c>
      <c r="R544" s="204" t="e">
        <f t="shared" si="1093"/>
        <v>#VALUE!</v>
      </c>
      <c r="S544" s="204" t="e">
        <f t="shared" si="1094"/>
        <v>#VALUE!</v>
      </c>
      <c r="T544" s="204" t="e">
        <f t="shared" si="1095"/>
        <v>#VALUE!</v>
      </c>
      <c r="U544" s="204" t="e">
        <f t="shared" si="1096"/>
        <v>#VALUE!</v>
      </c>
      <c r="V544" s="204" t="e">
        <f t="shared" si="1097"/>
        <v>#VALUE!</v>
      </c>
      <c r="W544" s="218">
        <v>358.61</v>
      </c>
      <c r="X544" s="218">
        <v>1362.66</v>
      </c>
      <c r="Y544" s="203">
        <v>0.1</v>
      </c>
      <c r="Z544" s="203">
        <f>IF(Tabela1[[#This Row],[Ano Aquisição]]=2023,0,IFERROR(VLOOKUP(H544,inflação!$F:$H,3,FALSE),""))</f>
        <v>0.93579999999999997</v>
      </c>
      <c r="AA544" s="203">
        <v>0.8</v>
      </c>
      <c r="AB544" s="202">
        <f t="shared" si="1064"/>
        <v>-340660.41</v>
      </c>
      <c r="AC544" s="204" t="e">
        <f t="shared" si="1098"/>
        <v>#VALUE!</v>
      </c>
      <c r="AD544" s="204" t="e">
        <f t="shared" si="1099"/>
        <v>#VALUE!</v>
      </c>
      <c r="AE544" s="204" t="e">
        <f t="shared" si="1100"/>
        <v>#VALUE!</v>
      </c>
      <c r="AF544" s="204" t="e">
        <f t="shared" si="1101"/>
        <v>#VALUE!</v>
      </c>
      <c r="AG544" s="204" t="e">
        <f t="shared" si="1102"/>
        <v>#VALUE!</v>
      </c>
      <c r="AH544" s="204" t="e">
        <f t="shared" si="1103"/>
        <v>#VALUE!</v>
      </c>
      <c r="AI544" s="204" t="e">
        <f t="shared" si="1104"/>
        <v>#VALUE!</v>
      </c>
      <c r="AJ544" s="205">
        <f t="shared" si="1065"/>
        <v>-659450.4216779999</v>
      </c>
      <c r="AK544" s="204" t="e">
        <f t="shared" si="1105"/>
        <v>#VALUE!</v>
      </c>
      <c r="AL544" s="204" t="e">
        <f t="shared" si="1106"/>
        <v>#VALUE!</v>
      </c>
      <c r="AM544" s="204" t="e">
        <f t="shared" si="1107"/>
        <v>#VALUE!</v>
      </c>
      <c r="AN544" s="204" t="e">
        <f t="shared" si="1108"/>
        <v>#VALUE!</v>
      </c>
      <c r="AO544" s="204" t="e">
        <f t="shared" si="1109"/>
        <v>#VALUE!</v>
      </c>
      <c r="AP544" s="204" t="e">
        <f t="shared" si="1110"/>
        <v>#VALUE!</v>
      </c>
      <c r="AQ544" s="204" t="e">
        <f t="shared" si="1111"/>
        <v>#VALUE!</v>
      </c>
      <c r="AR544" s="206" t="e">
        <f t="shared" si="1066"/>
        <v>#VALUE!</v>
      </c>
      <c r="AS544" s="170" t="e">
        <f t="shared" si="1112"/>
        <v>#VALUE!</v>
      </c>
      <c r="AT544" s="170" t="e">
        <f t="shared" si="1113"/>
        <v>#VALUE!</v>
      </c>
      <c r="AU544" s="207" t="e">
        <f t="shared" si="1067"/>
        <v>#VALUE!</v>
      </c>
      <c r="AV544" s="208" t="e">
        <f t="shared" si="1068"/>
        <v>#VALUE!</v>
      </c>
      <c r="AW544" s="201" t="str">
        <f t="shared" si="1069"/>
        <v>Fase de Degradação</v>
      </c>
      <c r="AX544" s="253" t="e">
        <f>VLOOKUP(D544,#REF!,5,FALSE)</f>
        <v>#REF!</v>
      </c>
      <c r="AY544" s="201" t="s">
        <v>1224</v>
      </c>
      <c r="AZ544" s="273" t="s">
        <v>1224</v>
      </c>
      <c r="BB544">
        <f>IFERROR(VLOOKUP(Tabela1[[#This Row],[Denominação]],[10]Planilha1!$A:$B,2,FALSE),"")</f>
        <v>263969.37000000011</v>
      </c>
      <c r="BC544" s="219"/>
      <c r="BD544" s="219"/>
      <c r="BE544" s="219"/>
      <c r="BF544" s="219"/>
      <c r="BG544" s="219"/>
      <c r="BH544" s="219"/>
      <c r="BI544" s="219"/>
      <c r="BJ544" s="219"/>
      <c r="BK544" s="219"/>
      <c r="BL544" s="219"/>
    </row>
    <row r="545" spans="1:64" ht="15" hidden="1" customHeight="1" x14ac:dyDescent="0.3">
      <c r="A545" s="268">
        <v>544</v>
      </c>
      <c r="B545" s="171" t="s">
        <v>452</v>
      </c>
      <c r="C545" s="209" t="s">
        <v>480</v>
      </c>
      <c r="D545" s="171">
        <v>10005054</v>
      </c>
      <c r="E545" s="253" t="s">
        <v>1431</v>
      </c>
      <c r="F545" s="210">
        <v>4511</v>
      </c>
      <c r="G545" s="171">
        <v>20529</v>
      </c>
      <c r="H545" s="171">
        <v>2002</v>
      </c>
      <c r="I545" s="213">
        <v>176679.66</v>
      </c>
      <c r="J545" s="213">
        <v>0</v>
      </c>
      <c r="K545" s="170">
        <v>203750.63999999978</v>
      </c>
      <c r="L545" s="215">
        <v>2.83</v>
      </c>
      <c r="M545" s="212" t="str">
        <f>IFERROR(VLOOKUP(Tabela1[[#This Row],[Denominação]],#REF!,7,FALSE),"")</f>
        <v/>
      </c>
      <c r="N545" s="212">
        <v>108889</v>
      </c>
      <c r="O545" s="171">
        <v>98</v>
      </c>
      <c r="P545" s="271" t="str">
        <f>IFERROR(VLOOKUP(Tabela1[[#This Row],[TAG]],#REF!,14,FALSE),"")</f>
        <v/>
      </c>
      <c r="Q545" s="204" t="e">
        <f t="shared" si="1092"/>
        <v>#VALUE!</v>
      </c>
      <c r="R545" s="204" t="e">
        <f t="shared" si="1093"/>
        <v>#VALUE!</v>
      </c>
      <c r="S545" s="204" t="e">
        <f t="shared" si="1094"/>
        <v>#VALUE!</v>
      </c>
      <c r="T545" s="204" t="e">
        <f t="shared" si="1095"/>
        <v>#VALUE!</v>
      </c>
      <c r="U545" s="204" t="e">
        <f t="shared" si="1096"/>
        <v>#VALUE!</v>
      </c>
      <c r="V545" s="204" t="e">
        <f t="shared" si="1097"/>
        <v>#VALUE!</v>
      </c>
      <c r="W545" s="218">
        <v>376.79</v>
      </c>
      <c r="X545" s="218">
        <v>1209.78</v>
      </c>
      <c r="Y545" s="203">
        <v>0.1</v>
      </c>
      <c r="Z545" s="203">
        <f>IF(Tabela1[[#This Row],[Ano Aquisição]]=2023,0,IFERROR(VLOOKUP(H545,inflação!$F:$H,3,FALSE),""))</f>
        <v>1.3184</v>
      </c>
      <c r="AA545" s="203">
        <v>0.8</v>
      </c>
      <c r="AB545" s="202">
        <f t="shared" si="1064"/>
        <v>-176679.66</v>
      </c>
      <c r="AC545" s="204" t="e">
        <f t="shared" si="1098"/>
        <v>#VALUE!</v>
      </c>
      <c r="AD545" s="204" t="e">
        <f t="shared" si="1099"/>
        <v>#VALUE!</v>
      </c>
      <c r="AE545" s="204" t="e">
        <f t="shared" si="1100"/>
        <v>#VALUE!</v>
      </c>
      <c r="AF545" s="204" t="e">
        <f t="shared" si="1101"/>
        <v>#VALUE!</v>
      </c>
      <c r="AG545" s="204" t="e">
        <f t="shared" si="1102"/>
        <v>#VALUE!</v>
      </c>
      <c r="AH545" s="204" t="e">
        <f t="shared" si="1103"/>
        <v>#VALUE!</v>
      </c>
      <c r="AI545" s="204" t="e">
        <f t="shared" si="1104"/>
        <v>#VALUE!</v>
      </c>
      <c r="AJ545" s="205">
        <f t="shared" si="1065"/>
        <v>-409614.12374399998</v>
      </c>
      <c r="AK545" s="204" t="e">
        <f t="shared" si="1105"/>
        <v>#VALUE!</v>
      </c>
      <c r="AL545" s="204" t="e">
        <f t="shared" si="1106"/>
        <v>#VALUE!</v>
      </c>
      <c r="AM545" s="204" t="e">
        <f t="shared" si="1107"/>
        <v>#VALUE!</v>
      </c>
      <c r="AN545" s="204" t="e">
        <f t="shared" si="1108"/>
        <v>#VALUE!</v>
      </c>
      <c r="AO545" s="204" t="e">
        <f t="shared" si="1109"/>
        <v>#VALUE!</v>
      </c>
      <c r="AP545" s="204" t="e">
        <f t="shared" si="1110"/>
        <v>#VALUE!</v>
      </c>
      <c r="AQ545" s="204" t="e">
        <f t="shared" si="1111"/>
        <v>#VALUE!</v>
      </c>
      <c r="AR545" s="206" t="e">
        <f t="shared" si="1066"/>
        <v>#VALUE!</v>
      </c>
      <c r="AS545" s="170" t="e">
        <f t="shared" si="1112"/>
        <v>#VALUE!</v>
      </c>
      <c r="AT545" s="170" t="e">
        <f t="shared" si="1113"/>
        <v>#VALUE!</v>
      </c>
      <c r="AU545" s="207" t="e">
        <f t="shared" si="1067"/>
        <v>#VALUE!</v>
      </c>
      <c r="AV545" s="208" t="e">
        <f t="shared" si="1068"/>
        <v>#VALUE!</v>
      </c>
      <c r="AW545" s="201" t="str">
        <f t="shared" si="1069"/>
        <v>Fase de Degradação</v>
      </c>
      <c r="AX545" s="253" t="e">
        <f>VLOOKUP(D545,#REF!,5,FALSE)</f>
        <v>#REF!</v>
      </c>
      <c r="AY545" s="201"/>
      <c r="AZ545" s="273" t="s">
        <v>1224</v>
      </c>
      <c r="BB545">
        <f>IFERROR(VLOOKUP(Tabela1[[#This Row],[Denominação]],[10]Planilha1!$A:$B,2,FALSE),"")</f>
        <v>203750.63999999978</v>
      </c>
      <c r="BC545" s="219"/>
      <c r="BD545" s="219"/>
      <c r="BE545" s="219"/>
      <c r="BF545" s="219"/>
      <c r="BG545" s="219"/>
      <c r="BH545" s="219"/>
      <c r="BI545" s="219"/>
      <c r="BJ545" s="219"/>
      <c r="BK545" s="219"/>
      <c r="BL545" s="219"/>
    </row>
    <row r="546" spans="1:64" ht="15" hidden="1" customHeight="1" x14ac:dyDescent="0.3">
      <c r="A546" s="253">
        <v>545</v>
      </c>
      <c r="B546" s="171" t="s">
        <v>309</v>
      </c>
      <c r="C546" s="209" t="s">
        <v>310</v>
      </c>
      <c r="D546" s="171">
        <v>10005057</v>
      </c>
      <c r="E546" s="253" t="s">
        <v>1424</v>
      </c>
      <c r="F546" s="210">
        <v>4511</v>
      </c>
      <c r="G546" s="171">
        <v>34719</v>
      </c>
      <c r="H546" s="171">
        <v>2007</v>
      </c>
      <c r="I546" s="213">
        <v>257552.04</v>
      </c>
      <c r="J546" s="213">
        <v>15762</v>
      </c>
      <c r="K546" s="170">
        <v>163099.00999999989</v>
      </c>
      <c r="L546" s="215">
        <v>0.95</v>
      </c>
      <c r="M546" s="212" t="str">
        <f>IFERROR(VLOOKUP(Tabela1[[#This Row],[Denominação]],#REF!,7,FALSE),"")</f>
        <v/>
      </c>
      <c r="N546" s="212">
        <v>102006</v>
      </c>
      <c r="O546" s="171">
        <v>147</v>
      </c>
      <c r="P546" s="271" t="str">
        <f>IFERROR(VLOOKUP(Tabela1[[#This Row],[TAG]],#REF!,14,FALSE),"")</f>
        <v/>
      </c>
      <c r="Q546" s="204" t="e">
        <f t="shared" si="1092"/>
        <v>#VALUE!</v>
      </c>
      <c r="R546" s="204" t="e">
        <f t="shared" si="1093"/>
        <v>#VALUE!</v>
      </c>
      <c r="S546" s="204" t="e">
        <f t="shared" si="1094"/>
        <v>#VALUE!</v>
      </c>
      <c r="T546" s="204" t="e">
        <f t="shared" si="1095"/>
        <v>#VALUE!</v>
      </c>
      <c r="U546" s="204" t="e">
        <f t="shared" si="1096"/>
        <v>#VALUE!</v>
      </c>
      <c r="V546" s="204" t="e">
        <f t="shared" si="1097"/>
        <v>#VALUE!</v>
      </c>
      <c r="W546" s="218">
        <v>393.88</v>
      </c>
      <c r="X546" s="218">
        <v>963.79277777777804</v>
      </c>
      <c r="Y546" s="203">
        <v>0.1</v>
      </c>
      <c r="Z546" s="203">
        <f>IF(Tabela1[[#This Row],[Ano Aquisição]]=2023,0,IFERROR(VLOOKUP(H546,inflação!$F:$H,3,FALSE),""))</f>
        <v>0.93579999999999997</v>
      </c>
      <c r="AA546" s="203">
        <v>0.8</v>
      </c>
      <c r="AB546" s="202">
        <f t="shared" si="1064"/>
        <v>-257552.04</v>
      </c>
      <c r="AC546" s="204" t="e">
        <f t="shared" si="1098"/>
        <v>#VALUE!</v>
      </c>
      <c r="AD546" s="204" t="e">
        <f t="shared" si="1099"/>
        <v>#VALUE!</v>
      </c>
      <c r="AE546" s="204" t="e">
        <f t="shared" si="1100"/>
        <v>#VALUE!</v>
      </c>
      <c r="AF546" s="204" t="e">
        <f t="shared" si="1101"/>
        <v>#VALUE!</v>
      </c>
      <c r="AG546" s="204" t="e">
        <f t="shared" si="1102"/>
        <v>#VALUE!</v>
      </c>
      <c r="AH546" s="204" t="e">
        <f t="shared" si="1103"/>
        <v>#VALUE!</v>
      </c>
      <c r="AI546" s="204" t="e">
        <f t="shared" si="1104"/>
        <v>#VALUE!</v>
      </c>
      <c r="AJ546" s="205">
        <f t="shared" si="1065"/>
        <v>-498569.23903200001</v>
      </c>
      <c r="AK546" s="204" t="e">
        <f t="shared" si="1105"/>
        <v>#VALUE!</v>
      </c>
      <c r="AL546" s="204" t="e">
        <f t="shared" si="1106"/>
        <v>#VALUE!</v>
      </c>
      <c r="AM546" s="204" t="e">
        <f t="shared" si="1107"/>
        <v>#VALUE!</v>
      </c>
      <c r="AN546" s="204" t="e">
        <f t="shared" si="1108"/>
        <v>#VALUE!</v>
      </c>
      <c r="AO546" s="204" t="e">
        <f t="shared" si="1109"/>
        <v>#VALUE!</v>
      </c>
      <c r="AP546" s="204" t="e">
        <f t="shared" si="1110"/>
        <v>#VALUE!</v>
      </c>
      <c r="AQ546" s="204" t="e">
        <f t="shared" si="1111"/>
        <v>#VALUE!</v>
      </c>
      <c r="AR546" s="206" t="e">
        <f t="shared" si="1066"/>
        <v>#VALUE!</v>
      </c>
      <c r="AS546" s="170" t="e">
        <f t="shared" si="1112"/>
        <v>#VALUE!</v>
      </c>
      <c r="AT546" s="170" t="e">
        <f t="shared" si="1113"/>
        <v>#VALUE!</v>
      </c>
      <c r="AU546" s="207" t="e">
        <f t="shared" si="1067"/>
        <v>#VALUE!</v>
      </c>
      <c r="AV546" s="208" t="e">
        <f t="shared" si="1068"/>
        <v>#VALUE!</v>
      </c>
      <c r="AW546" s="201" t="str">
        <f t="shared" si="1069"/>
        <v>Confiabilidade em Crescimento</v>
      </c>
      <c r="AX546" s="253" t="e">
        <f>VLOOKUP(D546,#REF!,5,FALSE)</f>
        <v>#REF!</v>
      </c>
      <c r="AY546" s="201"/>
      <c r="AZ546" s="273" t="s">
        <v>1224</v>
      </c>
      <c r="BB546">
        <f>IFERROR(VLOOKUP(Tabela1[[#This Row],[Denominação]],[10]Planilha1!$A:$B,2,FALSE),"")</f>
        <v>163099.00999999989</v>
      </c>
      <c r="BC546" s="219"/>
      <c r="BD546" s="219"/>
      <c r="BE546" s="219"/>
      <c r="BF546" s="219"/>
      <c r="BG546" s="219"/>
      <c r="BH546" s="219"/>
      <c r="BI546" s="219"/>
      <c r="BJ546" s="219"/>
      <c r="BK546" s="219"/>
      <c r="BL546" s="219"/>
    </row>
    <row r="547" spans="1:64" ht="15" hidden="1" customHeight="1" x14ac:dyDescent="0.3">
      <c r="A547" s="268">
        <v>546</v>
      </c>
      <c r="B547" s="171" t="s">
        <v>296</v>
      </c>
      <c r="C547" s="209" t="s">
        <v>297</v>
      </c>
      <c r="D547" s="171">
        <v>10005058</v>
      </c>
      <c r="E547" s="253" t="s">
        <v>1371</v>
      </c>
      <c r="F547" s="210">
        <v>4511</v>
      </c>
      <c r="G547" s="171">
        <v>33956</v>
      </c>
      <c r="H547" s="171">
        <v>2005</v>
      </c>
      <c r="I547" s="213">
        <v>149142.85999999999</v>
      </c>
      <c r="J547" s="213">
        <v>88430</v>
      </c>
      <c r="K547" s="170">
        <v>289119.22999999992</v>
      </c>
      <c r="L547" s="215">
        <v>1.72</v>
      </c>
      <c r="M547" s="212">
        <v>3404</v>
      </c>
      <c r="N547" s="212">
        <v>129283</v>
      </c>
      <c r="O547" s="171">
        <v>149</v>
      </c>
      <c r="P547" s="271" t="str">
        <f>IFERROR(VLOOKUP(Tabela1[[#This Row],[TAG]],#REF!,14,FALSE),"")</f>
        <v/>
      </c>
      <c r="Q547" s="204" t="e">
        <f t="shared" si="1092"/>
        <v>#VALUE!</v>
      </c>
      <c r="R547" s="204" t="e">
        <f t="shared" si="1093"/>
        <v>#VALUE!</v>
      </c>
      <c r="S547" s="204" t="e">
        <f t="shared" si="1094"/>
        <v>#VALUE!</v>
      </c>
      <c r="T547" s="204" t="e">
        <f t="shared" si="1095"/>
        <v>#VALUE!</v>
      </c>
      <c r="U547" s="204" t="e">
        <f t="shared" si="1096"/>
        <v>#VALUE!</v>
      </c>
      <c r="V547" s="204" t="e">
        <f t="shared" si="1097"/>
        <v>#VALUE!</v>
      </c>
      <c r="W547" s="218">
        <v>657.06</v>
      </c>
      <c r="X547" s="218">
        <v>1642.4</v>
      </c>
      <c r="Y547" s="203">
        <v>0.1</v>
      </c>
      <c r="Z547" s="203">
        <f>IF(Tabela1[[#This Row],[Ano Aquisição]]=2023,0,IFERROR(VLOOKUP(H547,inflação!$F:$H,3,FALSE),""))</f>
        <v>1.0241</v>
      </c>
      <c r="AA547" s="203">
        <v>0.8</v>
      </c>
      <c r="AB547" s="202">
        <f t="shared" si="1064"/>
        <v>-149142.85999999999</v>
      </c>
      <c r="AC547" s="204" t="e">
        <f t="shared" si="1098"/>
        <v>#VALUE!</v>
      </c>
      <c r="AD547" s="204" t="e">
        <f t="shared" si="1099"/>
        <v>#VALUE!</v>
      </c>
      <c r="AE547" s="204" t="e">
        <f t="shared" si="1100"/>
        <v>#VALUE!</v>
      </c>
      <c r="AF547" s="204" t="e">
        <f t="shared" si="1101"/>
        <v>#VALUE!</v>
      </c>
      <c r="AG547" s="204" t="e">
        <f t="shared" si="1102"/>
        <v>#VALUE!</v>
      </c>
      <c r="AH547" s="204" t="e">
        <f t="shared" si="1103"/>
        <v>#VALUE!</v>
      </c>
      <c r="AI547" s="204" t="e">
        <f t="shared" si="1104"/>
        <v>#VALUE!</v>
      </c>
      <c r="AJ547" s="205">
        <f t="shared" si="1065"/>
        <v>-301880.06292599993</v>
      </c>
      <c r="AK547" s="204" t="e">
        <f t="shared" si="1105"/>
        <v>#VALUE!</v>
      </c>
      <c r="AL547" s="204" t="e">
        <f t="shared" si="1106"/>
        <v>#VALUE!</v>
      </c>
      <c r="AM547" s="204" t="e">
        <f t="shared" si="1107"/>
        <v>#VALUE!</v>
      </c>
      <c r="AN547" s="204" t="e">
        <f t="shared" si="1108"/>
        <v>#VALUE!</v>
      </c>
      <c r="AO547" s="204" t="e">
        <f t="shared" si="1109"/>
        <v>#VALUE!</v>
      </c>
      <c r="AP547" s="204" t="e">
        <f t="shared" si="1110"/>
        <v>#VALUE!</v>
      </c>
      <c r="AQ547" s="204" t="e">
        <f t="shared" si="1111"/>
        <v>#VALUE!</v>
      </c>
      <c r="AR547" s="206" t="e">
        <f t="shared" si="1066"/>
        <v>#VALUE!</v>
      </c>
      <c r="AS547" s="170" t="e">
        <f t="shared" si="1112"/>
        <v>#VALUE!</v>
      </c>
      <c r="AT547" s="170" t="e">
        <f t="shared" si="1113"/>
        <v>#VALUE!</v>
      </c>
      <c r="AU547" s="207" t="e">
        <f t="shared" si="1067"/>
        <v>#VALUE!</v>
      </c>
      <c r="AV547" s="208" t="e">
        <f t="shared" si="1068"/>
        <v>#VALUE!</v>
      </c>
      <c r="AW547" s="201" t="str">
        <f t="shared" si="1069"/>
        <v>Fase de Degradação</v>
      </c>
      <c r="AX547" s="253" t="e">
        <f>VLOOKUP(D547,#REF!,5,FALSE)</f>
        <v>#REF!</v>
      </c>
      <c r="AY547" s="201"/>
      <c r="AZ547" s="273" t="s">
        <v>1224</v>
      </c>
      <c r="BB547">
        <f>IFERROR(VLOOKUP(Tabela1[[#This Row],[Denominação]],[10]Planilha1!$A:$B,2,FALSE),"")</f>
        <v>289119.22999999992</v>
      </c>
      <c r="BC547" s="219"/>
      <c r="BD547" s="219"/>
      <c r="BE547" s="219"/>
      <c r="BF547" s="219"/>
      <c r="BG547" s="219"/>
      <c r="BH547" s="219"/>
      <c r="BI547" s="219"/>
      <c r="BJ547" s="219"/>
      <c r="BK547" s="219"/>
      <c r="BL547" s="219"/>
    </row>
    <row r="548" spans="1:64" ht="15" hidden="1" customHeight="1" x14ac:dyDescent="0.3">
      <c r="A548" s="253">
        <v>547</v>
      </c>
      <c r="B548" s="171" t="s">
        <v>453</v>
      </c>
      <c r="C548" s="209" t="s">
        <v>481</v>
      </c>
      <c r="D548" s="171">
        <v>10005248</v>
      </c>
      <c r="E548" s="253" t="s">
        <v>1374</v>
      </c>
      <c r="F548" s="210">
        <v>4711</v>
      </c>
      <c r="G548" s="171" t="s">
        <v>875</v>
      </c>
      <c r="H548" s="171">
        <v>2008</v>
      </c>
      <c r="I548" s="213">
        <v>152760.10999999999</v>
      </c>
      <c r="J548" s="213">
        <v>0</v>
      </c>
      <c r="K548" s="170">
        <v>141809.24</v>
      </c>
      <c r="L548" s="215">
        <v>1.4</v>
      </c>
      <c r="M548" s="212">
        <v>3881</v>
      </c>
      <c r="N548" s="212">
        <v>124274</v>
      </c>
      <c r="O548" s="171">
        <v>152</v>
      </c>
      <c r="P548" s="271" t="str">
        <f>IFERROR(VLOOKUP(Tabela1[[#This Row],[TAG]],#REF!,14,FALSE),"")</f>
        <v/>
      </c>
      <c r="Q548" s="204" t="e">
        <f t="shared" si="1092"/>
        <v>#VALUE!</v>
      </c>
      <c r="R548" s="204" t="e">
        <f t="shared" si="1093"/>
        <v>#VALUE!</v>
      </c>
      <c r="S548" s="204" t="e">
        <f t="shared" si="1094"/>
        <v>#VALUE!</v>
      </c>
      <c r="T548" s="204" t="e">
        <f t="shared" si="1095"/>
        <v>#VALUE!</v>
      </c>
      <c r="U548" s="204" t="e">
        <f t="shared" si="1096"/>
        <v>#VALUE!</v>
      </c>
      <c r="V548" s="204" t="e">
        <f t="shared" si="1097"/>
        <v>#VALUE!</v>
      </c>
      <c r="W548" s="218">
        <v>280.51</v>
      </c>
      <c r="X548" s="218">
        <v>748.6933333333335</v>
      </c>
      <c r="Y548" s="203">
        <v>0.1</v>
      </c>
      <c r="Z548" s="203">
        <f>IF(Tabela1[[#This Row],[Ano Aquisição]]=2023,0,IFERROR(VLOOKUP(H548,inflação!$F:$H,3,FALSE),""))</f>
        <v>0.89119999999999999</v>
      </c>
      <c r="AA548" s="203">
        <v>0.8</v>
      </c>
      <c r="AB548" s="202">
        <f t="shared" si="1064"/>
        <v>-152760.10999999999</v>
      </c>
      <c r="AC548" s="204" t="e">
        <f t="shared" si="1098"/>
        <v>#VALUE!</v>
      </c>
      <c r="AD548" s="204" t="e">
        <f t="shared" si="1099"/>
        <v>#VALUE!</v>
      </c>
      <c r="AE548" s="204" t="e">
        <f t="shared" si="1100"/>
        <v>#VALUE!</v>
      </c>
      <c r="AF548" s="204" t="e">
        <f t="shared" si="1101"/>
        <v>#VALUE!</v>
      </c>
      <c r="AG548" s="204" t="e">
        <f t="shared" si="1102"/>
        <v>#VALUE!</v>
      </c>
      <c r="AH548" s="204" t="e">
        <f t="shared" si="1103"/>
        <v>#VALUE!</v>
      </c>
      <c r="AI548" s="204" t="e">
        <f t="shared" si="1104"/>
        <v>#VALUE!</v>
      </c>
      <c r="AJ548" s="205">
        <f t="shared" si="1065"/>
        <v>-288899.92003199999</v>
      </c>
      <c r="AK548" s="204" t="e">
        <f t="shared" si="1105"/>
        <v>#VALUE!</v>
      </c>
      <c r="AL548" s="204" t="e">
        <f t="shared" si="1106"/>
        <v>#VALUE!</v>
      </c>
      <c r="AM548" s="204" t="e">
        <f t="shared" si="1107"/>
        <v>#VALUE!</v>
      </c>
      <c r="AN548" s="204" t="e">
        <f t="shared" si="1108"/>
        <v>#VALUE!</v>
      </c>
      <c r="AO548" s="204" t="e">
        <f t="shared" si="1109"/>
        <v>#VALUE!</v>
      </c>
      <c r="AP548" s="204" t="e">
        <f t="shared" si="1110"/>
        <v>#VALUE!</v>
      </c>
      <c r="AQ548" s="204" t="e">
        <f t="shared" si="1111"/>
        <v>#VALUE!</v>
      </c>
      <c r="AR548" s="206" t="e">
        <f t="shared" si="1066"/>
        <v>#VALUE!</v>
      </c>
      <c r="AS548" s="170" t="e">
        <f t="shared" si="1112"/>
        <v>#VALUE!</v>
      </c>
      <c r="AT548" s="170" t="e">
        <f t="shared" si="1113"/>
        <v>#VALUE!</v>
      </c>
      <c r="AU548" s="207" t="e">
        <f t="shared" si="1067"/>
        <v>#VALUE!</v>
      </c>
      <c r="AV548" s="208" t="e">
        <f t="shared" si="1068"/>
        <v>#VALUE!</v>
      </c>
      <c r="AW548" s="201" t="str">
        <f t="shared" si="1069"/>
        <v>Fase de Degradação</v>
      </c>
      <c r="AX548" s="253" t="e">
        <f>VLOOKUP(D548,#REF!,5,FALSE)</f>
        <v>#REF!</v>
      </c>
      <c r="AY548" s="201"/>
      <c r="AZ548" s="273" t="s">
        <v>1224</v>
      </c>
      <c r="BB548">
        <f>IFERROR(VLOOKUP(Tabela1[[#This Row],[Denominação]],[10]Planilha1!$A:$B,2,FALSE),"")</f>
        <v>141809.24</v>
      </c>
      <c r="BC548" s="219"/>
      <c r="BD548" s="219"/>
      <c r="BE548" s="219"/>
      <c r="BF548" s="219"/>
      <c r="BG548" s="219"/>
      <c r="BH548" s="219"/>
      <c r="BI548" s="219"/>
      <c r="BJ548" s="219"/>
      <c r="BK548" s="219"/>
      <c r="BL548" s="219"/>
    </row>
    <row r="549" spans="1:64" ht="15" hidden="1" customHeight="1" x14ac:dyDescent="0.3">
      <c r="A549" s="268">
        <v>548</v>
      </c>
      <c r="B549" s="171" t="s">
        <v>454</v>
      </c>
      <c r="C549" s="209" t="s">
        <v>482</v>
      </c>
      <c r="D549" s="171">
        <v>10005060</v>
      </c>
      <c r="E549" s="253" t="s">
        <v>1423</v>
      </c>
      <c r="F549" s="210">
        <v>4511</v>
      </c>
      <c r="G549" s="171">
        <v>34944</v>
      </c>
      <c r="H549" s="171">
        <v>2007</v>
      </c>
      <c r="I549" s="213">
        <v>163158.68</v>
      </c>
      <c r="J549" s="213">
        <v>0</v>
      </c>
      <c r="K549" s="170">
        <v>349515.01999999961</v>
      </c>
      <c r="L549" s="215">
        <v>1.51</v>
      </c>
      <c r="M549" s="212" t="str">
        <f>IFERROR(VLOOKUP(Tabela1[[#This Row],[Denominação]],#REF!,7,FALSE),"")</f>
        <v/>
      </c>
      <c r="N549" s="212">
        <v>107035</v>
      </c>
      <c r="O549" s="171">
        <v>117</v>
      </c>
      <c r="P549" s="271" t="str">
        <f>IFERROR(VLOOKUP(Tabela1[[#This Row],[TAG]],#REF!,14,FALSE),"")</f>
        <v/>
      </c>
      <c r="Q549" s="204" t="e">
        <f t="shared" si="1092"/>
        <v>#VALUE!</v>
      </c>
      <c r="R549" s="204" t="e">
        <f t="shared" si="1093"/>
        <v>#VALUE!</v>
      </c>
      <c r="S549" s="204" t="e">
        <f t="shared" si="1094"/>
        <v>#VALUE!</v>
      </c>
      <c r="T549" s="204" t="e">
        <f t="shared" si="1095"/>
        <v>#VALUE!</v>
      </c>
      <c r="U549" s="204" t="e">
        <f t="shared" si="1096"/>
        <v>#VALUE!</v>
      </c>
      <c r="V549" s="204" t="e">
        <f t="shared" si="1097"/>
        <v>#VALUE!</v>
      </c>
      <c r="W549" s="218">
        <v>480.27</v>
      </c>
      <c r="X549" s="218">
        <v>1172.28</v>
      </c>
      <c r="Y549" s="203">
        <v>0.1</v>
      </c>
      <c r="Z549" s="203">
        <f>IF(Tabela1[[#This Row],[Ano Aquisição]]=2023,0,IFERROR(VLOOKUP(H549,inflação!$F:$H,3,FALSE),""))</f>
        <v>0.93579999999999997</v>
      </c>
      <c r="AA549" s="203">
        <v>0.8</v>
      </c>
      <c r="AB549" s="202">
        <f t="shared" si="1064"/>
        <v>-163158.68</v>
      </c>
      <c r="AC549" s="204" t="e">
        <f t="shared" si="1098"/>
        <v>#VALUE!</v>
      </c>
      <c r="AD549" s="204" t="e">
        <f t="shared" si="1099"/>
        <v>#VALUE!</v>
      </c>
      <c r="AE549" s="204" t="e">
        <f t="shared" si="1100"/>
        <v>#VALUE!</v>
      </c>
      <c r="AF549" s="204" t="e">
        <f t="shared" si="1101"/>
        <v>#VALUE!</v>
      </c>
      <c r="AG549" s="204" t="e">
        <f t="shared" si="1102"/>
        <v>#VALUE!</v>
      </c>
      <c r="AH549" s="204" t="e">
        <f t="shared" si="1103"/>
        <v>#VALUE!</v>
      </c>
      <c r="AI549" s="204" t="e">
        <f t="shared" si="1104"/>
        <v>#VALUE!</v>
      </c>
      <c r="AJ549" s="205">
        <f t="shared" si="1065"/>
        <v>-315842.572744</v>
      </c>
      <c r="AK549" s="204" t="e">
        <f t="shared" si="1105"/>
        <v>#VALUE!</v>
      </c>
      <c r="AL549" s="204" t="e">
        <f t="shared" si="1106"/>
        <v>#VALUE!</v>
      </c>
      <c r="AM549" s="204" t="e">
        <f t="shared" si="1107"/>
        <v>#VALUE!</v>
      </c>
      <c r="AN549" s="204" t="e">
        <f t="shared" si="1108"/>
        <v>#VALUE!</v>
      </c>
      <c r="AO549" s="204" t="e">
        <f t="shared" si="1109"/>
        <v>#VALUE!</v>
      </c>
      <c r="AP549" s="204" t="e">
        <f t="shared" si="1110"/>
        <v>#VALUE!</v>
      </c>
      <c r="AQ549" s="204" t="e">
        <f t="shared" si="1111"/>
        <v>#VALUE!</v>
      </c>
      <c r="AR549" s="206" t="e">
        <f t="shared" si="1066"/>
        <v>#VALUE!</v>
      </c>
      <c r="AS549" s="170" t="e">
        <f t="shared" si="1112"/>
        <v>#VALUE!</v>
      </c>
      <c r="AT549" s="170" t="e">
        <f t="shared" si="1113"/>
        <v>#VALUE!</v>
      </c>
      <c r="AU549" s="207" t="e">
        <f t="shared" si="1067"/>
        <v>#VALUE!</v>
      </c>
      <c r="AV549" s="208" t="e">
        <f t="shared" si="1068"/>
        <v>#VALUE!</v>
      </c>
      <c r="AW549" s="201" t="str">
        <f t="shared" si="1069"/>
        <v>Fase de Degradação</v>
      </c>
      <c r="AX549" s="253" t="e">
        <f>VLOOKUP(D549,#REF!,5,FALSE)</f>
        <v>#REF!</v>
      </c>
      <c r="AY549" s="201"/>
      <c r="AZ549" s="273" t="s">
        <v>1224</v>
      </c>
      <c r="BB549">
        <f>IFERROR(VLOOKUP(Tabela1[[#This Row],[Denominação]],[10]Planilha1!$A:$B,2,FALSE),"")</f>
        <v>349515.01999999961</v>
      </c>
      <c r="BC549" s="219"/>
      <c r="BD549" s="219"/>
      <c r="BE549" s="219"/>
      <c r="BF549" s="219"/>
      <c r="BG549" s="219"/>
      <c r="BH549" s="219"/>
      <c r="BI549" s="219"/>
      <c r="BJ549" s="219"/>
      <c r="BK549" s="219"/>
      <c r="BL549" s="219"/>
    </row>
    <row r="550" spans="1:64" ht="15" hidden="1" customHeight="1" x14ac:dyDescent="0.3">
      <c r="A550" s="253">
        <v>549</v>
      </c>
      <c r="B550" s="171" t="s">
        <v>303</v>
      </c>
      <c r="C550" s="209" t="s">
        <v>304</v>
      </c>
      <c r="D550" s="171">
        <v>10005061</v>
      </c>
      <c r="E550" s="253" t="s">
        <v>1431</v>
      </c>
      <c r="F550" s="210">
        <v>4511</v>
      </c>
      <c r="G550" s="171">
        <v>34854</v>
      </c>
      <c r="H550" s="171">
        <v>2007</v>
      </c>
      <c r="I550" s="213">
        <v>181739.83</v>
      </c>
      <c r="J550" s="213">
        <v>0</v>
      </c>
      <c r="K550" s="170">
        <v>214295.78999999986</v>
      </c>
      <c r="L550" s="207">
        <v>0.65</v>
      </c>
      <c r="M550" s="212" t="str">
        <f>IFERROR(VLOOKUP(Tabela1[[#This Row],[Denominação]],#REF!,7,FALSE),"")</f>
        <v/>
      </c>
      <c r="N550" s="212">
        <v>84673</v>
      </c>
      <c r="O550" s="171">
        <v>83</v>
      </c>
      <c r="P550" s="271" t="str">
        <f>IFERROR(VLOOKUP(Tabela1[[#This Row],[TAG]],#REF!,14,FALSE),"")</f>
        <v/>
      </c>
      <c r="Q550" s="204" t="e">
        <f t="shared" si="1092"/>
        <v>#VALUE!</v>
      </c>
      <c r="R550" s="204" t="e">
        <f t="shared" si="1093"/>
        <v>#VALUE!</v>
      </c>
      <c r="S550" s="204" t="e">
        <f t="shared" si="1094"/>
        <v>#VALUE!</v>
      </c>
      <c r="T550" s="204" t="e">
        <f t="shared" si="1095"/>
        <v>#VALUE!</v>
      </c>
      <c r="U550" s="204" t="e">
        <f t="shared" si="1096"/>
        <v>#VALUE!</v>
      </c>
      <c r="V550" s="204" t="e">
        <f t="shared" si="1097"/>
        <v>#VALUE!</v>
      </c>
      <c r="W550" s="218">
        <v>438.12</v>
      </c>
      <c r="X550" s="218">
        <v>156.09</v>
      </c>
      <c r="Y550" s="203">
        <v>0.1</v>
      </c>
      <c r="Z550" s="203">
        <f>IF(Tabela1[[#This Row],[Ano Aquisição]]=2023,0,IFERROR(VLOOKUP(H550,inflação!$F:$H,3,FALSE),""))</f>
        <v>0.93579999999999997</v>
      </c>
      <c r="AA550" s="203">
        <v>0.8</v>
      </c>
      <c r="AB550" s="202">
        <f t="shared" si="1064"/>
        <v>-181739.83</v>
      </c>
      <c r="AC550" s="204" t="e">
        <f t="shared" si="1098"/>
        <v>#VALUE!</v>
      </c>
      <c r="AD550" s="204" t="e">
        <f t="shared" si="1099"/>
        <v>#VALUE!</v>
      </c>
      <c r="AE550" s="204" t="e">
        <f t="shared" si="1100"/>
        <v>#VALUE!</v>
      </c>
      <c r="AF550" s="204" t="e">
        <f t="shared" si="1101"/>
        <v>#VALUE!</v>
      </c>
      <c r="AG550" s="204" t="e">
        <f t="shared" si="1102"/>
        <v>#VALUE!</v>
      </c>
      <c r="AH550" s="204" t="e">
        <f t="shared" si="1103"/>
        <v>#VALUE!</v>
      </c>
      <c r="AI550" s="204" t="e">
        <f t="shared" si="1104"/>
        <v>#VALUE!</v>
      </c>
      <c r="AJ550" s="205">
        <f t="shared" si="1065"/>
        <v>-351811.96291399997</v>
      </c>
      <c r="AK550" s="204" t="e">
        <f t="shared" si="1105"/>
        <v>#VALUE!</v>
      </c>
      <c r="AL550" s="204" t="e">
        <f t="shared" si="1106"/>
        <v>#VALUE!</v>
      </c>
      <c r="AM550" s="204" t="e">
        <f t="shared" si="1107"/>
        <v>#VALUE!</v>
      </c>
      <c r="AN550" s="204" t="e">
        <f t="shared" si="1108"/>
        <v>#VALUE!</v>
      </c>
      <c r="AO550" s="204" t="e">
        <f t="shared" si="1109"/>
        <v>#VALUE!</v>
      </c>
      <c r="AP550" s="204" t="e">
        <f t="shared" si="1110"/>
        <v>#VALUE!</v>
      </c>
      <c r="AQ550" s="204" t="e">
        <f t="shared" si="1111"/>
        <v>#VALUE!</v>
      </c>
      <c r="AR550" s="206" t="e">
        <f t="shared" si="1066"/>
        <v>#VALUE!</v>
      </c>
      <c r="AS550" s="170" t="e">
        <f t="shared" si="1112"/>
        <v>#VALUE!</v>
      </c>
      <c r="AT550" s="170" t="e">
        <f t="shared" si="1113"/>
        <v>#VALUE!</v>
      </c>
      <c r="AU550" s="207" t="e">
        <f t="shared" si="1067"/>
        <v>#VALUE!</v>
      </c>
      <c r="AV550" s="208" t="e">
        <f t="shared" si="1068"/>
        <v>#VALUE!</v>
      </c>
      <c r="AW550" s="201" t="str">
        <f t="shared" si="1069"/>
        <v>Confiabilidade em Crescimento</v>
      </c>
      <c r="AX550" s="253" t="e">
        <f>VLOOKUP(D550,#REF!,5,FALSE)</f>
        <v>#REF!</v>
      </c>
      <c r="AY550" s="201"/>
      <c r="AZ550" s="273" t="s">
        <v>1224</v>
      </c>
      <c r="BB550">
        <f>IFERROR(VLOOKUP(Tabela1[[#This Row],[Denominação]],[10]Planilha1!$A:$B,2,FALSE),"")</f>
        <v>214295.78999999986</v>
      </c>
      <c r="BC550" s="219"/>
      <c r="BD550" s="219"/>
      <c r="BE550" s="219"/>
      <c r="BF550" s="219"/>
      <c r="BG550" s="219"/>
      <c r="BH550" s="219"/>
      <c r="BI550" s="219"/>
      <c r="BJ550" s="219"/>
      <c r="BK550" s="219"/>
      <c r="BL550" s="219"/>
    </row>
    <row r="551" spans="1:64" ht="15" hidden="1" customHeight="1" x14ac:dyDescent="0.3">
      <c r="A551" s="268">
        <v>550</v>
      </c>
      <c r="B551" s="171" t="s">
        <v>455</v>
      </c>
      <c r="C551" s="209" t="s">
        <v>483</v>
      </c>
      <c r="D551" s="171">
        <v>10005062</v>
      </c>
      <c r="E551" s="253" t="s">
        <v>1543</v>
      </c>
      <c r="F551" s="210">
        <v>4511</v>
      </c>
      <c r="G551" s="171">
        <v>35044</v>
      </c>
      <c r="H551" s="171">
        <v>2007</v>
      </c>
      <c r="I551" s="213">
        <v>227237.29</v>
      </c>
      <c r="J551" s="213">
        <v>0</v>
      </c>
      <c r="K551" s="170">
        <v>232443.05999999988</v>
      </c>
      <c r="L551" s="215">
        <v>1.03</v>
      </c>
      <c r="M551" s="212" t="str">
        <f>IFERROR(VLOOKUP(Tabela1[[#This Row],[Denominação]],#REF!,7,FALSE),"")</f>
        <v/>
      </c>
      <c r="N551" s="212">
        <v>99507</v>
      </c>
      <c r="O551" s="171">
        <v>140</v>
      </c>
      <c r="P551" s="271" t="str">
        <f>IFERROR(VLOOKUP(Tabela1[[#This Row],[TAG]],#REF!,14,FALSE),"")</f>
        <v/>
      </c>
      <c r="Q551" s="204" t="e">
        <f t="shared" si="1092"/>
        <v>#VALUE!</v>
      </c>
      <c r="R551" s="204" t="e">
        <f t="shared" si="1093"/>
        <v>#VALUE!</v>
      </c>
      <c r="S551" s="204" t="e">
        <f t="shared" si="1094"/>
        <v>#VALUE!</v>
      </c>
      <c r="T551" s="204" t="e">
        <f t="shared" si="1095"/>
        <v>#VALUE!</v>
      </c>
      <c r="U551" s="204" t="e">
        <f t="shared" si="1096"/>
        <v>#VALUE!</v>
      </c>
      <c r="V551" s="204" t="e">
        <f t="shared" si="1097"/>
        <v>#VALUE!</v>
      </c>
      <c r="W551" s="218">
        <v>386.37</v>
      </c>
      <c r="X551" s="218">
        <v>1016.67</v>
      </c>
      <c r="Y551" s="203">
        <v>0.1</v>
      </c>
      <c r="Z551" s="203">
        <f>IF(Tabela1[[#This Row],[Ano Aquisição]]=2023,0,IFERROR(VLOOKUP(H551,inflação!$F:$H,3,FALSE),""))</f>
        <v>0.93579999999999997</v>
      </c>
      <c r="AA551" s="203">
        <v>0.8</v>
      </c>
      <c r="AB551" s="202">
        <f t="shared" si="1064"/>
        <v>-227237.29</v>
      </c>
      <c r="AC551" s="204" t="e">
        <f t="shared" si="1098"/>
        <v>#VALUE!</v>
      </c>
      <c r="AD551" s="204" t="e">
        <f t="shared" si="1099"/>
        <v>#VALUE!</v>
      </c>
      <c r="AE551" s="204" t="e">
        <f t="shared" si="1100"/>
        <v>#VALUE!</v>
      </c>
      <c r="AF551" s="204" t="e">
        <f t="shared" si="1101"/>
        <v>#VALUE!</v>
      </c>
      <c r="AG551" s="204" t="e">
        <f t="shared" si="1102"/>
        <v>#VALUE!</v>
      </c>
      <c r="AH551" s="204" t="e">
        <f t="shared" si="1103"/>
        <v>#VALUE!</v>
      </c>
      <c r="AI551" s="204" t="e">
        <f t="shared" si="1104"/>
        <v>#VALUE!</v>
      </c>
      <c r="AJ551" s="205">
        <f t="shared" si="1065"/>
        <v>-439885.94598200003</v>
      </c>
      <c r="AK551" s="204" t="e">
        <f t="shared" si="1105"/>
        <v>#VALUE!</v>
      </c>
      <c r="AL551" s="204" t="e">
        <f t="shared" si="1106"/>
        <v>#VALUE!</v>
      </c>
      <c r="AM551" s="204" t="e">
        <f t="shared" si="1107"/>
        <v>#VALUE!</v>
      </c>
      <c r="AN551" s="204" t="e">
        <f t="shared" si="1108"/>
        <v>#VALUE!</v>
      </c>
      <c r="AO551" s="204" t="e">
        <f t="shared" si="1109"/>
        <v>#VALUE!</v>
      </c>
      <c r="AP551" s="204" t="e">
        <f t="shared" si="1110"/>
        <v>#VALUE!</v>
      </c>
      <c r="AQ551" s="204" t="e">
        <f t="shared" si="1111"/>
        <v>#VALUE!</v>
      </c>
      <c r="AR551" s="206" t="e">
        <f t="shared" si="1066"/>
        <v>#VALUE!</v>
      </c>
      <c r="AS551" s="170" t="e">
        <f t="shared" si="1112"/>
        <v>#VALUE!</v>
      </c>
      <c r="AT551" s="170" t="e">
        <f t="shared" si="1113"/>
        <v>#VALUE!</v>
      </c>
      <c r="AU551" s="207" t="e">
        <f t="shared" si="1067"/>
        <v>#VALUE!</v>
      </c>
      <c r="AV551" s="208" t="e">
        <f t="shared" si="1068"/>
        <v>#VALUE!</v>
      </c>
      <c r="AW551" s="201" t="str">
        <f t="shared" si="1069"/>
        <v>Fase de Vida Útil</v>
      </c>
      <c r="AX551" s="253" t="e">
        <f>VLOOKUP(D551,#REF!,5,FALSE)</f>
        <v>#REF!</v>
      </c>
      <c r="AY551" s="201"/>
      <c r="AZ551" s="273" t="s">
        <v>1224</v>
      </c>
      <c r="BB551">
        <f>IFERROR(VLOOKUP(Tabela1[[#This Row],[Denominação]],[10]Planilha1!$A:$B,2,FALSE),"")</f>
        <v>232443.05999999988</v>
      </c>
      <c r="BC551" s="219"/>
      <c r="BD551" s="219"/>
      <c r="BE551" s="219"/>
      <c r="BF551" s="219"/>
      <c r="BG551" s="219"/>
      <c r="BH551" s="219"/>
      <c r="BI551" s="219"/>
      <c r="BJ551" s="219"/>
      <c r="BK551" s="219"/>
      <c r="BL551" s="219"/>
    </row>
    <row r="552" spans="1:64" ht="15" hidden="1" customHeight="1" x14ac:dyDescent="0.3">
      <c r="A552" s="253">
        <v>551</v>
      </c>
      <c r="B552" s="171" t="s">
        <v>456</v>
      </c>
      <c r="C552" s="209" t="s">
        <v>484</v>
      </c>
      <c r="D552" s="171">
        <v>10004092</v>
      </c>
      <c r="E552" s="253" t="s">
        <v>1419</v>
      </c>
      <c r="F552" s="210">
        <v>2111</v>
      </c>
      <c r="G552" s="171">
        <v>44040</v>
      </c>
      <c r="H552" s="171">
        <v>2014</v>
      </c>
      <c r="I552" s="213">
        <v>201885.2</v>
      </c>
      <c r="J552" s="213">
        <v>16012</v>
      </c>
      <c r="K552" s="170">
        <v>126486.54999999999</v>
      </c>
      <c r="L552" s="215">
        <v>2.04</v>
      </c>
      <c r="M552" s="260">
        <v>4805.5212000000001</v>
      </c>
      <c r="N552" s="212">
        <v>145159</v>
      </c>
      <c r="O552" s="171">
        <v>32</v>
      </c>
      <c r="P552" s="271" t="str">
        <f>IFERROR(VLOOKUP(Tabela1[[#This Row],[TAG]],#REF!,14,FALSE),"")</f>
        <v/>
      </c>
      <c r="Q552" s="204" t="e">
        <f t="shared" si="1092"/>
        <v>#VALUE!</v>
      </c>
      <c r="R552" s="204" t="e">
        <f t="shared" si="1093"/>
        <v>#VALUE!</v>
      </c>
      <c r="S552" s="204" t="e">
        <f t="shared" si="1094"/>
        <v>#VALUE!</v>
      </c>
      <c r="T552" s="204" t="e">
        <f t="shared" si="1095"/>
        <v>#VALUE!</v>
      </c>
      <c r="U552" s="204" t="e">
        <f t="shared" si="1096"/>
        <v>#VALUE!</v>
      </c>
      <c r="V552" s="204" t="e">
        <f t="shared" si="1097"/>
        <v>#VALUE!</v>
      </c>
      <c r="W552" s="304">
        <v>676.05</v>
      </c>
      <c r="X552" s="304">
        <v>902.54</v>
      </c>
      <c r="Y552" s="203">
        <v>0.1</v>
      </c>
      <c r="Z552" s="203">
        <f>IF(Tabela1[[#This Row],[Ano Aquisição]]=2023,0,IFERROR(VLOOKUP(H552,inflação!$F:$H,3,FALSE),""))</f>
        <v>0.54749999999999999</v>
      </c>
      <c r="AA552" s="203">
        <v>0.8</v>
      </c>
      <c r="AB552" s="202">
        <f t="shared" si="1064"/>
        <v>-201885.2</v>
      </c>
      <c r="AC552" s="204" t="e">
        <f t="shared" si="1098"/>
        <v>#VALUE!</v>
      </c>
      <c r="AD552" s="204" t="e">
        <f t="shared" si="1099"/>
        <v>#VALUE!</v>
      </c>
      <c r="AE552" s="204" t="e">
        <f t="shared" si="1100"/>
        <v>#VALUE!</v>
      </c>
      <c r="AF552" s="204" t="e">
        <f t="shared" si="1101"/>
        <v>#VALUE!</v>
      </c>
      <c r="AG552" s="204" t="e">
        <f t="shared" si="1102"/>
        <v>#VALUE!</v>
      </c>
      <c r="AH552" s="204" t="e">
        <f t="shared" si="1103"/>
        <v>#VALUE!</v>
      </c>
      <c r="AI552" s="204" t="e">
        <f t="shared" si="1104"/>
        <v>#VALUE!</v>
      </c>
      <c r="AJ552" s="205">
        <f t="shared" si="1065"/>
        <v>-312417.34700000001</v>
      </c>
      <c r="AK552" s="204" t="e">
        <f t="shared" si="1105"/>
        <v>#VALUE!</v>
      </c>
      <c r="AL552" s="204" t="e">
        <f t="shared" si="1106"/>
        <v>#VALUE!</v>
      </c>
      <c r="AM552" s="204" t="e">
        <f t="shared" si="1107"/>
        <v>#VALUE!</v>
      </c>
      <c r="AN552" s="204" t="e">
        <f t="shared" si="1108"/>
        <v>#VALUE!</v>
      </c>
      <c r="AO552" s="204" t="e">
        <f t="shared" si="1109"/>
        <v>#VALUE!</v>
      </c>
      <c r="AP552" s="204" t="e">
        <f t="shared" si="1110"/>
        <v>#VALUE!</v>
      </c>
      <c r="AQ552" s="204" t="e">
        <f t="shared" si="1111"/>
        <v>#VALUE!</v>
      </c>
      <c r="AR552" s="206" t="e">
        <f t="shared" si="1066"/>
        <v>#VALUE!</v>
      </c>
      <c r="AS552" s="170" t="e">
        <f t="shared" si="1112"/>
        <v>#VALUE!</v>
      </c>
      <c r="AT552" s="170" t="e">
        <f t="shared" si="1113"/>
        <v>#VALUE!</v>
      </c>
      <c r="AU552" s="207" t="e">
        <f t="shared" si="1067"/>
        <v>#VALUE!</v>
      </c>
      <c r="AV552" s="208" t="e">
        <f t="shared" si="1068"/>
        <v>#VALUE!</v>
      </c>
      <c r="AW552" s="201" t="str">
        <f t="shared" si="1069"/>
        <v>Fase de Degradação</v>
      </c>
      <c r="AX552" s="253" t="e">
        <f>VLOOKUP(D552,#REF!,5,FALSE)</f>
        <v>#REF!</v>
      </c>
      <c r="AY552" s="201"/>
      <c r="AZ552" s="273" t="s">
        <v>1224</v>
      </c>
      <c r="BB552">
        <f>IFERROR(VLOOKUP(Tabela1[[#This Row],[Denominação]],[10]Planilha1!$A:$B,2,FALSE),"")</f>
        <v>126486.54999999999</v>
      </c>
      <c r="BC552" s="219"/>
      <c r="BD552" s="219"/>
      <c r="BE552" s="219"/>
      <c r="BF552" s="219"/>
      <c r="BG552" s="219"/>
      <c r="BH552" s="219"/>
      <c r="BI552" s="219"/>
      <c r="BJ552" s="219"/>
      <c r="BK552" s="219"/>
      <c r="BL552" s="219"/>
    </row>
    <row r="553" spans="1:64" ht="15" hidden="1" customHeight="1" x14ac:dyDescent="0.3">
      <c r="A553" s="268">
        <v>552</v>
      </c>
      <c r="B553" s="171" t="s">
        <v>457</v>
      </c>
      <c r="C553" s="209" t="s">
        <v>485</v>
      </c>
      <c r="D553" s="171">
        <v>10005056</v>
      </c>
      <c r="E553" s="253" t="s">
        <v>1427</v>
      </c>
      <c r="F553" s="210">
        <v>4511</v>
      </c>
      <c r="G553" s="171" t="s">
        <v>875</v>
      </c>
      <c r="H553" s="171">
        <v>2007</v>
      </c>
      <c r="I553" s="213">
        <v>304386.05</v>
      </c>
      <c r="J553" s="213">
        <v>0</v>
      </c>
      <c r="K553" s="170">
        <v>192345.54999999984</v>
      </c>
      <c r="L553" s="215">
        <v>1.56</v>
      </c>
      <c r="M553" s="212" t="str">
        <f>IFERROR(VLOOKUP(Tabela1[[#This Row],[Denominação]],#REF!,7,FALSE),"")</f>
        <v/>
      </c>
      <c r="N553" s="212">
        <v>128382</v>
      </c>
      <c r="O553" s="171">
        <v>101</v>
      </c>
      <c r="P553" s="271" t="str">
        <f>IFERROR(VLOOKUP(Tabela1[[#This Row],[TAG]],#REF!,14,FALSE),"")</f>
        <v/>
      </c>
      <c r="Q553" s="204" t="e">
        <f>P553+P553</f>
        <v>#VALUE!</v>
      </c>
      <c r="R553" s="204" t="e">
        <f t="shared" si="1093"/>
        <v>#VALUE!</v>
      </c>
      <c r="S553" s="204" t="e">
        <f t="shared" si="1094"/>
        <v>#VALUE!</v>
      </c>
      <c r="T553" s="204" t="e">
        <f t="shared" si="1095"/>
        <v>#VALUE!</v>
      </c>
      <c r="U553" s="204" t="e">
        <f t="shared" si="1096"/>
        <v>#VALUE!</v>
      </c>
      <c r="V553" s="204" t="e">
        <f t="shared" si="1097"/>
        <v>#VALUE!</v>
      </c>
      <c r="W553" s="218">
        <v>284.31</v>
      </c>
      <c r="X553" s="218">
        <v>1110.0444444444452</v>
      </c>
      <c r="Y553" s="203">
        <v>0.1</v>
      </c>
      <c r="Z553" s="203">
        <f>IF(Tabela1[[#This Row],[Ano Aquisição]]=2023,0,IFERROR(VLOOKUP(H553,inflação!$F:$H,3,FALSE),""))</f>
        <v>0.93579999999999997</v>
      </c>
      <c r="AA553" s="203">
        <v>0.8</v>
      </c>
      <c r="AB553" s="202">
        <f t="shared" si="1064"/>
        <v>-304386.05</v>
      </c>
      <c r="AC553" s="204" t="e">
        <f t="shared" si="1098"/>
        <v>#VALUE!</v>
      </c>
      <c r="AD553" s="204" t="e">
        <f t="shared" si="1099"/>
        <v>#VALUE!</v>
      </c>
      <c r="AE553" s="204" t="e">
        <f t="shared" si="1100"/>
        <v>#VALUE!</v>
      </c>
      <c r="AF553" s="204" t="e">
        <f t="shared" si="1101"/>
        <v>#VALUE!</v>
      </c>
      <c r="AG553" s="204" t="e">
        <f t="shared" si="1102"/>
        <v>#VALUE!</v>
      </c>
      <c r="AH553" s="204" t="e">
        <f t="shared" si="1103"/>
        <v>#VALUE!</v>
      </c>
      <c r="AI553" s="204" t="e">
        <f t="shared" si="1104"/>
        <v>#VALUE!</v>
      </c>
      <c r="AJ553" s="205">
        <f t="shared" si="1065"/>
        <v>-589230.51558999997</v>
      </c>
      <c r="AK553" s="204" t="e">
        <f t="shared" si="1105"/>
        <v>#VALUE!</v>
      </c>
      <c r="AL553" s="204" t="e">
        <f t="shared" si="1106"/>
        <v>#VALUE!</v>
      </c>
      <c r="AM553" s="204" t="e">
        <f t="shared" si="1107"/>
        <v>#VALUE!</v>
      </c>
      <c r="AN553" s="204" t="e">
        <f t="shared" si="1108"/>
        <v>#VALUE!</v>
      </c>
      <c r="AO553" s="204" t="e">
        <f t="shared" si="1109"/>
        <v>#VALUE!</v>
      </c>
      <c r="AP553" s="204" t="e">
        <f t="shared" si="1110"/>
        <v>#VALUE!</v>
      </c>
      <c r="AQ553" s="204" t="e">
        <f t="shared" si="1111"/>
        <v>#VALUE!</v>
      </c>
      <c r="AR553" s="206" t="e">
        <f t="shared" si="1066"/>
        <v>#VALUE!</v>
      </c>
      <c r="AS553" s="170" t="e">
        <f t="shared" si="1112"/>
        <v>#VALUE!</v>
      </c>
      <c r="AT553" s="170" t="e">
        <f t="shared" si="1113"/>
        <v>#VALUE!</v>
      </c>
      <c r="AU553" s="207" t="e">
        <f t="shared" si="1067"/>
        <v>#VALUE!</v>
      </c>
      <c r="AV553" s="208" t="e">
        <f t="shared" si="1068"/>
        <v>#VALUE!</v>
      </c>
      <c r="AW553" s="201" t="str">
        <f t="shared" si="1069"/>
        <v>Fase de Degradação</v>
      </c>
      <c r="AX553" s="253" t="e">
        <f>VLOOKUP(D553,#REF!,5,FALSE)</f>
        <v>#REF!</v>
      </c>
      <c r="AY553" s="201"/>
      <c r="AZ553" s="273" t="s">
        <v>1224</v>
      </c>
      <c r="BB553">
        <f>IFERROR(VLOOKUP(Tabela1[[#This Row],[Denominação]],[10]Planilha1!$A:$B,2,FALSE),"")</f>
        <v>192345.54999999984</v>
      </c>
      <c r="BC553" s="219"/>
      <c r="BD553" s="219"/>
      <c r="BE553" s="219"/>
      <c r="BF553" s="219"/>
      <c r="BG553" s="219"/>
      <c r="BH553" s="219"/>
      <c r="BI553" s="219"/>
      <c r="BJ553" s="219"/>
      <c r="BK553" s="219"/>
      <c r="BL553" s="219"/>
    </row>
    <row r="554" spans="1:64" ht="15" hidden="1" customHeight="1" x14ac:dyDescent="0.3">
      <c r="A554" s="253">
        <v>553</v>
      </c>
      <c r="B554" s="171" t="s">
        <v>299</v>
      </c>
      <c r="C554" s="209" t="s">
        <v>300</v>
      </c>
      <c r="D554" s="171">
        <v>10005059</v>
      </c>
      <c r="E554" s="253" t="s">
        <v>1429</v>
      </c>
      <c r="F554" s="210">
        <v>4511</v>
      </c>
      <c r="G554" s="171">
        <v>33957</v>
      </c>
      <c r="H554" s="171">
        <v>2005</v>
      </c>
      <c r="I554" s="213">
        <v>304386.05</v>
      </c>
      <c r="J554" s="213">
        <v>0</v>
      </c>
      <c r="K554" s="170">
        <v>192492.79000000007</v>
      </c>
      <c r="L554" s="215">
        <v>2.13</v>
      </c>
      <c r="M554" s="212" t="str">
        <f>IFERROR(VLOOKUP(Tabela1[[#This Row],[Denominação]],#REF!,7,FALSE),"")</f>
        <v/>
      </c>
      <c r="N554" s="212">
        <v>128778</v>
      </c>
      <c r="O554" s="171">
        <v>150</v>
      </c>
      <c r="P554" s="271" t="str">
        <f>IFERROR(VLOOKUP(Tabela1[[#This Row],[TAG]],#REF!,14,FALSE),"")</f>
        <v/>
      </c>
      <c r="Q554" s="204" t="e">
        <f>P554+P554</f>
        <v>#VALUE!</v>
      </c>
      <c r="R554" s="204" t="e">
        <f t="shared" si="1093"/>
        <v>#VALUE!</v>
      </c>
      <c r="S554" s="204" t="e">
        <f t="shared" si="1094"/>
        <v>#VALUE!</v>
      </c>
      <c r="T554" s="204" t="e">
        <f t="shared" si="1095"/>
        <v>#VALUE!</v>
      </c>
      <c r="U554" s="204" t="e">
        <f t="shared" si="1096"/>
        <v>#VALUE!</v>
      </c>
      <c r="V554" s="204" t="e">
        <f t="shared" si="1097"/>
        <v>#VALUE!</v>
      </c>
      <c r="W554" s="218">
        <v>461.41</v>
      </c>
      <c r="X554" s="218">
        <v>1180.5</v>
      </c>
      <c r="Y554" s="203">
        <v>0.1</v>
      </c>
      <c r="Z554" s="203">
        <f>IF(Tabela1[[#This Row],[Ano Aquisição]]=2023,0,IFERROR(VLOOKUP(H554,inflação!$F:$H,3,FALSE),""))</f>
        <v>1.0241</v>
      </c>
      <c r="AA554" s="203">
        <v>0.8</v>
      </c>
      <c r="AB554" s="202">
        <f t="shared" si="1064"/>
        <v>-304386.05</v>
      </c>
      <c r="AC554" s="204" t="e">
        <f t="shared" si="1098"/>
        <v>#VALUE!</v>
      </c>
      <c r="AD554" s="204" t="e">
        <f t="shared" si="1099"/>
        <v>#VALUE!</v>
      </c>
      <c r="AE554" s="204" t="e">
        <f t="shared" si="1100"/>
        <v>#VALUE!</v>
      </c>
      <c r="AF554" s="204" t="e">
        <f t="shared" si="1101"/>
        <v>#VALUE!</v>
      </c>
      <c r="AG554" s="204" t="e">
        <f t="shared" si="1102"/>
        <v>#VALUE!</v>
      </c>
      <c r="AH554" s="204" t="e">
        <f t="shared" si="1103"/>
        <v>#VALUE!</v>
      </c>
      <c r="AI554" s="204" t="e">
        <f t="shared" si="1104"/>
        <v>#VALUE!</v>
      </c>
      <c r="AJ554" s="205">
        <f t="shared" si="1065"/>
        <v>-616107.80380499992</v>
      </c>
      <c r="AK554" s="204" t="e">
        <f t="shared" si="1105"/>
        <v>#VALUE!</v>
      </c>
      <c r="AL554" s="204" t="e">
        <f t="shared" si="1106"/>
        <v>#VALUE!</v>
      </c>
      <c r="AM554" s="204" t="e">
        <f t="shared" si="1107"/>
        <v>#VALUE!</v>
      </c>
      <c r="AN554" s="204" t="e">
        <f t="shared" si="1108"/>
        <v>#VALUE!</v>
      </c>
      <c r="AO554" s="204" t="e">
        <f t="shared" si="1109"/>
        <v>#VALUE!</v>
      </c>
      <c r="AP554" s="204" t="e">
        <f t="shared" si="1110"/>
        <v>#VALUE!</v>
      </c>
      <c r="AQ554" s="204" t="e">
        <f t="shared" si="1111"/>
        <v>#VALUE!</v>
      </c>
      <c r="AR554" s="206" t="e">
        <f t="shared" si="1066"/>
        <v>#VALUE!</v>
      </c>
      <c r="AS554" s="170" t="e">
        <f t="shared" si="1112"/>
        <v>#VALUE!</v>
      </c>
      <c r="AT554" s="170" t="e">
        <f t="shared" si="1113"/>
        <v>#VALUE!</v>
      </c>
      <c r="AU554" s="207" t="e">
        <f t="shared" si="1067"/>
        <v>#VALUE!</v>
      </c>
      <c r="AV554" s="208" t="e">
        <f t="shared" si="1068"/>
        <v>#VALUE!</v>
      </c>
      <c r="AW554" s="201" t="str">
        <f t="shared" si="1069"/>
        <v>Fase de Degradação</v>
      </c>
      <c r="AX554" s="253" t="e">
        <f>VLOOKUP(D554,#REF!,5,FALSE)</f>
        <v>#REF!</v>
      </c>
      <c r="AY554" s="201"/>
      <c r="AZ554" s="273" t="s">
        <v>1224</v>
      </c>
      <c r="BB554">
        <f>IFERROR(VLOOKUP(Tabela1[[#This Row],[Denominação]],[10]Planilha1!$A:$B,2,FALSE),"")</f>
        <v>192492.79000000007</v>
      </c>
      <c r="BC554" s="219"/>
      <c r="BD554" s="219"/>
      <c r="BE554" s="219"/>
      <c r="BF554" s="219"/>
      <c r="BG554" s="219"/>
      <c r="BH554" s="219"/>
      <c r="BI554" s="219"/>
      <c r="BJ554" s="219"/>
      <c r="BK554" s="219"/>
      <c r="BL554" s="219"/>
    </row>
    <row r="555" spans="1:64" ht="15" hidden="1" customHeight="1" x14ac:dyDescent="0.3">
      <c r="A555" s="268">
        <v>554</v>
      </c>
      <c r="B555" s="171" t="s">
        <v>458</v>
      </c>
      <c r="C555" s="209" t="s">
        <v>486</v>
      </c>
      <c r="D555" s="171">
        <v>20000442</v>
      </c>
      <c r="E555" s="253" t="s">
        <v>1543</v>
      </c>
      <c r="F555" s="210">
        <v>4511</v>
      </c>
      <c r="G555" s="171">
        <v>36968</v>
      </c>
      <c r="H555" s="171">
        <v>2010</v>
      </c>
      <c r="I555" s="213">
        <v>154033.24</v>
      </c>
      <c r="J555" s="213">
        <v>0</v>
      </c>
      <c r="K555" s="170">
        <v>271565.51</v>
      </c>
      <c r="L555" s="215">
        <v>0.92</v>
      </c>
      <c r="M555" s="212" t="str">
        <f>IFERROR(VLOOKUP(Tabela1[[#This Row],[Denominação]],#REF!,7,FALSE),"")</f>
        <v/>
      </c>
      <c r="N555" s="212">
        <v>97142</v>
      </c>
      <c r="O555" s="171">
        <v>177</v>
      </c>
      <c r="P555" s="271" t="str">
        <f>IFERROR(VLOOKUP(Tabela1[[#This Row],[TAG]],#REF!,14,FALSE),"")</f>
        <v/>
      </c>
      <c r="Q555" s="204" t="e">
        <f t="shared" si="1092"/>
        <v>#VALUE!</v>
      </c>
      <c r="R555" s="204" t="e">
        <f t="shared" si="1093"/>
        <v>#VALUE!</v>
      </c>
      <c r="S555" s="204" t="e">
        <f t="shared" si="1094"/>
        <v>#VALUE!</v>
      </c>
      <c r="T555" s="204" t="e">
        <f t="shared" si="1095"/>
        <v>#VALUE!</v>
      </c>
      <c r="U555" s="204" t="e">
        <f t="shared" si="1096"/>
        <v>#VALUE!</v>
      </c>
      <c r="V555" s="204" t="e">
        <f t="shared" si="1097"/>
        <v>#VALUE!</v>
      </c>
      <c r="W555" s="218">
        <v>600.21</v>
      </c>
      <c r="X555" s="218">
        <v>2668.43</v>
      </c>
      <c r="Y555" s="203">
        <v>0.1</v>
      </c>
      <c r="Z555" s="203">
        <f>IF(Tabela1[[#This Row],[Ano Aquisição]]=2023,0,IFERROR(VLOOKUP(H555,inflação!$F:$H,3,FALSE),""))</f>
        <v>0.78910000000000002</v>
      </c>
      <c r="AA555" s="203">
        <v>0.8</v>
      </c>
      <c r="AB555" s="202">
        <f t="shared" si="1064"/>
        <v>-154033.24</v>
      </c>
      <c r="AC555" s="204" t="e">
        <f t="shared" si="1098"/>
        <v>#VALUE!</v>
      </c>
      <c r="AD555" s="204" t="e">
        <f t="shared" si="1099"/>
        <v>#VALUE!</v>
      </c>
      <c r="AE555" s="204" t="e">
        <f t="shared" si="1100"/>
        <v>#VALUE!</v>
      </c>
      <c r="AF555" s="204" t="e">
        <f t="shared" si="1101"/>
        <v>#VALUE!</v>
      </c>
      <c r="AG555" s="204" t="e">
        <f t="shared" si="1102"/>
        <v>#VALUE!</v>
      </c>
      <c r="AH555" s="204" t="e">
        <f t="shared" si="1103"/>
        <v>#VALUE!</v>
      </c>
      <c r="AI555" s="204" t="e">
        <f t="shared" si="1104"/>
        <v>#VALUE!</v>
      </c>
      <c r="AJ555" s="205">
        <f t="shared" si="1065"/>
        <v>-275580.86968399998</v>
      </c>
      <c r="AK555" s="204" t="e">
        <f t="shared" si="1105"/>
        <v>#VALUE!</v>
      </c>
      <c r="AL555" s="204" t="e">
        <f t="shared" si="1106"/>
        <v>#VALUE!</v>
      </c>
      <c r="AM555" s="204" t="e">
        <f t="shared" si="1107"/>
        <v>#VALUE!</v>
      </c>
      <c r="AN555" s="204" t="e">
        <f t="shared" si="1108"/>
        <v>#VALUE!</v>
      </c>
      <c r="AO555" s="204" t="e">
        <f t="shared" si="1109"/>
        <v>#VALUE!</v>
      </c>
      <c r="AP555" s="204" t="e">
        <f t="shared" si="1110"/>
        <v>#VALUE!</v>
      </c>
      <c r="AQ555" s="204" t="e">
        <f t="shared" si="1111"/>
        <v>#VALUE!</v>
      </c>
      <c r="AR555" s="206" t="e">
        <f t="shared" si="1066"/>
        <v>#VALUE!</v>
      </c>
      <c r="AS555" s="170" t="e">
        <f t="shared" si="1112"/>
        <v>#VALUE!</v>
      </c>
      <c r="AT555" s="170" t="e">
        <f t="shared" si="1113"/>
        <v>#VALUE!</v>
      </c>
      <c r="AU555" s="207" t="e">
        <f t="shared" si="1067"/>
        <v>#VALUE!</v>
      </c>
      <c r="AV555" s="208" t="e">
        <f t="shared" si="1068"/>
        <v>#VALUE!</v>
      </c>
      <c r="AW555" s="201" t="str">
        <f t="shared" si="1069"/>
        <v>Confiabilidade em Crescimento</v>
      </c>
      <c r="AX555" s="253" t="e">
        <f>VLOOKUP(D555,#REF!,5,FALSE)</f>
        <v>#REF!</v>
      </c>
      <c r="AY555" s="201"/>
      <c r="AZ555" s="273" t="s">
        <v>1224</v>
      </c>
      <c r="BB555">
        <f>IFERROR(VLOOKUP(Tabela1[[#This Row],[Denominação]],[10]Planilha1!$A:$B,2,FALSE),"")</f>
        <v>302653.01</v>
      </c>
      <c r="BC555" s="219"/>
      <c r="BD555" s="219"/>
      <c r="BE555" s="219"/>
      <c r="BF555" s="219"/>
      <c r="BG555" s="219"/>
      <c r="BH555" s="219"/>
      <c r="BI555" s="219"/>
      <c r="BJ555" s="219"/>
      <c r="BK555" s="219"/>
      <c r="BL555" s="219"/>
    </row>
    <row r="556" spans="1:64" ht="15" hidden="1" customHeight="1" x14ac:dyDescent="0.3">
      <c r="A556" s="253">
        <v>555</v>
      </c>
      <c r="B556" s="171" t="s">
        <v>459</v>
      </c>
      <c r="C556" s="209" t="s">
        <v>487</v>
      </c>
      <c r="D556" s="171">
        <v>20000443</v>
      </c>
      <c r="E556" s="253" t="s">
        <v>1434</v>
      </c>
      <c r="F556" s="210">
        <v>4511</v>
      </c>
      <c r="G556" s="171" t="s">
        <v>875</v>
      </c>
      <c r="H556" s="171">
        <v>2010</v>
      </c>
      <c r="I556" s="213">
        <v>154033.24</v>
      </c>
      <c r="J556" s="213">
        <v>0</v>
      </c>
      <c r="K556" s="170">
        <v>132281.76999999987</v>
      </c>
      <c r="L556" s="215">
        <v>0.92</v>
      </c>
      <c r="M556" s="212" t="str">
        <f>IFERROR(VLOOKUP(Tabela1[[#This Row],[Denominação]],#REF!,7,FALSE),"")</f>
        <v/>
      </c>
      <c r="N556" s="212">
        <v>93865</v>
      </c>
      <c r="O556" s="171">
        <v>103</v>
      </c>
      <c r="P556" s="271" t="str">
        <f>IFERROR(VLOOKUP(Tabela1[[#This Row],[TAG]],#REF!,14,FALSE),"")</f>
        <v/>
      </c>
      <c r="Q556" s="204" t="e">
        <f t="shared" si="1092"/>
        <v>#VALUE!</v>
      </c>
      <c r="R556" s="204" t="e">
        <f t="shared" si="1093"/>
        <v>#VALUE!</v>
      </c>
      <c r="S556" s="204" t="e">
        <f t="shared" si="1094"/>
        <v>#VALUE!</v>
      </c>
      <c r="T556" s="204" t="e">
        <f t="shared" si="1095"/>
        <v>#VALUE!</v>
      </c>
      <c r="U556" s="204" t="e">
        <f t="shared" si="1096"/>
        <v>#VALUE!</v>
      </c>
      <c r="V556" s="204" t="e">
        <f t="shared" si="1097"/>
        <v>#VALUE!</v>
      </c>
      <c r="W556" s="218">
        <v>381.4</v>
      </c>
      <c r="X556" s="218">
        <v>945.59194444444495</v>
      </c>
      <c r="Y556" s="203">
        <v>0.1</v>
      </c>
      <c r="Z556" s="203">
        <f>IF(Tabela1[[#This Row],[Ano Aquisição]]=2023,0,IFERROR(VLOOKUP(H556,inflação!$F:$H,3,FALSE),""))</f>
        <v>0.78910000000000002</v>
      </c>
      <c r="AA556" s="203">
        <v>0.8</v>
      </c>
      <c r="AB556" s="202">
        <f t="shared" si="1064"/>
        <v>-154033.24</v>
      </c>
      <c r="AC556" s="204" t="e">
        <f t="shared" si="1098"/>
        <v>#VALUE!</v>
      </c>
      <c r="AD556" s="204" t="e">
        <f t="shared" si="1099"/>
        <v>#VALUE!</v>
      </c>
      <c r="AE556" s="204" t="e">
        <f t="shared" si="1100"/>
        <v>#VALUE!</v>
      </c>
      <c r="AF556" s="204" t="e">
        <f t="shared" si="1101"/>
        <v>#VALUE!</v>
      </c>
      <c r="AG556" s="204" t="e">
        <f t="shared" si="1102"/>
        <v>#VALUE!</v>
      </c>
      <c r="AH556" s="204" t="e">
        <f t="shared" si="1103"/>
        <v>#VALUE!</v>
      </c>
      <c r="AI556" s="204" t="e">
        <f t="shared" si="1104"/>
        <v>#VALUE!</v>
      </c>
      <c r="AJ556" s="205">
        <f t="shared" si="1065"/>
        <v>-275580.86968399998</v>
      </c>
      <c r="AK556" s="204" t="e">
        <f t="shared" si="1105"/>
        <v>#VALUE!</v>
      </c>
      <c r="AL556" s="204" t="e">
        <f t="shared" si="1106"/>
        <v>#VALUE!</v>
      </c>
      <c r="AM556" s="204" t="e">
        <f t="shared" si="1107"/>
        <v>#VALUE!</v>
      </c>
      <c r="AN556" s="204" t="e">
        <f t="shared" si="1108"/>
        <v>#VALUE!</v>
      </c>
      <c r="AO556" s="204" t="e">
        <f t="shared" si="1109"/>
        <v>#VALUE!</v>
      </c>
      <c r="AP556" s="204" t="e">
        <f t="shared" si="1110"/>
        <v>#VALUE!</v>
      </c>
      <c r="AQ556" s="204" t="e">
        <f t="shared" si="1111"/>
        <v>#VALUE!</v>
      </c>
      <c r="AR556" s="206" t="e">
        <f t="shared" si="1066"/>
        <v>#VALUE!</v>
      </c>
      <c r="AS556" s="170" t="e">
        <f t="shared" si="1112"/>
        <v>#VALUE!</v>
      </c>
      <c r="AT556" s="170" t="e">
        <f t="shared" si="1113"/>
        <v>#VALUE!</v>
      </c>
      <c r="AU556" s="207" t="e">
        <f t="shared" si="1067"/>
        <v>#VALUE!</v>
      </c>
      <c r="AV556" s="208" t="e">
        <f t="shared" si="1068"/>
        <v>#VALUE!</v>
      </c>
      <c r="AW556" s="201" t="str">
        <f t="shared" si="1069"/>
        <v>Confiabilidade em Crescimento</v>
      </c>
      <c r="AX556" s="253" t="e">
        <f>VLOOKUP(D556,#REF!,5,FALSE)</f>
        <v>#REF!</v>
      </c>
      <c r="AY556" s="201"/>
      <c r="AZ556" s="273" t="s">
        <v>1224</v>
      </c>
      <c r="BB556">
        <f>IFERROR(VLOOKUP(Tabela1[[#This Row],[Denominação]],[10]Planilha1!$A:$B,2,FALSE),"")</f>
        <v>132281.76999999987</v>
      </c>
      <c r="BC556" s="219"/>
      <c r="BD556" s="219"/>
      <c r="BE556" s="219"/>
      <c r="BF556" s="219"/>
      <c r="BG556" s="219"/>
      <c r="BH556" s="219"/>
      <c r="BI556" s="219"/>
      <c r="BJ556" s="219"/>
      <c r="BK556" s="219"/>
      <c r="BL556" s="219"/>
    </row>
    <row r="557" spans="1:64" ht="15" hidden="1" customHeight="1" x14ac:dyDescent="0.3">
      <c r="A557" s="268">
        <v>556</v>
      </c>
      <c r="B557" s="171" t="s">
        <v>460</v>
      </c>
      <c r="C557" s="209" t="s">
        <v>488</v>
      </c>
      <c r="D557" s="171">
        <v>20000444</v>
      </c>
      <c r="E557" s="253" t="s">
        <v>1544</v>
      </c>
      <c r="F557" s="210">
        <v>4712</v>
      </c>
      <c r="G557" s="171">
        <v>20716</v>
      </c>
      <c r="H557" s="171">
        <v>2003</v>
      </c>
      <c r="I557" s="213">
        <v>158451.95000000001</v>
      </c>
      <c r="J557" s="213">
        <v>0</v>
      </c>
      <c r="K557" s="170">
        <v>15498.739999999998</v>
      </c>
      <c r="L557" s="215">
        <v>0.69</v>
      </c>
      <c r="M557" s="212">
        <v>4988</v>
      </c>
      <c r="N557" s="212">
        <v>150343</v>
      </c>
      <c r="O557" s="171">
        <v>19</v>
      </c>
      <c r="P557" s="271" t="str">
        <f>IFERROR(VLOOKUP(Tabela1[[#This Row],[TAG]],#REF!,14,FALSE),"")</f>
        <v/>
      </c>
      <c r="Q557" s="204" t="e">
        <f t="shared" si="1092"/>
        <v>#VALUE!</v>
      </c>
      <c r="R557" s="204" t="e">
        <f t="shared" si="1093"/>
        <v>#VALUE!</v>
      </c>
      <c r="S557" s="204" t="e">
        <f t="shared" si="1094"/>
        <v>#VALUE!</v>
      </c>
      <c r="T557" s="204" t="e">
        <f t="shared" si="1095"/>
        <v>#VALUE!</v>
      </c>
      <c r="U557" s="204" t="e">
        <f t="shared" si="1096"/>
        <v>#VALUE!</v>
      </c>
      <c r="V557" s="204" t="e">
        <f t="shared" si="1097"/>
        <v>#VALUE!</v>
      </c>
      <c r="W557" s="218">
        <v>229.43</v>
      </c>
      <c r="X557" s="218">
        <v>865.52894470000001</v>
      </c>
      <c r="Y557" s="203">
        <v>0.1</v>
      </c>
      <c r="Z557" s="203">
        <f>IF(Tabela1[[#This Row],[Ano Aquisição]]=2023,0,IFERROR(VLOOKUP(H557,inflação!$F:$H,3,FALSE),""))</f>
        <v>1.1931</v>
      </c>
      <c r="AA557" s="203">
        <v>0.8</v>
      </c>
      <c r="AB557" s="202">
        <f t="shared" si="1064"/>
        <v>-158451.95000000001</v>
      </c>
      <c r="AC557" s="204" t="e">
        <f t="shared" si="1098"/>
        <v>#VALUE!</v>
      </c>
      <c r="AD557" s="204" t="e">
        <f t="shared" si="1099"/>
        <v>#VALUE!</v>
      </c>
      <c r="AE557" s="204" t="e">
        <f t="shared" si="1100"/>
        <v>#VALUE!</v>
      </c>
      <c r="AF557" s="204" t="e">
        <f t="shared" si="1101"/>
        <v>#VALUE!</v>
      </c>
      <c r="AG557" s="204" t="e">
        <f t="shared" si="1102"/>
        <v>#VALUE!</v>
      </c>
      <c r="AH557" s="204" t="e">
        <f t="shared" si="1103"/>
        <v>#VALUE!</v>
      </c>
      <c r="AI557" s="204" t="e">
        <f t="shared" si="1104"/>
        <v>#VALUE!</v>
      </c>
      <c r="AJ557" s="205">
        <f t="shared" si="1065"/>
        <v>-347500.97154500009</v>
      </c>
      <c r="AK557" s="204" t="e">
        <f t="shared" si="1105"/>
        <v>#VALUE!</v>
      </c>
      <c r="AL557" s="204" t="e">
        <f t="shared" si="1106"/>
        <v>#VALUE!</v>
      </c>
      <c r="AM557" s="204" t="e">
        <f t="shared" si="1107"/>
        <v>#VALUE!</v>
      </c>
      <c r="AN557" s="204" t="e">
        <f t="shared" si="1108"/>
        <v>#VALUE!</v>
      </c>
      <c r="AO557" s="204" t="e">
        <f t="shared" si="1109"/>
        <v>#VALUE!</v>
      </c>
      <c r="AP557" s="204" t="e">
        <f t="shared" si="1110"/>
        <v>#VALUE!</v>
      </c>
      <c r="AQ557" s="204" t="e">
        <f t="shared" si="1111"/>
        <v>#VALUE!</v>
      </c>
      <c r="AR557" s="206" t="e">
        <f t="shared" si="1066"/>
        <v>#VALUE!</v>
      </c>
      <c r="AS557" s="170" t="e">
        <f t="shared" si="1112"/>
        <v>#VALUE!</v>
      </c>
      <c r="AT557" s="170" t="e">
        <f t="shared" si="1113"/>
        <v>#VALUE!</v>
      </c>
      <c r="AU557" s="207" t="e">
        <f t="shared" si="1067"/>
        <v>#VALUE!</v>
      </c>
      <c r="AV557" s="208" t="e">
        <f t="shared" si="1068"/>
        <v>#VALUE!</v>
      </c>
      <c r="AW557" s="201" t="str">
        <f t="shared" si="1069"/>
        <v>Confiabilidade em Crescimento</v>
      </c>
      <c r="AX557" s="253" t="e">
        <f>VLOOKUP(D557,#REF!,5,FALSE)</f>
        <v>#REF!</v>
      </c>
      <c r="AY557" s="201"/>
      <c r="AZ557" s="273" t="s">
        <v>1224</v>
      </c>
      <c r="BB557" t="str">
        <f>IFERROR(VLOOKUP(Tabela1[[#This Row],[Denominação]],[10]Planilha1!$A:$B,2,FALSE),"")</f>
        <v/>
      </c>
      <c r="BC557" s="219"/>
      <c r="BD557" s="219"/>
      <c r="BE557" s="219"/>
      <c r="BF557" s="219"/>
      <c r="BG557" s="219"/>
      <c r="BH557" s="219"/>
      <c r="BI557" s="219"/>
      <c r="BJ557" s="219"/>
      <c r="BK557" s="219"/>
      <c r="BL557" s="219"/>
    </row>
    <row r="558" spans="1:64" ht="15" hidden="1" customHeight="1" x14ac:dyDescent="0.3">
      <c r="A558" s="253">
        <v>557</v>
      </c>
      <c r="B558" s="171" t="s">
        <v>461</v>
      </c>
      <c r="C558" s="209" t="s">
        <v>489</v>
      </c>
      <c r="D558" s="171">
        <v>20000465</v>
      </c>
      <c r="E558" s="253" t="s">
        <v>1447</v>
      </c>
      <c r="F558" s="210">
        <v>4511</v>
      </c>
      <c r="G558" s="171">
        <v>41635</v>
      </c>
      <c r="H558" s="171">
        <v>2012</v>
      </c>
      <c r="I558" s="213">
        <v>162672.01</v>
      </c>
      <c r="J558" s="213">
        <v>0</v>
      </c>
      <c r="K558" s="170">
        <v>176135.7799999998</v>
      </c>
      <c r="L558" s="215">
        <v>1.55</v>
      </c>
      <c r="M558" s="212" t="str">
        <f>IFERROR(VLOOKUP(Tabela1[[#This Row],[Denominação]],#REF!,7,FALSE),"")</f>
        <v/>
      </c>
      <c r="N558" s="212">
        <v>94715</v>
      </c>
      <c r="O558" s="171">
        <v>100</v>
      </c>
      <c r="P558" s="271" t="str">
        <f>IFERROR(VLOOKUP(Tabela1[[#This Row],[TAG]],#REF!,14,FALSE),"")</f>
        <v/>
      </c>
      <c r="Q558" s="204" t="e">
        <f t="shared" si="1092"/>
        <v>#VALUE!</v>
      </c>
      <c r="R558" s="204" t="e">
        <f t="shared" si="1093"/>
        <v>#VALUE!</v>
      </c>
      <c r="S558" s="204" t="e">
        <f t="shared" si="1094"/>
        <v>#VALUE!</v>
      </c>
      <c r="T558" s="204" t="e">
        <f t="shared" si="1095"/>
        <v>#VALUE!</v>
      </c>
      <c r="U558" s="204" t="e">
        <f t="shared" si="1096"/>
        <v>#VALUE!</v>
      </c>
      <c r="V558" s="204" t="e">
        <f t="shared" si="1097"/>
        <v>#VALUE!</v>
      </c>
      <c r="W558" s="218">
        <v>386.85</v>
      </c>
      <c r="X558" s="218">
        <v>1512.81</v>
      </c>
      <c r="Y558" s="203">
        <v>0.1</v>
      </c>
      <c r="Z558" s="203">
        <f>IF(Tabela1[[#This Row],[Ano Aquisição]]=2023,0,IFERROR(VLOOKUP(H558,inflação!$F:$H,3,FALSE),""))</f>
        <v>0.66500000000000004</v>
      </c>
      <c r="AA558" s="203">
        <v>0.8</v>
      </c>
      <c r="AB558" s="202">
        <f t="shared" si="1064"/>
        <v>-162672.01</v>
      </c>
      <c r="AC558" s="204" t="e">
        <f t="shared" si="1098"/>
        <v>#VALUE!</v>
      </c>
      <c r="AD558" s="204" t="e">
        <f t="shared" si="1099"/>
        <v>#VALUE!</v>
      </c>
      <c r="AE558" s="204" t="e">
        <f t="shared" si="1100"/>
        <v>#VALUE!</v>
      </c>
      <c r="AF558" s="204" t="e">
        <f t="shared" si="1101"/>
        <v>#VALUE!</v>
      </c>
      <c r="AG558" s="204" t="e">
        <f t="shared" si="1102"/>
        <v>#VALUE!</v>
      </c>
      <c r="AH558" s="204" t="e">
        <f t="shared" si="1103"/>
        <v>#VALUE!</v>
      </c>
      <c r="AI558" s="204" t="e">
        <f t="shared" si="1104"/>
        <v>#VALUE!</v>
      </c>
      <c r="AJ558" s="205">
        <f t="shared" si="1065"/>
        <v>-270848.89665000001</v>
      </c>
      <c r="AK558" s="204" t="e">
        <f t="shared" si="1105"/>
        <v>#VALUE!</v>
      </c>
      <c r="AL558" s="204" t="e">
        <f t="shared" si="1106"/>
        <v>#VALUE!</v>
      </c>
      <c r="AM558" s="204" t="e">
        <f t="shared" si="1107"/>
        <v>#VALUE!</v>
      </c>
      <c r="AN558" s="204" t="e">
        <f t="shared" si="1108"/>
        <v>#VALUE!</v>
      </c>
      <c r="AO558" s="204" t="e">
        <f t="shared" si="1109"/>
        <v>#VALUE!</v>
      </c>
      <c r="AP558" s="204" t="e">
        <f t="shared" si="1110"/>
        <v>#VALUE!</v>
      </c>
      <c r="AQ558" s="204" t="e">
        <f t="shared" si="1111"/>
        <v>#VALUE!</v>
      </c>
      <c r="AR558" s="206" t="e">
        <f t="shared" si="1066"/>
        <v>#VALUE!</v>
      </c>
      <c r="AS558" s="170" t="e">
        <f t="shared" si="1112"/>
        <v>#VALUE!</v>
      </c>
      <c r="AT558" s="170" t="e">
        <f t="shared" si="1113"/>
        <v>#VALUE!</v>
      </c>
      <c r="AU558" s="207" t="e">
        <f t="shared" si="1067"/>
        <v>#VALUE!</v>
      </c>
      <c r="AV558" s="208" t="e">
        <f t="shared" si="1068"/>
        <v>#VALUE!</v>
      </c>
      <c r="AW558" s="201" t="str">
        <f t="shared" si="1069"/>
        <v>Fase de Degradação</v>
      </c>
      <c r="AX558" s="253" t="e">
        <f>VLOOKUP(D558,#REF!,5,FALSE)</f>
        <v>#REF!</v>
      </c>
      <c r="AY558" s="201"/>
      <c r="AZ558" s="273" t="s">
        <v>1224</v>
      </c>
      <c r="BB558">
        <f>IFERROR(VLOOKUP(Tabela1[[#This Row],[Denominação]],[10]Planilha1!$A:$B,2,FALSE),"")</f>
        <v>176135.7799999998</v>
      </c>
      <c r="BC558" s="219"/>
      <c r="BD558" s="219"/>
      <c r="BE558" s="219"/>
      <c r="BF558" s="219"/>
      <c r="BG558" s="219"/>
      <c r="BH558" s="219"/>
      <c r="BI558" s="219"/>
      <c r="BJ558" s="219"/>
      <c r="BK558" s="219"/>
      <c r="BL558" s="219"/>
    </row>
    <row r="559" spans="1:64" ht="15" hidden="1" customHeight="1" x14ac:dyDescent="0.3">
      <c r="A559" s="268">
        <v>558</v>
      </c>
      <c r="B559" s="171" t="s">
        <v>462</v>
      </c>
      <c r="C559" s="209" t="s">
        <v>490</v>
      </c>
      <c r="D559" s="171">
        <v>20000466</v>
      </c>
      <c r="E559" s="253" t="s">
        <v>1434</v>
      </c>
      <c r="F559" s="210">
        <v>2111</v>
      </c>
      <c r="G559" s="171">
        <v>41636</v>
      </c>
      <c r="H559" s="171">
        <v>2012</v>
      </c>
      <c r="I559" s="213">
        <v>208197.13</v>
      </c>
      <c r="J559" s="213">
        <v>0</v>
      </c>
      <c r="K559" s="170">
        <v>146647.90000000002</v>
      </c>
      <c r="L559" s="215">
        <v>0.8</v>
      </c>
      <c r="M559" s="212" t="str">
        <f>IFERROR(VLOOKUP(Tabela1[[#This Row],[Denominação]],#REF!,7,FALSE),"")</f>
        <v/>
      </c>
      <c r="N559" s="212">
        <v>93262</v>
      </c>
      <c r="O559" s="171">
        <v>46</v>
      </c>
      <c r="P559" s="271" t="str">
        <f>IFERROR(VLOOKUP(Tabela1[[#This Row],[TAG]],#REF!,14,FALSE),"")</f>
        <v/>
      </c>
      <c r="Q559" s="204" t="e">
        <f t="shared" si="1092"/>
        <v>#VALUE!</v>
      </c>
      <c r="R559" s="204" t="e">
        <f t="shared" si="1093"/>
        <v>#VALUE!</v>
      </c>
      <c r="S559" s="204" t="e">
        <f t="shared" si="1094"/>
        <v>#VALUE!</v>
      </c>
      <c r="T559" s="204" t="e">
        <f t="shared" si="1095"/>
        <v>#VALUE!</v>
      </c>
      <c r="U559" s="204" t="e">
        <f t="shared" si="1096"/>
        <v>#VALUE!</v>
      </c>
      <c r="V559" s="204" t="e">
        <f t="shared" si="1097"/>
        <v>#VALUE!</v>
      </c>
      <c r="W559" s="218">
        <v>721.29</v>
      </c>
      <c r="X559" s="218">
        <v>1604.88</v>
      </c>
      <c r="Y559" s="203">
        <v>0.1</v>
      </c>
      <c r="Z559" s="203">
        <f>IF(Tabela1[[#This Row],[Ano Aquisição]]=2023,0,IFERROR(VLOOKUP(H559,inflação!$F:$H,3,FALSE),""))</f>
        <v>0.66500000000000004</v>
      </c>
      <c r="AA559" s="203">
        <v>0.8</v>
      </c>
      <c r="AB559" s="202">
        <f t="shared" si="1064"/>
        <v>-208197.13</v>
      </c>
      <c r="AC559" s="204" t="e">
        <f t="shared" si="1098"/>
        <v>#VALUE!</v>
      </c>
      <c r="AD559" s="204" t="e">
        <f t="shared" si="1099"/>
        <v>#VALUE!</v>
      </c>
      <c r="AE559" s="204" t="e">
        <f t="shared" si="1100"/>
        <v>#VALUE!</v>
      </c>
      <c r="AF559" s="204" t="e">
        <f t="shared" si="1101"/>
        <v>#VALUE!</v>
      </c>
      <c r="AG559" s="204" t="e">
        <f t="shared" si="1102"/>
        <v>#VALUE!</v>
      </c>
      <c r="AH559" s="204" t="e">
        <f t="shared" si="1103"/>
        <v>#VALUE!</v>
      </c>
      <c r="AI559" s="204" t="e">
        <f t="shared" si="1104"/>
        <v>#VALUE!</v>
      </c>
      <c r="AJ559" s="205">
        <f t="shared" si="1065"/>
        <v>-346648.22145000001</v>
      </c>
      <c r="AK559" s="204" t="e">
        <f t="shared" si="1105"/>
        <v>#VALUE!</v>
      </c>
      <c r="AL559" s="204" t="e">
        <f t="shared" si="1106"/>
        <v>#VALUE!</v>
      </c>
      <c r="AM559" s="204" t="e">
        <f t="shared" si="1107"/>
        <v>#VALUE!</v>
      </c>
      <c r="AN559" s="204" t="e">
        <f t="shared" si="1108"/>
        <v>#VALUE!</v>
      </c>
      <c r="AO559" s="204" t="e">
        <f t="shared" si="1109"/>
        <v>#VALUE!</v>
      </c>
      <c r="AP559" s="204" t="e">
        <f t="shared" si="1110"/>
        <v>#VALUE!</v>
      </c>
      <c r="AQ559" s="204" t="e">
        <f t="shared" si="1111"/>
        <v>#VALUE!</v>
      </c>
      <c r="AR559" s="206" t="e">
        <f t="shared" si="1066"/>
        <v>#VALUE!</v>
      </c>
      <c r="AS559" s="170" t="e">
        <f t="shared" si="1112"/>
        <v>#VALUE!</v>
      </c>
      <c r="AT559" s="170" t="e">
        <f t="shared" si="1113"/>
        <v>#VALUE!</v>
      </c>
      <c r="AU559" s="207" t="e">
        <f t="shared" si="1067"/>
        <v>#VALUE!</v>
      </c>
      <c r="AV559" s="208" t="e">
        <f t="shared" si="1068"/>
        <v>#VALUE!</v>
      </c>
      <c r="AW559" s="201" t="str">
        <f t="shared" si="1069"/>
        <v>Confiabilidade em Crescimento</v>
      </c>
      <c r="AX559" s="253" t="e">
        <f>VLOOKUP(D559,#REF!,5,FALSE)</f>
        <v>#REF!</v>
      </c>
      <c r="AY559" s="201"/>
      <c r="AZ559" s="273" t="s">
        <v>1224</v>
      </c>
      <c r="BB559">
        <f>IFERROR(VLOOKUP(Tabela1[[#This Row],[Denominação]],[10]Planilha1!$A:$B,2,FALSE),"")</f>
        <v>146647.90000000002</v>
      </c>
      <c r="BC559" s="219"/>
      <c r="BD559" s="219"/>
      <c r="BE559" s="219"/>
      <c r="BF559" s="219"/>
      <c r="BG559" s="219"/>
      <c r="BH559" s="219"/>
      <c r="BI559" s="219"/>
      <c r="BJ559" s="219"/>
      <c r="BK559" s="219"/>
      <c r="BL559" s="219"/>
    </row>
    <row r="560" spans="1:64" ht="15" hidden="1" customHeight="1" x14ac:dyDescent="0.3">
      <c r="A560" s="253">
        <v>559</v>
      </c>
      <c r="B560" s="171" t="s">
        <v>463</v>
      </c>
      <c r="C560" s="209" t="s">
        <v>491</v>
      </c>
      <c r="D560" s="171">
        <v>20000467</v>
      </c>
      <c r="E560" s="253" t="s">
        <v>1449</v>
      </c>
      <c r="F560" s="210">
        <v>4511</v>
      </c>
      <c r="G560" s="171">
        <v>42114</v>
      </c>
      <c r="H560" s="171">
        <v>2012</v>
      </c>
      <c r="I560" s="213">
        <v>230148.66</v>
      </c>
      <c r="J560" s="213">
        <v>0</v>
      </c>
      <c r="K560" s="170">
        <v>103568.78999999998</v>
      </c>
      <c r="L560" s="215">
        <v>1.39</v>
      </c>
      <c r="M560" s="212" t="str">
        <f>IFERROR(VLOOKUP(Tabela1[[#This Row],[Denominação]],#REF!,7,FALSE),"")</f>
        <v/>
      </c>
      <c r="N560" s="212">
        <v>91310</v>
      </c>
      <c r="O560" s="171">
        <v>82</v>
      </c>
      <c r="P560" s="271" t="str">
        <f>IFERROR(VLOOKUP(Tabela1[[#This Row],[TAG]],#REF!,14,FALSE),"")</f>
        <v/>
      </c>
      <c r="Q560" s="204" t="e">
        <f t="shared" si="1092"/>
        <v>#VALUE!</v>
      </c>
      <c r="R560" s="204" t="e">
        <f t="shared" si="1093"/>
        <v>#VALUE!</v>
      </c>
      <c r="S560" s="204" t="e">
        <f t="shared" si="1094"/>
        <v>#VALUE!</v>
      </c>
      <c r="T560" s="204" t="e">
        <f t="shared" si="1095"/>
        <v>#VALUE!</v>
      </c>
      <c r="U560" s="204" t="e">
        <f t="shared" si="1096"/>
        <v>#VALUE!</v>
      </c>
      <c r="V560" s="204" t="e">
        <f t="shared" si="1097"/>
        <v>#VALUE!</v>
      </c>
      <c r="W560" s="218">
        <v>330.35</v>
      </c>
      <c r="X560" s="218">
        <v>851.98</v>
      </c>
      <c r="Y560" s="203">
        <v>0.1</v>
      </c>
      <c r="Z560" s="203">
        <f>IF(Tabela1[[#This Row],[Ano Aquisição]]=2023,0,IFERROR(VLOOKUP(H560,inflação!$F:$H,3,FALSE),""))</f>
        <v>0.66500000000000004</v>
      </c>
      <c r="AA560" s="203">
        <v>0.8</v>
      </c>
      <c r="AB560" s="202">
        <f t="shared" si="1064"/>
        <v>-230148.66</v>
      </c>
      <c r="AC560" s="204" t="e">
        <f t="shared" si="1098"/>
        <v>#VALUE!</v>
      </c>
      <c r="AD560" s="204" t="e">
        <f t="shared" si="1099"/>
        <v>#VALUE!</v>
      </c>
      <c r="AE560" s="204" t="e">
        <f t="shared" si="1100"/>
        <v>#VALUE!</v>
      </c>
      <c r="AF560" s="204" t="e">
        <f t="shared" si="1101"/>
        <v>#VALUE!</v>
      </c>
      <c r="AG560" s="204" t="e">
        <f t="shared" si="1102"/>
        <v>#VALUE!</v>
      </c>
      <c r="AH560" s="204" t="e">
        <f t="shared" si="1103"/>
        <v>#VALUE!</v>
      </c>
      <c r="AI560" s="204" t="e">
        <f t="shared" si="1104"/>
        <v>#VALUE!</v>
      </c>
      <c r="AJ560" s="205">
        <f t="shared" si="1065"/>
        <v>-383197.51890000002</v>
      </c>
      <c r="AK560" s="204" t="e">
        <f t="shared" si="1105"/>
        <v>#VALUE!</v>
      </c>
      <c r="AL560" s="204" t="e">
        <f t="shared" si="1106"/>
        <v>#VALUE!</v>
      </c>
      <c r="AM560" s="204" t="e">
        <f t="shared" si="1107"/>
        <v>#VALUE!</v>
      </c>
      <c r="AN560" s="204" t="e">
        <f t="shared" si="1108"/>
        <v>#VALUE!</v>
      </c>
      <c r="AO560" s="204" t="e">
        <f t="shared" si="1109"/>
        <v>#VALUE!</v>
      </c>
      <c r="AP560" s="204" t="e">
        <f t="shared" si="1110"/>
        <v>#VALUE!</v>
      </c>
      <c r="AQ560" s="204" t="e">
        <f t="shared" si="1111"/>
        <v>#VALUE!</v>
      </c>
      <c r="AR560" s="206" t="e">
        <f t="shared" si="1066"/>
        <v>#VALUE!</v>
      </c>
      <c r="AS560" s="170" t="e">
        <f t="shared" si="1112"/>
        <v>#VALUE!</v>
      </c>
      <c r="AT560" s="170" t="e">
        <f t="shared" si="1113"/>
        <v>#VALUE!</v>
      </c>
      <c r="AU560" s="207" t="e">
        <f t="shared" si="1067"/>
        <v>#VALUE!</v>
      </c>
      <c r="AV560" s="208" t="e">
        <f t="shared" si="1068"/>
        <v>#VALUE!</v>
      </c>
      <c r="AW560" s="201" t="str">
        <f t="shared" si="1069"/>
        <v>Fase de Degradação</v>
      </c>
      <c r="AX560" s="253" t="e">
        <f>VLOOKUP(D560,#REF!,5,FALSE)</f>
        <v>#REF!</v>
      </c>
      <c r="AY560" s="201"/>
      <c r="AZ560" s="273" t="s">
        <v>1224</v>
      </c>
      <c r="BB560">
        <f>IFERROR(VLOOKUP(Tabela1[[#This Row],[Denominação]],[10]Planilha1!$A:$B,2,FALSE),"")</f>
        <v>112889.54999999992</v>
      </c>
      <c r="BC560" s="219"/>
      <c r="BD560" s="219"/>
      <c r="BE560" s="219"/>
      <c r="BF560" s="219"/>
      <c r="BG560" s="219"/>
      <c r="BH560" s="219"/>
      <c r="BI560" s="219"/>
      <c r="BJ560" s="219"/>
      <c r="BK560" s="219"/>
      <c r="BL560" s="219"/>
    </row>
    <row r="561" spans="1:64" ht="15" hidden="1" customHeight="1" x14ac:dyDescent="0.3">
      <c r="A561" s="268">
        <v>560</v>
      </c>
      <c r="B561" s="171" t="s">
        <v>464</v>
      </c>
      <c r="C561" s="209" t="s">
        <v>492</v>
      </c>
      <c r="D561" s="171">
        <v>20000468</v>
      </c>
      <c r="E561" s="253" t="s">
        <v>1449</v>
      </c>
      <c r="F561" s="210">
        <v>4511</v>
      </c>
      <c r="G561" s="171">
        <v>42113</v>
      </c>
      <c r="H561" s="171">
        <v>2012</v>
      </c>
      <c r="I561" s="213">
        <v>190219.74</v>
      </c>
      <c r="J561" s="213">
        <v>0</v>
      </c>
      <c r="K561" s="170">
        <v>91653.45</v>
      </c>
      <c r="L561" s="215">
        <v>1.59</v>
      </c>
      <c r="M561" s="212" t="str">
        <f>IFERROR(VLOOKUP(Tabela1[[#This Row],[Denominação]],#REF!,7,FALSE),"")</f>
        <v/>
      </c>
      <c r="N561" s="212">
        <v>92709</v>
      </c>
      <c r="O561" s="171">
        <v>67</v>
      </c>
      <c r="P561" s="271" t="str">
        <f>IFERROR(VLOOKUP(Tabela1[[#This Row],[TAG]],#REF!,14,FALSE),"")</f>
        <v/>
      </c>
      <c r="Q561" s="204" t="e">
        <f t="shared" si="1092"/>
        <v>#VALUE!</v>
      </c>
      <c r="R561" s="204" t="e">
        <f t="shared" si="1093"/>
        <v>#VALUE!</v>
      </c>
      <c r="S561" s="204" t="e">
        <f t="shared" si="1094"/>
        <v>#VALUE!</v>
      </c>
      <c r="T561" s="204" t="e">
        <f t="shared" si="1095"/>
        <v>#VALUE!</v>
      </c>
      <c r="U561" s="204" t="e">
        <f t="shared" si="1096"/>
        <v>#VALUE!</v>
      </c>
      <c r="V561" s="204" t="e">
        <f t="shared" si="1097"/>
        <v>#VALUE!</v>
      </c>
      <c r="W561" s="218">
        <v>449.61</v>
      </c>
      <c r="X561" s="218">
        <v>984.36</v>
      </c>
      <c r="Y561" s="203">
        <v>0.1</v>
      </c>
      <c r="Z561" s="203">
        <f>IF(Tabela1[[#This Row],[Ano Aquisição]]=2023,0,IFERROR(VLOOKUP(H561,inflação!$F:$H,3,FALSE),""))</f>
        <v>0.66500000000000004</v>
      </c>
      <c r="AA561" s="203">
        <v>0.8</v>
      </c>
      <c r="AB561" s="202">
        <f t="shared" si="1064"/>
        <v>-190219.74</v>
      </c>
      <c r="AC561" s="204" t="e">
        <f t="shared" si="1098"/>
        <v>#VALUE!</v>
      </c>
      <c r="AD561" s="204" t="e">
        <f t="shared" si="1099"/>
        <v>#VALUE!</v>
      </c>
      <c r="AE561" s="204" t="e">
        <f t="shared" si="1100"/>
        <v>#VALUE!</v>
      </c>
      <c r="AF561" s="204" t="e">
        <f t="shared" si="1101"/>
        <v>#VALUE!</v>
      </c>
      <c r="AG561" s="204" t="e">
        <f t="shared" si="1102"/>
        <v>#VALUE!</v>
      </c>
      <c r="AH561" s="204" t="e">
        <f t="shared" si="1103"/>
        <v>#VALUE!</v>
      </c>
      <c r="AI561" s="204" t="e">
        <f t="shared" si="1104"/>
        <v>#VALUE!</v>
      </c>
      <c r="AJ561" s="205">
        <f t="shared" si="1065"/>
        <v>-316715.86709999997</v>
      </c>
      <c r="AK561" s="204" t="e">
        <f t="shared" si="1105"/>
        <v>#VALUE!</v>
      </c>
      <c r="AL561" s="204" t="e">
        <f t="shared" si="1106"/>
        <v>#VALUE!</v>
      </c>
      <c r="AM561" s="204" t="e">
        <f t="shared" si="1107"/>
        <v>#VALUE!</v>
      </c>
      <c r="AN561" s="204" t="e">
        <f t="shared" si="1108"/>
        <v>#VALUE!</v>
      </c>
      <c r="AO561" s="204" t="e">
        <f t="shared" si="1109"/>
        <v>#VALUE!</v>
      </c>
      <c r="AP561" s="204" t="e">
        <f t="shared" si="1110"/>
        <v>#VALUE!</v>
      </c>
      <c r="AQ561" s="204" t="e">
        <f t="shared" si="1111"/>
        <v>#VALUE!</v>
      </c>
      <c r="AR561" s="206" t="e">
        <f t="shared" si="1066"/>
        <v>#VALUE!</v>
      </c>
      <c r="AS561" s="170" t="e">
        <f t="shared" si="1112"/>
        <v>#VALUE!</v>
      </c>
      <c r="AT561" s="170" t="e">
        <f t="shared" si="1113"/>
        <v>#VALUE!</v>
      </c>
      <c r="AU561" s="207" t="e">
        <f t="shared" si="1067"/>
        <v>#VALUE!</v>
      </c>
      <c r="AV561" s="208" t="e">
        <f t="shared" si="1068"/>
        <v>#VALUE!</v>
      </c>
      <c r="AW561" s="201" t="str">
        <f t="shared" si="1069"/>
        <v>Fase de Degradação</v>
      </c>
      <c r="AX561" s="253" t="e">
        <f>VLOOKUP(D561,#REF!,5,FALSE)</f>
        <v>#REF!</v>
      </c>
      <c r="AY561" s="201"/>
      <c r="AZ561" s="273" t="s">
        <v>1224</v>
      </c>
      <c r="BB561">
        <f>IFERROR(VLOOKUP(Tabela1[[#This Row],[Denominação]],[10]Planilha1!$A:$B,2,FALSE),"")</f>
        <v>92567.400000000009</v>
      </c>
      <c r="BC561" s="219"/>
      <c r="BD561" s="219"/>
      <c r="BE561" s="219"/>
      <c r="BF561" s="219"/>
      <c r="BG561" s="219"/>
      <c r="BH561" s="219"/>
      <c r="BI561" s="219"/>
      <c r="BJ561" s="219"/>
      <c r="BK561" s="219"/>
      <c r="BL561" s="219"/>
    </row>
    <row r="562" spans="1:64" ht="15" hidden="1" customHeight="1" x14ac:dyDescent="0.3">
      <c r="A562" s="253">
        <v>561</v>
      </c>
      <c r="B562" s="171" t="s">
        <v>413</v>
      </c>
      <c r="C562" s="209" t="s">
        <v>234</v>
      </c>
      <c r="D562" s="171">
        <v>20001174</v>
      </c>
      <c r="E562" s="253" t="s">
        <v>1545</v>
      </c>
      <c r="F562" s="210">
        <v>3350</v>
      </c>
      <c r="G562" s="171">
        <v>44140</v>
      </c>
      <c r="H562" s="171">
        <v>2014</v>
      </c>
      <c r="I562" s="213">
        <v>142255.09</v>
      </c>
      <c r="J562" s="213">
        <v>0</v>
      </c>
      <c r="K562" s="170">
        <v>401248.5699999996</v>
      </c>
      <c r="L562" s="207">
        <v>1.25</v>
      </c>
      <c r="M562" s="212">
        <v>5334.3047999999999</v>
      </c>
      <c r="N562" s="212">
        <v>87556</v>
      </c>
      <c r="O562" s="171">
        <v>441</v>
      </c>
      <c r="P562" s="271" t="str">
        <f>IFERROR(VLOOKUP(Tabela1[[#This Row],[TAG]],#REF!,14,FALSE),"")</f>
        <v/>
      </c>
      <c r="Q562" s="204" t="e">
        <f t="shared" si="1092"/>
        <v>#VALUE!</v>
      </c>
      <c r="R562" s="204" t="e">
        <f t="shared" si="1093"/>
        <v>#VALUE!</v>
      </c>
      <c r="S562" s="204" t="e">
        <f t="shared" si="1094"/>
        <v>#VALUE!</v>
      </c>
      <c r="T562" s="204" t="e">
        <f t="shared" si="1095"/>
        <v>#VALUE!</v>
      </c>
      <c r="U562" s="204" t="e">
        <f t="shared" si="1096"/>
        <v>#VALUE!</v>
      </c>
      <c r="V562" s="204" t="e">
        <f t="shared" si="1097"/>
        <v>#VALUE!</v>
      </c>
      <c r="W562" s="218">
        <v>877.26</v>
      </c>
      <c r="X562" s="218">
        <v>1616.66</v>
      </c>
      <c r="Y562" s="203">
        <v>0.1</v>
      </c>
      <c r="Z562" s="203">
        <f>IF(Tabela1[[#This Row],[Ano Aquisição]]=2023,0,IFERROR(VLOOKUP(H562,inflação!$F:$H,3,FALSE),""))</f>
        <v>0.54749999999999999</v>
      </c>
      <c r="AA562" s="203">
        <v>0.8</v>
      </c>
      <c r="AB562" s="202">
        <f t="shared" si="1064"/>
        <v>-142255.09</v>
      </c>
      <c r="AC562" s="204" t="e">
        <f t="shared" si="1098"/>
        <v>#VALUE!</v>
      </c>
      <c r="AD562" s="204" t="e">
        <f t="shared" si="1099"/>
        <v>#VALUE!</v>
      </c>
      <c r="AE562" s="204" t="e">
        <f t="shared" si="1100"/>
        <v>#VALUE!</v>
      </c>
      <c r="AF562" s="204" t="e">
        <f t="shared" si="1101"/>
        <v>#VALUE!</v>
      </c>
      <c r="AG562" s="204" t="e">
        <f t="shared" si="1102"/>
        <v>#VALUE!</v>
      </c>
      <c r="AH562" s="204" t="e">
        <f t="shared" si="1103"/>
        <v>#VALUE!</v>
      </c>
      <c r="AI562" s="204" t="e">
        <f t="shared" si="1104"/>
        <v>#VALUE!</v>
      </c>
      <c r="AJ562" s="205">
        <f t="shared" si="1065"/>
        <v>-220139.75177499998</v>
      </c>
      <c r="AK562" s="204" t="e">
        <f t="shared" si="1105"/>
        <v>#VALUE!</v>
      </c>
      <c r="AL562" s="204" t="e">
        <f t="shared" si="1106"/>
        <v>#VALUE!</v>
      </c>
      <c r="AM562" s="204" t="e">
        <f t="shared" si="1107"/>
        <v>#VALUE!</v>
      </c>
      <c r="AN562" s="204" t="e">
        <f t="shared" si="1108"/>
        <v>#VALUE!</v>
      </c>
      <c r="AO562" s="204" t="e">
        <f t="shared" si="1109"/>
        <v>#VALUE!</v>
      </c>
      <c r="AP562" s="204" t="e">
        <f t="shared" si="1110"/>
        <v>#VALUE!</v>
      </c>
      <c r="AQ562" s="204" t="e">
        <f t="shared" si="1111"/>
        <v>#VALUE!</v>
      </c>
      <c r="AR562" s="206" t="e">
        <f t="shared" si="1066"/>
        <v>#VALUE!</v>
      </c>
      <c r="AS562" s="170" t="e">
        <f t="shared" si="1112"/>
        <v>#VALUE!</v>
      </c>
      <c r="AT562" s="170" t="e">
        <f t="shared" si="1113"/>
        <v>#VALUE!</v>
      </c>
      <c r="AU562" s="207" t="e">
        <f t="shared" si="1067"/>
        <v>#VALUE!</v>
      </c>
      <c r="AV562" s="208" t="e">
        <f t="shared" si="1068"/>
        <v>#VALUE!</v>
      </c>
      <c r="AW562" s="201" t="str">
        <f t="shared" si="1069"/>
        <v>Fase de Degradação</v>
      </c>
      <c r="AX562" s="253" t="e">
        <f>VLOOKUP(D562,#REF!,5,FALSE)</f>
        <v>#REF!</v>
      </c>
      <c r="AY562" s="201"/>
      <c r="AZ562" s="273" t="s">
        <v>1224</v>
      </c>
      <c r="BB562">
        <f>IFERROR(VLOOKUP(Tabela1[[#This Row],[Denominação]],[10]Planilha1!$A:$B,2,FALSE),"")</f>
        <v>401248.5699999996</v>
      </c>
      <c r="BC562" s="219"/>
      <c r="BD562" s="219"/>
      <c r="BE562" s="219"/>
      <c r="BF562" s="219"/>
      <c r="BG562" s="219"/>
      <c r="BH562" s="219"/>
      <c r="BI562" s="219"/>
      <c r="BJ562" s="219"/>
      <c r="BK562" s="219"/>
      <c r="BL562" s="219"/>
    </row>
    <row r="563" spans="1:64" ht="15" hidden="1" customHeight="1" x14ac:dyDescent="0.3">
      <c r="A563" s="268">
        <v>562</v>
      </c>
      <c r="B563" s="171" t="s">
        <v>465</v>
      </c>
      <c r="C563" s="209" t="s">
        <v>493</v>
      </c>
      <c r="D563" s="171">
        <v>10006174</v>
      </c>
      <c r="E563" s="253" t="s">
        <v>1422</v>
      </c>
      <c r="F563" s="210">
        <v>4511</v>
      </c>
      <c r="G563" s="171" t="s">
        <v>875</v>
      </c>
      <c r="H563" s="171">
        <v>2012</v>
      </c>
      <c r="I563" s="213">
        <v>257552.04</v>
      </c>
      <c r="J563" s="213">
        <v>0</v>
      </c>
      <c r="K563" s="170">
        <v>289180.29999999987</v>
      </c>
      <c r="L563" s="215">
        <v>1.1299999999999999</v>
      </c>
      <c r="M563" s="212" t="str">
        <f>IFERROR(VLOOKUP(Tabela1[[#This Row],[Denominação]],#REF!,7,FALSE),"")</f>
        <v/>
      </c>
      <c r="N563" s="212">
        <v>88774</v>
      </c>
      <c r="O563" s="171">
        <v>136</v>
      </c>
      <c r="P563" s="271" t="str">
        <f>IFERROR(VLOOKUP(Tabela1[[#This Row],[TAG]],#REF!,14,FALSE),"")</f>
        <v/>
      </c>
      <c r="Q563" s="204" t="e">
        <f t="shared" si="1092"/>
        <v>#VALUE!</v>
      </c>
      <c r="R563" s="204" t="e">
        <f t="shared" si="1093"/>
        <v>#VALUE!</v>
      </c>
      <c r="S563" s="204" t="e">
        <f t="shared" si="1094"/>
        <v>#VALUE!</v>
      </c>
      <c r="T563" s="204" t="e">
        <f t="shared" si="1095"/>
        <v>#VALUE!</v>
      </c>
      <c r="U563" s="204" t="e">
        <f t="shared" si="1096"/>
        <v>#VALUE!</v>
      </c>
      <c r="V563" s="204" t="e">
        <f t="shared" si="1097"/>
        <v>#VALUE!</v>
      </c>
      <c r="W563" s="218">
        <v>717.20499999999993</v>
      </c>
      <c r="X563" s="218">
        <v>3651.4927777777802</v>
      </c>
      <c r="Y563" s="203">
        <v>0.1</v>
      </c>
      <c r="Z563" s="203">
        <f>IF(Tabela1[[#This Row],[Ano Aquisição]]=2023,0,IFERROR(VLOOKUP(H563,inflação!$F:$H,3,FALSE),""))</f>
        <v>0.66500000000000004</v>
      </c>
      <c r="AA563" s="203">
        <v>0.8</v>
      </c>
      <c r="AB563" s="202">
        <f t="shared" si="1064"/>
        <v>-257552.04</v>
      </c>
      <c r="AC563" s="204" t="e">
        <f t="shared" si="1098"/>
        <v>#VALUE!</v>
      </c>
      <c r="AD563" s="204" t="e">
        <f t="shared" si="1099"/>
        <v>#VALUE!</v>
      </c>
      <c r="AE563" s="204" t="e">
        <f t="shared" si="1100"/>
        <v>#VALUE!</v>
      </c>
      <c r="AF563" s="204" t="e">
        <f t="shared" si="1101"/>
        <v>#VALUE!</v>
      </c>
      <c r="AG563" s="204" t="e">
        <f t="shared" si="1102"/>
        <v>#VALUE!</v>
      </c>
      <c r="AH563" s="204" t="e">
        <f t="shared" si="1103"/>
        <v>#VALUE!</v>
      </c>
      <c r="AI563" s="204" t="e">
        <f t="shared" si="1104"/>
        <v>#VALUE!</v>
      </c>
      <c r="AJ563" s="205">
        <f t="shared" si="1065"/>
        <v>-428824.14660000004</v>
      </c>
      <c r="AK563" s="204" t="e">
        <f t="shared" si="1105"/>
        <v>#VALUE!</v>
      </c>
      <c r="AL563" s="204" t="e">
        <f t="shared" si="1106"/>
        <v>#VALUE!</v>
      </c>
      <c r="AM563" s="204" t="e">
        <f t="shared" si="1107"/>
        <v>#VALUE!</v>
      </c>
      <c r="AN563" s="204" t="e">
        <f t="shared" si="1108"/>
        <v>#VALUE!</v>
      </c>
      <c r="AO563" s="204" t="e">
        <f t="shared" si="1109"/>
        <v>#VALUE!</v>
      </c>
      <c r="AP563" s="204" t="e">
        <f t="shared" si="1110"/>
        <v>#VALUE!</v>
      </c>
      <c r="AQ563" s="204" t="e">
        <f t="shared" si="1111"/>
        <v>#VALUE!</v>
      </c>
      <c r="AR563" s="206" t="e">
        <f t="shared" si="1066"/>
        <v>#VALUE!</v>
      </c>
      <c r="AS563" s="170" t="e">
        <f t="shared" si="1112"/>
        <v>#VALUE!</v>
      </c>
      <c r="AT563" s="170" t="e">
        <f t="shared" si="1113"/>
        <v>#VALUE!</v>
      </c>
      <c r="AU563" s="207" t="e">
        <f t="shared" si="1067"/>
        <v>#VALUE!</v>
      </c>
      <c r="AV563" s="208" t="e">
        <f t="shared" si="1068"/>
        <v>#VALUE!</v>
      </c>
      <c r="AW563" s="201" t="str">
        <f t="shared" si="1069"/>
        <v>Fase de Degradação</v>
      </c>
      <c r="AX563" s="253" t="e">
        <f>VLOOKUP(D563,#REF!,5,FALSE)</f>
        <v>#REF!</v>
      </c>
      <c r="AY563" s="201"/>
      <c r="AZ563" s="273" t="s">
        <v>1224</v>
      </c>
      <c r="BB563">
        <f>IFERROR(VLOOKUP(Tabela1[[#This Row],[Denominação]],[10]Planilha1!$A:$B,2,FALSE),"")</f>
        <v>289180.29999999987</v>
      </c>
      <c r="BC563" s="219"/>
      <c r="BD563" s="219"/>
      <c r="BE563" s="219"/>
      <c r="BF563" s="219"/>
      <c r="BG563" s="219"/>
      <c r="BH563" s="219"/>
      <c r="BI563" s="219"/>
      <c r="BJ563" s="219"/>
      <c r="BK563" s="219"/>
      <c r="BL563" s="219"/>
    </row>
    <row r="564" spans="1:64" ht="15" hidden="1" customHeight="1" x14ac:dyDescent="0.3">
      <c r="A564" s="253">
        <v>563</v>
      </c>
      <c r="B564" s="171" t="s">
        <v>466</v>
      </c>
      <c r="C564" s="209" t="s">
        <v>494</v>
      </c>
      <c r="D564" s="171">
        <v>20001377</v>
      </c>
      <c r="E564" s="253" t="s">
        <v>1420</v>
      </c>
      <c r="F564" s="210">
        <v>2111</v>
      </c>
      <c r="G564" s="171">
        <v>49701</v>
      </c>
      <c r="H564" s="171">
        <v>2012</v>
      </c>
      <c r="I564" s="213">
        <v>221400.42</v>
      </c>
      <c r="J564" s="213">
        <v>37929</v>
      </c>
      <c r="K564" s="170">
        <v>45592.489999999969</v>
      </c>
      <c r="L564" s="215">
        <v>1.7</v>
      </c>
      <c r="M564" s="260">
        <v>4486.0464000000002</v>
      </c>
      <c r="N564" s="212">
        <v>86628</v>
      </c>
      <c r="O564" s="171">
        <v>19</v>
      </c>
      <c r="P564" s="271" t="str">
        <f>IFERROR(VLOOKUP(Tabela1[[#This Row],[TAG]],#REF!,14,FALSE),"")</f>
        <v/>
      </c>
      <c r="Q564" s="204" t="e">
        <f t="shared" si="1092"/>
        <v>#VALUE!</v>
      </c>
      <c r="R564" s="204" t="e">
        <f t="shared" si="1093"/>
        <v>#VALUE!</v>
      </c>
      <c r="S564" s="204" t="e">
        <f t="shared" si="1094"/>
        <v>#VALUE!</v>
      </c>
      <c r="T564" s="204" t="e">
        <f t="shared" si="1095"/>
        <v>#VALUE!</v>
      </c>
      <c r="U564" s="204" t="e">
        <f t="shared" si="1096"/>
        <v>#VALUE!</v>
      </c>
      <c r="V564" s="204" t="e">
        <f t="shared" si="1097"/>
        <v>#VALUE!</v>
      </c>
      <c r="W564" s="304">
        <v>371.32</v>
      </c>
      <c r="X564" s="304">
        <v>570.75149829999998</v>
      </c>
      <c r="Y564" s="203">
        <v>0.1</v>
      </c>
      <c r="Z564" s="203">
        <f>IF(Tabela1[[#This Row],[Ano Aquisição]]=2023,0,IFERROR(VLOOKUP(H564,inflação!$F:$H,3,FALSE),""))</f>
        <v>0.66500000000000004</v>
      </c>
      <c r="AA564" s="203">
        <v>0.8</v>
      </c>
      <c r="AB564" s="202">
        <f t="shared" si="1064"/>
        <v>-221400.42</v>
      </c>
      <c r="AC564" s="204" t="e">
        <f t="shared" si="1098"/>
        <v>#VALUE!</v>
      </c>
      <c r="AD564" s="204" t="e">
        <f t="shared" si="1099"/>
        <v>#VALUE!</v>
      </c>
      <c r="AE564" s="204" t="e">
        <f t="shared" si="1100"/>
        <v>#VALUE!</v>
      </c>
      <c r="AF564" s="204" t="e">
        <f t="shared" si="1101"/>
        <v>#VALUE!</v>
      </c>
      <c r="AG564" s="204" t="e">
        <f t="shared" si="1102"/>
        <v>#VALUE!</v>
      </c>
      <c r="AH564" s="204" t="e">
        <f t="shared" si="1103"/>
        <v>#VALUE!</v>
      </c>
      <c r="AI564" s="204" t="e">
        <f t="shared" si="1104"/>
        <v>#VALUE!</v>
      </c>
      <c r="AJ564" s="205">
        <f t="shared" si="1065"/>
        <v>-368631.69930000004</v>
      </c>
      <c r="AK564" s="204" t="e">
        <f t="shared" si="1105"/>
        <v>#VALUE!</v>
      </c>
      <c r="AL564" s="204" t="e">
        <f t="shared" si="1106"/>
        <v>#VALUE!</v>
      </c>
      <c r="AM564" s="204" t="e">
        <f t="shared" si="1107"/>
        <v>#VALUE!</v>
      </c>
      <c r="AN564" s="204" t="e">
        <f t="shared" si="1108"/>
        <v>#VALUE!</v>
      </c>
      <c r="AO564" s="204" t="e">
        <f t="shared" si="1109"/>
        <v>#VALUE!</v>
      </c>
      <c r="AP564" s="204" t="e">
        <f t="shared" si="1110"/>
        <v>#VALUE!</v>
      </c>
      <c r="AQ564" s="204" t="e">
        <f t="shared" si="1111"/>
        <v>#VALUE!</v>
      </c>
      <c r="AR564" s="206" t="e">
        <f t="shared" si="1066"/>
        <v>#VALUE!</v>
      </c>
      <c r="AS564" s="170" t="e">
        <f t="shared" si="1112"/>
        <v>#VALUE!</v>
      </c>
      <c r="AT564" s="170" t="e">
        <f t="shared" si="1113"/>
        <v>#VALUE!</v>
      </c>
      <c r="AU564" s="207" t="e">
        <f t="shared" si="1067"/>
        <v>#VALUE!</v>
      </c>
      <c r="AV564" s="208" t="e">
        <f t="shared" si="1068"/>
        <v>#VALUE!</v>
      </c>
      <c r="AW564" s="201" t="str">
        <f t="shared" si="1069"/>
        <v>Fase de Degradação</v>
      </c>
      <c r="AX564" s="253" t="e">
        <f>VLOOKUP(D564,#REF!,5,FALSE)</f>
        <v>#REF!</v>
      </c>
      <c r="AY564" s="201"/>
      <c r="AZ564" s="273" t="s">
        <v>1224</v>
      </c>
      <c r="BB564">
        <f>IFERROR(VLOOKUP(Tabela1[[#This Row],[Denominação]],[10]Planilha1!$A:$B,2,FALSE),"")</f>
        <v>45592.489999999969</v>
      </c>
      <c r="BC564" s="219"/>
      <c r="BD564" s="219"/>
      <c r="BE564" s="219"/>
      <c r="BF564" s="219"/>
      <c r="BG564" s="219"/>
      <c r="BH564" s="219"/>
      <c r="BI564" s="219"/>
      <c r="BJ564" s="219"/>
      <c r="BK564" s="219"/>
      <c r="BL564" s="219"/>
    </row>
    <row r="565" spans="1:64" ht="15" hidden="1" customHeight="1" x14ac:dyDescent="0.3">
      <c r="A565" s="268">
        <v>564</v>
      </c>
      <c r="B565" s="171" t="s">
        <v>467</v>
      </c>
      <c r="C565" s="209" t="s">
        <v>495</v>
      </c>
      <c r="D565" s="171">
        <v>20001451</v>
      </c>
      <c r="E565" s="253" t="s">
        <v>1450</v>
      </c>
      <c r="F565" s="210">
        <v>4511</v>
      </c>
      <c r="G565" s="171" t="s">
        <v>875</v>
      </c>
      <c r="H565" s="171">
        <v>2012</v>
      </c>
      <c r="I565" s="213">
        <v>193697.7</v>
      </c>
      <c r="J565" s="213">
        <v>0</v>
      </c>
      <c r="K565" s="170">
        <v>116038.7199999999</v>
      </c>
      <c r="L565" s="215">
        <v>1.79</v>
      </c>
      <c r="M565" s="212" t="str">
        <f>IFERROR(VLOOKUP(Tabela1[[#This Row],[Denominação]],#REF!,7,FALSE),"")</f>
        <v/>
      </c>
      <c r="N565" s="212">
        <v>83690</v>
      </c>
      <c r="O565" s="171">
        <v>112</v>
      </c>
      <c r="P565" s="271" t="str">
        <f>IFERROR(VLOOKUP(Tabela1[[#This Row],[TAG]],#REF!,14,FALSE),"")</f>
        <v/>
      </c>
      <c r="Q565" s="204" t="e">
        <f t="shared" si="1092"/>
        <v>#VALUE!</v>
      </c>
      <c r="R565" s="204" t="e">
        <f t="shared" si="1093"/>
        <v>#VALUE!</v>
      </c>
      <c r="S565" s="204" t="e">
        <f t="shared" si="1094"/>
        <v>#VALUE!</v>
      </c>
      <c r="T565" s="204" t="e">
        <f t="shared" si="1095"/>
        <v>#VALUE!</v>
      </c>
      <c r="U565" s="204" t="e">
        <f t="shared" si="1096"/>
        <v>#VALUE!</v>
      </c>
      <c r="V565" s="204" t="e">
        <f t="shared" si="1097"/>
        <v>#VALUE!</v>
      </c>
      <c r="W565" s="218">
        <v>358.53</v>
      </c>
      <c r="X565" s="218">
        <v>901.16</v>
      </c>
      <c r="Y565" s="203">
        <v>0.1</v>
      </c>
      <c r="Z565" s="203">
        <f>IF(Tabela1[[#This Row],[Ano Aquisição]]=2023,0,IFERROR(VLOOKUP(H565,inflação!$F:$H,3,FALSE),""))</f>
        <v>0.66500000000000004</v>
      </c>
      <c r="AA565" s="203">
        <v>0.8</v>
      </c>
      <c r="AB565" s="202">
        <f t="shared" si="1064"/>
        <v>-193697.7</v>
      </c>
      <c r="AC565" s="204" t="e">
        <f t="shared" si="1098"/>
        <v>#VALUE!</v>
      </c>
      <c r="AD565" s="204" t="e">
        <f t="shared" si="1099"/>
        <v>#VALUE!</v>
      </c>
      <c r="AE565" s="204" t="e">
        <f t="shared" si="1100"/>
        <v>#VALUE!</v>
      </c>
      <c r="AF565" s="204" t="e">
        <f t="shared" si="1101"/>
        <v>#VALUE!</v>
      </c>
      <c r="AG565" s="204" t="e">
        <f t="shared" si="1102"/>
        <v>#VALUE!</v>
      </c>
      <c r="AH565" s="204" t="e">
        <f t="shared" si="1103"/>
        <v>#VALUE!</v>
      </c>
      <c r="AI565" s="204" t="e">
        <f t="shared" si="1104"/>
        <v>#VALUE!</v>
      </c>
      <c r="AJ565" s="205">
        <f t="shared" si="1065"/>
        <v>-322506.67050000001</v>
      </c>
      <c r="AK565" s="204" t="e">
        <f t="shared" si="1105"/>
        <v>#VALUE!</v>
      </c>
      <c r="AL565" s="204" t="e">
        <f t="shared" si="1106"/>
        <v>#VALUE!</v>
      </c>
      <c r="AM565" s="204" t="e">
        <f t="shared" si="1107"/>
        <v>#VALUE!</v>
      </c>
      <c r="AN565" s="204" t="e">
        <f t="shared" si="1108"/>
        <v>#VALUE!</v>
      </c>
      <c r="AO565" s="204" t="e">
        <f t="shared" si="1109"/>
        <v>#VALUE!</v>
      </c>
      <c r="AP565" s="204" t="e">
        <f t="shared" si="1110"/>
        <v>#VALUE!</v>
      </c>
      <c r="AQ565" s="204" t="e">
        <f t="shared" si="1111"/>
        <v>#VALUE!</v>
      </c>
      <c r="AR565" s="206" t="e">
        <f t="shared" si="1066"/>
        <v>#VALUE!</v>
      </c>
      <c r="AS565" s="170" t="e">
        <f t="shared" si="1112"/>
        <v>#VALUE!</v>
      </c>
      <c r="AT565" s="170" t="e">
        <f t="shared" si="1113"/>
        <v>#VALUE!</v>
      </c>
      <c r="AU565" s="207" t="e">
        <f t="shared" si="1067"/>
        <v>#VALUE!</v>
      </c>
      <c r="AV565" s="208" t="e">
        <f t="shared" si="1068"/>
        <v>#VALUE!</v>
      </c>
      <c r="AW565" s="201" t="str">
        <f t="shared" si="1069"/>
        <v>Fase de Degradação</v>
      </c>
      <c r="AX565" s="253" t="e">
        <f>VLOOKUP(D565,#REF!,5,FALSE)</f>
        <v>#REF!</v>
      </c>
      <c r="AY565" s="201"/>
      <c r="AZ565" s="273" t="s">
        <v>1224</v>
      </c>
      <c r="BB565">
        <f>IFERROR(VLOOKUP(Tabela1[[#This Row],[Denominação]],[10]Planilha1!$A:$B,2,FALSE),"")</f>
        <v>116038.7199999999</v>
      </c>
      <c r="BC565" s="219"/>
      <c r="BD565" s="219"/>
      <c r="BE565" s="219"/>
      <c r="BF565" s="219"/>
      <c r="BG565" s="219"/>
      <c r="BH565" s="219"/>
      <c r="BI565" s="219"/>
      <c r="BJ565" s="219"/>
      <c r="BK565" s="219"/>
      <c r="BL565" s="219"/>
    </row>
    <row r="566" spans="1:64" ht="15" hidden="1" customHeight="1" x14ac:dyDescent="0.3">
      <c r="A566" s="253">
        <v>565</v>
      </c>
      <c r="B566" s="171" t="s">
        <v>468</v>
      </c>
      <c r="C566" s="209" t="s">
        <v>496</v>
      </c>
      <c r="D566" s="171">
        <v>20001452</v>
      </c>
      <c r="E566" s="253" t="s">
        <v>1450</v>
      </c>
      <c r="F566" s="210">
        <v>4511</v>
      </c>
      <c r="G566" s="171" t="s">
        <v>875</v>
      </c>
      <c r="H566" s="171">
        <v>2012</v>
      </c>
      <c r="I566" s="213">
        <v>193697.7</v>
      </c>
      <c r="J566" s="213">
        <v>0</v>
      </c>
      <c r="K566" s="170">
        <v>120417.96999999975</v>
      </c>
      <c r="L566" s="215">
        <v>2.75</v>
      </c>
      <c r="M566" s="212" t="str">
        <f>IFERROR(VLOOKUP(Tabela1[[#This Row],[Denominação]],#REF!,7,FALSE),"")</f>
        <v/>
      </c>
      <c r="N566" s="212">
        <v>84219</v>
      </c>
      <c r="O566" s="171">
        <v>55</v>
      </c>
      <c r="P566" s="271" t="str">
        <f>IFERROR(VLOOKUP(Tabela1[[#This Row],[TAG]],#REF!,14,FALSE),"")</f>
        <v/>
      </c>
      <c r="Q566" s="204" t="e">
        <f t="shared" si="1092"/>
        <v>#VALUE!</v>
      </c>
      <c r="R566" s="204" t="e">
        <f t="shared" si="1093"/>
        <v>#VALUE!</v>
      </c>
      <c r="S566" s="204" t="e">
        <f t="shared" si="1094"/>
        <v>#VALUE!</v>
      </c>
      <c r="T566" s="204" t="e">
        <f t="shared" si="1095"/>
        <v>#VALUE!</v>
      </c>
      <c r="U566" s="204" t="e">
        <f t="shared" si="1096"/>
        <v>#VALUE!</v>
      </c>
      <c r="V566" s="204" t="e">
        <f t="shared" si="1097"/>
        <v>#VALUE!</v>
      </c>
      <c r="W566" s="218">
        <v>330.76</v>
      </c>
      <c r="X566" s="218">
        <v>934.48</v>
      </c>
      <c r="Y566" s="203">
        <v>0.1</v>
      </c>
      <c r="Z566" s="203">
        <f>IF(Tabela1[[#This Row],[Ano Aquisição]]=2023,0,IFERROR(VLOOKUP(H566,inflação!$F:$H,3,FALSE),""))</f>
        <v>0.66500000000000004</v>
      </c>
      <c r="AA566" s="203">
        <v>0.8</v>
      </c>
      <c r="AB566" s="202">
        <f t="shared" si="1064"/>
        <v>-193697.7</v>
      </c>
      <c r="AC566" s="204" t="e">
        <f t="shared" si="1098"/>
        <v>#VALUE!</v>
      </c>
      <c r="AD566" s="204" t="e">
        <f t="shared" si="1099"/>
        <v>#VALUE!</v>
      </c>
      <c r="AE566" s="204" t="e">
        <f t="shared" si="1100"/>
        <v>#VALUE!</v>
      </c>
      <c r="AF566" s="204" t="e">
        <f t="shared" si="1101"/>
        <v>#VALUE!</v>
      </c>
      <c r="AG566" s="204" t="e">
        <f t="shared" si="1102"/>
        <v>#VALUE!</v>
      </c>
      <c r="AH566" s="204" t="e">
        <f t="shared" si="1103"/>
        <v>#VALUE!</v>
      </c>
      <c r="AI566" s="204" t="e">
        <f t="shared" si="1104"/>
        <v>#VALUE!</v>
      </c>
      <c r="AJ566" s="205">
        <f t="shared" si="1065"/>
        <v>-322506.67050000001</v>
      </c>
      <c r="AK566" s="204" t="e">
        <f t="shared" si="1105"/>
        <v>#VALUE!</v>
      </c>
      <c r="AL566" s="204" t="e">
        <f t="shared" si="1106"/>
        <v>#VALUE!</v>
      </c>
      <c r="AM566" s="204" t="e">
        <f t="shared" si="1107"/>
        <v>#VALUE!</v>
      </c>
      <c r="AN566" s="204" t="e">
        <f t="shared" si="1108"/>
        <v>#VALUE!</v>
      </c>
      <c r="AO566" s="204" t="e">
        <f t="shared" si="1109"/>
        <v>#VALUE!</v>
      </c>
      <c r="AP566" s="204" t="e">
        <f t="shared" si="1110"/>
        <v>#VALUE!</v>
      </c>
      <c r="AQ566" s="204" t="e">
        <f t="shared" si="1111"/>
        <v>#VALUE!</v>
      </c>
      <c r="AR566" s="206" t="e">
        <f t="shared" si="1066"/>
        <v>#VALUE!</v>
      </c>
      <c r="AS566" s="170" t="e">
        <f t="shared" si="1112"/>
        <v>#VALUE!</v>
      </c>
      <c r="AT566" s="170" t="e">
        <f t="shared" si="1113"/>
        <v>#VALUE!</v>
      </c>
      <c r="AU566" s="207" t="e">
        <f t="shared" si="1067"/>
        <v>#VALUE!</v>
      </c>
      <c r="AV566" s="208" t="e">
        <f t="shared" si="1068"/>
        <v>#VALUE!</v>
      </c>
      <c r="AW566" s="201" t="str">
        <f t="shared" si="1069"/>
        <v>Fase de Degradação</v>
      </c>
      <c r="AX566" s="253" t="e">
        <f>VLOOKUP(D566,#REF!,5,FALSE)</f>
        <v>#REF!</v>
      </c>
      <c r="AY566" s="201"/>
      <c r="AZ566" s="273" t="s">
        <v>1224</v>
      </c>
      <c r="BB566">
        <f>IFERROR(VLOOKUP(Tabela1[[#This Row],[Denominação]],[10]Planilha1!$A:$B,2,FALSE),"")</f>
        <v>120417.96999999975</v>
      </c>
      <c r="BC566" s="219"/>
      <c r="BD566" s="219"/>
      <c r="BE566" s="219"/>
      <c r="BF566" s="219"/>
      <c r="BG566" s="219"/>
      <c r="BH566" s="219"/>
      <c r="BI566" s="219"/>
      <c r="BJ566" s="219"/>
      <c r="BK566" s="219"/>
      <c r="BL566" s="219"/>
    </row>
    <row r="567" spans="1:64" ht="15" hidden="1" customHeight="1" x14ac:dyDescent="0.3">
      <c r="A567" s="268">
        <v>566</v>
      </c>
      <c r="B567" s="171" t="s">
        <v>469</v>
      </c>
      <c r="C567" s="209" t="s">
        <v>497</v>
      </c>
      <c r="D567" s="171">
        <v>20001453</v>
      </c>
      <c r="E567" s="253" t="s">
        <v>1543</v>
      </c>
      <c r="F567" s="210">
        <v>4511</v>
      </c>
      <c r="G567" s="171" t="s">
        <v>875</v>
      </c>
      <c r="H567" s="171">
        <v>2012</v>
      </c>
      <c r="I567" s="213">
        <v>193697.7</v>
      </c>
      <c r="J567" s="213">
        <v>0</v>
      </c>
      <c r="K567" s="170">
        <v>401851.74000000017</v>
      </c>
      <c r="L567" s="215">
        <v>2.0699999999999998</v>
      </c>
      <c r="M567" s="212" t="str">
        <f>IFERROR(VLOOKUP(Tabela1[[#This Row],[Denominação]],#REF!,7,FALSE),"")</f>
        <v/>
      </c>
      <c r="N567" s="212">
        <v>84325</v>
      </c>
      <c r="O567" s="171">
        <v>155</v>
      </c>
      <c r="P567" s="271" t="str">
        <f>IFERROR(VLOOKUP(Tabela1[[#This Row],[TAG]],#REF!,14,FALSE),"")</f>
        <v/>
      </c>
      <c r="Q567" s="204" t="e">
        <f t="shared" si="1092"/>
        <v>#VALUE!</v>
      </c>
      <c r="R567" s="204" t="e">
        <f t="shared" si="1093"/>
        <v>#VALUE!</v>
      </c>
      <c r="S567" s="204" t="e">
        <f t="shared" si="1094"/>
        <v>#VALUE!</v>
      </c>
      <c r="T567" s="204" t="e">
        <f t="shared" si="1095"/>
        <v>#VALUE!</v>
      </c>
      <c r="U567" s="204" t="e">
        <f t="shared" si="1096"/>
        <v>#VALUE!</v>
      </c>
      <c r="V567" s="204" t="e">
        <f t="shared" si="1097"/>
        <v>#VALUE!</v>
      </c>
      <c r="W567" s="218">
        <v>568.25</v>
      </c>
      <c r="X567" s="218">
        <v>4451.51</v>
      </c>
      <c r="Y567" s="203">
        <v>0.1</v>
      </c>
      <c r="Z567" s="203">
        <f>IF(Tabela1[[#This Row],[Ano Aquisição]]=2023,0,IFERROR(VLOOKUP(H567,inflação!$F:$H,3,FALSE),""))</f>
        <v>0.66500000000000004</v>
      </c>
      <c r="AA567" s="203">
        <v>0.8</v>
      </c>
      <c r="AB567" s="202">
        <f t="shared" ref="AB567:AB598" si="1114">I567*-1</f>
        <v>-193697.7</v>
      </c>
      <c r="AC567" s="204" t="e">
        <f t="shared" si="1098"/>
        <v>#VALUE!</v>
      </c>
      <c r="AD567" s="204" t="e">
        <f t="shared" si="1099"/>
        <v>#VALUE!</v>
      </c>
      <c r="AE567" s="204" t="e">
        <f t="shared" si="1100"/>
        <v>#VALUE!</v>
      </c>
      <c r="AF567" s="204" t="e">
        <f t="shared" si="1101"/>
        <v>#VALUE!</v>
      </c>
      <c r="AG567" s="204" t="e">
        <f t="shared" si="1102"/>
        <v>#VALUE!</v>
      </c>
      <c r="AH567" s="204" t="e">
        <f t="shared" si="1103"/>
        <v>#VALUE!</v>
      </c>
      <c r="AI567" s="204" t="e">
        <f t="shared" si="1104"/>
        <v>#VALUE!</v>
      </c>
      <c r="AJ567" s="205">
        <f t="shared" ref="AJ567:AJ598" si="1115">-(I567*(1+Z567))</f>
        <v>-322506.67050000001</v>
      </c>
      <c r="AK567" s="204" t="e">
        <f t="shared" si="1105"/>
        <v>#VALUE!</v>
      </c>
      <c r="AL567" s="204" t="e">
        <f t="shared" si="1106"/>
        <v>#VALUE!</v>
      </c>
      <c r="AM567" s="204" t="e">
        <f t="shared" si="1107"/>
        <v>#VALUE!</v>
      </c>
      <c r="AN567" s="204" t="e">
        <f t="shared" si="1108"/>
        <v>#VALUE!</v>
      </c>
      <c r="AO567" s="204" t="e">
        <f t="shared" si="1109"/>
        <v>#VALUE!</v>
      </c>
      <c r="AP567" s="204" t="e">
        <f t="shared" si="1110"/>
        <v>#VALUE!</v>
      </c>
      <c r="AQ567" s="204" t="e">
        <f t="shared" si="1111"/>
        <v>#VALUE!</v>
      </c>
      <c r="AR567" s="206" t="e">
        <f t="shared" ref="AR567:AR598" si="1116">(NPV(Y567,AK567,AL567,AM567,AN567,AO567,AP567,AQ567)+(SUM(AJ567,(J567*-1))))-(NPV(Y567,AC567,AD567,AE567,AF567,AG567,AH567,AI567))</f>
        <v>#VALUE!</v>
      </c>
      <c r="AS567" s="170" t="e">
        <f t="shared" si="1112"/>
        <v>#VALUE!</v>
      </c>
      <c r="AT567" s="170" t="e">
        <f t="shared" si="1113"/>
        <v>#VALUE!</v>
      </c>
      <c r="AU567" s="207" t="e">
        <f t="shared" ref="AU567:AU598" si="1117">(((AVERAGE(AC567:AI567)/1000)-(AVERAGE(AK567:AQ567)/1000))+(((AJ567/1000)*-1)/7)+((J567/1000)/7))*-1</f>
        <v>#VALUE!</v>
      </c>
      <c r="AV567" s="208" t="e">
        <f t="shared" ref="AV567:AV598" si="1118">AU567/(((J567/1000)+((AJ567*-1)/1000)))</f>
        <v>#VALUE!</v>
      </c>
      <c r="AW567" s="201" t="str">
        <f t="shared" ref="AW567:AW598" si="1119">IF(L567&gt;1.1,"Fase de Degradação",IF(L567&lt;1,"Confiabilidade em Crescimento","Fase de Vida Útil"))</f>
        <v>Fase de Degradação</v>
      </c>
      <c r="AX567" s="253" t="e">
        <f>VLOOKUP(D567,#REF!,5,FALSE)</f>
        <v>#REF!</v>
      </c>
      <c r="AY567" s="201"/>
      <c r="AZ567" s="273" t="s">
        <v>1224</v>
      </c>
      <c r="BB567">
        <f>IFERROR(VLOOKUP(Tabela1[[#This Row],[Denominação]],[10]Planilha1!$A:$B,2,FALSE),"")</f>
        <v>401851.74000000017</v>
      </c>
      <c r="BC567" s="219"/>
      <c r="BD567" s="219"/>
      <c r="BE567" s="219"/>
      <c r="BF567" s="219"/>
      <c r="BG567" s="219"/>
      <c r="BH567" s="219"/>
      <c r="BI567" s="219"/>
      <c r="BJ567" s="219"/>
      <c r="BK567" s="219"/>
      <c r="BL567" s="219"/>
    </row>
    <row r="568" spans="1:64" ht="15" hidden="1" customHeight="1" x14ac:dyDescent="0.3">
      <c r="A568" s="253">
        <v>567</v>
      </c>
      <c r="B568" s="171" t="s">
        <v>470</v>
      </c>
      <c r="C568" s="209" t="s">
        <v>498</v>
      </c>
      <c r="D568" s="171">
        <v>20001454</v>
      </c>
      <c r="E568" s="253" t="s">
        <v>1448</v>
      </c>
      <c r="F568" s="210">
        <v>4511</v>
      </c>
      <c r="G568" s="171" t="s">
        <v>875</v>
      </c>
      <c r="H568" s="171">
        <v>2012</v>
      </c>
      <c r="I568" s="213">
        <v>193697.7</v>
      </c>
      <c r="J568" s="213">
        <v>0</v>
      </c>
      <c r="K568" s="170">
        <v>97459.509999999718</v>
      </c>
      <c r="L568" s="215">
        <v>3.95</v>
      </c>
      <c r="M568" s="212" t="str">
        <f>IFERROR(VLOOKUP(Tabela1[[#This Row],[Denominação]],#REF!,7,FALSE),"")</f>
        <v/>
      </c>
      <c r="N568" s="212">
        <v>86079</v>
      </c>
      <c r="O568" s="171">
        <v>69</v>
      </c>
      <c r="P568" s="271" t="str">
        <f>IFERROR(VLOOKUP(Tabela1[[#This Row],[TAG]],#REF!,14,FALSE),"")</f>
        <v/>
      </c>
      <c r="Q568" s="204" t="e">
        <f>P568+P568</f>
        <v>#VALUE!</v>
      </c>
      <c r="R568" s="204" t="e">
        <f t="shared" si="1093"/>
        <v>#VALUE!</v>
      </c>
      <c r="S568" s="204" t="e">
        <f t="shared" si="1094"/>
        <v>#VALUE!</v>
      </c>
      <c r="T568" s="204" t="e">
        <f t="shared" si="1095"/>
        <v>#VALUE!</v>
      </c>
      <c r="U568" s="204" t="e">
        <f t="shared" si="1096"/>
        <v>#VALUE!</v>
      </c>
      <c r="V568" s="204" t="e">
        <f t="shared" si="1097"/>
        <v>#VALUE!</v>
      </c>
      <c r="W568" s="218">
        <v>359.29</v>
      </c>
      <c r="X568" s="218">
        <v>961.68</v>
      </c>
      <c r="Y568" s="203">
        <v>0.1</v>
      </c>
      <c r="Z568" s="203">
        <f>IF(Tabela1[[#This Row],[Ano Aquisição]]=2023,0,IFERROR(VLOOKUP(H568,inflação!$F:$H,3,FALSE),""))</f>
        <v>0.66500000000000004</v>
      </c>
      <c r="AA568" s="203">
        <v>0.8</v>
      </c>
      <c r="AB568" s="202">
        <f t="shared" si="1114"/>
        <v>-193697.7</v>
      </c>
      <c r="AC568" s="204" t="e">
        <f t="shared" si="1098"/>
        <v>#VALUE!</v>
      </c>
      <c r="AD568" s="204" t="e">
        <f t="shared" si="1099"/>
        <v>#VALUE!</v>
      </c>
      <c r="AE568" s="204" t="e">
        <f t="shared" si="1100"/>
        <v>#VALUE!</v>
      </c>
      <c r="AF568" s="204" t="e">
        <f t="shared" si="1101"/>
        <v>#VALUE!</v>
      </c>
      <c r="AG568" s="204" t="e">
        <f t="shared" si="1102"/>
        <v>#VALUE!</v>
      </c>
      <c r="AH568" s="204" t="e">
        <f t="shared" si="1103"/>
        <v>#VALUE!</v>
      </c>
      <c r="AI568" s="204" t="e">
        <f t="shared" si="1104"/>
        <v>#VALUE!</v>
      </c>
      <c r="AJ568" s="205">
        <f t="shared" si="1115"/>
        <v>-322506.67050000001</v>
      </c>
      <c r="AK568" s="204" t="e">
        <f t="shared" si="1105"/>
        <v>#VALUE!</v>
      </c>
      <c r="AL568" s="204" t="e">
        <f t="shared" si="1106"/>
        <v>#VALUE!</v>
      </c>
      <c r="AM568" s="204" t="e">
        <f t="shared" si="1107"/>
        <v>#VALUE!</v>
      </c>
      <c r="AN568" s="204" t="e">
        <f t="shared" si="1108"/>
        <v>#VALUE!</v>
      </c>
      <c r="AO568" s="204" t="e">
        <f t="shared" si="1109"/>
        <v>#VALUE!</v>
      </c>
      <c r="AP568" s="204" t="e">
        <f t="shared" si="1110"/>
        <v>#VALUE!</v>
      </c>
      <c r="AQ568" s="204" t="e">
        <f t="shared" si="1111"/>
        <v>#VALUE!</v>
      </c>
      <c r="AR568" s="206" t="e">
        <f t="shared" si="1116"/>
        <v>#VALUE!</v>
      </c>
      <c r="AS568" s="170" t="e">
        <f t="shared" si="1112"/>
        <v>#VALUE!</v>
      </c>
      <c r="AT568" s="170" t="e">
        <f t="shared" si="1113"/>
        <v>#VALUE!</v>
      </c>
      <c r="AU568" s="207" t="e">
        <f t="shared" si="1117"/>
        <v>#VALUE!</v>
      </c>
      <c r="AV568" s="208" t="e">
        <f t="shared" si="1118"/>
        <v>#VALUE!</v>
      </c>
      <c r="AW568" s="201" t="str">
        <f t="shared" si="1119"/>
        <v>Fase de Degradação</v>
      </c>
      <c r="AX568" s="253" t="e">
        <f>VLOOKUP(D568,#REF!,5,FALSE)</f>
        <v>#REF!</v>
      </c>
      <c r="AY568" s="201"/>
      <c r="AZ568" s="273" t="s">
        <v>1224</v>
      </c>
      <c r="BB568">
        <f>IFERROR(VLOOKUP(Tabela1[[#This Row],[Denominação]],[10]Planilha1!$A:$B,2,FALSE),"")</f>
        <v>97459.509999999718</v>
      </c>
      <c r="BC568" s="219"/>
      <c r="BD568" s="219"/>
      <c r="BE568" s="219"/>
      <c r="BF568" s="219"/>
      <c r="BG568" s="219"/>
      <c r="BH568" s="219"/>
      <c r="BI568" s="219"/>
      <c r="BJ568" s="219"/>
      <c r="BK568" s="219"/>
      <c r="BL568" s="219"/>
    </row>
    <row r="569" spans="1:64" ht="15" hidden="1" customHeight="1" x14ac:dyDescent="0.3">
      <c r="A569" s="268">
        <v>568</v>
      </c>
      <c r="B569" s="171" t="s">
        <v>471</v>
      </c>
      <c r="C569" s="209" t="s">
        <v>499</v>
      </c>
      <c r="D569" s="171">
        <v>20001484</v>
      </c>
      <c r="E569" s="253" t="s">
        <v>1451</v>
      </c>
      <c r="F569" s="210">
        <v>4511</v>
      </c>
      <c r="G569" s="171">
        <v>43507</v>
      </c>
      <c r="H569" s="171">
        <v>2013</v>
      </c>
      <c r="I569" s="213">
        <v>193697.7</v>
      </c>
      <c r="J569" s="213">
        <v>0</v>
      </c>
      <c r="K569" s="170">
        <v>349606.3000000001</v>
      </c>
      <c r="L569" s="215">
        <v>1.65</v>
      </c>
      <c r="M569" s="212" t="str">
        <f>IFERROR(VLOOKUP(Tabela1[[#This Row],[Denominação]],#REF!,7,FALSE),"")</f>
        <v/>
      </c>
      <c r="N569" s="212">
        <v>81936</v>
      </c>
      <c r="O569" s="171">
        <v>161</v>
      </c>
      <c r="P569" s="271" t="str">
        <f>IFERROR(VLOOKUP(Tabela1[[#This Row],[TAG]],#REF!,14,FALSE),"")</f>
        <v/>
      </c>
      <c r="Q569" s="204" t="e">
        <f t="shared" si="1092"/>
        <v>#VALUE!</v>
      </c>
      <c r="R569" s="204" t="e">
        <f t="shared" si="1093"/>
        <v>#VALUE!</v>
      </c>
      <c r="S569" s="204" t="e">
        <f t="shared" si="1094"/>
        <v>#VALUE!</v>
      </c>
      <c r="T569" s="204" t="e">
        <f t="shared" si="1095"/>
        <v>#VALUE!</v>
      </c>
      <c r="U569" s="204" t="e">
        <f t="shared" si="1096"/>
        <v>#VALUE!</v>
      </c>
      <c r="V569" s="204" t="e">
        <f t="shared" si="1097"/>
        <v>#VALUE!</v>
      </c>
      <c r="W569" s="218">
        <v>578.11</v>
      </c>
      <c r="X569" s="218">
        <v>3489.94027777778</v>
      </c>
      <c r="Y569" s="203">
        <v>0.1</v>
      </c>
      <c r="Z569" s="203">
        <f>IF(Tabela1[[#This Row],[Ano Aquisição]]=2023,0,IFERROR(VLOOKUP(H569,inflação!$F:$H,3,FALSE),""))</f>
        <v>0.60660000000000003</v>
      </c>
      <c r="AA569" s="203">
        <v>0.8</v>
      </c>
      <c r="AB569" s="202">
        <f t="shared" si="1114"/>
        <v>-193697.7</v>
      </c>
      <c r="AC569" s="204" t="e">
        <f t="shared" si="1098"/>
        <v>#VALUE!</v>
      </c>
      <c r="AD569" s="204" t="e">
        <f t="shared" si="1099"/>
        <v>#VALUE!</v>
      </c>
      <c r="AE569" s="204" t="e">
        <f t="shared" si="1100"/>
        <v>#VALUE!</v>
      </c>
      <c r="AF569" s="204" t="e">
        <f t="shared" si="1101"/>
        <v>#VALUE!</v>
      </c>
      <c r="AG569" s="204" t="e">
        <f t="shared" si="1102"/>
        <v>#VALUE!</v>
      </c>
      <c r="AH569" s="204" t="e">
        <f t="shared" si="1103"/>
        <v>#VALUE!</v>
      </c>
      <c r="AI569" s="204" t="e">
        <f t="shared" si="1104"/>
        <v>#VALUE!</v>
      </c>
      <c r="AJ569" s="205">
        <f t="shared" si="1115"/>
        <v>-311194.72482</v>
      </c>
      <c r="AK569" s="204" t="e">
        <f t="shared" si="1105"/>
        <v>#VALUE!</v>
      </c>
      <c r="AL569" s="204" t="e">
        <f t="shared" si="1106"/>
        <v>#VALUE!</v>
      </c>
      <c r="AM569" s="204" t="e">
        <f t="shared" si="1107"/>
        <v>#VALUE!</v>
      </c>
      <c r="AN569" s="204" t="e">
        <f t="shared" si="1108"/>
        <v>#VALUE!</v>
      </c>
      <c r="AO569" s="204" t="e">
        <f t="shared" si="1109"/>
        <v>#VALUE!</v>
      </c>
      <c r="AP569" s="204" t="e">
        <f t="shared" si="1110"/>
        <v>#VALUE!</v>
      </c>
      <c r="AQ569" s="204" t="e">
        <f t="shared" si="1111"/>
        <v>#VALUE!</v>
      </c>
      <c r="AR569" s="206" t="e">
        <f t="shared" si="1116"/>
        <v>#VALUE!</v>
      </c>
      <c r="AS569" s="170" t="e">
        <f t="shared" si="1112"/>
        <v>#VALUE!</v>
      </c>
      <c r="AT569" s="170" t="e">
        <f t="shared" si="1113"/>
        <v>#VALUE!</v>
      </c>
      <c r="AU569" s="207" t="e">
        <f t="shared" si="1117"/>
        <v>#VALUE!</v>
      </c>
      <c r="AV569" s="208" t="e">
        <f t="shared" si="1118"/>
        <v>#VALUE!</v>
      </c>
      <c r="AW569" s="201" t="str">
        <f t="shared" si="1119"/>
        <v>Fase de Degradação</v>
      </c>
      <c r="AX569" s="253" t="e">
        <f>VLOOKUP(D569,#REF!,5,FALSE)</f>
        <v>#REF!</v>
      </c>
      <c r="AY569" s="201"/>
      <c r="AZ569" s="273" t="s">
        <v>1224</v>
      </c>
      <c r="BB569">
        <f>IFERROR(VLOOKUP(Tabela1[[#This Row],[Denominação]],[10]Planilha1!$A:$B,2,FALSE),"")</f>
        <v>349606.3000000001</v>
      </c>
      <c r="BC569" s="219"/>
      <c r="BD569" s="219"/>
      <c r="BE569" s="219"/>
      <c r="BF569" s="219"/>
      <c r="BG569" s="219"/>
      <c r="BH569" s="219"/>
      <c r="BI569" s="219"/>
      <c r="BJ569" s="219"/>
      <c r="BK569" s="219"/>
      <c r="BL569" s="219"/>
    </row>
    <row r="570" spans="1:64" ht="15" hidden="1" customHeight="1" x14ac:dyDescent="0.3">
      <c r="A570" s="253">
        <v>569</v>
      </c>
      <c r="B570" s="171" t="s">
        <v>472</v>
      </c>
      <c r="C570" s="209" t="s">
        <v>500</v>
      </c>
      <c r="D570" s="171">
        <v>20001485</v>
      </c>
      <c r="E570" s="253" t="s">
        <v>1451</v>
      </c>
      <c r="F570" s="210">
        <v>4511</v>
      </c>
      <c r="G570" s="171">
        <v>43506</v>
      </c>
      <c r="H570" s="171">
        <v>2013</v>
      </c>
      <c r="I570" s="213">
        <v>150560.9</v>
      </c>
      <c r="J570" s="213">
        <v>0</v>
      </c>
      <c r="K570" s="170">
        <v>142975.14999999994</v>
      </c>
      <c r="L570" s="215">
        <v>2.2999999999999998</v>
      </c>
      <c r="M570" s="212" t="str">
        <f>IFERROR(VLOOKUP(Tabela1[[#This Row],[Denominação]],#REF!,7,FALSE),"")</f>
        <v/>
      </c>
      <c r="N570" s="212">
        <v>74858</v>
      </c>
      <c r="O570" s="171">
        <v>101</v>
      </c>
      <c r="P570" s="271" t="str">
        <f>IFERROR(VLOOKUP(Tabela1[[#This Row],[TAG]],#REF!,14,FALSE),"")</f>
        <v/>
      </c>
      <c r="Q570" s="204" t="e">
        <f t="shared" si="1092"/>
        <v>#VALUE!</v>
      </c>
      <c r="R570" s="204" t="e">
        <f t="shared" si="1093"/>
        <v>#VALUE!</v>
      </c>
      <c r="S570" s="204" t="e">
        <f t="shared" si="1094"/>
        <v>#VALUE!</v>
      </c>
      <c r="T570" s="204" t="e">
        <f t="shared" si="1095"/>
        <v>#VALUE!</v>
      </c>
      <c r="U570" s="204" t="e">
        <f t="shared" si="1096"/>
        <v>#VALUE!</v>
      </c>
      <c r="V570" s="204" t="e">
        <f t="shared" si="1097"/>
        <v>#VALUE!</v>
      </c>
      <c r="W570" s="218">
        <v>619.80999999999995</v>
      </c>
      <c r="X570" s="218">
        <v>1518.5281944444444</v>
      </c>
      <c r="Y570" s="203">
        <v>0.1</v>
      </c>
      <c r="Z570" s="203">
        <f>IF(Tabela1[[#This Row],[Ano Aquisição]]=2023,0,IFERROR(VLOOKUP(H570,inflação!$F:$H,3,FALSE),""))</f>
        <v>0.60660000000000003</v>
      </c>
      <c r="AA570" s="203">
        <v>0.8</v>
      </c>
      <c r="AB570" s="202">
        <f t="shared" si="1114"/>
        <v>-150560.9</v>
      </c>
      <c r="AC570" s="204" t="e">
        <f t="shared" si="1098"/>
        <v>#VALUE!</v>
      </c>
      <c r="AD570" s="204" t="e">
        <f t="shared" si="1099"/>
        <v>#VALUE!</v>
      </c>
      <c r="AE570" s="204" t="e">
        <f t="shared" si="1100"/>
        <v>#VALUE!</v>
      </c>
      <c r="AF570" s="204" t="e">
        <f t="shared" si="1101"/>
        <v>#VALUE!</v>
      </c>
      <c r="AG570" s="204" t="e">
        <f t="shared" si="1102"/>
        <v>#VALUE!</v>
      </c>
      <c r="AH570" s="204" t="e">
        <f t="shared" si="1103"/>
        <v>#VALUE!</v>
      </c>
      <c r="AI570" s="204" t="e">
        <f t="shared" si="1104"/>
        <v>#VALUE!</v>
      </c>
      <c r="AJ570" s="205">
        <f t="shared" si="1115"/>
        <v>-241891.14194</v>
      </c>
      <c r="AK570" s="204" t="e">
        <f t="shared" si="1105"/>
        <v>#VALUE!</v>
      </c>
      <c r="AL570" s="204" t="e">
        <f t="shared" si="1106"/>
        <v>#VALUE!</v>
      </c>
      <c r="AM570" s="204" t="e">
        <f t="shared" si="1107"/>
        <v>#VALUE!</v>
      </c>
      <c r="AN570" s="204" t="e">
        <f t="shared" si="1108"/>
        <v>#VALUE!</v>
      </c>
      <c r="AO570" s="204" t="e">
        <f t="shared" si="1109"/>
        <v>#VALUE!</v>
      </c>
      <c r="AP570" s="204" t="e">
        <f t="shared" si="1110"/>
        <v>#VALUE!</v>
      </c>
      <c r="AQ570" s="204" t="e">
        <f t="shared" si="1111"/>
        <v>#VALUE!</v>
      </c>
      <c r="AR570" s="206" t="e">
        <f t="shared" si="1116"/>
        <v>#VALUE!</v>
      </c>
      <c r="AS570" s="170" t="e">
        <f t="shared" si="1112"/>
        <v>#VALUE!</v>
      </c>
      <c r="AT570" s="170" t="e">
        <f t="shared" si="1113"/>
        <v>#VALUE!</v>
      </c>
      <c r="AU570" s="207" t="e">
        <f t="shared" si="1117"/>
        <v>#VALUE!</v>
      </c>
      <c r="AV570" s="208" t="e">
        <f t="shared" si="1118"/>
        <v>#VALUE!</v>
      </c>
      <c r="AW570" s="201" t="str">
        <f t="shared" si="1119"/>
        <v>Fase de Degradação</v>
      </c>
      <c r="AX570" s="253" t="e">
        <f>VLOOKUP(D570,#REF!,5,FALSE)</f>
        <v>#REF!</v>
      </c>
      <c r="AY570" s="201"/>
      <c r="AZ570" s="273" t="s">
        <v>1224</v>
      </c>
      <c r="BB570">
        <f>IFERROR(VLOOKUP(Tabela1[[#This Row],[Denominação]],[10]Planilha1!$A:$B,2,FALSE),"")</f>
        <v>142975.14999999994</v>
      </c>
      <c r="BC570" s="219"/>
      <c r="BD570" s="219"/>
      <c r="BE570" s="219"/>
      <c r="BF570" s="219"/>
      <c r="BG570" s="219"/>
      <c r="BH570" s="219"/>
      <c r="BI570" s="219"/>
      <c r="BJ570" s="219"/>
      <c r="BK570" s="219"/>
      <c r="BL570" s="219"/>
    </row>
    <row r="571" spans="1:64" ht="15" hidden="1" customHeight="1" x14ac:dyDescent="0.3">
      <c r="A571" s="268">
        <v>570</v>
      </c>
      <c r="B571" s="171" t="s">
        <v>264</v>
      </c>
      <c r="C571" s="209" t="s">
        <v>265</v>
      </c>
      <c r="D571" s="171">
        <v>20001511</v>
      </c>
      <c r="E571" s="253" t="s">
        <v>1546</v>
      </c>
      <c r="F571" s="210">
        <v>2530</v>
      </c>
      <c r="G571" s="171">
        <v>43972</v>
      </c>
      <c r="H571" s="171">
        <v>2014</v>
      </c>
      <c r="I571" s="213">
        <v>195200</v>
      </c>
      <c r="J571" s="213">
        <v>27802</v>
      </c>
      <c r="K571" s="170">
        <v>452872.01999999944</v>
      </c>
      <c r="L571" s="215">
        <v>0.84</v>
      </c>
      <c r="M571" s="320">
        <v>5853.5532000000003</v>
      </c>
      <c r="N571" s="212">
        <v>81370</v>
      </c>
      <c r="O571" s="171">
        <v>324</v>
      </c>
      <c r="P571" s="271" t="str">
        <f>IFERROR(VLOOKUP(Tabela1[[#This Row],[TAG]],#REF!,14,FALSE),"")</f>
        <v/>
      </c>
      <c r="Q571" s="204" t="e">
        <f t="shared" si="1092"/>
        <v>#VALUE!</v>
      </c>
      <c r="R571" s="204" t="e">
        <f t="shared" si="1093"/>
        <v>#VALUE!</v>
      </c>
      <c r="S571" s="204" t="e">
        <f t="shared" si="1094"/>
        <v>#VALUE!</v>
      </c>
      <c r="T571" s="204" t="e">
        <f t="shared" si="1095"/>
        <v>#VALUE!</v>
      </c>
      <c r="U571" s="204" t="e">
        <f t="shared" si="1096"/>
        <v>#VALUE!</v>
      </c>
      <c r="V571" s="204" t="e">
        <f t="shared" si="1097"/>
        <v>#VALUE!</v>
      </c>
      <c r="W571" s="304">
        <v>472.36</v>
      </c>
      <c r="X571" s="304">
        <v>1664.6</v>
      </c>
      <c r="Y571" s="203">
        <v>0.1</v>
      </c>
      <c r="Z571" s="203">
        <f>IF(Tabela1[[#This Row],[Ano Aquisição]]=2023,0,IFERROR(VLOOKUP(H571,inflação!$F:$H,3,FALSE),""))</f>
        <v>0.54749999999999999</v>
      </c>
      <c r="AA571" s="203">
        <v>0.8</v>
      </c>
      <c r="AB571" s="202">
        <f t="shared" si="1114"/>
        <v>-195200</v>
      </c>
      <c r="AC571" s="204" t="e">
        <f t="shared" si="1098"/>
        <v>#VALUE!</v>
      </c>
      <c r="AD571" s="204" t="e">
        <f t="shared" si="1099"/>
        <v>#VALUE!</v>
      </c>
      <c r="AE571" s="204" t="e">
        <f t="shared" si="1100"/>
        <v>#VALUE!</v>
      </c>
      <c r="AF571" s="204" t="e">
        <f t="shared" si="1101"/>
        <v>#VALUE!</v>
      </c>
      <c r="AG571" s="204" t="e">
        <f t="shared" si="1102"/>
        <v>#VALUE!</v>
      </c>
      <c r="AH571" s="204" t="e">
        <f t="shared" si="1103"/>
        <v>#VALUE!</v>
      </c>
      <c r="AI571" s="204" t="e">
        <f t="shared" si="1104"/>
        <v>#VALUE!</v>
      </c>
      <c r="AJ571" s="205">
        <f t="shared" si="1115"/>
        <v>-302072</v>
      </c>
      <c r="AK571" s="204" t="e">
        <f t="shared" si="1105"/>
        <v>#VALUE!</v>
      </c>
      <c r="AL571" s="204" t="e">
        <f t="shared" si="1106"/>
        <v>#VALUE!</v>
      </c>
      <c r="AM571" s="204" t="e">
        <f t="shared" si="1107"/>
        <v>#VALUE!</v>
      </c>
      <c r="AN571" s="204" t="e">
        <f t="shared" si="1108"/>
        <v>#VALUE!</v>
      </c>
      <c r="AO571" s="204" t="e">
        <f t="shared" si="1109"/>
        <v>#VALUE!</v>
      </c>
      <c r="AP571" s="204" t="e">
        <f t="shared" si="1110"/>
        <v>#VALUE!</v>
      </c>
      <c r="AQ571" s="204" t="e">
        <f t="shared" si="1111"/>
        <v>#VALUE!</v>
      </c>
      <c r="AR571" s="206" t="e">
        <f t="shared" si="1116"/>
        <v>#VALUE!</v>
      </c>
      <c r="AS571" s="170" t="e">
        <f t="shared" si="1112"/>
        <v>#VALUE!</v>
      </c>
      <c r="AT571" s="170" t="e">
        <f t="shared" si="1113"/>
        <v>#VALUE!</v>
      </c>
      <c r="AU571" s="207" t="e">
        <f t="shared" si="1117"/>
        <v>#VALUE!</v>
      </c>
      <c r="AV571" s="208" t="e">
        <f t="shared" si="1118"/>
        <v>#VALUE!</v>
      </c>
      <c r="AW571" s="201" t="str">
        <f t="shared" si="1119"/>
        <v>Confiabilidade em Crescimento</v>
      </c>
      <c r="AX571" s="253" t="e">
        <f>VLOOKUP(D571,#REF!,5,FALSE)</f>
        <v>#REF!</v>
      </c>
      <c r="AY571" s="201"/>
      <c r="AZ571" s="273" t="s">
        <v>1224</v>
      </c>
      <c r="BB571">
        <f>IFERROR(VLOOKUP(Tabela1[[#This Row],[Denominação]],[10]Planilha1!$A:$B,2,FALSE),"")</f>
        <v>452872.01999999944</v>
      </c>
      <c r="BC571" s="219"/>
      <c r="BD571" s="219"/>
      <c r="BE571" s="219"/>
      <c r="BF571" s="219"/>
      <c r="BG571" s="219"/>
      <c r="BH571" s="219"/>
      <c r="BI571" s="219"/>
      <c r="BJ571" s="219"/>
      <c r="BK571" s="219"/>
      <c r="BL571" s="219"/>
    </row>
    <row r="572" spans="1:64" ht="15" hidden="1" customHeight="1" x14ac:dyDescent="0.3">
      <c r="A572" s="253">
        <v>571</v>
      </c>
      <c r="B572" s="171" t="s">
        <v>639</v>
      </c>
      <c r="C572" s="209" t="s">
        <v>640</v>
      </c>
      <c r="D572" s="171">
        <v>20001530</v>
      </c>
      <c r="E572" s="253" t="s">
        <v>1287</v>
      </c>
      <c r="F572" s="210">
        <v>4531</v>
      </c>
      <c r="G572" s="201">
        <v>43963</v>
      </c>
      <c r="H572" s="201">
        <v>2013</v>
      </c>
      <c r="I572" s="213">
        <v>163653.96</v>
      </c>
      <c r="J572" s="214">
        <v>0</v>
      </c>
      <c r="K572" s="170">
        <v>179717.12999999989</v>
      </c>
      <c r="L572" s="207">
        <v>1.21</v>
      </c>
      <c r="M572" s="212">
        <v>6107</v>
      </c>
      <c r="N572" s="212">
        <v>80852</v>
      </c>
      <c r="O572" s="171">
        <v>248</v>
      </c>
      <c r="P572" s="271" t="str">
        <f>IFERROR(VLOOKUP(Tabela1[[#This Row],[TAG]],#REF!,14,FALSE),"")</f>
        <v/>
      </c>
      <c r="Q572" s="262" t="e">
        <f t="shared" si="1092"/>
        <v>#VALUE!</v>
      </c>
      <c r="R572" s="262" t="e">
        <f t="shared" si="1093"/>
        <v>#VALUE!</v>
      </c>
      <c r="S572" s="262" t="e">
        <f t="shared" si="1094"/>
        <v>#VALUE!</v>
      </c>
      <c r="T572" s="262" t="e">
        <f t="shared" si="1095"/>
        <v>#VALUE!</v>
      </c>
      <c r="U572" s="262" t="e">
        <f t="shared" si="1096"/>
        <v>#VALUE!</v>
      </c>
      <c r="V572" s="262" t="e">
        <f t="shared" si="1097"/>
        <v>#VALUE!</v>
      </c>
      <c r="W572" s="218">
        <v>699.64</v>
      </c>
      <c r="X572" s="218">
        <v>1595.82</v>
      </c>
      <c r="Y572" s="203">
        <v>0.1</v>
      </c>
      <c r="Z572" s="203">
        <f>IF(Tabela1[[#This Row],[Ano Aquisição]]=2023,0,IFERROR(VLOOKUP(H572,inflação!$F:$H,3,FALSE),""))</f>
        <v>0.60660000000000003</v>
      </c>
      <c r="AA572" s="203">
        <v>0.8</v>
      </c>
      <c r="AB572" s="202">
        <f t="shared" si="1114"/>
        <v>-163653.96</v>
      </c>
      <c r="AC572" s="204" t="e">
        <f t="shared" si="1098"/>
        <v>#VALUE!</v>
      </c>
      <c r="AD572" s="204" t="e">
        <f t="shared" si="1099"/>
        <v>#VALUE!</v>
      </c>
      <c r="AE572" s="204" t="e">
        <f t="shared" si="1100"/>
        <v>#VALUE!</v>
      </c>
      <c r="AF572" s="204" t="e">
        <f t="shared" si="1101"/>
        <v>#VALUE!</v>
      </c>
      <c r="AG572" s="204" t="e">
        <f t="shared" si="1102"/>
        <v>#VALUE!</v>
      </c>
      <c r="AH572" s="204" t="e">
        <f t="shared" si="1103"/>
        <v>#VALUE!</v>
      </c>
      <c r="AI572" s="204" t="e">
        <f t="shared" si="1104"/>
        <v>#VALUE!</v>
      </c>
      <c r="AJ572" s="205">
        <f t="shared" si="1115"/>
        <v>-262926.45213599998</v>
      </c>
      <c r="AK572" s="204" t="e">
        <f t="shared" si="1105"/>
        <v>#VALUE!</v>
      </c>
      <c r="AL572" s="204" t="e">
        <f t="shared" si="1106"/>
        <v>#VALUE!</v>
      </c>
      <c r="AM572" s="204" t="e">
        <f t="shared" si="1107"/>
        <v>#VALUE!</v>
      </c>
      <c r="AN572" s="204" t="e">
        <f t="shared" si="1108"/>
        <v>#VALUE!</v>
      </c>
      <c r="AO572" s="204" t="e">
        <f t="shared" si="1109"/>
        <v>#VALUE!</v>
      </c>
      <c r="AP572" s="204" t="e">
        <f t="shared" si="1110"/>
        <v>#VALUE!</v>
      </c>
      <c r="AQ572" s="204" t="e">
        <f t="shared" si="1111"/>
        <v>#VALUE!</v>
      </c>
      <c r="AR572" s="206" t="e">
        <f t="shared" si="1116"/>
        <v>#VALUE!</v>
      </c>
      <c r="AS572" s="170" t="e">
        <f t="shared" si="1112"/>
        <v>#VALUE!</v>
      </c>
      <c r="AT572" s="170" t="e">
        <f t="shared" si="1113"/>
        <v>#VALUE!</v>
      </c>
      <c r="AU572" s="207" t="e">
        <f t="shared" si="1117"/>
        <v>#VALUE!</v>
      </c>
      <c r="AV572" s="208" t="e">
        <f t="shared" si="1118"/>
        <v>#VALUE!</v>
      </c>
      <c r="AW572" s="201" t="str">
        <f t="shared" si="1119"/>
        <v>Fase de Degradação</v>
      </c>
      <c r="AX572" s="253" t="e">
        <f>VLOOKUP(D572,#REF!,5,FALSE)</f>
        <v>#REF!</v>
      </c>
      <c r="AY572" s="201"/>
      <c r="AZ572" s="273" t="s">
        <v>1224</v>
      </c>
      <c r="BB572">
        <f>IFERROR(VLOOKUP(Tabela1[[#This Row],[Denominação]],[10]Planilha1!$A:$B,2,FALSE),"")</f>
        <v>179717.12999999989</v>
      </c>
      <c r="BC572" s="219"/>
      <c r="BD572" s="219"/>
      <c r="BE572" s="219"/>
      <c r="BF572" s="219"/>
      <c r="BG572" s="219"/>
      <c r="BH572" s="219"/>
      <c r="BI572" s="219"/>
      <c r="BJ572" s="219"/>
      <c r="BK572" s="219"/>
      <c r="BL572" s="219"/>
    </row>
    <row r="573" spans="1:64" ht="15" hidden="1" customHeight="1" x14ac:dyDescent="0.3">
      <c r="A573" s="268">
        <v>572</v>
      </c>
      <c r="B573" s="171" t="s">
        <v>627</v>
      </c>
      <c r="C573" s="209" t="s">
        <v>628</v>
      </c>
      <c r="D573" s="171">
        <v>20001531</v>
      </c>
      <c r="E573" s="253" t="s">
        <v>1288</v>
      </c>
      <c r="F573" s="210">
        <v>4531</v>
      </c>
      <c r="G573" s="201">
        <v>44019</v>
      </c>
      <c r="H573" s="201">
        <v>2014</v>
      </c>
      <c r="I573" s="216">
        <v>187340.61</v>
      </c>
      <c r="J573" s="214">
        <v>5604</v>
      </c>
      <c r="K573" s="170">
        <v>228847.28999999989</v>
      </c>
      <c r="L573" s="207">
        <v>1.29</v>
      </c>
      <c r="M573" s="212">
        <v>6064</v>
      </c>
      <c r="N573" s="212">
        <v>80300</v>
      </c>
      <c r="O573" s="171">
        <v>259</v>
      </c>
      <c r="P573" s="271" t="str">
        <f>IFERROR(VLOOKUP(Tabela1[[#This Row],[TAG]],#REF!,14,FALSE),"")</f>
        <v/>
      </c>
      <c r="Q573" s="262" t="e">
        <f t="shared" ref="Q573:Q604" si="1120">P573+P573</f>
        <v>#VALUE!</v>
      </c>
      <c r="R573" s="262" t="e">
        <f t="shared" ref="R573:R604" si="1121">Q573+P573</f>
        <v>#VALUE!</v>
      </c>
      <c r="S573" s="262" t="e">
        <f t="shared" ref="S573:S604" si="1122">R573+P573</f>
        <v>#VALUE!</v>
      </c>
      <c r="T573" s="262" t="e">
        <f t="shared" ref="T573:T604" si="1123">S573+P573</f>
        <v>#VALUE!</v>
      </c>
      <c r="U573" s="262" t="e">
        <f t="shared" ref="U573:U604" si="1124">T573+P573</f>
        <v>#VALUE!</v>
      </c>
      <c r="V573" s="262" t="e">
        <f t="shared" ref="V573:V604" si="1125">U573+P573</f>
        <v>#VALUE!</v>
      </c>
      <c r="W573" s="218">
        <v>378.7</v>
      </c>
      <c r="X573" s="218">
        <v>1454.93</v>
      </c>
      <c r="Y573" s="203">
        <v>0.1</v>
      </c>
      <c r="Z573" s="203">
        <f>IF(Tabela1[[#This Row],[Ano Aquisição]]=2023,0,IFERROR(VLOOKUP(H573,inflação!$F:$H,3,FALSE),""))</f>
        <v>0.54749999999999999</v>
      </c>
      <c r="AA573" s="203">
        <v>0.8</v>
      </c>
      <c r="AB573" s="202">
        <f t="shared" si="1114"/>
        <v>-187340.61</v>
      </c>
      <c r="AC573" s="204" t="e">
        <f t="shared" ref="AC573:AC604" si="1126">-(((P573*$W573)+($X573*12))*((1+$Y573)^AC$1))</f>
        <v>#VALUE!</v>
      </c>
      <c r="AD573" s="204" t="e">
        <f t="shared" ref="AD573:AD604" si="1127">-((((Q573-P573)*$W573)+($X573*12))*((1+$Y573)^AD$1))</f>
        <v>#VALUE!</v>
      </c>
      <c r="AE573" s="204" t="e">
        <f t="shared" ref="AE573:AE604" si="1128">-((((R573-Q573)*$W573)+($X573*12))*((1+$Y573)^AE$1))</f>
        <v>#VALUE!</v>
      </c>
      <c r="AF573" s="204" t="e">
        <f t="shared" ref="AF573:AF604" si="1129">-((((S573-R573)*$W573)+($X573*12))*((1+$Y573)^AF$1))</f>
        <v>#VALUE!</v>
      </c>
      <c r="AG573" s="204" t="e">
        <f t="shared" ref="AG573:AG604" si="1130">-((((T573-S573)*$W573)+($X573*12))*((1+$Y573)^AG$1))</f>
        <v>#VALUE!</v>
      </c>
      <c r="AH573" s="204" t="e">
        <f t="shared" ref="AH573:AH604" si="1131">-((((U573-T573)*$W573)+($X573*12))*((1+$Y573)^AH$1))</f>
        <v>#VALUE!</v>
      </c>
      <c r="AI573" s="204" t="e">
        <f t="shared" ref="AI573:AI604" si="1132">-((((V573-U573)*$W573)+($X573*12))*((1+$Y573)^AI$1))</f>
        <v>#VALUE!</v>
      </c>
      <c r="AJ573" s="205">
        <f t="shared" si="1115"/>
        <v>-289909.59397499997</v>
      </c>
      <c r="AK573" s="204" t="e">
        <f t="shared" ref="AK573:AK604" si="1133">AC573*(1-$AA573)</f>
        <v>#VALUE!</v>
      </c>
      <c r="AL573" s="204" t="e">
        <f t="shared" ref="AL573:AL604" si="1134">AD573*(1-$AA573)</f>
        <v>#VALUE!</v>
      </c>
      <c r="AM573" s="204" t="e">
        <f t="shared" ref="AM573:AM604" si="1135">AE573*(1-$AA573)</f>
        <v>#VALUE!</v>
      </c>
      <c r="AN573" s="204" t="e">
        <f t="shared" ref="AN573:AN604" si="1136">AF573*(1-$AA573)</f>
        <v>#VALUE!</v>
      </c>
      <c r="AO573" s="204" t="e">
        <f t="shared" ref="AO573:AO604" si="1137">AG573*(1-$AA573)</f>
        <v>#VALUE!</v>
      </c>
      <c r="AP573" s="204" t="e">
        <f t="shared" ref="AP573:AP604" si="1138">AH573*(1-$AA573)</f>
        <v>#VALUE!</v>
      </c>
      <c r="AQ573" s="204" t="e">
        <f t="shared" ref="AQ573:AQ604" si="1139">AI573*(1-$AA573)</f>
        <v>#VALUE!</v>
      </c>
      <c r="AR573" s="206" t="e">
        <f t="shared" si="1116"/>
        <v>#VALUE!</v>
      </c>
      <c r="AS573" s="170" t="e">
        <f t="shared" ref="AS573:AS604" si="1140">SUM(AC573:AI573)</f>
        <v>#VALUE!</v>
      </c>
      <c r="AT573" s="170" t="e">
        <f t="shared" ref="AT573:AT604" si="1141">SUM(AK573:AQ573)</f>
        <v>#VALUE!</v>
      </c>
      <c r="AU573" s="207" t="e">
        <f t="shared" si="1117"/>
        <v>#VALUE!</v>
      </c>
      <c r="AV573" s="208" t="e">
        <f t="shared" si="1118"/>
        <v>#VALUE!</v>
      </c>
      <c r="AW573" s="201" t="str">
        <f t="shared" si="1119"/>
        <v>Fase de Degradação</v>
      </c>
      <c r="AX573" s="253" t="e">
        <f>VLOOKUP(D573,#REF!,5,FALSE)</f>
        <v>#REF!</v>
      </c>
      <c r="AY573" s="201"/>
      <c r="AZ573" s="273" t="s">
        <v>1224</v>
      </c>
      <c r="BB573">
        <f>IFERROR(VLOOKUP(Tabela1[[#This Row],[Denominação]],[10]Planilha1!$A:$B,2,FALSE),"")</f>
        <v>228847.28999999989</v>
      </c>
      <c r="BC573" s="219"/>
      <c r="BD573" s="219"/>
      <c r="BE573" s="219"/>
      <c r="BF573" s="219"/>
      <c r="BG573" s="219"/>
      <c r="BH573" s="219"/>
      <c r="BI573" s="219"/>
      <c r="BJ573" s="219"/>
      <c r="BK573" s="219"/>
      <c r="BL573" s="219"/>
    </row>
    <row r="574" spans="1:64" ht="15" hidden="1" customHeight="1" x14ac:dyDescent="0.3">
      <c r="A574" s="253">
        <v>573</v>
      </c>
      <c r="B574" s="171" t="s">
        <v>671</v>
      </c>
      <c r="C574" s="267" t="s">
        <v>672</v>
      </c>
      <c r="D574" s="171">
        <v>20001591</v>
      </c>
      <c r="E574" s="253" t="s">
        <v>1435</v>
      </c>
      <c r="F574" s="210">
        <v>3115</v>
      </c>
      <c r="G574" s="171">
        <v>42589</v>
      </c>
      <c r="H574" s="171">
        <v>2013</v>
      </c>
      <c r="I574" s="213">
        <v>114126.71</v>
      </c>
      <c r="J574" s="213">
        <v>40573</v>
      </c>
      <c r="K574" s="170">
        <v>96634.239999999932</v>
      </c>
      <c r="L574" s="207">
        <v>1.57</v>
      </c>
      <c r="M574" s="212">
        <v>5742</v>
      </c>
      <c r="N574" s="212">
        <v>50570</v>
      </c>
      <c r="O574" s="171">
        <v>84</v>
      </c>
      <c r="P574" s="271" t="str">
        <f>IFERROR(VLOOKUP(Tabela1[[#This Row],[TAG]],#REF!,14,FALSE),"")</f>
        <v/>
      </c>
      <c r="Q574" s="204" t="e">
        <f t="shared" si="1120"/>
        <v>#VALUE!</v>
      </c>
      <c r="R574" s="204" t="e">
        <f t="shared" si="1121"/>
        <v>#VALUE!</v>
      </c>
      <c r="S574" s="204" t="e">
        <f t="shared" si="1122"/>
        <v>#VALUE!</v>
      </c>
      <c r="T574" s="204" t="e">
        <f t="shared" si="1123"/>
        <v>#VALUE!</v>
      </c>
      <c r="U574" s="204" t="e">
        <f t="shared" si="1124"/>
        <v>#VALUE!</v>
      </c>
      <c r="V574" s="204" t="e">
        <f t="shared" si="1125"/>
        <v>#VALUE!</v>
      </c>
      <c r="W574" s="218">
        <v>519.11</v>
      </c>
      <c r="X574" s="218">
        <v>1289</v>
      </c>
      <c r="Y574" s="203">
        <v>0.1</v>
      </c>
      <c r="Z574" s="203">
        <f>IF(Tabela1[[#This Row],[Ano Aquisição]]=2023,0,IFERROR(VLOOKUP(H574,inflação!$F:$H,3,FALSE),""))</f>
        <v>0.60660000000000003</v>
      </c>
      <c r="AA574" s="203">
        <v>0.8</v>
      </c>
      <c r="AB574" s="202">
        <f t="shared" si="1114"/>
        <v>-114126.71</v>
      </c>
      <c r="AC574" s="204" t="e">
        <f t="shared" si="1126"/>
        <v>#VALUE!</v>
      </c>
      <c r="AD574" s="204" t="e">
        <f t="shared" si="1127"/>
        <v>#VALUE!</v>
      </c>
      <c r="AE574" s="204" t="e">
        <f t="shared" si="1128"/>
        <v>#VALUE!</v>
      </c>
      <c r="AF574" s="204" t="e">
        <f t="shared" si="1129"/>
        <v>#VALUE!</v>
      </c>
      <c r="AG574" s="204" t="e">
        <f t="shared" si="1130"/>
        <v>#VALUE!</v>
      </c>
      <c r="AH574" s="204" t="e">
        <f t="shared" si="1131"/>
        <v>#VALUE!</v>
      </c>
      <c r="AI574" s="204" t="e">
        <f t="shared" si="1132"/>
        <v>#VALUE!</v>
      </c>
      <c r="AJ574" s="205">
        <f t="shared" si="1115"/>
        <v>-183355.972286</v>
      </c>
      <c r="AK574" s="204" t="e">
        <f t="shared" si="1133"/>
        <v>#VALUE!</v>
      </c>
      <c r="AL574" s="204" t="e">
        <f t="shared" si="1134"/>
        <v>#VALUE!</v>
      </c>
      <c r="AM574" s="204" t="e">
        <f t="shared" si="1135"/>
        <v>#VALUE!</v>
      </c>
      <c r="AN574" s="204" t="e">
        <f t="shared" si="1136"/>
        <v>#VALUE!</v>
      </c>
      <c r="AO574" s="204" t="e">
        <f t="shared" si="1137"/>
        <v>#VALUE!</v>
      </c>
      <c r="AP574" s="204" t="e">
        <f t="shared" si="1138"/>
        <v>#VALUE!</v>
      </c>
      <c r="AQ574" s="204" t="e">
        <f t="shared" si="1139"/>
        <v>#VALUE!</v>
      </c>
      <c r="AR574" s="206" t="e">
        <f t="shared" si="1116"/>
        <v>#VALUE!</v>
      </c>
      <c r="AS574" s="170" t="e">
        <f t="shared" si="1140"/>
        <v>#VALUE!</v>
      </c>
      <c r="AT574" s="170" t="e">
        <f t="shared" si="1141"/>
        <v>#VALUE!</v>
      </c>
      <c r="AU574" s="207" t="e">
        <f t="shared" si="1117"/>
        <v>#VALUE!</v>
      </c>
      <c r="AV574" s="208" t="e">
        <f t="shared" si="1118"/>
        <v>#VALUE!</v>
      </c>
      <c r="AW574" s="201" t="str">
        <f t="shared" si="1119"/>
        <v>Fase de Degradação</v>
      </c>
      <c r="AX574" s="253" t="e">
        <f>VLOOKUP(D574,#REF!,5,FALSE)</f>
        <v>#REF!</v>
      </c>
      <c r="AY574" s="201"/>
      <c r="AZ574" s="273" t="s">
        <v>1224</v>
      </c>
      <c r="BB574">
        <f>IFERROR(VLOOKUP(Tabela1[[#This Row],[Denominação]],[10]Planilha1!$A:$B,2,FALSE),"")</f>
        <v>96634.239999999932</v>
      </c>
      <c r="BC574" s="219"/>
      <c r="BD574" s="219"/>
      <c r="BE574" s="219"/>
      <c r="BF574" s="219"/>
      <c r="BG574" s="219"/>
      <c r="BH574" s="219"/>
      <c r="BI574" s="219"/>
      <c r="BJ574" s="219"/>
      <c r="BK574" s="219"/>
      <c r="BL574" s="219"/>
    </row>
    <row r="575" spans="1:64" ht="15" hidden="1" customHeight="1" x14ac:dyDescent="0.3">
      <c r="A575" s="268">
        <v>574</v>
      </c>
      <c r="B575" s="171" t="s">
        <v>699</v>
      </c>
      <c r="C575" s="209" t="s">
        <v>700</v>
      </c>
      <c r="D575" s="171">
        <v>10006305</v>
      </c>
      <c r="E575" s="253" t="s">
        <v>1547</v>
      </c>
      <c r="F575" s="210">
        <v>4536</v>
      </c>
      <c r="G575" s="171">
        <v>46253</v>
      </c>
      <c r="H575" s="171">
        <v>2013</v>
      </c>
      <c r="I575" s="213">
        <v>94467.7</v>
      </c>
      <c r="J575" s="213">
        <v>29784</v>
      </c>
      <c r="K575" s="170">
        <v>8484.06</v>
      </c>
      <c r="L575" s="207">
        <v>1.67</v>
      </c>
      <c r="M575" s="212">
        <v>4241</v>
      </c>
      <c r="N575" s="212">
        <v>57903</v>
      </c>
      <c r="O575" s="171">
        <v>197</v>
      </c>
      <c r="P575" s="271" t="str">
        <f>IFERROR(VLOOKUP(Tabela1[[#This Row],[TAG]],#REF!,14,FALSE),"")</f>
        <v/>
      </c>
      <c r="Q575" s="204" t="e">
        <f t="shared" si="1120"/>
        <v>#VALUE!</v>
      </c>
      <c r="R575" s="204" t="e">
        <f t="shared" si="1121"/>
        <v>#VALUE!</v>
      </c>
      <c r="S575" s="204" t="e">
        <f t="shared" si="1122"/>
        <v>#VALUE!</v>
      </c>
      <c r="T575" s="204" t="e">
        <f t="shared" si="1123"/>
        <v>#VALUE!</v>
      </c>
      <c r="U575" s="204" t="e">
        <f t="shared" si="1124"/>
        <v>#VALUE!</v>
      </c>
      <c r="V575" s="204" t="e">
        <f t="shared" si="1125"/>
        <v>#VALUE!</v>
      </c>
      <c r="W575" s="218">
        <v>158.68</v>
      </c>
      <c r="X575" s="218">
        <v>170.89</v>
      </c>
      <c r="Y575" s="203">
        <v>0.1</v>
      </c>
      <c r="Z575" s="203">
        <f>IF(Tabela1[[#This Row],[Ano Aquisição]]=2023,0,IFERROR(VLOOKUP(H575,inflação!$F:$H,3,FALSE),""))</f>
        <v>0.60660000000000003</v>
      </c>
      <c r="AA575" s="203">
        <v>0.8</v>
      </c>
      <c r="AB575" s="202">
        <f t="shared" si="1114"/>
        <v>-94467.7</v>
      </c>
      <c r="AC575" s="204" t="e">
        <f t="shared" si="1126"/>
        <v>#VALUE!</v>
      </c>
      <c r="AD575" s="204" t="e">
        <f t="shared" si="1127"/>
        <v>#VALUE!</v>
      </c>
      <c r="AE575" s="204" t="e">
        <f t="shared" si="1128"/>
        <v>#VALUE!</v>
      </c>
      <c r="AF575" s="204" t="e">
        <f t="shared" si="1129"/>
        <v>#VALUE!</v>
      </c>
      <c r="AG575" s="204" t="e">
        <f t="shared" si="1130"/>
        <v>#VALUE!</v>
      </c>
      <c r="AH575" s="204" t="e">
        <f t="shared" si="1131"/>
        <v>#VALUE!</v>
      </c>
      <c r="AI575" s="204" t="e">
        <f t="shared" si="1132"/>
        <v>#VALUE!</v>
      </c>
      <c r="AJ575" s="205">
        <f t="shared" si="1115"/>
        <v>-151771.80682</v>
      </c>
      <c r="AK575" s="204" t="e">
        <f t="shared" si="1133"/>
        <v>#VALUE!</v>
      </c>
      <c r="AL575" s="204" t="e">
        <f t="shared" si="1134"/>
        <v>#VALUE!</v>
      </c>
      <c r="AM575" s="204" t="e">
        <f t="shared" si="1135"/>
        <v>#VALUE!</v>
      </c>
      <c r="AN575" s="204" t="e">
        <f t="shared" si="1136"/>
        <v>#VALUE!</v>
      </c>
      <c r="AO575" s="204" t="e">
        <f t="shared" si="1137"/>
        <v>#VALUE!</v>
      </c>
      <c r="AP575" s="204" t="e">
        <f t="shared" si="1138"/>
        <v>#VALUE!</v>
      </c>
      <c r="AQ575" s="204" t="e">
        <f t="shared" si="1139"/>
        <v>#VALUE!</v>
      </c>
      <c r="AR575" s="206" t="e">
        <f t="shared" si="1116"/>
        <v>#VALUE!</v>
      </c>
      <c r="AS575" s="170" t="e">
        <f t="shared" si="1140"/>
        <v>#VALUE!</v>
      </c>
      <c r="AT575" s="170" t="e">
        <f t="shared" si="1141"/>
        <v>#VALUE!</v>
      </c>
      <c r="AU575" s="207" t="e">
        <f t="shared" si="1117"/>
        <v>#VALUE!</v>
      </c>
      <c r="AV575" s="208" t="e">
        <f t="shared" si="1118"/>
        <v>#VALUE!</v>
      </c>
      <c r="AW575" s="201" t="str">
        <f t="shared" si="1119"/>
        <v>Fase de Degradação</v>
      </c>
      <c r="AX575" s="253" t="e">
        <f>VLOOKUP(D575,#REF!,5,FALSE)</f>
        <v>#REF!</v>
      </c>
      <c r="AY575" s="201"/>
      <c r="AZ575" s="273" t="s">
        <v>1224</v>
      </c>
      <c r="BB575">
        <f>IFERROR(VLOOKUP(Tabela1[[#This Row],[Denominação]],[10]Planilha1!$A:$B,2,FALSE),"")</f>
        <v>8484.06</v>
      </c>
      <c r="BC575" s="219"/>
      <c r="BD575" s="219"/>
      <c r="BE575" s="219"/>
      <c r="BF575" s="219"/>
      <c r="BG575" s="219"/>
      <c r="BH575" s="219"/>
      <c r="BI575" s="219"/>
      <c r="BJ575" s="219"/>
      <c r="BK575" s="219"/>
      <c r="BL575" s="219"/>
    </row>
    <row r="576" spans="1:64" ht="15" hidden="1" customHeight="1" x14ac:dyDescent="0.3">
      <c r="A576" s="253">
        <v>575</v>
      </c>
      <c r="B576" s="171" t="s">
        <v>473</v>
      </c>
      <c r="C576" s="209" t="s">
        <v>501</v>
      </c>
      <c r="D576" s="171">
        <v>10006335</v>
      </c>
      <c r="E576" s="253" t="s">
        <v>1453</v>
      </c>
      <c r="F576" s="210">
        <v>4511</v>
      </c>
      <c r="G576" s="171">
        <v>46430</v>
      </c>
      <c r="H576" s="171">
        <v>2015</v>
      </c>
      <c r="I576" s="213">
        <v>218272.68</v>
      </c>
      <c r="J576" s="213">
        <v>38995</v>
      </c>
      <c r="K576" s="170">
        <v>56845.19000000001</v>
      </c>
      <c r="L576" s="215">
        <v>1.43</v>
      </c>
      <c r="M576" s="212" t="str">
        <f>IFERROR(VLOOKUP(Tabela1[[#This Row],[Denominação]],#REF!,7,FALSE),"")</f>
        <v/>
      </c>
      <c r="N576" s="212">
        <v>69055</v>
      </c>
      <c r="O576" s="171">
        <v>87</v>
      </c>
      <c r="P576" s="271" t="str">
        <f>IFERROR(VLOOKUP(Tabela1[[#This Row],[TAG]],#REF!,14,FALSE),"")</f>
        <v/>
      </c>
      <c r="Q576" s="204" t="e">
        <f t="shared" si="1120"/>
        <v>#VALUE!</v>
      </c>
      <c r="R576" s="204" t="e">
        <f t="shared" si="1121"/>
        <v>#VALUE!</v>
      </c>
      <c r="S576" s="204" t="e">
        <f t="shared" si="1122"/>
        <v>#VALUE!</v>
      </c>
      <c r="T576" s="204" t="e">
        <f t="shared" si="1123"/>
        <v>#VALUE!</v>
      </c>
      <c r="U576" s="204" t="e">
        <f t="shared" si="1124"/>
        <v>#VALUE!</v>
      </c>
      <c r="V576" s="204" t="e">
        <f t="shared" si="1125"/>
        <v>#VALUE!</v>
      </c>
      <c r="W576" s="218">
        <v>357.11</v>
      </c>
      <c r="X576" s="218">
        <v>677.03</v>
      </c>
      <c r="Y576" s="203">
        <v>0.1</v>
      </c>
      <c r="Z576" s="203">
        <f>IF(Tabela1[[#This Row],[Ano Aquisição]]=2023,0,IFERROR(VLOOKUP(H576,inflação!$F:$H,3,FALSE),""))</f>
        <v>0.4834</v>
      </c>
      <c r="AA576" s="203">
        <v>0.8</v>
      </c>
      <c r="AB576" s="202">
        <f t="shared" si="1114"/>
        <v>-218272.68</v>
      </c>
      <c r="AC576" s="204" t="e">
        <f t="shared" si="1126"/>
        <v>#VALUE!</v>
      </c>
      <c r="AD576" s="204" t="e">
        <f t="shared" si="1127"/>
        <v>#VALUE!</v>
      </c>
      <c r="AE576" s="204" t="e">
        <f t="shared" si="1128"/>
        <v>#VALUE!</v>
      </c>
      <c r="AF576" s="204" t="e">
        <f t="shared" si="1129"/>
        <v>#VALUE!</v>
      </c>
      <c r="AG576" s="204" t="e">
        <f t="shared" si="1130"/>
        <v>#VALUE!</v>
      </c>
      <c r="AH576" s="204" t="e">
        <f t="shared" si="1131"/>
        <v>#VALUE!</v>
      </c>
      <c r="AI576" s="204" t="e">
        <f t="shared" si="1132"/>
        <v>#VALUE!</v>
      </c>
      <c r="AJ576" s="205">
        <f t="shared" si="1115"/>
        <v>-323785.69351200003</v>
      </c>
      <c r="AK576" s="204" t="e">
        <f t="shared" si="1133"/>
        <v>#VALUE!</v>
      </c>
      <c r="AL576" s="204" t="e">
        <f t="shared" si="1134"/>
        <v>#VALUE!</v>
      </c>
      <c r="AM576" s="204" t="e">
        <f t="shared" si="1135"/>
        <v>#VALUE!</v>
      </c>
      <c r="AN576" s="204" t="e">
        <f t="shared" si="1136"/>
        <v>#VALUE!</v>
      </c>
      <c r="AO576" s="204" t="e">
        <f t="shared" si="1137"/>
        <v>#VALUE!</v>
      </c>
      <c r="AP576" s="204" t="e">
        <f t="shared" si="1138"/>
        <v>#VALUE!</v>
      </c>
      <c r="AQ576" s="204" t="e">
        <f t="shared" si="1139"/>
        <v>#VALUE!</v>
      </c>
      <c r="AR576" s="206" t="e">
        <f t="shared" si="1116"/>
        <v>#VALUE!</v>
      </c>
      <c r="AS576" s="170" t="e">
        <f t="shared" si="1140"/>
        <v>#VALUE!</v>
      </c>
      <c r="AT576" s="170" t="e">
        <f t="shared" si="1141"/>
        <v>#VALUE!</v>
      </c>
      <c r="AU576" s="207" t="e">
        <f t="shared" si="1117"/>
        <v>#VALUE!</v>
      </c>
      <c r="AV576" s="208" t="e">
        <f t="shared" si="1118"/>
        <v>#VALUE!</v>
      </c>
      <c r="AW576" s="201" t="str">
        <f t="shared" si="1119"/>
        <v>Fase de Degradação</v>
      </c>
      <c r="AX576" s="253" t="e">
        <f>VLOOKUP(D576,#REF!,5,FALSE)</f>
        <v>#REF!</v>
      </c>
      <c r="AY576" s="201"/>
      <c r="AZ576" s="273" t="s">
        <v>1224</v>
      </c>
      <c r="BB576">
        <f>IFERROR(VLOOKUP(Tabela1[[#This Row],[Denominação]],[10]Planilha1!$A:$B,2,FALSE),"")</f>
        <v>56845.19000000001</v>
      </c>
      <c r="BC576" s="219"/>
      <c r="BD576" s="219"/>
      <c r="BE576" s="219"/>
      <c r="BF576" s="219"/>
      <c r="BG576" s="219"/>
      <c r="BH576" s="219"/>
      <c r="BI576" s="219"/>
      <c r="BJ576" s="219"/>
      <c r="BK576" s="219"/>
      <c r="BL576" s="219"/>
    </row>
    <row r="577" spans="1:64" ht="15" hidden="1" customHeight="1" x14ac:dyDescent="0.3">
      <c r="A577" s="268">
        <v>576</v>
      </c>
      <c r="B577" s="171" t="s">
        <v>474</v>
      </c>
      <c r="C577" s="209" t="s">
        <v>502</v>
      </c>
      <c r="D577" s="171">
        <v>10006336</v>
      </c>
      <c r="E577" s="253" t="s">
        <v>1453</v>
      </c>
      <c r="F577" s="210">
        <v>4511</v>
      </c>
      <c r="G577" s="171">
        <v>46431</v>
      </c>
      <c r="H577" s="171">
        <v>2015</v>
      </c>
      <c r="I577" s="213">
        <v>268117.81</v>
      </c>
      <c r="J577" s="213">
        <v>57554</v>
      </c>
      <c r="K577" s="170">
        <v>69203.170000000013</v>
      </c>
      <c r="L577" s="215">
        <v>1.39</v>
      </c>
      <c r="M577" s="212" t="str">
        <f>IFERROR(VLOOKUP(Tabela1[[#This Row],[Denominação]],#REF!,7,FALSE),"")</f>
        <v/>
      </c>
      <c r="N577" s="212">
        <v>64383</v>
      </c>
      <c r="O577" s="171">
        <v>56</v>
      </c>
      <c r="P577" s="271" t="str">
        <f>IFERROR(VLOOKUP(Tabela1[[#This Row],[TAG]],#REF!,14,FALSE),"")</f>
        <v/>
      </c>
      <c r="Q577" s="204" t="e">
        <f>P577+P577</f>
        <v>#VALUE!</v>
      </c>
      <c r="R577" s="204" t="e">
        <f t="shared" si="1121"/>
        <v>#VALUE!</v>
      </c>
      <c r="S577" s="204" t="e">
        <f t="shared" si="1122"/>
        <v>#VALUE!</v>
      </c>
      <c r="T577" s="204" t="e">
        <f t="shared" si="1123"/>
        <v>#VALUE!</v>
      </c>
      <c r="U577" s="204" t="e">
        <f t="shared" si="1124"/>
        <v>#VALUE!</v>
      </c>
      <c r="V577" s="204" t="e">
        <f t="shared" si="1125"/>
        <v>#VALUE!</v>
      </c>
      <c r="W577" s="218">
        <v>467.4</v>
      </c>
      <c r="X577" s="218">
        <v>896.52</v>
      </c>
      <c r="Y577" s="203">
        <v>0.1</v>
      </c>
      <c r="Z577" s="203">
        <f>IF(Tabela1[[#This Row],[Ano Aquisição]]=2023,0,IFERROR(VLOOKUP(H577,inflação!$F:$H,3,FALSE),""))</f>
        <v>0.4834</v>
      </c>
      <c r="AA577" s="203">
        <v>0.8</v>
      </c>
      <c r="AB577" s="202">
        <f t="shared" si="1114"/>
        <v>-268117.81</v>
      </c>
      <c r="AC577" s="204" t="e">
        <f t="shared" si="1126"/>
        <v>#VALUE!</v>
      </c>
      <c r="AD577" s="204" t="e">
        <f t="shared" si="1127"/>
        <v>#VALUE!</v>
      </c>
      <c r="AE577" s="204" t="e">
        <f t="shared" si="1128"/>
        <v>#VALUE!</v>
      </c>
      <c r="AF577" s="204" t="e">
        <f t="shared" si="1129"/>
        <v>#VALUE!</v>
      </c>
      <c r="AG577" s="204" t="e">
        <f t="shared" si="1130"/>
        <v>#VALUE!</v>
      </c>
      <c r="AH577" s="204" t="e">
        <f t="shared" si="1131"/>
        <v>#VALUE!</v>
      </c>
      <c r="AI577" s="204" t="e">
        <f t="shared" si="1132"/>
        <v>#VALUE!</v>
      </c>
      <c r="AJ577" s="205">
        <f t="shared" si="1115"/>
        <v>-397725.95935399999</v>
      </c>
      <c r="AK577" s="204" t="e">
        <f t="shared" si="1133"/>
        <v>#VALUE!</v>
      </c>
      <c r="AL577" s="204" t="e">
        <f t="shared" si="1134"/>
        <v>#VALUE!</v>
      </c>
      <c r="AM577" s="204" t="e">
        <f t="shared" si="1135"/>
        <v>#VALUE!</v>
      </c>
      <c r="AN577" s="204" t="e">
        <f t="shared" si="1136"/>
        <v>#VALUE!</v>
      </c>
      <c r="AO577" s="204" t="e">
        <f t="shared" si="1137"/>
        <v>#VALUE!</v>
      </c>
      <c r="AP577" s="204" t="e">
        <f t="shared" si="1138"/>
        <v>#VALUE!</v>
      </c>
      <c r="AQ577" s="204" t="e">
        <f t="shared" si="1139"/>
        <v>#VALUE!</v>
      </c>
      <c r="AR577" s="206" t="e">
        <f t="shared" si="1116"/>
        <v>#VALUE!</v>
      </c>
      <c r="AS577" s="170" t="e">
        <f t="shared" si="1140"/>
        <v>#VALUE!</v>
      </c>
      <c r="AT577" s="170" t="e">
        <f t="shared" si="1141"/>
        <v>#VALUE!</v>
      </c>
      <c r="AU577" s="207" t="e">
        <f t="shared" si="1117"/>
        <v>#VALUE!</v>
      </c>
      <c r="AV577" s="208" t="e">
        <f t="shared" si="1118"/>
        <v>#VALUE!</v>
      </c>
      <c r="AW577" s="201" t="str">
        <f t="shared" si="1119"/>
        <v>Fase de Degradação</v>
      </c>
      <c r="AX577" s="253" t="e">
        <f>VLOOKUP(D577,#REF!,5,FALSE)</f>
        <v>#REF!</v>
      </c>
      <c r="AY577" s="201"/>
      <c r="AZ577" s="273" t="s">
        <v>1224</v>
      </c>
      <c r="BB577">
        <f>IFERROR(VLOOKUP(Tabela1[[#This Row],[Denominação]],[10]Planilha1!$A:$B,2,FALSE),"")</f>
        <v>69203.170000000013</v>
      </c>
      <c r="BC577" s="219"/>
      <c r="BD577" s="219"/>
      <c r="BE577" s="219"/>
      <c r="BF577" s="219"/>
      <c r="BG577" s="219"/>
      <c r="BH577" s="219"/>
      <c r="BI577" s="219"/>
      <c r="BJ577" s="219"/>
      <c r="BK577" s="219"/>
      <c r="BL577" s="219"/>
    </row>
    <row r="578" spans="1:64" ht="15" hidden="1" customHeight="1" x14ac:dyDescent="0.3">
      <c r="A578" s="253">
        <v>577</v>
      </c>
      <c r="B578" s="171" t="s">
        <v>475</v>
      </c>
      <c r="C578" s="209" t="s">
        <v>503</v>
      </c>
      <c r="D578" s="171">
        <v>10006337</v>
      </c>
      <c r="E578" s="253" t="s">
        <v>1453</v>
      </c>
      <c r="F578" s="210">
        <v>4511</v>
      </c>
      <c r="G578" s="271">
        <v>900000022657</v>
      </c>
      <c r="H578" s="171">
        <v>2015</v>
      </c>
      <c r="I578" s="213">
        <v>193697.7</v>
      </c>
      <c r="J578" s="213">
        <v>0</v>
      </c>
      <c r="K578" s="170">
        <v>68419.789999999979</v>
      </c>
      <c r="L578" s="215">
        <v>1.5</v>
      </c>
      <c r="M578" s="212" t="str">
        <f>IFERROR(VLOOKUP(Tabela1[[#This Row],[Denominação]],#REF!,7,FALSE),"")</f>
        <v/>
      </c>
      <c r="N578" s="212">
        <v>48043</v>
      </c>
      <c r="O578" s="171">
        <v>37</v>
      </c>
      <c r="P578" s="271" t="str">
        <f>IFERROR(VLOOKUP(Tabela1[[#This Row],[TAG]],#REF!,14,FALSE),"")</f>
        <v/>
      </c>
      <c r="Q578" s="204" t="e">
        <f t="shared" si="1120"/>
        <v>#VALUE!</v>
      </c>
      <c r="R578" s="204" t="e">
        <f t="shared" si="1121"/>
        <v>#VALUE!</v>
      </c>
      <c r="S578" s="204" t="e">
        <f t="shared" si="1122"/>
        <v>#VALUE!</v>
      </c>
      <c r="T578" s="204" t="e">
        <f t="shared" si="1123"/>
        <v>#VALUE!</v>
      </c>
      <c r="U578" s="204" t="e">
        <f t="shared" si="1124"/>
        <v>#VALUE!</v>
      </c>
      <c r="V578" s="204" t="e">
        <f t="shared" si="1125"/>
        <v>#VALUE!</v>
      </c>
      <c r="W578" s="218">
        <v>301.49</v>
      </c>
      <c r="X578" s="218">
        <v>815.44</v>
      </c>
      <c r="Y578" s="203">
        <v>0.1</v>
      </c>
      <c r="Z578" s="203">
        <f>IF(Tabela1[[#This Row],[Ano Aquisição]]=2023,0,IFERROR(VLOOKUP(H578,inflação!$F:$H,3,FALSE),""))</f>
        <v>0.4834</v>
      </c>
      <c r="AA578" s="203">
        <v>0.8</v>
      </c>
      <c r="AB578" s="202">
        <f t="shared" si="1114"/>
        <v>-193697.7</v>
      </c>
      <c r="AC578" s="204" t="e">
        <f t="shared" si="1126"/>
        <v>#VALUE!</v>
      </c>
      <c r="AD578" s="204" t="e">
        <f t="shared" si="1127"/>
        <v>#VALUE!</v>
      </c>
      <c r="AE578" s="204" t="e">
        <f t="shared" si="1128"/>
        <v>#VALUE!</v>
      </c>
      <c r="AF578" s="204" t="e">
        <f t="shared" si="1129"/>
        <v>#VALUE!</v>
      </c>
      <c r="AG578" s="204" t="e">
        <f t="shared" si="1130"/>
        <v>#VALUE!</v>
      </c>
      <c r="AH578" s="204" t="e">
        <f t="shared" si="1131"/>
        <v>#VALUE!</v>
      </c>
      <c r="AI578" s="204" t="e">
        <f t="shared" si="1132"/>
        <v>#VALUE!</v>
      </c>
      <c r="AJ578" s="205">
        <f t="shared" si="1115"/>
        <v>-287331.16818000004</v>
      </c>
      <c r="AK578" s="204" t="e">
        <f t="shared" si="1133"/>
        <v>#VALUE!</v>
      </c>
      <c r="AL578" s="204" t="e">
        <f t="shared" si="1134"/>
        <v>#VALUE!</v>
      </c>
      <c r="AM578" s="204" t="e">
        <f t="shared" si="1135"/>
        <v>#VALUE!</v>
      </c>
      <c r="AN578" s="204" t="e">
        <f t="shared" si="1136"/>
        <v>#VALUE!</v>
      </c>
      <c r="AO578" s="204" t="e">
        <f t="shared" si="1137"/>
        <v>#VALUE!</v>
      </c>
      <c r="AP578" s="204" t="e">
        <f t="shared" si="1138"/>
        <v>#VALUE!</v>
      </c>
      <c r="AQ578" s="204" t="e">
        <f t="shared" si="1139"/>
        <v>#VALUE!</v>
      </c>
      <c r="AR578" s="206" t="e">
        <f t="shared" si="1116"/>
        <v>#VALUE!</v>
      </c>
      <c r="AS578" s="170" t="e">
        <f t="shared" si="1140"/>
        <v>#VALUE!</v>
      </c>
      <c r="AT578" s="170" t="e">
        <f t="shared" si="1141"/>
        <v>#VALUE!</v>
      </c>
      <c r="AU578" s="207" t="e">
        <f t="shared" si="1117"/>
        <v>#VALUE!</v>
      </c>
      <c r="AV578" s="208" t="e">
        <f t="shared" si="1118"/>
        <v>#VALUE!</v>
      </c>
      <c r="AW578" s="201" t="str">
        <f t="shared" si="1119"/>
        <v>Fase de Degradação</v>
      </c>
      <c r="AX578" s="253" t="e">
        <f>VLOOKUP(D578,#REF!,5,FALSE)</f>
        <v>#REF!</v>
      </c>
      <c r="AY578" s="201"/>
      <c r="AZ578" s="273" t="s">
        <v>1224</v>
      </c>
      <c r="BB578">
        <f>IFERROR(VLOOKUP(Tabela1[[#This Row],[Denominação]],[10]Planilha1!$A:$B,2,FALSE),"")</f>
        <v>68419.789999999979</v>
      </c>
      <c r="BC578" s="219"/>
      <c r="BD578" s="219"/>
      <c r="BE578" s="219"/>
      <c r="BF578" s="219"/>
      <c r="BG578" s="219"/>
      <c r="BH578" s="219"/>
      <c r="BI578" s="219"/>
      <c r="BJ578" s="219"/>
      <c r="BK578" s="219"/>
      <c r="BL578" s="219"/>
    </row>
    <row r="579" spans="1:64" ht="15" hidden="1" customHeight="1" x14ac:dyDescent="0.3">
      <c r="A579" s="268">
        <v>578</v>
      </c>
      <c r="B579" s="171" t="s">
        <v>681</v>
      </c>
      <c r="C579" s="209" t="s">
        <v>682</v>
      </c>
      <c r="D579" s="171">
        <v>20001640</v>
      </c>
      <c r="E579" s="253" t="s">
        <v>1548</v>
      </c>
      <c r="F579" s="210">
        <v>3327</v>
      </c>
      <c r="G579" s="171">
        <v>44140</v>
      </c>
      <c r="H579" s="171">
        <v>2016</v>
      </c>
      <c r="I579" s="213">
        <v>200653.87</v>
      </c>
      <c r="J579" s="213">
        <v>19274</v>
      </c>
      <c r="K579" s="170">
        <v>55801.569999999992</v>
      </c>
      <c r="L579" s="207">
        <v>0.97</v>
      </c>
      <c r="M579" s="212">
        <v>5433.1535999999996</v>
      </c>
      <c r="N579" s="212">
        <v>52976</v>
      </c>
      <c r="O579" s="171">
        <v>63</v>
      </c>
      <c r="P579" s="271" t="str">
        <f>IFERROR(VLOOKUP(Tabela1[[#This Row],[TAG]],#REF!,14,FALSE),"")</f>
        <v/>
      </c>
      <c r="Q579" s="204" t="e">
        <f t="shared" si="1120"/>
        <v>#VALUE!</v>
      </c>
      <c r="R579" s="204" t="e">
        <f t="shared" si="1121"/>
        <v>#VALUE!</v>
      </c>
      <c r="S579" s="204" t="e">
        <f t="shared" si="1122"/>
        <v>#VALUE!</v>
      </c>
      <c r="T579" s="204" t="e">
        <f t="shared" si="1123"/>
        <v>#VALUE!</v>
      </c>
      <c r="U579" s="204" t="e">
        <f t="shared" si="1124"/>
        <v>#VALUE!</v>
      </c>
      <c r="V579" s="204" t="e">
        <f t="shared" si="1125"/>
        <v>#VALUE!</v>
      </c>
      <c r="W579" s="218">
        <v>270.33999999999997</v>
      </c>
      <c r="X579" s="218">
        <v>469.73</v>
      </c>
      <c r="Y579" s="203">
        <v>0.1</v>
      </c>
      <c r="Z579" s="203">
        <f>IF(Tabela1[[#This Row],[Ano Aquisição]]=2023,0,IFERROR(VLOOKUP(H579,inflação!$F:$H,3,FALSE),""))</f>
        <v>0.37669999999999998</v>
      </c>
      <c r="AA579" s="203">
        <v>0.8</v>
      </c>
      <c r="AB579" s="202">
        <f t="shared" si="1114"/>
        <v>-200653.87</v>
      </c>
      <c r="AC579" s="204" t="e">
        <f t="shared" si="1126"/>
        <v>#VALUE!</v>
      </c>
      <c r="AD579" s="204" t="e">
        <f t="shared" si="1127"/>
        <v>#VALUE!</v>
      </c>
      <c r="AE579" s="204" t="e">
        <f t="shared" si="1128"/>
        <v>#VALUE!</v>
      </c>
      <c r="AF579" s="204" t="e">
        <f t="shared" si="1129"/>
        <v>#VALUE!</v>
      </c>
      <c r="AG579" s="204" t="e">
        <f t="shared" si="1130"/>
        <v>#VALUE!</v>
      </c>
      <c r="AH579" s="204" t="e">
        <f t="shared" si="1131"/>
        <v>#VALUE!</v>
      </c>
      <c r="AI579" s="204" t="e">
        <f t="shared" si="1132"/>
        <v>#VALUE!</v>
      </c>
      <c r="AJ579" s="205">
        <f t="shared" si="1115"/>
        <v>-276240.182829</v>
      </c>
      <c r="AK579" s="204" t="e">
        <f t="shared" si="1133"/>
        <v>#VALUE!</v>
      </c>
      <c r="AL579" s="204" t="e">
        <f t="shared" si="1134"/>
        <v>#VALUE!</v>
      </c>
      <c r="AM579" s="204" t="e">
        <f t="shared" si="1135"/>
        <v>#VALUE!</v>
      </c>
      <c r="AN579" s="204" t="e">
        <f t="shared" si="1136"/>
        <v>#VALUE!</v>
      </c>
      <c r="AO579" s="204" t="e">
        <f t="shared" si="1137"/>
        <v>#VALUE!</v>
      </c>
      <c r="AP579" s="204" t="e">
        <f t="shared" si="1138"/>
        <v>#VALUE!</v>
      </c>
      <c r="AQ579" s="204" t="e">
        <f t="shared" si="1139"/>
        <v>#VALUE!</v>
      </c>
      <c r="AR579" s="206" t="e">
        <f t="shared" si="1116"/>
        <v>#VALUE!</v>
      </c>
      <c r="AS579" s="170" t="e">
        <f t="shared" si="1140"/>
        <v>#VALUE!</v>
      </c>
      <c r="AT579" s="170" t="e">
        <f t="shared" si="1141"/>
        <v>#VALUE!</v>
      </c>
      <c r="AU579" s="207" t="e">
        <f t="shared" si="1117"/>
        <v>#VALUE!</v>
      </c>
      <c r="AV579" s="208" t="e">
        <f t="shared" si="1118"/>
        <v>#VALUE!</v>
      </c>
      <c r="AW579" s="201" t="str">
        <f t="shared" si="1119"/>
        <v>Confiabilidade em Crescimento</v>
      </c>
      <c r="AX579" s="253" t="e">
        <f>VLOOKUP(D579,#REF!,5,FALSE)</f>
        <v>#REF!</v>
      </c>
      <c r="AY579" s="201"/>
      <c r="AZ579" s="273" t="s">
        <v>1224</v>
      </c>
      <c r="BB579">
        <f>IFERROR(VLOOKUP(Tabela1[[#This Row],[Denominação]],[10]Planilha1!$A:$B,2,FALSE),"")</f>
        <v>55801.569999999992</v>
      </c>
      <c r="BC579" s="219"/>
      <c r="BD579" s="219"/>
      <c r="BE579" s="219"/>
      <c r="BF579" s="219"/>
      <c r="BG579" s="219"/>
      <c r="BH579" s="219"/>
      <c r="BI579" s="219"/>
      <c r="BJ579" s="219"/>
      <c r="BK579" s="219"/>
      <c r="BL579" s="219"/>
    </row>
    <row r="580" spans="1:64" ht="15" hidden="1" customHeight="1" x14ac:dyDescent="0.3">
      <c r="A580" s="253">
        <v>579</v>
      </c>
      <c r="B580" s="201" t="s">
        <v>1144</v>
      </c>
      <c r="C580" s="211" t="s">
        <v>1145</v>
      </c>
      <c r="D580" s="201">
        <v>20001912</v>
      </c>
      <c r="E580" s="253" t="s">
        <v>1414</v>
      </c>
      <c r="F580" s="253">
        <v>2111</v>
      </c>
      <c r="G580" s="171">
        <v>49195</v>
      </c>
      <c r="H580" s="171">
        <v>2012</v>
      </c>
      <c r="I580" s="213">
        <v>254773.54</v>
      </c>
      <c r="J580" s="213">
        <v>0</v>
      </c>
      <c r="K580" s="170">
        <v>58395.799999999996</v>
      </c>
      <c r="L580" s="215">
        <v>1.88</v>
      </c>
      <c r="M580" s="260">
        <v>4648.0871999999999</v>
      </c>
      <c r="N580" s="212">
        <v>55379</v>
      </c>
      <c r="O580" s="171">
        <v>5</v>
      </c>
      <c r="P580" s="271" t="str">
        <f>IFERROR(VLOOKUP(Tabela1[[#This Row],[TAG]],#REF!,14,FALSE),"")</f>
        <v/>
      </c>
      <c r="Q580" s="204" t="e">
        <f t="shared" si="1120"/>
        <v>#VALUE!</v>
      </c>
      <c r="R580" s="204" t="e">
        <f t="shared" si="1121"/>
        <v>#VALUE!</v>
      </c>
      <c r="S580" s="204" t="e">
        <f t="shared" si="1122"/>
        <v>#VALUE!</v>
      </c>
      <c r="T580" s="204" t="e">
        <f t="shared" si="1123"/>
        <v>#VALUE!</v>
      </c>
      <c r="U580" s="204" t="e">
        <f t="shared" si="1124"/>
        <v>#VALUE!</v>
      </c>
      <c r="V580" s="204" t="e">
        <f t="shared" si="1125"/>
        <v>#VALUE!</v>
      </c>
      <c r="W580" s="304">
        <v>205.85</v>
      </c>
      <c r="X580" s="304">
        <v>334.97</v>
      </c>
      <c r="Y580" s="203">
        <v>0.1</v>
      </c>
      <c r="Z580" s="203">
        <f>IF(Tabela1[[#This Row],[Ano Aquisição]]=2023,0,IFERROR(VLOOKUP(H580,inflação!$F:$H,3,FALSE),""))</f>
        <v>0.66500000000000004</v>
      </c>
      <c r="AA580" s="203">
        <v>0.8</v>
      </c>
      <c r="AB580" s="202">
        <f t="shared" si="1114"/>
        <v>-254773.54</v>
      </c>
      <c r="AC580" s="204" t="e">
        <f t="shared" si="1126"/>
        <v>#VALUE!</v>
      </c>
      <c r="AD580" s="204" t="e">
        <f t="shared" si="1127"/>
        <v>#VALUE!</v>
      </c>
      <c r="AE580" s="204" t="e">
        <f t="shared" si="1128"/>
        <v>#VALUE!</v>
      </c>
      <c r="AF580" s="204" t="e">
        <f t="shared" si="1129"/>
        <v>#VALUE!</v>
      </c>
      <c r="AG580" s="204" t="e">
        <f t="shared" si="1130"/>
        <v>#VALUE!</v>
      </c>
      <c r="AH580" s="204" t="e">
        <f t="shared" si="1131"/>
        <v>#VALUE!</v>
      </c>
      <c r="AI580" s="204" t="e">
        <f t="shared" si="1132"/>
        <v>#VALUE!</v>
      </c>
      <c r="AJ580" s="205">
        <f t="shared" si="1115"/>
        <v>-424197.94410000002</v>
      </c>
      <c r="AK580" s="204" t="e">
        <f t="shared" si="1133"/>
        <v>#VALUE!</v>
      </c>
      <c r="AL580" s="204" t="e">
        <f t="shared" si="1134"/>
        <v>#VALUE!</v>
      </c>
      <c r="AM580" s="204" t="e">
        <f t="shared" si="1135"/>
        <v>#VALUE!</v>
      </c>
      <c r="AN580" s="204" t="e">
        <f t="shared" si="1136"/>
        <v>#VALUE!</v>
      </c>
      <c r="AO580" s="204" t="e">
        <f t="shared" si="1137"/>
        <v>#VALUE!</v>
      </c>
      <c r="AP580" s="204" t="e">
        <f t="shared" si="1138"/>
        <v>#VALUE!</v>
      </c>
      <c r="AQ580" s="204" t="e">
        <f t="shared" si="1139"/>
        <v>#VALUE!</v>
      </c>
      <c r="AR580" s="206" t="e">
        <f t="shared" si="1116"/>
        <v>#VALUE!</v>
      </c>
      <c r="AS580" s="170" t="e">
        <f t="shared" si="1140"/>
        <v>#VALUE!</v>
      </c>
      <c r="AT580" s="170" t="e">
        <f t="shared" si="1141"/>
        <v>#VALUE!</v>
      </c>
      <c r="AU580" s="207" t="e">
        <f t="shared" si="1117"/>
        <v>#VALUE!</v>
      </c>
      <c r="AV580" s="208" t="e">
        <f t="shared" si="1118"/>
        <v>#VALUE!</v>
      </c>
      <c r="AW580" s="201" t="str">
        <f t="shared" si="1119"/>
        <v>Fase de Degradação</v>
      </c>
      <c r="AX580" s="253" t="e">
        <f>VLOOKUP(D580,#REF!,5,FALSE)</f>
        <v>#REF!</v>
      </c>
      <c r="AY580" s="201"/>
      <c r="AZ580" s="273" t="s">
        <v>1224</v>
      </c>
      <c r="BB580">
        <f>IFERROR(VLOOKUP(Tabela1[[#This Row],[Denominação]],[10]Planilha1!$A:$B,2,FALSE),"")</f>
        <v>58395.799999999996</v>
      </c>
      <c r="BC580" s="219"/>
      <c r="BD580" s="219"/>
      <c r="BE580" s="219"/>
      <c r="BF580" s="219"/>
      <c r="BG580" s="219"/>
      <c r="BH580" s="219"/>
      <c r="BI580" s="219"/>
      <c r="BJ580" s="219"/>
      <c r="BK580" s="219"/>
      <c r="BL580" s="219"/>
    </row>
    <row r="581" spans="1:64" ht="15" hidden="1" customHeight="1" x14ac:dyDescent="0.3">
      <c r="A581" s="268">
        <v>580</v>
      </c>
      <c r="B581" s="171" t="s">
        <v>693</v>
      </c>
      <c r="C581" s="267" t="s">
        <v>694</v>
      </c>
      <c r="D581" s="171">
        <v>20001955</v>
      </c>
      <c r="E581" s="253" t="s">
        <v>1441</v>
      </c>
      <c r="F581" s="210">
        <v>3117</v>
      </c>
      <c r="G581" s="171">
        <v>46553</v>
      </c>
      <c r="H581" s="171">
        <v>2016</v>
      </c>
      <c r="I581" s="213">
        <v>15338.79</v>
      </c>
      <c r="J581" s="213">
        <v>3595</v>
      </c>
      <c r="K581" s="170">
        <v>15384.150000000003</v>
      </c>
      <c r="L581" s="207">
        <v>0.85</v>
      </c>
      <c r="M581" s="212">
        <v>6441</v>
      </c>
      <c r="N581" s="212">
        <v>61189</v>
      </c>
      <c r="O581" s="171">
        <v>21</v>
      </c>
      <c r="P581" s="271" t="str">
        <f>IFERROR(VLOOKUP(Tabela1[[#This Row],[TAG]],#REF!,14,FALSE),"")</f>
        <v/>
      </c>
      <c r="Q581" s="204" t="e">
        <f t="shared" si="1120"/>
        <v>#VALUE!</v>
      </c>
      <c r="R581" s="204" t="e">
        <f t="shared" si="1121"/>
        <v>#VALUE!</v>
      </c>
      <c r="S581" s="204" t="e">
        <f t="shared" si="1122"/>
        <v>#VALUE!</v>
      </c>
      <c r="T581" s="204" t="e">
        <f t="shared" si="1123"/>
        <v>#VALUE!</v>
      </c>
      <c r="U581" s="204" t="e">
        <f t="shared" si="1124"/>
        <v>#VALUE!</v>
      </c>
      <c r="V581" s="204" t="e">
        <f t="shared" si="1125"/>
        <v>#VALUE!</v>
      </c>
      <c r="W581" s="218">
        <v>646.41999999999996</v>
      </c>
      <c r="X581" s="218">
        <v>393.13</v>
      </c>
      <c r="Y581" s="203">
        <v>0.1</v>
      </c>
      <c r="Z581" s="203">
        <f>IF(Tabela1[[#This Row],[Ano Aquisição]]=2023,0,IFERROR(VLOOKUP(H581,inflação!$F:$H,3,FALSE),""))</f>
        <v>0.37669999999999998</v>
      </c>
      <c r="AA581" s="203">
        <v>0.8</v>
      </c>
      <c r="AB581" s="202">
        <f t="shared" si="1114"/>
        <v>-15338.79</v>
      </c>
      <c r="AC581" s="204" t="e">
        <f t="shared" si="1126"/>
        <v>#VALUE!</v>
      </c>
      <c r="AD581" s="204" t="e">
        <f t="shared" si="1127"/>
        <v>#VALUE!</v>
      </c>
      <c r="AE581" s="204" t="e">
        <f t="shared" si="1128"/>
        <v>#VALUE!</v>
      </c>
      <c r="AF581" s="204" t="e">
        <f t="shared" si="1129"/>
        <v>#VALUE!</v>
      </c>
      <c r="AG581" s="204" t="e">
        <f t="shared" si="1130"/>
        <v>#VALUE!</v>
      </c>
      <c r="AH581" s="204" t="e">
        <f t="shared" si="1131"/>
        <v>#VALUE!</v>
      </c>
      <c r="AI581" s="204" t="e">
        <f t="shared" si="1132"/>
        <v>#VALUE!</v>
      </c>
      <c r="AJ581" s="205">
        <f t="shared" si="1115"/>
        <v>-21116.912193</v>
      </c>
      <c r="AK581" s="204" t="e">
        <f t="shared" si="1133"/>
        <v>#VALUE!</v>
      </c>
      <c r="AL581" s="204" t="e">
        <f t="shared" si="1134"/>
        <v>#VALUE!</v>
      </c>
      <c r="AM581" s="204" t="e">
        <f t="shared" si="1135"/>
        <v>#VALUE!</v>
      </c>
      <c r="AN581" s="204" t="e">
        <f t="shared" si="1136"/>
        <v>#VALUE!</v>
      </c>
      <c r="AO581" s="204" t="e">
        <f t="shared" si="1137"/>
        <v>#VALUE!</v>
      </c>
      <c r="AP581" s="204" t="e">
        <f t="shared" si="1138"/>
        <v>#VALUE!</v>
      </c>
      <c r="AQ581" s="204" t="e">
        <f t="shared" si="1139"/>
        <v>#VALUE!</v>
      </c>
      <c r="AR581" s="206" t="e">
        <f t="shared" si="1116"/>
        <v>#VALUE!</v>
      </c>
      <c r="AS581" s="170" t="e">
        <f t="shared" si="1140"/>
        <v>#VALUE!</v>
      </c>
      <c r="AT581" s="170" t="e">
        <f t="shared" si="1141"/>
        <v>#VALUE!</v>
      </c>
      <c r="AU581" s="207" t="e">
        <f t="shared" si="1117"/>
        <v>#VALUE!</v>
      </c>
      <c r="AV581" s="208" t="e">
        <f t="shared" si="1118"/>
        <v>#VALUE!</v>
      </c>
      <c r="AW581" s="201" t="str">
        <f t="shared" si="1119"/>
        <v>Confiabilidade em Crescimento</v>
      </c>
      <c r="AX581" s="253" t="e">
        <f>VLOOKUP(D581,#REF!,5,FALSE)</f>
        <v>#REF!</v>
      </c>
      <c r="AY581" s="201"/>
      <c r="AZ581" s="273" t="s">
        <v>1224</v>
      </c>
      <c r="BB581">
        <f>IFERROR(VLOOKUP(Tabela1[[#This Row],[Denominação]],[10]Planilha1!$A:$B,2,FALSE),"")</f>
        <v>15384.150000000003</v>
      </c>
      <c r="BC581" s="219"/>
      <c r="BD581" s="219"/>
      <c r="BE581" s="219"/>
      <c r="BF581" s="219"/>
      <c r="BG581" s="219"/>
      <c r="BH581" s="219"/>
      <c r="BI581" s="219"/>
      <c r="BJ581" s="219"/>
      <c r="BK581" s="219"/>
      <c r="BL581" s="219"/>
    </row>
    <row r="582" spans="1:64" ht="15" hidden="1" customHeight="1" x14ac:dyDescent="0.3">
      <c r="A582" s="253">
        <v>581</v>
      </c>
      <c r="B582" s="201" t="s">
        <v>833</v>
      </c>
      <c r="C582" s="211" t="s">
        <v>834</v>
      </c>
      <c r="D582" s="201">
        <v>10006400</v>
      </c>
      <c r="E582" s="253" t="s">
        <v>1401</v>
      </c>
      <c r="F582" s="253">
        <v>4566</v>
      </c>
      <c r="G582" s="171">
        <v>46289</v>
      </c>
      <c r="H582" s="201">
        <v>2016</v>
      </c>
      <c r="I582" s="216">
        <v>96897.04</v>
      </c>
      <c r="J582" s="213">
        <v>18406</v>
      </c>
      <c r="K582" s="170">
        <v>62959.479999999967</v>
      </c>
      <c r="L582" s="207">
        <v>1.66</v>
      </c>
      <c r="M582" s="212">
        <v>4408</v>
      </c>
      <c r="N582" s="212">
        <v>57903</v>
      </c>
      <c r="O582" s="171">
        <v>197</v>
      </c>
      <c r="P582" s="271" t="str">
        <f>IFERROR(VLOOKUP(Tabela1[[#This Row],[TAG]],#REF!,14,FALSE),"")</f>
        <v/>
      </c>
      <c r="Q582" s="204" t="e">
        <f t="shared" si="1120"/>
        <v>#VALUE!</v>
      </c>
      <c r="R582" s="204" t="e">
        <f t="shared" si="1121"/>
        <v>#VALUE!</v>
      </c>
      <c r="S582" s="204" t="e">
        <f t="shared" si="1122"/>
        <v>#VALUE!</v>
      </c>
      <c r="T582" s="204" t="e">
        <f t="shared" si="1123"/>
        <v>#VALUE!</v>
      </c>
      <c r="U582" s="204" t="e">
        <f t="shared" si="1124"/>
        <v>#VALUE!</v>
      </c>
      <c r="V582" s="204" t="e">
        <f t="shared" si="1125"/>
        <v>#VALUE!</v>
      </c>
      <c r="W582" s="218">
        <v>304.45</v>
      </c>
      <c r="X582" s="218">
        <v>251.71</v>
      </c>
      <c r="Y582" s="203">
        <v>0.1</v>
      </c>
      <c r="Z582" s="203">
        <f>IF(Tabela1[[#This Row],[Ano Aquisição]]=2023,0,IFERROR(VLOOKUP(H582,inflação!$F:$H,3,FALSE),""))</f>
        <v>0.37669999999999998</v>
      </c>
      <c r="AA582" s="203">
        <v>0.8</v>
      </c>
      <c r="AB582" s="202">
        <f t="shared" si="1114"/>
        <v>-96897.04</v>
      </c>
      <c r="AC582" s="204" t="e">
        <f t="shared" si="1126"/>
        <v>#VALUE!</v>
      </c>
      <c r="AD582" s="204" t="e">
        <f t="shared" si="1127"/>
        <v>#VALUE!</v>
      </c>
      <c r="AE582" s="204" t="e">
        <f t="shared" si="1128"/>
        <v>#VALUE!</v>
      </c>
      <c r="AF582" s="204" t="e">
        <f t="shared" si="1129"/>
        <v>#VALUE!</v>
      </c>
      <c r="AG582" s="204" t="e">
        <f t="shared" si="1130"/>
        <v>#VALUE!</v>
      </c>
      <c r="AH582" s="204" t="e">
        <f t="shared" si="1131"/>
        <v>#VALUE!</v>
      </c>
      <c r="AI582" s="204" t="e">
        <f t="shared" si="1132"/>
        <v>#VALUE!</v>
      </c>
      <c r="AJ582" s="205">
        <f t="shared" si="1115"/>
        <v>-133398.15496799999</v>
      </c>
      <c r="AK582" s="204" t="e">
        <f t="shared" si="1133"/>
        <v>#VALUE!</v>
      </c>
      <c r="AL582" s="204" t="e">
        <f t="shared" si="1134"/>
        <v>#VALUE!</v>
      </c>
      <c r="AM582" s="204" t="e">
        <f t="shared" si="1135"/>
        <v>#VALUE!</v>
      </c>
      <c r="AN582" s="204" t="e">
        <f t="shared" si="1136"/>
        <v>#VALUE!</v>
      </c>
      <c r="AO582" s="204" t="e">
        <f t="shared" si="1137"/>
        <v>#VALUE!</v>
      </c>
      <c r="AP582" s="204" t="e">
        <f t="shared" si="1138"/>
        <v>#VALUE!</v>
      </c>
      <c r="AQ582" s="204" t="e">
        <f t="shared" si="1139"/>
        <v>#VALUE!</v>
      </c>
      <c r="AR582" s="206" t="e">
        <f t="shared" si="1116"/>
        <v>#VALUE!</v>
      </c>
      <c r="AS582" s="170" t="e">
        <f t="shared" si="1140"/>
        <v>#VALUE!</v>
      </c>
      <c r="AT582" s="170" t="e">
        <f t="shared" si="1141"/>
        <v>#VALUE!</v>
      </c>
      <c r="AU582" s="207" t="e">
        <f t="shared" si="1117"/>
        <v>#VALUE!</v>
      </c>
      <c r="AV582" s="208" t="e">
        <f t="shared" si="1118"/>
        <v>#VALUE!</v>
      </c>
      <c r="AW582" s="201" t="str">
        <f t="shared" si="1119"/>
        <v>Fase de Degradação</v>
      </c>
      <c r="AX582" s="253" t="e">
        <f>VLOOKUP(D582,#REF!,5,FALSE)</f>
        <v>#REF!</v>
      </c>
      <c r="AY582" s="201"/>
      <c r="AZ582" s="273" t="s">
        <v>1224</v>
      </c>
      <c r="BB582">
        <f>IFERROR(VLOOKUP(Tabela1[[#This Row],[Denominação]],[10]Planilha1!$A:$B,2,FALSE),"")</f>
        <v>62959.479999999967</v>
      </c>
      <c r="BC582" s="219"/>
      <c r="BD582" s="219"/>
      <c r="BE582" s="219"/>
      <c r="BF582" s="219"/>
      <c r="BG582" s="219"/>
      <c r="BH582" s="219"/>
      <c r="BI582" s="219"/>
      <c r="BJ582" s="219"/>
      <c r="BK582" s="219"/>
      <c r="BL582" s="219"/>
    </row>
    <row r="583" spans="1:64" ht="15" hidden="1" customHeight="1" x14ac:dyDescent="0.3">
      <c r="A583" s="268">
        <v>582</v>
      </c>
      <c r="B583" s="171" t="s">
        <v>289</v>
      </c>
      <c r="C583" s="209" t="s">
        <v>290</v>
      </c>
      <c r="D583" s="171">
        <v>10006429</v>
      </c>
      <c r="E583" s="253" t="s">
        <v>1513</v>
      </c>
      <c r="F583" s="210">
        <v>4568</v>
      </c>
      <c r="G583" s="171" t="s">
        <v>1666</v>
      </c>
      <c r="H583" s="171">
        <v>2016</v>
      </c>
      <c r="I583" s="213">
        <v>125609.15</v>
      </c>
      <c r="J583" s="214">
        <f>(I583-((2023-H583)*I583/8))</f>
        <v>15701.143750000003</v>
      </c>
      <c r="K583" s="170">
        <v>96725.410000000018</v>
      </c>
      <c r="L583" s="207">
        <v>0.6</v>
      </c>
      <c r="M583" s="212">
        <v>5434</v>
      </c>
      <c r="N583" s="212">
        <v>58542</v>
      </c>
      <c r="O583" s="171">
        <v>201</v>
      </c>
      <c r="P583" s="271" t="str">
        <f>IFERROR(VLOOKUP(Tabela1[[#This Row],[TAG]],#REF!,14,FALSE),"")</f>
        <v/>
      </c>
      <c r="Q583" s="262" t="e">
        <f t="shared" si="1120"/>
        <v>#VALUE!</v>
      </c>
      <c r="R583" s="262" t="e">
        <f t="shared" si="1121"/>
        <v>#VALUE!</v>
      </c>
      <c r="S583" s="262" t="e">
        <f t="shared" si="1122"/>
        <v>#VALUE!</v>
      </c>
      <c r="T583" s="262" t="e">
        <f t="shared" si="1123"/>
        <v>#VALUE!</v>
      </c>
      <c r="U583" s="262" t="e">
        <f t="shared" si="1124"/>
        <v>#VALUE!</v>
      </c>
      <c r="V583" s="262" t="e">
        <f t="shared" si="1125"/>
        <v>#VALUE!</v>
      </c>
      <c r="W583" s="218">
        <v>314.64</v>
      </c>
      <c r="X583" s="218">
        <v>925.73534889999996</v>
      </c>
      <c r="Y583" s="203">
        <v>0.1</v>
      </c>
      <c r="Z583" s="203">
        <f>IF(Tabela1[[#This Row],[Ano Aquisição]]=2023,0,IFERROR(VLOOKUP(H583,inflação!$F:$H,3,FALSE),""))</f>
        <v>0.37669999999999998</v>
      </c>
      <c r="AA583" s="203">
        <v>0.8</v>
      </c>
      <c r="AB583" s="202">
        <f t="shared" si="1114"/>
        <v>-125609.15</v>
      </c>
      <c r="AC583" s="204" t="e">
        <f t="shared" si="1126"/>
        <v>#VALUE!</v>
      </c>
      <c r="AD583" s="204" t="e">
        <f t="shared" si="1127"/>
        <v>#VALUE!</v>
      </c>
      <c r="AE583" s="204" t="e">
        <f t="shared" si="1128"/>
        <v>#VALUE!</v>
      </c>
      <c r="AF583" s="204" t="e">
        <f t="shared" si="1129"/>
        <v>#VALUE!</v>
      </c>
      <c r="AG583" s="204" t="e">
        <f t="shared" si="1130"/>
        <v>#VALUE!</v>
      </c>
      <c r="AH583" s="204" t="e">
        <f t="shared" si="1131"/>
        <v>#VALUE!</v>
      </c>
      <c r="AI583" s="204" t="e">
        <f t="shared" si="1132"/>
        <v>#VALUE!</v>
      </c>
      <c r="AJ583" s="205">
        <f t="shared" si="1115"/>
        <v>-172926.116805</v>
      </c>
      <c r="AK583" s="204" t="e">
        <f t="shared" si="1133"/>
        <v>#VALUE!</v>
      </c>
      <c r="AL583" s="204" t="e">
        <f t="shared" si="1134"/>
        <v>#VALUE!</v>
      </c>
      <c r="AM583" s="204" t="e">
        <f t="shared" si="1135"/>
        <v>#VALUE!</v>
      </c>
      <c r="AN583" s="204" t="e">
        <f t="shared" si="1136"/>
        <v>#VALUE!</v>
      </c>
      <c r="AO583" s="204" t="e">
        <f t="shared" si="1137"/>
        <v>#VALUE!</v>
      </c>
      <c r="AP583" s="204" t="e">
        <f t="shared" si="1138"/>
        <v>#VALUE!</v>
      </c>
      <c r="AQ583" s="204" t="e">
        <f t="shared" si="1139"/>
        <v>#VALUE!</v>
      </c>
      <c r="AR583" s="206" t="e">
        <f t="shared" si="1116"/>
        <v>#VALUE!</v>
      </c>
      <c r="AS583" s="170" t="e">
        <f t="shared" si="1140"/>
        <v>#VALUE!</v>
      </c>
      <c r="AT583" s="170" t="e">
        <f t="shared" si="1141"/>
        <v>#VALUE!</v>
      </c>
      <c r="AU583" s="207" t="e">
        <f t="shared" si="1117"/>
        <v>#VALUE!</v>
      </c>
      <c r="AV583" s="208" t="e">
        <f t="shared" si="1118"/>
        <v>#VALUE!</v>
      </c>
      <c r="AW583" s="201" t="str">
        <f t="shared" si="1119"/>
        <v>Confiabilidade em Crescimento</v>
      </c>
      <c r="AX583" s="253" t="e">
        <f>VLOOKUP(D583,#REF!,5,FALSE)</f>
        <v>#REF!</v>
      </c>
      <c r="AY583" s="201"/>
      <c r="AZ583" s="273" t="s">
        <v>1224</v>
      </c>
      <c r="BB583">
        <f>IFERROR(VLOOKUP(Tabela1[[#This Row],[Denominação]],[10]Planilha1!$A:$B,2,FALSE),"")</f>
        <v>96725.410000000018</v>
      </c>
      <c r="BC583" s="219"/>
      <c r="BD583" s="219"/>
      <c r="BE583" s="219"/>
      <c r="BF583" s="219"/>
      <c r="BG583" s="219"/>
      <c r="BH583" s="219"/>
      <c r="BI583" s="219"/>
      <c r="BJ583" s="219"/>
      <c r="BK583" s="219"/>
      <c r="BL583" s="219"/>
    </row>
    <row r="584" spans="1:64" ht="15" hidden="1" customHeight="1" x14ac:dyDescent="0.3">
      <c r="A584" s="253">
        <v>583</v>
      </c>
      <c r="B584" s="171" t="s">
        <v>476</v>
      </c>
      <c r="C584" s="209" t="s">
        <v>504</v>
      </c>
      <c r="D584" s="171">
        <v>10006444</v>
      </c>
      <c r="E584" s="253" t="s">
        <v>1452</v>
      </c>
      <c r="F584" s="210">
        <v>4511</v>
      </c>
      <c r="G584" s="171">
        <v>46745</v>
      </c>
      <c r="H584" s="171">
        <v>2016</v>
      </c>
      <c r="I584" s="213">
        <v>315800.82</v>
      </c>
      <c r="J584" s="213">
        <v>81869</v>
      </c>
      <c r="K584" s="170">
        <v>101527.08999999995</v>
      </c>
      <c r="L584" s="215">
        <v>0.92</v>
      </c>
      <c r="M584" s="212" t="str">
        <f>IFERROR(VLOOKUP(Tabela1[[#This Row],[Denominação]],#REF!,7,FALSE),"")</f>
        <v/>
      </c>
      <c r="N584" s="212">
        <v>52311</v>
      </c>
      <c r="O584" s="171">
        <v>83</v>
      </c>
      <c r="P584" s="271" t="str">
        <f>IFERROR(VLOOKUP(Tabela1[[#This Row],[TAG]],#REF!,14,FALSE),"")</f>
        <v/>
      </c>
      <c r="Q584" s="204" t="e">
        <f t="shared" si="1120"/>
        <v>#VALUE!</v>
      </c>
      <c r="R584" s="204" t="e">
        <f t="shared" si="1121"/>
        <v>#VALUE!</v>
      </c>
      <c r="S584" s="204" t="e">
        <f t="shared" si="1122"/>
        <v>#VALUE!</v>
      </c>
      <c r="T584" s="204" t="e">
        <f t="shared" si="1123"/>
        <v>#VALUE!</v>
      </c>
      <c r="U584" s="204" t="e">
        <f t="shared" si="1124"/>
        <v>#VALUE!</v>
      </c>
      <c r="V584" s="204" t="e">
        <f t="shared" si="1125"/>
        <v>#VALUE!</v>
      </c>
      <c r="W584" s="218">
        <v>385.54</v>
      </c>
      <c r="X584" s="218">
        <v>1139.01</v>
      </c>
      <c r="Y584" s="203">
        <v>0.1</v>
      </c>
      <c r="Z584" s="203">
        <f>IF(Tabela1[[#This Row],[Ano Aquisição]]=2023,0,IFERROR(VLOOKUP(H584,inflação!$F:$H,3,FALSE),""))</f>
        <v>0.37669999999999998</v>
      </c>
      <c r="AA584" s="203">
        <v>0.8</v>
      </c>
      <c r="AB584" s="202">
        <f t="shared" si="1114"/>
        <v>-315800.82</v>
      </c>
      <c r="AC584" s="204" t="e">
        <f t="shared" si="1126"/>
        <v>#VALUE!</v>
      </c>
      <c r="AD584" s="204" t="e">
        <f t="shared" si="1127"/>
        <v>#VALUE!</v>
      </c>
      <c r="AE584" s="204" t="e">
        <f t="shared" si="1128"/>
        <v>#VALUE!</v>
      </c>
      <c r="AF584" s="204" t="e">
        <f t="shared" si="1129"/>
        <v>#VALUE!</v>
      </c>
      <c r="AG584" s="204" t="e">
        <f t="shared" si="1130"/>
        <v>#VALUE!</v>
      </c>
      <c r="AH584" s="204" t="e">
        <f t="shared" si="1131"/>
        <v>#VALUE!</v>
      </c>
      <c r="AI584" s="204" t="e">
        <f t="shared" si="1132"/>
        <v>#VALUE!</v>
      </c>
      <c r="AJ584" s="205">
        <f t="shared" si="1115"/>
        <v>-434762.98889400001</v>
      </c>
      <c r="AK584" s="204" t="e">
        <f t="shared" si="1133"/>
        <v>#VALUE!</v>
      </c>
      <c r="AL584" s="204" t="e">
        <f t="shared" si="1134"/>
        <v>#VALUE!</v>
      </c>
      <c r="AM584" s="204" t="e">
        <f t="shared" si="1135"/>
        <v>#VALUE!</v>
      </c>
      <c r="AN584" s="204" t="e">
        <f t="shared" si="1136"/>
        <v>#VALUE!</v>
      </c>
      <c r="AO584" s="204" t="e">
        <f t="shared" si="1137"/>
        <v>#VALUE!</v>
      </c>
      <c r="AP584" s="204" t="e">
        <f t="shared" si="1138"/>
        <v>#VALUE!</v>
      </c>
      <c r="AQ584" s="204" t="e">
        <f t="shared" si="1139"/>
        <v>#VALUE!</v>
      </c>
      <c r="AR584" s="206" t="e">
        <f t="shared" si="1116"/>
        <v>#VALUE!</v>
      </c>
      <c r="AS584" s="170" t="e">
        <f t="shared" si="1140"/>
        <v>#VALUE!</v>
      </c>
      <c r="AT584" s="170" t="e">
        <f t="shared" si="1141"/>
        <v>#VALUE!</v>
      </c>
      <c r="AU584" s="207" t="e">
        <f t="shared" si="1117"/>
        <v>#VALUE!</v>
      </c>
      <c r="AV584" s="208" t="e">
        <f t="shared" si="1118"/>
        <v>#VALUE!</v>
      </c>
      <c r="AW584" s="201" t="str">
        <f t="shared" si="1119"/>
        <v>Confiabilidade em Crescimento</v>
      </c>
      <c r="AX584" s="253" t="e">
        <f>VLOOKUP(D584,#REF!,5,FALSE)</f>
        <v>#REF!</v>
      </c>
      <c r="AY584" s="201"/>
      <c r="AZ584" s="273" t="s">
        <v>1224</v>
      </c>
      <c r="BB584">
        <f>IFERROR(VLOOKUP(Tabela1[[#This Row],[Denominação]],[10]Planilha1!$A:$B,2,FALSE),"")</f>
        <v>101527.08999999995</v>
      </c>
      <c r="BC584" s="219"/>
      <c r="BD584" s="219"/>
      <c r="BE584" s="219"/>
      <c r="BF584" s="219"/>
      <c r="BG584" s="219"/>
      <c r="BH584" s="219"/>
      <c r="BI584" s="219"/>
      <c r="BJ584" s="219"/>
      <c r="BK584" s="219"/>
      <c r="BL584" s="219"/>
    </row>
    <row r="585" spans="1:64" ht="15" hidden="1" customHeight="1" x14ac:dyDescent="0.3">
      <c r="A585" s="268">
        <v>584</v>
      </c>
      <c r="B585" s="171" t="s">
        <v>477</v>
      </c>
      <c r="C585" s="209" t="s">
        <v>505</v>
      </c>
      <c r="D585" s="171">
        <v>10006445</v>
      </c>
      <c r="E585" s="253" t="s">
        <v>1452</v>
      </c>
      <c r="F585" s="210">
        <v>4511</v>
      </c>
      <c r="G585" s="171">
        <v>46746</v>
      </c>
      <c r="H585" s="171">
        <v>2016</v>
      </c>
      <c r="I585" s="213">
        <v>262417.05</v>
      </c>
      <c r="J585" s="213">
        <v>68030</v>
      </c>
      <c r="K585" s="170">
        <v>51960.609999999986</v>
      </c>
      <c r="L585" s="215">
        <v>1.33</v>
      </c>
      <c r="M585" s="212" t="str">
        <f>IFERROR(VLOOKUP(Tabela1[[#This Row],[Denominação]],#REF!,7,FALSE),"")</f>
        <v/>
      </c>
      <c r="N585" s="212">
        <v>53912</v>
      </c>
      <c r="O585" s="171">
        <v>59</v>
      </c>
      <c r="P585" s="271" t="str">
        <f>IFERROR(VLOOKUP(Tabela1[[#This Row],[TAG]],#REF!,14,FALSE),"")</f>
        <v/>
      </c>
      <c r="Q585" s="204" t="e">
        <f>P585+P585</f>
        <v>#VALUE!</v>
      </c>
      <c r="R585" s="204" t="e">
        <f t="shared" si="1121"/>
        <v>#VALUE!</v>
      </c>
      <c r="S585" s="204" t="e">
        <f t="shared" si="1122"/>
        <v>#VALUE!</v>
      </c>
      <c r="T585" s="204" t="e">
        <f t="shared" si="1123"/>
        <v>#VALUE!</v>
      </c>
      <c r="U585" s="204" t="e">
        <f t="shared" si="1124"/>
        <v>#VALUE!</v>
      </c>
      <c r="V585" s="204" t="e">
        <f t="shared" si="1125"/>
        <v>#VALUE!</v>
      </c>
      <c r="W585" s="218">
        <v>257.57</v>
      </c>
      <c r="X585" s="218">
        <v>611.20000000000005</v>
      </c>
      <c r="Y585" s="203">
        <v>0.1</v>
      </c>
      <c r="Z585" s="203">
        <f>IF(Tabela1[[#This Row],[Ano Aquisição]]=2023,0,IFERROR(VLOOKUP(H585,inflação!$F:$H,3,FALSE),""))</f>
        <v>0.37669999999999998</v>
      </c>
      <c r="AA585" s="203">
        <v>0.8</v>
      </c>
      <c r="AB585" s="202">
        <f t="shared" si="1114"/>
        <v>-262417.05</v>
      </c>
      <c r="AC585" s="204" t="e">
        <f t="shared" si="1126"/>
        <v>#VALUE!</v>
      </c>
      <c r="AD585" s="204" t="e">
        <f t="shared" si="1127"/>
        <v>#VALUE!</v>
      </c>
      <c r="AE585" s="204" t="e">
        <f t="shared" si="1128"/>
        <v>#VALUE!</v>
      </c>
      <c r="AF585" s="204" t="e">
        <f t="shared" si="1129"/>
        <v>#VALUE!</v>
      </c>
      <c r="AG585" s="204" t="e">
        <f t="shared" si="1130"/>
        <v>#VALUE!</v>
      </c>
      <c r="AH585" s="204" t="e">
        <f t="shared" si="1131"/>
        <v>#VALUE!</v>
      </c>
      <c r="AI585" s="204" t="e">
        <f t="shared" si="1132"/>
        <v>#VALUE!</v>
      </c>
      <c r="AJ585" s="205">
        <f t="shared" si="1115"/>
        <v>-361269.55273499998</v>
      </c>
      <c r="AK585" s="204" t="e">
        <f t="shared" si="1133"/>
        <v>#VALUE!</v>
      </c>
      <c r="AL585" s="204" t="e">
        <f t="shared" si="1134"/>
        <v>#VALUE!</v>
      </c>
      <c r="AM585" s="204" t="e">
        <f t="shared" si="1135"/>
        <v>#VALUE!</v>
      </c>
      <c r="AN585" s="204" t="e">
        <f t="shared" si="1136"/>
        <v>#VALUE!</v>
      </c>
      <c r="AO585" s="204" t="e">
        <f t="shared" si="1137"/>
        <v>#VALUE!</v>
      </c>
      <c r="AP585" s="204" t="e">
        <f t="shared" si="1138"/>
        <v>#VALUE!</v>
      </c>
      <c r="AQ585" s="204" t="e">
        <f t="shared" si="1139"/>
        <v>#VALUE!</v>
      </c>
      <c r="AR585" s="206" t="e">
        <f t="shared" si="1116"/>
        <v>#VALUE!</v>
      </c>
      <c r="AS585" s="170" t="e">
        <f t="shared" si="1140"/>
        <v>#VALUE!</v>
      </c>
      <c r="AT585" s="170" t="e">
        <f t="shared" si="1141"/>
        <v>#VALUE!</v>
      </c>
      <c r="AU585" s="207" t="e">
        <f t="shared" si="1117"/>
        <v>#VALUE!</v>
      </c>
      <c r="AV585" s="208" t="e">
        <f t="shared" si="1118"/>
        <v>#VALUE!</v>
      </c>
      <c r="AW585" s="201" t="str">
        <f t="shared" si="1119"/>
        <v>Fase de Degradação</v>
      </c>
      <c r="AX585" s="253" t="e">
        <f>VLOOKUP(D585,#REF!,5,FALSE)</f>
        <v>#REF!</v>
      </c>
      <c r="AY585" s="201"/>
      <c r="AZ585" s="273" t="s">
        <v>1224</v>
      </c>
      <c r="BB585">
        <f>IFERROR(VLOOKUP(Tabela1[[#This Row],[Denominação]],[10]Planilha1!$A:$B,2,FALSE),"")</f>
        <v>51960.609999999986</v>
      </c>
      <c r="BC585" s="219"/>
      <c r="BD585" s="219"/>
      <c r="BE585" s="219"/>
      <c r="BF585" s="219"/>
      <c r="BG585" s="219"/>
      <c r="BH585" s="219"/>
      <c r="BI585" s="219"/>
      <c r="BJ585" s="219"/>
      <c r="BK585" s="219"/>
      <c r="BL585" s="219"/>
    </row>
    <row r="586" spans="1:64" ht="15" hidden="1" customHeight="1" x14ac:dyDescent="0.3">
      <c r="A586" s="253">
        <v>585</v>
      </c>
      <c r="B586" s="171" t="s">
        <v>478</v>
      </c>
      <c r="C586" s="209" t="s">
        <v>506</v>
      </c>
      <c r="D586" s="171">
        <v>10006446</v>
      </c>
      <c r="E586" s="253" t="s">
        <v>1452</v>
      </c>
      <c r="F586" s="210">
        <v>4511</v>
      </c>
      <c r="G586" s="171">
        <v>46747</v>
      </c>
      <c r="H586" s="171">
        <v>2016</v>
      </c>
      <c r="I586" s="213">
        <v>262417.05</v>
      </c>
      <c r="J586" s="213">
        <v>68030</v>
      </c>
      <c r="K586" s="170">
        <v>92985.579999999958</v>
      </c>
      <c r="L586" s="215">
        <v>2.16</v>
      </c>
      <c r="M586" s="212" t="str">
        <f>IFERROR(VLOOKUP(Tabela1[[#This Row],[Denominação]],#REF!,7,FALSE),"")</f>
        <v/>
      </c>
      <c r="N586" s="212">
        <v>41909</v>
      </c>
      <c r="O586" s="171">
        <v>37</v>
      </c>
      <c r="P586" s="271" t="str">
        <f>IFERROR(VLOOKUP(Tabela1[[#This Row],[TAG]],#REF!,14,FALSE),"")</f>
        <v/>
      </c>
      <c r="Q586" s="204" t="e">
        <f t="shared" si="1120"/>
        <v>#VALUE!</v>
      </c>
      <c r="R586" s="204" t="e">
        <f t="shared" si="1121"/>
        <v>#VALUE!</v>
      </c>
      <c r="S586" s="204" t="e">
        <f t="shared" si="1122"/>
        <v>#VALUE!</v>
      </c>
      <c r="T586" s="204" t="e">
        <f t="shared" si="1123"/>
        <v>#VALUE!</v>
      </c>
      <c r="U586" s="204" t="e">
        <f t="shared" si="1124"/>
        <v>#VALUE!</v>
      </c>
      <c r="V586" s="204" t="e">
        <f t="shared" si="1125"/>
        <v>#VALUE!</v>
      </c>
      <c r="W586" s="218">
        <v>468.95</v>
      </c>
      <c r="X586" s="218">
        <v>987.52</v>
      </c>
      <c r="Y586" s="203">
        <v>0.1</v>
      </c>
      <c r="Z586" s="203">
        <f>IF(Tabela1[[#This Row],[Ano Aquisição]]=2023,0,IFERROR(VLOOKUP(H586,inflação!$F:$H,3,FALSE),""))</f>
        <v>0.37669999999999998</v>
      </c>
      <c r="AA586" s="203">
        <v>0.8</v>
      </c>
      <c r="AB586" s="202">
        <f t="shared" si="1114"/>
        <v>-262417.05</v>
      </c>
      <c r="AC586" s="204" t="e">
        <f t="shared" si="1126"/>
        <v>#VALUE!</v>
      </c>
      <c r="AD586" s="204" t="e">
        <f t="shared" si="1127"/>
        <v>#VALUE!</v>
      </c>
      <c r="AE586" s="204" t="e">
        <f t="shared" si="1128"/>
        <v>#VALUE!</v>
      </c>
      <c r="AF586" s="204" t="e">
        <f t="shared" si="1129"/>
        <v>#VALUE!</v>
      </c>
      <c r="AG586" s="204" t="e">
        <f t="shared" si="1130"/>
        <v>#VALUE!</v>
      </c>
      <c r="AH586" s="204" t="e">
        <f t="shared" si="1131"/>
        <v>#VALUE!</v>
      </c>
      <c r="AI586" s="204" t="e">
        <f t="shared" si="1132"/>
        <v>#VALUE!</v>
      </c>
      <c r="AJ586" s="205">
        <f t="shared" si="1115"/>
        <v>-361269.55273499998</v>
      </c>
      <c r="AK586" s="204" t="e">
        <f t="shared" si="1133"/>
        <v>#VALUE!</v>
      </c>
      <c r="AL586" s="204" t="e">
        <f t="shared" si="1134"/>
        <v>#VALUE!</v>
      </c>
      <c r="AM586" s="204" t="e">
        <f t="shared" si="1135"/>
        <v>#VALUE!</v>
      </c>
      <c r="AN586" s="204" t="e">
        <f t="shared" si="1136"/>
        <v>#VALUE!</v>
      </c>
      <c r="AO586" s="204" t="e">
        <f t="shared" si="1137"/>
        <v>#VALUE!</v>
      </c>
      <c r="AP586" s="204" t="e">
        <f t="shared" si="1138"/>
        <v>#VALUE!</v>
      </c>
      <c r="AQ586" s="204" t="e">
        <f t="shared" si="1139"/>
        <v>#VALUE!</v>
      </c>
      <c r="AR586" s="206" t="e">
        <f t="shared" si="1116"/>
        <v>#VALUE!</v>
      </c>
      <c r="AS586" s="170" t="e">
        <f t="shared" si="1140"/>
        <v>#VALUE!</v>
      </c>
      <c r="AT586" s="170" t="e">
        <f t="shared" si="1141"/>
        <v>#VALUE!</v>
      </c>
      <c r="AU586" s="207" t="e">
        <f t="shared" si="1117"/>
        <v>#VALUE!</v>
      </c>
      <c r="AV586" s="208" t="e">
        <f t="shared" si="1118"/>
        <v>#VALUE!</v>
      </c>
      <c r="AW586" s="201" t="str">
        <f t="shared" si="1119"/>
        <v>Fase de Degradação</v>
      </c>
      <c r="AX586" s="253" t="e">
        <f>VLOOKUP(D586,#REF!,5,FALSE)</f>
        <v>#REF!</v>
      </c>
      <c r="AY586" s="201"/>
      <c r="AZ586" s="273" t="s">
        <v>1224</v>
      </c>
      <c r="BB586">
        <f>IFERROR(VLOOKUP(Tabela1[[#This Row],[Denominação]],[10]Planilha1!$A:$B,2,FALSE),"")</f>
        <v>92985.579999999958</v>
      </c>
      <c r="BC586" s="219"/>
      <c r="BD586" s="219"/>
      <c r="BE586" s="219"/>
      <c r="BF586" s="219"/>
      <c r="BG586" s="219"/>
      <c r="BH586" s="219"/>
      <c r="BI586" s="219"/>
      <c r="BJ586" s="219"/>
      <c r="BK586" s="219"/>
      <c r="BL586" s="219"/>
    </row>
    <row r="587" spans="1:64" ht="15" hidden="1" customHeight="1" x14ac:dyDescent="0.3">
      <c r="A587" s="268">
        <v>586</v>
      </c>
      <c r="B587" s="171" t="s">
        <v>687</v>
      </c>
      <c r="C587" s="209" t="s">
        <v>688</v>
      </c>
      <c r="D587" s="171">
        <v>20002372</v>
      </c>
      <c r="E587" s="253" t="s">
        <v>1472</v>
      </c>
      <c r="F587" s="210">
        <v>2517</v>
      </c>
      <c r="G587" s="171">
        <v>47156</v>
      </c>
      <c r="H587" s="171">
        <v>2016</v>
      </c>
      <c r="I587" s="213">
        <v>123878.73</v>
      </c>
      <c r="J587" s="213">
        <v>40822</v>
      </c>
      <c r="K587" s="170">
        <v>11351.15</v>
      </c>
      <c r="L587" s="207">
        <v>0.64</v>
      </c>
      <c r="M587" s="320">
        <v>5081</v>
      </c>
      <c r="N587" s="212">
        <v>8902</v>
      </c>
      <c r="O587" s="171">
        <v>4</v>
      </c>
      <c r="P587" s="271" t="str">
        <f>IFERROR(VLOOKUP(Tabela1[[#This Row],[TAG]],#REF!,14,FALSE),"")</f>
        <v/>
      </c>
      <c r="Q587" s="204" t="e">
        <f t="shared" si="1120"/>
        <v>#VALUE!</v>
      </c>
      <c r="R587" s="204" t="e">
        <f t="shared" si="1121"/>
        <v>#VALUE!</v>
      </c>
      <c r="S587" s="204" t="e">
        <f t="shared" si="1122"/>
        <v>#VALUE!</v>
      </c>
      <c r="T587" s="204" t="e">
        <f t="shared" si="1123"/>
        <v>#VALUE!</v>
      </c>
      <c r="U587" s="204" t="e">
        <f t="shared" si="1124"/>
        <v>#VALUE!</v>
      </c>
      <c r="V587" s="204" t="e">
        <f t="shared" si="1125"/>
        <v>#VALUE!</v>
      </c>
      <c r="W587" s="304">
        <v>471.75</v>
      </c>
      <c r="X587" s="304">
        <v>447.95</v>
      </c>
      <c r="Y587" s="203">
        <v>0.1</v>
      </c>
      <c r="Z587" s="203">
        <f>IF(Tabela1[[#This Row],[Ano Aquisição]]=2023,0,IFERROR(VLOOKUP(H587,inflação!$F:$H,3,FALSE),""))</f>
        <v>0.37669999999999998</v>
      </c>
      <c r="AA587" s="203">
        <v>0.8</v>
      </c>
      <c r="AB587" s="202">
        <f t="shared" si="1114"/>
        <v>-123878.73</v>
      </c>
      <c r="AC587" s="204" t="e">
        <f t="shared" si="1126"/>
        <v>#VALUE!</v>
      </c>
      <c r="AD587" s="204" t="e">
        <f t="shared" si="1127"/>
        <v>#VALUE!</v>
      </c>
      <c r="AE587" s="204" t="e">
        <f t="shared" si="1128"/>
        <v>#VALUE!</v>
      </c>
      <c r="AF587" s="204" t="e">
        <f t="shared" si="1129"/>
        <v>#VALUE!</v>
      </c>
      <c r="AG587" s="204" t="e">
        <f t="shared" si="1130"/>
        <v>#VALUE!</v>
      </c>
      <c r="AH587" s="204" t="e">
        <f t="shared" si="1131"/>
        <v>#VALUE!</v>
      </c>
      <c r="AI587" s="204" t="e">
        <f t="shared" si="1132"/>
        <v>#VALUE!</v>
      </c>
      <c r="AJ587" s="205">
        <f t="shared" si="1115"/>
        <v>-170543.847591</v>
      </c>
      <c r="AK587" s="204" t="e">
        <f t="shared" si="1133"/>
        <v>#VALUE!</v>
      </c>
      <c r="AL587" s="204" t="e">
        <f t="shared" si="1134"/>
        <v>#VALUE!</v>
      </c>
      <c r="AM587" s="204" t="e">
        <f t="shared" si="1135"/>
        <v>#VALUE!</v>
      </c>
      <c r="AN587" s="204" t="e">
        <f t="shared" si="1136"/>
        <v>#VALUE!</v>
      </c>
      <c r="AO587" s="204" t="e">
        <f t="shared" si="1137"/>
        <v>#VALUE!</v>
      </c>
      <c r="AP587" s="204" t="e">
        <f t="shared" si="1138"/>
        <v>#VALUE!</v>
      </c>
      <c r="AQ587" s="204" t="e">
        <f t="shared" si="1139"/>
        <v>#VALUE!</v>
      </c>
      <c r="AR587" s="206" t="e">
        <f t="shared" si="1116"/>
        <v>#VALUE!</v>
      </c>
      <c r="AS587" s="170" t="e">
        <f t="shared" si="1140"/>
        <v>#VALUE!</v>
      </c>
      <c r="AT587" s="170" t="e">
        <f t="shared" si="1141"/>
        <v>#VALUE!</v>
      </c>
      <c r="AU587" s="207" t="e">
        <f t="shared" si="1117"/>
        <v>#VALUE!</v>
      </c>
      <c r="AV587" s="208" t="e">
        <f t="shared" si="1118"/>
        <v>#VALUE!</v>
      </c>
      <c r="AW587" s="201" t="str">
        <f t="shared" si="1119"/>
        <v>Confiabilidade em Crescimento</v>
      </c>
      <c r="AX587" s="253" t="e">
        <f>VLOOKUP(D587,#REF!,5,FALSE)</f>
        <v>#REF!</v>
      </c>
      <c r="AY587" s="201"/>
      <c r="AZ587" s="273" t="s">
        <v>1224</v>
      </c>
      <c r="BB587">
        <f>IFERROR(VLOOKUP(Tabela1[[#This Row],[Denominação]],[10]Planilha1!$A:$B,2,FALSE),"")</f>
        <v>11351.15</v>
      </c>
      <c r="BC587" s="219"/>
      <c r="BD587" s="219"/>
      <c r="BE587" s="219"/>
      <c r="BF587" s="219"/>
      <c r="BG587" s="219"/>
      <c r="BH587" s="219"/>
      <c r="BI587" s="219"/>
      <c r="BJ587" s="219"/>
      <c r="BK587" s="219"/>
      <c r="BL587" s="219"/>
    </row>
    <row r="588" spans="1:64" ht="15" hidden="1" customHeight="1" x14ac:dyDescent="0.3">
      <c r="A588" s="253">
        <v>587</v>
      </c>
      <c r="B588" s="171" t="s">
        <v>661</v>
      </c>
      <c r="C588" s="209" t="s">
        <v>662</v>
      </c>
      <c r="D588" s="171">
        <v>20002691</v>
      </c>
      <c r="E588" s="253" t="s">
        <v>1337</v>
      </c>
      <c r="F588" s="210">
        <v>4531</v>
      </c>
      <c r="G588" s="171" t="s">
        <v>1666</v>
      </c>
      <c r="H588" s="171">
        <v>2016</v>
      </c>
      <c r="I588" s="216">
        <v>125609.15</v>
      </c>
      <c r="J588" s="214">
        <f>(I588-((2023-H588)*I588/8))</f>
        <v>15701.143750000003</v>
      </c>
      <c r="K588" s="170">
        <v>8375.989999999998</v>
      </c>
      <c r="L588" s="207">
        <v>0.55000000000000004</v>
      </c>
      <c r="M588" s="212">
        <v>5487</v>
      </c>
      <c r="N588" s="212">
        <v>29598</v>
      </c>
      <c r="O588" s="171">
        <v>21</v>
      </c>
      <c r="P588" s="271" t="str">
        <f>IFERROR(VLOOKUP(Tabela1[[#This Row],[TAG]],#REF!,14,FALSE),"")</f>
        <v/>
      </c>
      <c r="Q588" s="262" t="e">
        <f t="shared" si="1120"/>
        <v>#VALUE!</v>
      </c>
      <c r="R588" s="262" t="e">
        <f t="shared" si="1121"/>
        <v>#VALUE!</v>
      </c>
      <c r="S588" s="262" t="e">
        <f t="shared" si="1122"/>
        <v>#VALUE!</v>
      </c>
      <c r="T588" s="262" t="e">
        <f t="shared" si="1123"/>
        <v>#VALUE!</v>
      </c>
      <c r="U588" s="262" t="e">
        <f t="shared" si="1124"/>
        <v>#VALUE!</v>
      </c>
      <c r="V588" s="262" t="e">
        <f t="shared" si="1125"/>
        <v>#VALUE!</v>
      </c>
      <c r="W588" s="218">
        <v>195.7</v>
      </c>
      <c r="X588" s="218">
        <v>170.04</v>
      </c>
      <c r="Y588" s="203">
        <v>0.1</v>
      </c>
      <c r="Z588" s="203">
        <f>IF(Tabela1[[#This Row],[Ano Aquisição]]=2023,0,IFERROR(VLOOKUP(H588,inflação!$F:$H,3,FALSE),""))</f>
        <v>0.37669999999999998</v>
      </c>
      <c r="AA588" s="203">
        <v>0.8</v>
      </c>
      <c r="AB588" s="202">
        <f t="shared" si="1114"/>
        <v>-125609.15</v>
      </c>
      <c r="AC588" s="204" t="e">
        <f t="shared" si="1126"/>
        <v>#VALUE!</v>
      </c>
      <c r="AD588" s="204" t="e">
        <f t="shared" si="1127"/>
        <v>#VALUE!</v>
      </c>
      <c r="AE588" s="204" t="e">
        <f t="shared" si="1128"/>
        <v>#VALUE!</v>
      </c>
      <c r="AF588" s="204" t="e">
        <f t="shared" si="1129"/>
        <v>#VALUE!</v>
      </c>
      <c r="AG588" s="204" t="e">
        <f t="shared" si="1130"/>
        <v>#VALUE!</v>
      </c>
      <c r="AH588" s="204" t="e">
        <f t="shared" si="1131"/>
        <v>#VALUE!</v>
      </c>
      <c r="AI588" s="204" t="e">
        <f t="shared" si="1132"/>
        <v>#VALUE!</v>
      </c>
      <c r="AJ588" s="205">
        <f t="shared" si="1115"/>
        <v>-172926.116805</v>
      </c>
      <c r="AK588" s="204" t="e">
        <f t="shared" si="1133"/>
        <v>#VALUE!</v>
      </c>
      <c r="AL588" s="204" t="e">
        <f t="shared" si="1134"/>
        <v>#VALUE!</v>
      </c>
      <c r="AM588" s="204" t="e">
        <f t="shared" si="1135"/>
        <v>#VALUE!</v>
      </c>
      <c r="AN588" s="204" t="e">
        <f t="shared" si="1136"/>
        <v>#VALUE!</v>
      </c>
      <c r="AO588" s="204" t="e">
        <f t="shared" si="1137"/>
        <v>#VALUE!</v>
      </c>
      <c r="AP588" s="204" t="e">
        <f t="shared" si="1138"/>
        <v>#VALUE!</v>
      </c>
      <c r="AQ588" s="204" t="e">
        <f t="shared" si="1139"/>
        <v>#VALUE!</v>
      </c>
      <c r="AR588" s="206" t="e">
        <f t="shared" si="1116"/>
        <v>#VALUE!</v>
      </c>
      <c r="AS588" s="170" t="e">
        <f t="shared" si="1140"/>
        <v>#VALUE!</v>
      </c>
      <c r="AT588" s="170" t="e">
        <f t="shared" si="1141"/>
        <v>#VALUE!</v>
      </c>
      <c r="AU588" s="207" t="e">
        <f t="shared" si="1117"/>
        <v>#VALUE!</v>
      </c>
      <c r="AV588" s="208" t="e">
        <f t="shared" si="1118"/>
        <v>#VALUE!</v>
      </c>
      <c r="AW588" s="201" t="str">
        <f t="shared" si="1119"/>
        <v>Confiabilidade em Crescimento</v>
      </c>
      <c r="AX588" s="253" t="e">
        <f>VLOOKUP(D588,#REF!,5,FALSE)</f>
        <v>#REF!</v>
      </c>
      <c r="AY588" s="201"/>
      <c r="AZ588" s="273" t="s">
        <v>1224</v>
      </c>
      <c r="BB588">
        <f>IFERROR(VLOOKUP(Tabela1[[#This Row],[Denominação]],[10]Planilha1!$A:$B,2,FALSE),"")</f>
        <v>8375.989999999998</v>
      </c>
      <c r="BC588" s="219"/>
      <c r="BD588" s="219"/>
      <c r="BE588" s="219"/>
      <c r="BF588" s="219"/>
      <c r="BG588" s="219"/>
      <c r="BH588" s="219"/>
      <c r="BI588" s="219"/>
      <c r="BJ588" s="219"/>
      <c r="BK588" s="219"/>
      <c r="BL588" s="219"/>
    </row>
    <row r="589" spans="1:64" ht="15" hidden="1" customHeight="1" x14ac:dyDescent="0.3">
      <c r="A589" s="268">
        <v>588</v>
      </c>
      <c r="B589" s="201" t="s">
        <v>835</v>
      </c>
      <c r="C589" s="211" t="s">
        <v>836</v>
      </c>
      <c r="D589" s="201">
        <v>20002693</v>
      </c>
      <c r="E589" s="253" t="s">
        <v>1338</v>
      </c>
      <c r="F589" s="253">
        <v>4531</v>
      </c>
      <c r="G589" s="171" t="s">
        <v>1666</v>
      </c>
      <c r="H589" s="171">
        <v>2016</v>
      </c>
      <c r="I589" s="216">
        <v>125609.15</v>
      </c>
      <c r="J589" s="214">
        <f>(I589-((2023-H589)*I589/8))</f>
        <v>15701.143750000003</v>
      </c>
      <c r="K589" s="170">
        <v>15096.51</v>
      </c>
      <c r="L589" s="207">
        <v>0.63</v>
      </c>
      <c r="M589" s="212">
        <v>5983</v>
      </c>
      <c r="N589" s="212">
        <v>43246</v>
      </c>
      <c r="O589" s="171">
        <v>6</v>
      </c>
      <c r="P589" s="271" t="str">
        <f>IFERROR(VLOOKUP(Tabela1[[#This Row],[TAG]],#REF!,14,FALSE),"")</f>
        <v/>
      </c>
      <c r="Q589" s="262" t="e">
        <f t="shared" si="1120"/>
        <v>#VALUE!</v>
      </c>
      <c r="R589" s="262" t="e">
        <f t="shared" si="1121"/>
        <v>#VALUE!</v>
      </c>
      <c r="S589" s="262" t="e">
        <f t="shared" si="1122"/>
        <v>#VALUE!</v>
      </c>
      <c r="T589" s="262" t="e">
        <f t="shared" si="1123"/>
        <v>#VALUE!</v>
      </c>
      <c r="U589" s="262" t="e">
        <f t="shared" si="1124"/>
        <v>#VALUE!</v>
      </c>
      <c r="V589" s="262" t="e">
        <f t="shared" si="1125"/>
        <v>#VALUE!</v>
      </c>
      <c r="W589" s="218">
        <v>248.04</v>
      </c>
      <c r="X589" s="218">
        <v>253.06</v>
      </c>
      <c r="Y589" s="203">
        <v>0.1</v>
      </c>
      <c r="Z589" s="203">
        <f>IF(Tabela1[[#This Row],[Ano Aquisição]]=2023,0,IFERROR(VLOOKUP(H589,inflação!$F:$H,3,FALSE),""))</f>
        <v>0.37669999999999998</v>
      </c>
      <c r="AA589" s="203">
        <v>0.8</v>
      </c>
      <c r="AB589" s="202">
        <f t="shared" si="1114"/>
        <v>-125609.15</v>
      </c>
      <c r="AC589" s="204" t="e">
        <f t="shared" si="1126"/>
        <v>#VALUE!</v>
      </c>
      <c r="AD589" s="204" t="e">
        <f t="shared" si="1127"/>
        <v>#VALUE!</v>
      </c>
      <c r="AE589" s="204" t="e">
        <f t="shared" si="1128"/>
        <v>#VALUE!</v>
      </c>
      <c r="AF589" s="204" t="e">
        <f t="shared" si="1129"/>
        <v>#VALUE!</v>
      </c>
      <c r="AG589" s="204" t="e">
        <f t="shared" si="1130"/>
        <v>#VALUE!</v>
      </c>
      <c r="AH589" s="204" t="e">
        <f t="shared" si="1131"/>
        <v>#VALUE!</v>
      </c>
      <c r="AI589" s="204" t="e">
        <f t="shared" si="1132"/>
        <v>#VALUE!</v>
      </c>
      <c r="AJ589" s="205">
        <f t="shared" si="1115"/>
        <v>-172926.116805</v>
      </c>
      <c r="AK589" s="204" t="e">
        <f t="shared" si="1133"/>
        <v>#VALUE!</v>
      </c>
      <c r="AL589" s="204" t="e">
        <f t="shared" si="1134"/>
        <v>#VALUE!</v>
      </c>
      <c r="AM589" s="204" t="e">
        <f t="shared" si="1135"/>
        <v>#VALUE!</v>
      </c>
      <c r="AN589" s="204" t="e">
        <f t="shared" si="1136"/>
        <v>#VALUE!</v>
      </c>
      <c r="AO589" s="204" t="e">
        <f t="shared" si="1137"/>
        <v>#VALUE!</v>
      </c>
      <c r="AP589" s="204" t="e">
        <f t="shared" si="1138"/>
        <v>#VALUE!</v>
      </c>
      <c r="AQ589" s="204" t="e">
        <f t="shared" si="1139"/>
        <v>#VALUE!</v>
      </c>
      <c r="AR589" s="206" t="e">
        <f t="shared" si="1116"/>
        <v>#VALUE!</v>
      </c>
      <c r="AS589" s="170" t="e">
        <f t="shared" si="1140"/>
        <v>#VALUE!</v>
      </c>
      <c r="AT589" s="170" t="e">
        <f t="shared" si="1141"/>
        <v>#VALUE!</v>
      </c>
      <c r="AU589" s="207" t="e">
        <f t="shared" si="1117"/>
        <v>#VALUE!</v>
      </c>
      <c r="AV589" s="208" t="e">
        <f t="shared" si="1118"/>
        <v>#VALUE!</v>
      </c>
      <c r="AW589" s="201" t="str">
        <f t="shared" si="1119"/>
        <v>Confiabilidade em Crescimento</v>
      </c>
      <c r="AX589" s="253" t="e">
        <f>VLOOKUP(D589,#REF!,5,FALSE)</f>
        <v>#REF!</v>
      </c>
      <c r="AY589" s="201"/>
      <c r="AZ589" s="273" t="s">
        <v>1224</v>
      </c>
      <c r="BB589">
        <f>IFERROR(VLOOKUP(Tabela1[[#This Row],[Denominação]],[10]Planilha1!$A:$B,2,FALSE),"")</f>
        <v>15096.51</v>
      </c>
      <c r="BC589" s="219"/>
      <c r="BD589" s="219"/>
      <c r="BE589" s="219"/>
      <c r="BF589" s="219"/>
      <c r="BG589" s="219"/>
      <c r="BH589" s="219"/>
      <c r="BI589" s="219"/>
      <c r="BJ589" s="219"/>
      <c r="BK589" s="219"/>
      <c r="BL589" s="219"/>
    </row>
    <row r="590" spans="1:64" ht="15" hidden="1" customHeight="1" x14ac:dyDescent="0.3">
      <c r="A590" s="253">
        <v>589</v>
      </c>
      <c r="B590" s="201" t="s">
        <v>837</v>
      </c>
      <c r="C590" s="211" t="s">
        <v>838</v>
      </c>
      <c r="D590" s="201">
        <v>20002866</v>
      </c>
      <c r="E590" s="253" t="s">
        <v>1486</v>
      </c>
      <c r="F590" s="253">
        <v>4566</v>
      </c>
      <c r="G590" s="171">
        <v>48342</v>
      </c>
      <c r="H590" s="201">
        <v>2016</v>
      </c>
      <c r="I590" s="216">
        <v>160645.82</v>
      </c>
      <c r="J590" s="213">
        <v>83115</v>
      </c>
      <c r="K590" s="170">
        <v>43460.94</v>
      </c>
      <c r="L590" s="207">
        <v>0.84</v>
      </c>
      <c r="M590" s="212">
        <v>3867</v>
      </c>
      <c r="N590" s="212">
        <v>43819</v>
      </c>
      <c r="O590" s="171">
        <v>111</v>
      </c>
      <c r="P590" s="271" t="str">
        <f>IFERROR(VLOOKUP(Tabela1[[#This Row],[TAG]],#REF!,14,FALSE),"")</f>
        <v/>
      </c>
      <c r="Q590" s="204" t="e">
        <f t="shared" si="1120"/>
        <v>#VALUE!</v>
      </c>
      <c r="R590" s="204" t="e">
        <f t="shared" si="1121"/>
        <v>#VALUE!</v>
      </c>
      <c r="S590" s="204" t="e">
        <f t="shared" si="1122"/>
        <v>#VALUE!</v>
      </c>
      <c r="T590" s="204" t="e">
        <f t="shared" si="1123"/>
        <v>#VALUE!</v>
      </c>
      <c r="U590" s="204" t="e">
        <f t="shared" si="1124"/>
        <v>#VALUE!</v>
      </c>
      <c r="V590" s="204" t="e">
        <f t="shared" si="1125"/>
        <v>#VALUE!</v>
      </c>
      <c r="W590" s="218">
        <v>239</v>
      </c>
      <c r="X590" s="218">
        <v>251.71</v>
      </c>
      <c r="Y590" s="203">
        <v>0.1</v>
      </c>
      <c r="Z590" s="203">
        <f>IF(Tabela1[[#This Row],[Ano Aquisição]]=2023,0,IFERROR(VLOOKUP(H590,inflação!$F:$H,3,FALSE),""))</f>
        <v>0.37669999999999998</v>
      </c>
      <c r="AA590" s="203">
        <v>0.8</v>
      </c>
      <c r="AB590" s="202">
        <f t="shared" si="1114"/>
        <v>-160645.82</v>
      </c>
      <c r="AC590" s="204" t="e">
        <f t="shared" si="1126"/>
        <v>#VALUE!</v>
      </c>
      <c r="AD590" s="204" t="e">
        <f t="shared" si="1127"/>
        <v>#VALUE!</v>
      </c>
      <c r="AE590" s="204" t="e">
        <f t="shared" si="1128"/>
        <v>#VALUE!</v>
      </c>
      <c r="AF590" s="204" t="e">
        <f t="shared" si="1129"/>
        <v>#VALUE!</v>
      </c>
      <c r="AG590" s="204" t="e">
        <f t="shared" si="1130"/>
        <v>#VALUE!</v>
      </c>
      <c r="AH590" s="204" t="e">
        <f t="shared" si="1131"/>
        <v>#VALUE!</v>
      </c>
      <c r="AI590" s="204" t="e">
        <f t="shared" si="1132"/>
        <v>#VALUE!</v>
      </c>
      <c r="AJ590" s="205">
        <f t="shared" si="1115"/>
        <v>-221161.10039400001</v>
      </c>
      <c r="AK590" s="204" t="e">
        <f t="shared" si="1133"/>
        <v>#VALUE!</v>
      </c>
      <c r="AL590" s="204" t="e">
        <f t="shared" si="1134"/>
        <v>#VALUE!</v>
      </c>
      <c r="AM590" s="204" t="e">
        <f t="shared" si="1135"/>
        <v>#VALUE!</v>
      </c>
      <c r="AN590" s="204" t="e">
        <f t="shared" si="1136"/>
        <v>#VALUE!</v>
      </c>
      <c r="AO590" s="204" t="e">
        <f t="shared" si="1137"/>
        <v>#VALUE!</v>
      </c>
      <c r="AP590" s="204" t="e">
        <f t="shared" si="1138"/>
        <v>#VALUE!</v>
      </c>
      <c r="AQ590" s="204" t="e">
        <f t="shared" si="1139"/>
        <v>#VALUE!</v>
      </c>
      <c r="AR590" s="206" t="e">
        <f t="shared" si="1116"/>
        <v>#VALUE!</v>
      </c>
      <c r="AS590" s="170" t="e">
        <f t="shared" si="1140"/>
        <v>#VALUE!</v>
      </c>
      <c r="AT590" s="170" t="e">
        <f t="shared" si="1141"/>
        <v>#VALUE!</v>
      </c>
      <c r="AU590" s="207" t="e">
        <f t="shared" si="1117"/>
        <v>#VALUE!</v>
      </c>
      <c r="AV590" s="208" t="e">
        <f t="shared" si="1118"/>
        <v>#VALUE!</v>
      </c>
      <c r="AW590" s="201" t="str">
        <f t="shared" si="1119"/>
        <v>Confiabilidade em Crescimento</v>
      </c>
      <c r="AX590" s="253" t="e">
        <f>VLOOKUP(D590,#REF!,5,FALSE)</f>
        <v>#REF!</v>
      </c>
      <c r="AY590" s="201"/>
      <c r="AZ590" s="273" t="s">
        <v>1224</v>
      </c>
      <c r="BB590">
        <f>IFERROR(VLOOKUP(Tabela1[[#This Row],[Denominação]],[10]Planilha1!$A:$B,2,FALSE),"")</f>
        <v>43460.94</v>
      </c>
      <c r="BC590" s="219"/>
      <c r="BD590" s="219"/>
      <c r="BE590" s="219"/>
      <c r="BF590" s="219"/>
      <c r="BG590" s="219"/>
      <c r="BH590" s="219"/>
      <c r="BI590" s="219"/>
      <c r="BJ590" s="219"/>
      <c r="BK590" s="219"/>
      <c r="BL590" s="219"/>
    </row>
    <row r="591" spans="1:64" ht="15" hidden="1" customHeight="1" x14ac:dyDescent="0.3">
      <c r="A591" s="268">
        <v>590</v>
      </c>
      <c r="B591" s="201" t="s">
        <v>1146</v>
      </c>
      <c r="C591" s="256" t="s">
        <v>1147</v>
      </c>
      <c r="D591" s="201">
        <v>20002882</v>
      </c>
      <c r="E591" s="253" t="s">
        <v>1440</v>
      </c>
      <c r="F591" s="253">
        <v>3115</v>
      </c>
      <c r="G591" s="201">
        <v>45990</v>
      </c>
      <c r="H591" s="201">
        <v>2015</v>
      </c>
      <c r="I591" s="216">
        <v>155964.57</v>
      </c>
      <c r="J591" s="214">
        <v>16395</v>
      </c>
      <c r="K591" s="170">
        <v>17869.139999999996</v>
      </c>
      <c r="L591" s="207">
        <v>1.86</v>
      </c>
      <c r="M591" s="212">
        <v>5972</v>
      </c>
      <c r="N591" s="212">
        <v>19783</v>
      </c>
      <c r="O591" s="171">
        <v>35</v>
      </c>
      <c r="P591" s="271" t="str">
        <f>IFERROR(VLOOKUP(Tabela1[[#This Row],[TAG]],#REF!,14,FALSE),"")</f>
        <v/>
      </c>
      <c r="Q591" s="204" t="e">
        <f t="shared" si="1120"/>
        <v>#VALUE!</v>
      </c>
      <c r="R591" s="204" t="e">
        <f t="shared" si="1121"/>
        <v>#VALUE!</v>
      </c>
      <c r="S591" s="204" t="e">
        <f t="shared" si="1122"/>
        <v>#VALUE!</v>
      </c>
      <c r="T591" s="204" t="e">
        <f t="shared" si="1123"/>
        <v>#VALUE!</v>
      </c>
      <c r="U591" s="204" t="e">
        <f t="shared" si="1124"/>
        <v>#VALUE!</v>
      </c>
      <c r="V591" s="204" t="e">
        <f t="shared" si="1125"/>
        <v>#VALUE!</v>
      </c>
      <c r="W591" s="218">
        <v>501.83</v>
      </c>
      <c r="X591" s="218">
        <v>717.77</v>
      </c>
      <c r="Y591" s="203">
        <v>0.1</v>
      </c>
      <c r="Z591" s="203">
        <f>IF(Tabela1[[#This Row],[Ano Aquisição]]=2023,0,IFERROR(VLOOKUP(H591,inflação!$F:$H,3,FALSE),""))</f>
        <v>0.4834</v>
      </c>
      <c r="AA591" s="203">
        <v>0.8</v>
      </c>
      <c r="AB591" s="202">
        <f t="shared" si="1114"/>
        <v>-155964.57</v>
      </c>
      <c r="AC591" s="204" t="e">
        <f t="shared" si="1126"/>
        <v>#VALUE!</v>
      </c>
      <c r="AD591" s="204" t="e">
        <f t="shared" si="1127"/>
        <v>#VALUE!</v>
      </c>
      <c r="AE591" s="204" t="e">
        <f t="shared" si="1128"/>
        <v>#VALUE!</v>
      </c>
      <c r="AF591" s="204" t="e">
        <f t="shared" si="1129"/>
        <v>#VALUE!</v>
      </c>
      <c r="AG591" s="204" t="e">
        <f t="shared" si="1130"/>
        <v>#VALUE!</v>
      </c>
      <c r="AH591" s="204" t="e">
        <f t="shared" si="1131"/>
        <v>#VALUE!</v>
      </c>
      <c r="AI591" s="204" t="e">
        <f t="shared" si="1132"/>
        <v>#VALUE!</v>
      </c>
      <c r="AJ591" s="205">
        <f t="shared" si="1115"/>
        <v>-231357.84313800003</v>
      </c>
      <c r="AK591" s="204" t="e">
        <f t="shared" si="1133"/>
        <v>#VALUE!</v>
      </c>
      <c r="AL591" s="204" t="e">
        <f t="shared" si="1134"/>
        <v>#VALUE!</v>
      </c>
      <c r="AM591" s="204" t="e">
        <f t="shared" si="1135"/>
        <v>#VALUE!</v>
      </c>
      <c r="AN591" s="204" t="e">
        <f t="shared" si="1136"/>
        <v>#VALUE!</v>
      </c>
      <c r="AO591" s="204" t="e">
        <f t="shared" si="1137"/>
        <v>#VALUE!</v>
      </c>
      <c r="AP591" s="204" t="e">
        <f t="shared" si="1138"/>
        <v>#VALUE!</v>
      </c>
      <c r="AQ591" s="204" t="e">
        <f t="shared" si="1139"/>
        <v>#VALUE!</v>
      </c>
      <c r="AR591" s="206" t="e">
        <f t="shared" si="1116"/>
        <v>#VALUE!</v>
      </c>
      <c r="AS591" s="170" t="e">
        <f t="shared" si="1140"/>
        <v>#VALUE!</v>
      </c>
      <c r="AT591" s="170" t="e">
        <f t="shared" si="1141"/>
        <v>#VALUE!</v>
      </c>
      <c r="AU591" s="207" t="e">
        <f t="shared" si="1117"/>
        <v>#VALUE!</v>
      </c>
      <c r="AV591" s="208" t="e">
        <f t="shared" si="1118"/>
        <v>#VALUE!</v>
      </c>
      <c r="AW591" s="201" t="str">
        <f t="shared" si="1119"/>
        <v>Fase de Degradação</v>
      </c>
      <c r="AX591" s="253" t="e">
        <f>VLOOKUP(D591,#REF!,5,FALSE)</f>
        <v>#REF!</v>
      </c>
      <c r="AY591" s="201"/>
      <c r="AZ591" s="273" t="s">
        <v>1224</v>
      </c>
      <c r="BB591">
        <f>IFERROR(VLOOKUP(Tabela1[[#This Row],[Denominação]],[10]Planilha1!$A:$B,2,FALSE),"")</f>
        <v>17869.139999999996</v>
      </c>
      <c r="BC591" s="219"/>
      <c r="BD591" s="219"/>
      <c r="BE591" s="219"/>
      <c r="BF591" s="219"/>
      <c r="BG591" s="219"/>
      <c r="BH591" s="219"/>
      <c r="BI591" s="219"/>
      <c r="BJ591" s="219"/>
      <c r="BK591" s="219"/>
      <c r="BL591" s="219"/>
    </row>
    <row r="592" spans="1:64" ht="15" hidden="1" customHeight="1" x14ac:dyDescent="0.3">
      <c r="A592" s="253">
        <v>591</v>
      </c>
      <c r="B592" s="201" t="s">
        <v>839</v>
      </c>
      <c r="C592" s="211" t="s">
        <v>840</v>
      </c>
      <c r="D592" s="201">
        <v>20003043</v>
      </c>
      <c r="E592" s="253" t="s">
        <v>1541</v>
      </c>
      <c r="F592" s="253">
        <v>3319</v>
      </c>
      <c r="G592" s="201">
        <v>49131</v>
      </c>
      <c r="H592" s="201">
        <v>2018</v>
      </c>
      <c r="I592" s="216">
        <v>181644.72</v>
      </c>
      <c r="J592" s="214">
        <v>84871</v>
      </c>
      <c r="K592" s="170">
        <v>41767.429999999957</v>
      </c>
      <c r="L592" s="207">
        <v>0.97</v>
      </c>
      <c r="M592" s="212">
        <v>4805.9459999999999</v>
      </c>
      <c r="N592" s="212">
        <v>34400</v>
      </c>
      <c r="O592" s="171">
        <v>102</v>
      </c>
      <c r="P592" s="271" t="str">
        <f>IFERROR(VLOOKUP(Tabela1[[#This Row],[TAG]],#REF!,14,FALSE),"")</f>
        <v/>
      </c>
      <c r="Q592" s="204" t="e">
        <f t="shared" si="1120"/>
        <v>#VALUE!</v>
      </c>
      <c r="R592" s="204" t="e">
        <f t="shared" si="1121"/>
        <v>#VALUE!</v>
      </c>
      <c r="S592" s="204" t="e">
        <f t="shared" si="1122"/>
        <v>#VALUE!</v>
      </c>
      <c r="T592" s="204" t="e">
        <f t="shared" si="1123"/>
        <v>#VALUE!</v>
      </c>
      <c r="U592" s="204" t="e">
        <f t="shared" si="1124"/>
        <v>#VALUE!</v>
      </c>
      <c r="V592" s="204" t="e">
        <f t="shared" si="1125"/>
        <v>#VALUE!</v>
      </c>
      <c r="W592" s="218">
        <v>351.04</v>
      </c>
      <c r="X592" s="218">
        <v>443.46</v>
      </c>
      <c r="Y592" s="203">
        <v>0.1</v>
      </c>
      <c r="Z592" s="203">
        <f>IF(Tabela1[[#This Row],[Ano Aquisição]]=2023,0,IFERROR(VLOOKUP(H592,inflação!$F:$H,3,FALSE),""))</f>
        <v>0.2843</v>
      </c>
      <c r="AA592" s="203">
        <v>0.8</v>
      </c>
      <c r="AB592" s="202">
        <f t="shared" si="1114"/>
        <v>-181644.72</v>
      </c>
      <c r="AC592" s="204" t="e">
        <f t="shared" si="1126"/>
        <v>#VALUE!</v>
      </c>
      <c r="AD592" s="204" t="e">
        <f t="shared" si="1127"/>
        <v>#VALUE!</v>
      </c>
      <c r="AE592" s="204" t="e">
        <f t="shared" si="1128"/>
        <v>#VALUE!</v>
      </c>
      <c r="AF592" s="204" t="e">
        <f t="shared" si="1129"/>
        <v>#VALUE!</v>
      </c>
      <c r="AG592" s="204" t="e">
        <f t="shared" si="1130"/>
        <v>#VALUE!</v>
      </c>
      <c r="AH592" s="204" t="e">
        <f t="shared" si="1131"/>
        <v>#VALUE!</v>
      </c>
      <c r="AI592" s="204" t="e">
        <f t="shared" si="1132"/>
        <v>#VALUE!</v>
      </c>
      <c r="AJ592" s="205">
        <f t="shared" si="1115"/>
        <v>-233286.31389600001</v>
      </c>
      <c r="AK592" s="204" t="e">
        <f t="shared" si="1133"/>
        <v>#VALUE!</v>
      </c>
      <c r="AL592" s="204" t="e">
        <f t="shared" si="1134"/>
        <v>#VALUE!</v>
      </c>
      <c r="AM592" s="204" t="e">
        <f t="shared" si="1135"/>
        <v>#VALUE!</v>
      </c>
      <c r="AN592" s="204" t="e">
        <f t="shared" si="1136"/>
        <v>#VALUE!</v>
      </c>
      <c r="AO592" s="204" t="e">
        <f t="shared" si="1137"/>
        <v>#VALUE!</v>
      </c>
      <c r="AP592" s="204" t="e">
        <f t="shared" si="1138"/>
        <v>#VALUE!</v>
      </c>
      <c r="AQ592" s="204" t="e">
        <f t="shared" si="1139"/>
        <v>#VALUE!</v>
      </c>
      <c r="AR592" s="206" t="e">
        <f t="shared" si="1116"/>
        <v>#VALUE!</v>
      </c>
      <c r="AS592" s="170" t="e">
        <f t="shared" si="1140"/>
        <v>#VALUE!</v>
      </c>
      <c r="AT592" s="170" t="e">
        <f t="shared" si="1141"/>
        <v>#VALUE!</v>
      </c>
      <c r="AU592" s="207" t="e">
        <f t="shared" si="1117"/>
        <v>#VALUE!</v>
      </c>
      <c r="AV592" s="208" t="e">
        <f t="shared" si="1118"/>
        <v>#VALUE!</v>
      </c>
      <c r="AW592" s="201" t="str">
        <f t="shared" si="1119"/>
        <v>Confiabilidade em Crescimento</v>
      </c>
      <c r="AX592" s="253" t="e">
        <f>VLOOKUP(D592,#REF!,5,FALSE)</f>
        <v>#REF!</v>
      </c>
      <c r="AY592" s="201"/>
      <c r="AZ592" s="273" t="s">
        <v>1224</v>
      </c>
      <c r="BB592">
        <f>IFERROR(VLOOKUP(Tabela1[[#This Row],[Denominação]],[10]Planilha1!$A:$B,2,FALSE),"")</f>
        <v>41767.429999999957</v>
      </c>
      <c r="BC592" s="219"/>
      <c r="BD592" s="219"/>
      <c r="BE592" s="219"/>
      <c r="BF592" s="219"/>
      <c r="BG592" s="219"/>
      <c r="BH592" s="219"/>
      <c r="BI592" s="219"/>
      <c r="BJ592" s="219"/>
      <c r="BK592" s="219"/>
      <c r="BL592" s="219"/>
    </row>
    <row r="593" spans="1:64" ht="15" hidden="1" customHeight="1" x14ac:dyDescent="0.3">
      <c r="A593" s="268">
        <v>592</v>
      </c>
      <c r="B593" s="201" t="s">
        <v>841</v>
      </c>
      <c r="C593" s="211" t="s">
        <v>842</v>
      </c>
      <c r="D593" s="201">
        <v>20003459</v>
      </c>
      <c r="E593" s="253" t="s">
        <v>1272</v>
      </c>
      <c r="F593" s="253">
        <v>4023</v>
      </c>
      <c r="G593" s="171">
        <v>49939</v>
      </c>
      <c r="H593" s="201">
        <v>2018</v>
      </c>
      <c r="I593" s="216">
        <v>155530.70000000001</v>
      </c>
      <c r="J593" s="213">
        <v>93578</v>
      </c>
      <c r="K593" s="170">
        <v>115555.28999999998</v>
      </c>
      <c r="L593" s="207">
        <v>1.21</v>
      </c>
      <c r="M593" s="212">
        <v>4547</v>
      </c>
      <c r="N593" s="212">
        <v>38019</v>
      </c>
      <c r="O593" s="171">
        <v>224</v>
      </c>
      <c r="P593" s="271" t="str">
        <f>IFERROR(VLOOKUP(Tabela1[[#This Row],[TAG]],#REF!,14,FALSE),"")</f>
        <v/>
      </c>
      <c r="Q593" s="204" t="e">
        <f t="shared" si="1120"/>
        <v>#VALUE!</v>
      </c>
      <c r="R593" s="204" t="e">
        <f t="shared" si="1121"/>
        <v>#VALUE!</v>
      </c>
      <c r="S593" s="204" t="e">
        <f t="shared" si="1122"/>
        <v>#VALUE!</v>
      </c>
      <c r="T593" s="204" t="e">
        <f t="shared" si="1123"/>
        <v>#VALUE!</v>
      </c>
      <c r="U593" s="204" t="e">
        <f t="shared" si="1124"/>
        <v>#VALUE!</v>
      </c>
      <c r="V593" s="204" t="e">
        <f t="shared" si="1125"/>
        <v>#VALUE!</v>
      </c>
      <c r="W593" s="218">
        <v>397.9</v>
      </c>
      <c r="X593" s="218">
        <v>2284.34</v>
      </c>
      <c r="Y593" s="203">
        <v>0.1</v>
      </c>
      <c r="Z593" s="203">
        <f>IF(Tabela1[[#This Row],[Ano Aquisição]]=2023,0,IFERROR(VLOOKUP(H593,inflação!$F:$H,3,FALSE),""))</f>
        <v>0.2843</v>
      </c>
      <c r="AA593" s="203">
        <v>0.8</v>
      </c>
      <c r="AB593" s="202">
        <f t="shared" si="1114"/>
        <v>-155530.70000000001</v>
      </c>
      <c r="AC593" s="204" t="e">
        <f t="shared" si="1126"/>
        <v>#VALUE!</v>
      </c>
      <c r="AD593" s="204" t="e">
        <f t="shared" si="1127"/>
        <v>#VALUE!</v>
      </c>
      <c r="AE593" s="204" t="e">
        <f t="shared" si="1128"/>
        <v>#VALUE!</v>
      </c>
      <c r="AF593" s="204" t="e">
        <f t="shared" si="1129"/>
        <v>#VALUE!</v>
      </c>
      <c r="AG593" s="204" t="e">
        <f t="shared" si="1130"/>
        <v>#VALUE!</v>
      </c>
      <c r="AH593" s="204" t="e">
        <f t="shared" si="1131"/>
        <v>#VALUE!</v>
      </c>
      <c r="AI593" s="204" t="e">
        <f t="shared" si="1132"/>
        <v>#VALUE!</v>
      </c>
      <c r="AJ593" s="205">
        <f t="shared" si="1115"/>
        <v>-199748.07801000003</v>
      </c>
      <c r="AK593" s="204" t="e">
        <f t="shared" si="1133"/>
        <v>#VALUE!</v>
      </c>
      <c r="AL593" s="204" t="e">
        <f t="shared" si="1134"/>
        <v>#VALUE!</v>
      </c>
      <c r="AM593" s="204" t="e">
        <f t="shared" si="1135"/>
        <v>#VALUE!</v>
      </c>
      <c r="AN593" s="204" t="e">
        <f t="shared" si="1136"/>
        <v>#VALUE!</v>
      </c>
      <c r="AO593" s="204" t="e">
        <f t="shared" si="1137"/>
        <v>#VALUE!</v>
      </c>
      <c r="AP593" s="204" t="e">
        <f t="shared" si="1138"/>
        <v>#VALUE!</v>
      </c>
      <c r="AQ593" s="204" t="e">
        <f t="shared" si="1139"/>
        <v>#VALUE!</v>
      </c>
      <c r="AR593" s="206" t="e">
        <f t="shared" si="1116"/>
        <v>#VALUE!</v>
      </c>
      <c r="AS593" s="170" t="e">
        <f t="shared" si="1140"/>
        <v>#VALUE!</v>
      </c>
      <c r="AT593" s="170" t="e">
        <f t="shared" si="1141"/>
        <v>#VALUE!</v>
      </c>
      <c r="AU593" s="207" t="e">
        <f t="shared" si="1117"/>
        <v>#VALUE!</v>
      </c>
      <c r="AV593" s="208" t="e">
        <f t="shared" si="1118"/>
        <v>#VALUE!</v>
      </c>
      <c r="AW593" s="201" t="str">
        <f t="shared" si="1119"/>
        <v>Fase de Degradação</v>
      </c>
      <c r="AX593" s="253" t="e">
        <f>VLOOKUP(D593,#REF!,5,FALSE)</f>
        <v>#REF!</v>
      </c>
      <c r="AY593" s="201"/>
      <c r="AZ593" s="273" t="s">
        <v>1224</v>
      </c>
      <c r="BB593">
        <f>IFERROR(VLOOKUP(Tabela1[[#This Row],[Denominação]],[10]Planilha1!$A:$B,2,FALSE),"")</f>
        <v>115555.28999999998</v>
      </c>
      <c r="BC593" s="219"/>
      <c r="BD593" s="219"/>
      <c r="BE593" s="219"/>
      <c r="BF593" s="219"/>
      <c r="BG593" s="219"/>
      <c r="BH593" s="219"/>
      <c r="BI593" s="219"/>
      <c r="BJ593" s="219"/>
      <c r="BK593" s="219"/>
      <c r="BL593" s="219"/>
    </row>
    <row r="594" spans="1:64" ht="15" hidden="1" customHeight="1" x14ac:dyDescent="0.3">
      <c r="A594" s="253">
        <v>593</v>
      </c>
      <c r="B594" s="201" t="s">
        <v>843</v>
      </c>
      <c r="C594" s="211" t="s">
        <v>844</v>
      </c>
      <c r="D594" s="201">
        <v>10006580</v>
      </c>
      <c r="E594" s="253" t="s">
        <v>1447</v>
      </c>
      <c r="F594" s="253">
        <v>4511</v>
      </c>
      <c r="G594" s="201">
        <v>51068</v>
      </c>
      <c r="H594" s="201">
        <v>2019</v>
      </c>
      <c r="I594" s="216">
        <v>278189.14</v>
      </c>
      <c r="J594" s="214">
        <v>169712</v>
      </c>
      <c r="K594" s="170">
        <v>93025.319999999934</v>
      </c>
      <c r="L594" s="207">
        <v>1.42</v>
      </c>
      <c r="M594" s="212" t="str">
        <f>IFERROR(VLOOKUP(Tabela1[[#This Row],[Denominação]],#REF!,7,FALSE),"")</f>
        <v/>
      </c>
      <c r="N594" s="212">
        <v>36616</v>
      </c>
      <c r="O594" s="171">
        <v>75</v>
      </c>
      <c r="P594" s="271" t="str">
        <f>IFERROR(VLOOKUP(Tabela1[[#This Row],[TAG]],#REF!,14,FALSE),"")</f>
        <v/>
      </c>
      <c r="Q594" s="204" t="e">
        <f>P594+P594</f>
        <v>#VALUE!</v>
      </c>
      <c r="R594" s="204" t="e">
        <f t="shared" si="1121"/>
        <v>#VALUE!</v>
      </c>
      <c r="S594" s="204" t="e">
        <f t="shared" si="1122"/>
        <v>#VALUE!</v>
      </c>
      <c r="T594" s="204" t="e">
        <f t="shared" si="1123"/>
        <v>#VALUE!</v>
      </c>
      <c r="U594" s="204" t="e">
        <f t="shared" si="1124"/>
        <v>#VALUE!</v>
      </c>
      <c r="V594" s="204" t="e">
        <f t="shared" si="1125"/>
        <v>#VALUE!</v>
      </c>
      <c r="W594" s="218">
        <v>439.4</v>
      </c>
      <c r="X594" s="218">
        <v>1202.93</v>
      </c>
      <c r="Y594" s="203">
        <v>0.1</v>
      </c>
      <c r="Z594" s="203">
        <f>IF(Tabela1[[#This Row],[Ano Aquisição]]=2023,0,IFERROR(VLOOKUP(H594,inflação!$F:$H,3,FALSE),""))</f>
        <v>0.24679999999999999</v>
      </c>
      <c r="AA594" s="203">
        <v>0.8</v>
      </c>
      <c r="AB594" s="202">
        <f t="shared" si="1114"/>
        <v>-278189.14</v>
      </c>
      <c r="AC594" s="204" t="e">
        <f t="shared" si="1126"/>
        <v>#VALUE!</v>
      </c>
      <c r="AD594" s="204" t="e">
        <f t="shared" si="1127"/>
        <v>#VALUE!</v>
      </c>
      <c r="AE594" s="204" t="e">
        <f t="shared" si="1128"/>
        <v>#VALUE!</v>
      </c>
      <c r="AF594" s="204" t="e">
        <f t="shared" si="1129"/>
        <v>#VALUE!</v>
      </c>
      <c r="AG594" s="204" t="e">
        <f t="shared" si="1130"/>
        <v>#VALUE!</v>
      </c>
      <c r="AH594" s="204" t="e">
        <f t="shared" si="1131"/>
        <v>#VALUE!</v>
      </c>
      <c r="AI594" s="204" t="e">
        <f t="shared" si="1132"/>
        <v>#VALUE!</v>
      </c>
      <c r="AJ594" s="205">
        <f t="shared" si="1115"/>
        <v>-346846.219752</v>
      </c>
      <c r="AK594" s="204" t="e">
        <f t="shared" si="1133"/>
        <v>#VALUE!</v>
      </c>
      <c r="AL594" s="204" t="e">
        <f t="shared" si="1134"/>
        <v>#VALUE!</v>
      </c>
      <c r="AM594" s="204" t="e">
        <f t="shared" si="1135"/>
        <v>#VALUE!</v>
      </c>
      <c r="AN594" s="204" t="e">
        <f t="shared" si="1136"/>
        <v>#VALUE!</v>
      </c>
      <c r="AO594" s="204" t="e">
        <f t="shared" si="1137"/>
        <v>#VALUE!</v>
      </c>
      <c r="AP594" s="204" t="e">
        <f t="shared" si="1138"/>
        <v>#VALUE!</v>
      </c>
      <c r="AQ594" s="204" t="e">
        <f t="shared" si="1139"/>
        <v>#VALUE!</v>
      </c>
      <c r="AR594" s="206" t="e">
        <f t="shared" si="1116"/>
        <v>#VALUE!</v>
      </c>
      <c r="AS594" s="170" t="e">
        <f t="shared" si="1140"/>
        <v>#VALUE!</v>
      </c>
      <c r="AT594" s="170" t="e">
        <f t="shared" si="1141"/>
        <v>#VALUE!</v>
      </c>
      <c r="AU594" s="207" t="e">
        <f t="shared" si="1117"/>
        <v>#VALUE!</v>
      </c>
      <c r="AV594" s="208" t="e">
        <f t="shared" si="1118"/>
        <v>#VALUE!</v>
      </c>
      <c r="AW594" s="201" t="str">
        <f t="shared" si="1119"/>
        <v>Fase de Degradação</v>
      </c>
      <c r="AX594" s="253" t="e">
        <f>VLOOKUP(D594,#REF!,5,FALSE)</f>
        <v>#REF!</v>
      </c>
      <c r="AY594" s="201"/>
      <c r="AZ594" s="273" t="s">
        <v>1224</v>
      </c>
      <c r="BB594">
        <f>IFERROR(VLOOKUP(Tabela1[[#This Row],[Denominação]],[10]Planilha1!$A:$B,2,FALSE),"")</f>
        <v>105919.18999999994</v>
      </c>
      <c r="BC594" s="219"/>
      <c r="BD594" s="219"/>
      <c r="BE594" s="219"/>
      <c r="BF594" s="219"/>
      <c r="BG594" s="219"/>
      <c r="BH594" s="219"/>
      <c r="BI594" s="219"/>
      <c r="BJ594" s="219"/>
      <c r="BK594" s="219"/>
      <c r="BL594" s="219"/>
    </row>
    <row r="595" spans="1:64" ht="15" hidden="1" customHeight="1" x14ac:dyDescent="0.3">
      <c r="A595" s="268">
        <v>594</v>
      </c>
      <c r="B595" s="201" t="s">
        <v>845</v>
      </c>
      <c r="C595" s="211" t="s">
        <v>846</v>
      </c>
      <c r="D595" s="201">
        <v>10006585</v>
      </c>
      <c r="E595" s="253" t="s">
        <v>1454</v>
      </c>
      <c r="F595" s="253">
        <v>4511</v>
      </c>
      <c r="G595" s="171" t="s">
        <v>875</v>
      </c>
      <c r="H595" s="201">
        <v>2019</v>
      </c>
      <c r="I595" s="216">
        <v>189778.64</v>
      </c>
      <c r="J595" s="214">
        <v>144310</v>
      </c>
      <c r="K595" s="170">
        <v>34724.720000000016</v>
      </c>
      <c r="L595" s="207">
        <v>1.42</v>
      </c>
      <c r="M595" s="212" t="str">
        <f>IFERROR(VLOOKUP(Tabela1[[#This Row],[Denominação]],#REF!,7,FALSE),"")</f>
        <v/>
      </c>
      <c r="N595" s="212">
        <v>36616</v>
      </c>
      <c r="O595" s="171">
        <v>75</v>
      </c>
      <c r="P595" s="271" t="str">
        <f>IFERROR(VLOOKUP(Tabela1[[#This Row],[TAG]],#REF!,14,FALSE),"")</f>
        <v/>
      </c>
      <c r="Q595" s="204" t="e">
        <f t="shared" si="1120"/>
        <v>#VALUE!</v>
      </c>
      <c r="R595" s="204" t="e">
        <f t="shared" si="1121"/>
        <v>#VALUE!</v>
      </c>
      <c r="S595" s="204" t="e">
        <f t="shared" si="1122"/>
        <v>#VALUE!</v>
      </c>
      <c r="T595" s="204" t="e">
        <f t="shared" si="1123"/>
        <v>#VALUE!</v>
      </c>
      <c r="U595" s="204" t="e">
        <f t="shared" si="1124"/>
        <v>#VALUE!</v>
      </c>
      <c r="V595" s="204" t="e">
        <f t="shared" si="1125"/>
        <v>#VALUE!</v>
      </c>
      <c r="W595" s="218">
        <v>608.65</v>
      </c>
      <c r="X595" s="218">
        <v>1010.02</v>
      </c>
      <c r="Y595" s="203">
        <v>0.1</v>
      </c>
      <c r="Z595" s="203">
        <f>IF(Tabela1[[#This Row],[Ano Aquisição]]=2023,0,IFERROR(VLOOKUP(H595,inflação!$F:$H,3,FALSE),""))</f>
        <v>0.24679999999999999</v>
      </c>
      <c r="AA595" s="203">
        <v>0.8</v>
      </c>
      <c r="AB595" s="202">
        <f t="shared" si="1114"/>
        <v>-189778.64</v>
      </c>
      <c r="AC595" s="204" t="e">
        <f t="shared" si="1126"/>
        <v>#VALUE!</v>
      </c>
      <c r="AD595" s="204" t="e">
        <f t="shared" si="1127"/>
        <v>#VALUE!</v>
      </c>
      <c r="AE595" s="204" t="e">
        <f t="shared" si="1128"/>
        <v>#VALUE!</v>
      </c>
      <c r="AF595" s="204" t="e">
        <f t="shared" si="1129"/>
        <v>#VALUE!</v>
      </c>
      <c r="AG595" s="204" t="e">
        <f t="shared" si="1130"/>
        <v>#VALUE!</v>
      </c>
      <c r="AH595" s="204" t="e">
        <f t="shared" si="1131"/>
        <v>#VALUE!</v>
      </c>
      <c r="AI595" s="204" t="e">
        <f t="shared" si="1132"/>
        <v>#VALUE!</v>
      </c>
      <c r="AJ595" s="205">
        <f t="shared" si="1115"/>
        <v>-236616.008352</v>
      </c>
      <c r="AK595" s="204" t="e">
        <f t="shared" si="1133"/>
        <v>#VALUE!</v>
      </c>
      <c r="AL595" s="204" t="e">
        <f t="shared" si="1134"/>
        <v>#VALUE!</v>
      </c>
      <c r="AM595" s="204" t="e">
        <f t="shared" si="1135"/>
        <v>#VALUE!</v>
      </c>
      <c r="AN595" s="204" t="e">
        <f t="shared" si="1136"/>
        <v>#VALUE!</v>
      </c>
      <c r="AO595" s="204" t="e">
        <f t="shared" si="1137"/>
        <v>#VALUE!</v>
      </c>
      <c r="AP595" s="204" t="e">
        <f t="shared" si="1138"/>
        <v>#VALUE!</v>
      </c>
      <c r="AQ595" s="204" t="e">
        <f t="shared" si="1139"/>
        <v>#VALUE!</v>
      </c>
      <c r="AR595" s="206" t="e">
        <f t="shared" si="1116"/>
        <v>#VALUE!</v>
      </c>
      <c r="AS595" s="170" t="e">
        <f t="shared" si="1140"/>
        <v>#VALUE!</v>
      </c>
      <c r="AT595" s="170" t="e">
        <f t="shared" si="1141"/>
        <v>#VALUE!</v>
      </c>
      <c r="AU595" s="207" t="e">
        <f t="shared" si="1117"/>
        <v>#VALUE!</v>
      </c>
      <c r="AV595" s="208" t="e">
        <f t="shared" si="1118"/>
        <v>#VALUE!</v>
      </c>
      <c r="AW595" s="201" t="str">
        <f t="shared" si="1119"/>
        <v>Fase de Degradação</v>
      </c>
      <c r="AX595" s="253" t="e">
        <f>VLOOKUP(D595,#REF!,5,FALSE)</f>
        <v>#REF!</v>
      </c>
      <c r="AY595" s="201"/>
      <c r="AZ595" s="273" t="s">
        <v>1224</v>
      </c>
      <c r="BB595">
        <f>IFERROR(VLOOKUP(Tabela1[[#This Row],[Denominação]],[10]Planilha1!$A:$B,2,FALSE),"")</f>
        <v>36612.220000000008</v>
      </c>
      <c r="BC595" s="219"/>
      <c r="BD595" s="219"/>
      <c r="BE595" s="219"/>
      <c r="BF595" s="219"/>
      <c r="BG595" s="219"/>
      <c r="BH595" s="219"/>
      <c r="BI595" s="219"/>
      <c r="BJ595" s="219"/>
      <c r="BK595" s="219"/>
      <c r="BL595" s="219"/>
    </row>
    <row r="596" spans="1:64" ht="15" hidden="1" customHeight="1" x14ac:dyDescent="0.3">
      <c r="A596" s="253">
        <v>595</v>
      </c>
      <c r="B596" s="201" t="s">
        <v>847</v>
      </c>
      <c r="C596" s="211" t="s">
        <v>848</v>
      </c>
      <c r="D596" s="201">
        <v>10006586</v>
      </c>
      <c r="E596" s="253" t="s">
        <v>1454</v>
      </c>
      <c r="F596" s="253">
        <v>4511</v>
      </c>
      <c r="G596" s="171" t="s">
        <v>875</v>
      </c>
      <c r="H596" s="201">
        <v>2019</v>
      </c>
      <c r="I596" s="216">
        <v>189778.64</v>
      </c>
      <c r="J596" s="214">
        <v>144310</v>
      </c>
      <c r="K596" s="170">
        <v>39024.079999999973</v>
      </c>
      <c r="L596" s="207">
        <v>1.1000000000000001</v>
      </c>
      <c r="M596" s="212" t="str">
        <f>IFERROR(VLOOKUP(Tabela1[[#This Row],[Denominação]],#REF!,7,FALSE),"")</f>
        <v/>
      </c>
      <c r="N596" s="212">
        <v>28518</v>
      </c>
      <c r="O596" s="171">
        <v>27</v>
      </c>
      <c r="P596" s="271" t="str">
        <f>IFERROR(VLOOKUP(Tabela1[[#This Row],[TAG]],#REF!,14,FALSE),"")</f>
        <v/>
      </c>
      <c r="Q596" s="204" t="e">
        <f t="shared" si="1120"/>
        <v>#VALUE!</v>
      </c>
      <c r="R596" s="204" t="e">
        <f t="shared" si="1121"/>
        <v>#VALUE!</v>
      </c>
      <c r="S596" s="204" t="e">
        <f t="shared" si="1122"/>
        <v>#VALUE!</v>
      </c>
      <c r="T596" s="204" t="e">
        <f t="shared" si="1123"/>
        <v>#VALUE!</v>
      </c>
      <c r="U596" s="204" t="e">
        <f t="shared" si="1124"/>
        <v>#VALUE!</v>
      </c>
      <c r="V596" s="204" t="e">
        <f t="shared" si="1125"/>
        <v>#VALUE!</v>
      </c>
      <c r="W596" s="218">
        <v>467.63</v>
      </c>
      <c r="X596" s="218">
        <v>789</v>
      </c>
      <c r="Y596" s="203">
        <v>0.1</v>
      </c>
      <c r="Z596" s="203">
        <f>IF(Tabela1[[#This Row],[Ano Aquisição]]=2023,0,IFERROR(VLOOKUP(H596,inflação!$F:$H,3,FALSE),""))</f>
        <v>0.24679999999999999</v>
      </c>
      <c r="AA596" s="203">
        <v>0.8</v>
      </c>
      <c r="AB596" s="202">
        <f t="shared" si="1114"/>
        <v>-189778.64</v>
      </c>
      <c r="AC596" s="204" t="e">
        <f t="shared" si="1126"/>
        <v>#VALUE!</v>
      </c>
      <c r="AD596" s="204" t="e">
        <f t="shared" si="1127"/>
        <v>#VALUE!</v>
      </c>
      <c r="AE596" s="204" t="e">
        <f t="shared" si="1128"/>
        <v>#VALUE!</v>
      </c>
      <c r="AF596" s="204" t="e">
        <f t="shared" si="1129"/>
        <v>#VALUE!</v>
      </c>
      <c r="AG596" s="204" t="e">
        <f t="shared" si="1130"/>
        <v>#VALUE!</v>
      </c>
      <c r="AH596" s="204" t="e">
        <f t="shared" si="1131"/>
        <v>#VALUE!</v>
      </c>
      <c r="AI596" s="204" t="e">
        <f t="shared" si="1132"/>
        <v>#VALUE!</v>
      </c>
      <c r="AJ596" s="205">
        <f t="shared" si="1115"/>
        <v>-236616.008352</v>
      </c>
      <c r="AK596" s="204" t="e">
        <f t="shared" si="1133"/>
        <v>#VALUE!</v>
      </c>
      <c r="AL596" s="204" t="e">
        <f t="shared" si="1134"/>
        <v>#VALUE!</v>
      </c>
      <c r="AM596" s="204" t="e">
        <f t="shared" si="1135"/>
        <v>#VALUE!</v>
      </c>
      <c r="AN596" s="204" t="e">
        <f t="shared" si="1136"/>
        <v>#VALUE!</v>
      </c>
      <c r="AO596" s="204" t="e">
        <f t="shared" si="1137"/>
        <v>#VALUE!</v>
      </c>
      <c r="AP596" s="204" t="e">
        <f t="shared" si="1138"/>
        <v>#VALUE!</v>
      </c>
      <c r="AQ596" s="204" t="e">
        <f t="shared" si="1139"/>
        <v>#VALUE!</v>
      </c>
      <c r="AR596" s="206" t="e">
        <f t="shared" si="1116"/>
        <v>#VALUE!</v>
      </c>
      <c r="AS596" s="170" t="e">
        <f t="shared" si="1140"/>
        <v>#VALUE!</v>
      </c>
      <c r="AT596" s="170" t="e">
        <f t="shared" si="1141"/>
        <v>#VALUE!</v>
      </c>
      <c r="AU596" s="207" t="e">
        <f t="shared" si="1117"/>
        <v>#VALUE!</v>
      </c>
      <c r="AV596" s="208" t="e">
        <f t="shared" si="1118"/>
        <v>#VALUE!</v>
      </c>
      <c r="AW596" s="201" t="str">
        <f t="shared" si="1119"/>
        <v>Fase de Vida Útil</v>
      </c>
      <c r="AX596" s="253" t="e">
        <f>VLOOKUP(D596,#REF!,5,FALSE)</f>
        <v>#REF!</v>
      </c>
      <c r="AY596" s="201"/>
      <c r="AZ596" s="273" t="s">
        <v>1224</v>
      </c>
      <c r="BB596">
        <f>IFERROR(VLOOKUP(Tabela1[[#This Row],[Denominação]],[10]Planilha1!$A:$B,2,FALSE),"")</f>
        <v>41890.639999999985</v>
      </c>
      <c r="BC596" s="219"/>
      <c r="BD596" s="219"/>
      <c r="BE596" s="219"/>
      <c r="BF596" s="219"/>
      <c r="BG596" s="219"/>
      <c r="BH596" s="219"/>
      <c r="BI596" s="219"/>
      <c r="BJ596" s="219"/>
      <c r="BK596" s="219"/>
      <c r="BL596" s="219"/>
    </row>
    <row r="597" spans="1:64" ht="15" hidden="1" customHeight="1" x14ac:dyDescent="0.3">
      <c r="A597" s="268">
        <v>596</v>
      </c>
      <c r="B597" s="201" t="s">
        <v>849</v>
      </c>
      <c r="C597" s="211" t="s">
        <v>850</v>
      </c>
      <c r="D597" s="201">
        <v>10006587</v>
      </c>
      <c r="E597" s="253" t="s">
        <v>1454</v>
      </c>
      <c r="F597" s="253">
        <v>4511</v>
      </c>
      <c r="G597" s="171" t="s">
        <v>875</v>
      </c>
      <c r="H597" s="201">
        <v>2019</v>
      </c>
      <c r="I597" s="216">
        <v>189778.64</v>
      </c>
      <c r="J597" s="214">
        <v>144310</v>
      </c>
      <c r="K597" s="170">
        <v>17548.760000000002</v>
      </c>
      <c r="L597" s="207">
        <v>0.75</v>
      </c>
      <c r="M597" s="212" t="str">
        <f>IFERROR(VLOOKUP(Tabela1[[#This Row],[Denominação]],#REF!,7,FALSE),"")</f>
        <v/>
      </c>
      <c r="N597" s="212">
        <v>17336</v>
      </c>
      <c r="O597" s="171">
        <v>8</v>
      </c>
      <c r="P597" s="271" t="str">
        <f>IFERROR(VLOOKUP(Tabela1[[#This Row],[TAG]],#REF!,14,FALSE),"")</f>
        <v/>
      </c>
      <c r="Q597" s="204" t="e">
        <f t="shared" si="1120"/>
        <v>#VALUE!</v>
      </c>
      <c r="R597" s="204" t="e">
        <f t="shared" si="1121"/>
        <v>#VALUE!</v>
      </c>
      <c r="S597" s="204" t="e">
        <f t="shared" si="1122"/>
        <v>#VALUE!</v>
      </c>
      <c r="T597" s="204" t="e">
        <f t="shared" si="1123"/>
        <v>#VALUE!</v>
      </c>
      <c r="U597" s="204" t="e">
        <f t="shared" si="1124"/>
        <v>#VALUE!</v>
      </c>
      <c r="V597" s="204" t="e">
        <f t="shared" si="1125"/>
        <v>#VALUE!</v>
      </c>
      <c r="W597" s="218">
        <v>235.47</v>
      </c>
      <c r="X597" s="218">
        <v>376.65500000000014</v>
      </c>
      <c r="Y597" s="203">
        <v>0.1</v>
      </c>
      <c r="Z597" s="203">
        <f>IF(Tabela1[[#This Row],[Ano Aquisição]]=2023,0,IFERROR(VLOOKUP(H597,inflação!$F:$H,3,FALSE),""))</f>
        <v>0.24679999999999999</v>
      </c>
      <c r="AA597" s="203">
        <v>0.8</v>
      </c>
      <c r="AB597" s="202">
        <f t="shared" si="1114"/>
        <v>-189778.64</v>
      </c>
      <c r="AC597" s="204" t="e">
        <f t="shared" si="1126"/>
        <v>#VALUE!</v>
      </c>
      <c r="AD597" s="204" t="e">
        <f t="shared" si="1127"/>
        <v>#VALUE!</v>
      </c>
      <c r="AE597" s="204" t="e">
        <f t="shared" si="1128"/>
        <v>#VALUE!</v>
      </c>
      <c r="AF597" s="204" t="e">
        <f t="shared" si="1129"/>
        <v>#VALUE!</v>
      </c>
      <c r="AG597" s="204" t="e">
        <f t="shared" si="1130"/>
        <v>#VALUE!</v>
      </c>
      <c r="AH597" s="204" t="e">
        <f t="shared" si="1131"/>
        <v>#VALUE!</v>
      </c>
      <c r="AI597" s="204" t="e">
        <f t="shared" si="1132"/>
        <v>#VALUE!</v>
      </c>
      <c r="AJ597" s="205">
        <f t="shared" si="1115"/>
        <v>-236616.008352</v>
      </c>
      <c r="AK597" s="204" t="e">
        <f t="shared" si="1133"/>
        <v>#VALUE!</v>
      </c>
      <c r="AL597" s="204" t="e">
        <f t="shared" si="1134"/>
        <v>#VALUE!</v>
      </c>
      <c r="AM597" s="204" t="e">
        <f t="shared" si="1135"/>
        <v>#VALUE!</v>
      </c>
      <c r="AN597" s="204" t="e">
        <f t="shared" si="1136"/>
        <v>#VALUE!</v>
      </c>
      <c r="AO597" s="204" t="e">
        <f t="shared" si="1137"/>
        <v>#VALUE!</v>
      </c>
      <c r="AP597" s="204" t="e">
        <f t="shared" si="1138"/>
        <v>#VALUE!</v>
      </c>
      <c r="AQ597" s="204" t="e">
        <f t="shared" si="1139"/>
        <v>#VALUE!</v>
      </c>
      <c r="AR597" s="206" t="e">
        <f t="shared" si="1116"/>
        <v>#VALUE!</v>
      </c>
      <c r="AS597" s="170" t="e">
        <f t="shared" si="1140"/>
        <v>#VALUE!</v>
      </c>
      <c r="AT597" s="170" t="e">
        <f t="shared" si="1141"/>
        <v>#VALUE!</v>
      </c>
      <c r="AU597" s="207" t="e">
        <f t="shared" si="1117"/>
        <v>#VALUE!</v>
      </c>
      <c r="AV597" s="208" t="e">
        <f t="shared" si="1118"/>
        <v>#VALUE!</v>
      </c>
      <c r="AW597" s="201" t="str">
        <f t="shared" si="1119"/>
        <v>Confiabilidade em Crescimento</v>
      </c>
      <c r="AX597" s="253" t="e">
        <f>VLOOKUP(D597,#REF!,5,FALSE)</f>
        <v>#REF!</v>
      </c>
      <c r="AY597" s="201"/>
      <c r="AZ597" s="273" t="s">
        <v>1224</v>
      </c>
      <c r="BB597">
        <f>IFERROR(VLOOKUP(Tabela1[[#This Row],[Denominação]],[10]Planilha1!$A:$B,2,FALSE),"")</f>
        <v>18683.640000000003</v>
      </c>
      <c r="BC597" s="219"/>
      <c r="BD597" s="219"/>
      <c r="BE597" s="219"/>
      <c r="BF597" s="219"/>
      <c r="BG597" s="219"/>
      <c r="BH597" s="219"/>
      <c r="BI597" s="219"/>
      <c r="BJ597" s="219"/>
      <c r="BK597" s="219"/>
      <c r="BL597" s="219"/>
    </row>
    <row r="598" spans="1:64" ht="15" hidden="1" customHeight="1" x14ac:dyDescent="0.3">
      <c r="A598" s="253">
        <v>597</v>
      </c>
      <c r="B598" s="201" t="s">
        <v>1148</v>
      </c>
      <c r="C598" s="211" t="s">
        <v>1149</v>
      </c>
      <c r="D598" s="201">
        <v>20003557</v>
      </c>
      <c r="E598" s="253" t="s">
        <v>1305</v>
      </c>
      <c r="F598" s="253">
        <v>4531</v>
      </c>
      <c r="G598" s="171" t="s">
        <v>1666</v>
      </c>
      <c r="H598" s="201">
        <v>2018</v>
      </c>
      <c r="I598" s="216">
        <v>125609.15</v>
      </c>
      <c r="J598" s="214">
        <f>(I598-((2023-H598)*I598/8))</f>
        <v>47103.431249999994</v>
      </c>
      <c r="K598" s="170">
        <v>16250.59</v>
      </c>
      <c r="L598" s="207">
        <v>0.63</v>
      </c>
      <c r="M598" s="212">
        <v>4591</v>
      </c>
      <c r="N598" s="212">
        <v>5299</v>
      </c>
      <c r="O598" s="171">
        <v>3</v>
      </c>
      <c r="P598" s="271" t="str">
        <f>IFERROR(VLOOKUP(Tabela1[[#This Row],[TAG]],#REF!,14,FALSE),"")</f>
        <v/>
      </c>
      <c r="Q598" s="262" t="e">
        <f t="shared" si="1120"/>
        <v>#VALUE!</v>
      </c>
      <c r="R598" s="262" t="e">
        <f t="shared" si="1121"/>
        <v>#VALUE!</v>
      </c>
      <c r="S598" s="262" t="e">
        <f t="shared" si="1122"/>
        <v>#VALUE!</v>
      </c>
      <c r="T598" s="262" t="e">
        <f t="shared" si="1123"/>
        <v>#VALUE!</v>
      </c>
      <c r="U598" s="262" t="e">
        <f t="shared" si="1124"/>
        <v>#VALUE!</v>
      </c>
      <c r="V598" s="262" t="e">
        <f t="shared" si="1125"/>
        <v>#VALUE!</v>
      </c>
      <c r="W598" s="218">
        <v>236.98</v>
      </c>
      <c r="X598" s="218">
        <v>2831.11</v>
      </c>
      <c r="Y598" s="203">
        <v>0.1</v>
      </c>
      <c r="Z598" s="203">
        <f>IF(Tabela1[[#This Row],[Ano Aquisição]]=2023,0,IFERROR(VLOOKUP(H598,inflação!$F:$H,3,FALSE),""))</f>
        <v>0.2843</v>
      </c>
      <c r="AA598" s="203">
        <v>0.8</v>
      </c>
      <c r="AB598" s="202">
        <f t="shared" si="1114"/>
        <v>-125609.15</v>
      </c>
      <c r="AC598" s="204" t="e">
        <f t="shared" si="1126"/>
        <v>#VALUE!</v>
      </c>
      <c r="AD598" s="204" t="e">
        <f t="shared" si="1127"/>
        <v>#VALUE!</v>
      </c>
      <c r="AE598" s="204" t="e">
        <f t="shared" si="1128"/>
        <v>#VALUE!</v>
      </c>
      <c r="AF598" s="204" t="e">
        <f t="shared" si="1129"/>
        <v>#VALUE!</v>
      </c>
      <c r="AG598" s="204" t="e">
        <f t="shared" si="1130"/>
        <v>#VALUE!</v>
      </c>
      <c r="AH598" s="204" t="e">
        <f t="shared" si="1131"/>
        <v>#VALUE!</v>
      </c>
      <c r="AI598" s="204" t="e">
        <f t="shared" si="1132"/>
        <v>#VALUE!</v>
      </c>
      <c r="AJ598" s="205">
        <f t="shared" si="1115"/>
        <v>-161319.83134499998</v>
      </c>
      <c r="AK598" s="204" t="e">
        <f t="shared" si="1133"/>
        <v>#VALUE!</v>
      </c>
      <c r="AL598" s="204" t="e">
        <f t="shared" si="1134"/>
        <v>#VALUE!</v>
      </c>
      <c r="AM598" s="204" t="e">
        <f t="shared" si="1135"/>
        <v>#VALUE!</v>
      </c>
      <c r="AN598" s="204" t="e">
        <f t="shared" si="1136"/>
        <v>#VALUE!</v>
      </c>
      <c r="AO598" s="204" t="e">
        <f t="shared" si="1137"/>
        <v>#VALUE!</v>
      </c>
      <c r="AP598" s="204" t="e">
        <f t="shared" si="1138"/>
        <v>#VALUE!</v>
      </c>
      <c r="AQ598" s="204" t="e">
        <f t="shared" si="1139"/>
        <v>#VALUE!</v>
      </c>
      <c r="AR598" s="206" t="e">
        <f t="shared" si="1116"/>
        <v>#VALUE!</v>
      </c>
      <c r="AS598" s="170" t="e">
        <f t="shared" si="1140"/>
        <v>#VALUE!</v>
      </c>
      <c r="AT598" s="170" t="e">
        <f t="shared" si="1141"/>
        <v>#VALUE!</v>
      </c>
      <c r="AU598" s="207" t="e">
        <f t="shared" si="1117"/>
        <v>#VALUE!</v>
      </c>
      <c r="AV598" s="208" t="e">
        <f t="shared" si="1118"/>
        <v>#VALUE!</v>
      </c>
      <c r="AW598" s="201" t="str">
        <f t="shared" si="1119"/>
        <v>Confiabilidade em Crescimento</v>
      </c>
      <c r="AX598" s="253" t="e">
        <f>VLOOKUP(D598,#REF!,5,FALSE)</f>
        <v>#REF!</v>
      </c>
      <c r="AY598" s="201"/>
      <c r="AZ598" s="273" t="s">
        <v>1224</v>
      </c>
      <c r="BB598">
        <f>IFERROR(VLOOKUP(Tabela1[[#This Row],[Denominação]],[10]Planilha1!$A:$B,2,FALSE),"")</f>
        <v>16250.59</v>
      </c>
      <c r="BC598" s="219"/>
      <c r="BD598" s="219"/>
      <c r="BE598" s="219"/>
      <c r="BF598" s="219"/>
      <c r="BG598" s="219"/>
      <c r="BH598" s="219"/>
      <c r="BI598" s="219"/>
      <c r="BJ598" s="219"/>
      <c r="BK598" s="219"/>
      <c r="BL598" s="219"/>
    </row>
    <row r="599" spans="1:64" ht="15" hidden="1" customHeight="1" x14ac:dyDescent="0.3">
      <c r="A599" s="268">
        <v>598</v>
      </c>
      <c r="B599" s="201" t="s">
        <v>1150</v>
      </c>
      <c r="C599" s="211" t="s">
        <v>1151</v>
      </c>
      <c r="D599" s="201">
        <v>20003558</v>
      </c>
      <c r="E599" s="253" t="s">
        <v>1306</v>
      </c>
      <c r="F599" s="253">
        <v>4531</v>
      </c>
      <c r="G599" s="171" t="s">
        <v>1666</v>
      </c>
      <c r="H599" s="201">
        <v>2018</v>
      </c>
      <c r="I599" s="216">
        <v>125609.15</v>
      </c>
      <c r="J599" s="214">
        <f>(I599-((2023-H599)*I599/8))</f>
        <v>47103.431249999994</v>
      </c>
      <c r="K599" s="170">
        <v>50759</v>
      </c>
      <c r="L599" s="207">
        <v>0.89</v>
      </c>
      <c r="M599" s="212">
        <v>5592</v>
      </c>
      <c r="N599" s="212">
        <v>5110</v>
      </c>
      <c r="O599" s="171">
        <v>2</v>
      </c>
      <c r="P599" s="271" t="str">
        <f>IFERROR(VLOOKUP(Tabela1[[#This Row],[TAG]],#REF!,14,FALSE),"")</f>
        <v/>
      </c>
      <c r="Q599" s="262" t="e">
        <f t="shared" si="1120"/>
        <v>#VALUE!</v>
      </c>
      <c r="R599" s="262" t="e">
        <f t="shared" si="1121"/>
        <v>#VALUE!</v>
      </c>
      <c r="S599" s="262" t="e">
        <f t="shared" si="1122"/>
        <v>#VALUE!</v>
      </c>
      <c r="T599" s="262" t="e">
        <f t="shared" si="1123"/>
        <v>#VALUE!</v>
      </c>
      <c r="U599" s="262" t="e">
        <f t="shared" si="1124"/>
        <v>#VALUE!</v>
      </c>
      <c r="V599" s="262" t="e">
        <f t="shared" si="1125"/>
        <v>#VALUE!</v>
      </c>
      <c r="W599" s="218">
        <v>268.42500000000001</v>
      </c>
      <c r="X599" s="218">
        <v>5800.94</v>
      </c>
      <c r="Y599" s="203">
        <v>0.1</v>
      </c>
      <c r="Z599" s="203">
        <f>IF(Tabela1[[#This Row],[Ano Aquisição]]=2023,0,IFERROR(VLOOKUP(H599,inflação!$F:$H,3,FALSE),""))</f>
        <v>0.2843</v>
      </c>
      <c r="AA599" s="203">
        <v>0.8</v>
      </c>
      <c r="AB599" s="202">
        <f t="shared" ref="AB599:AB632" si="1142">I599*-1</f>
        <v>-125609.15</v>
      </c>
      <c r="AC599" s="204" t="e">
        <f t="shared" si="1126"/>
        <v>#VALUE!</v>
      </c>
      <c r="AD599" s="204" t="e">
        <f t="shared" si="1127"/>
        <v>#VALUE!</v>
      </c>
      <c r="AE599" s="204" t="e">
        <f t="shared" si="1128"/>
        <v>#VALUE!</v>
      </c>
      <c r="AF599" s="204" t="e">
        <f t="shared" si="1129"/>
        <v>#VALUE!</v>
      </c>
      <c r="AG599" s="204" t="e">
        <f t="shared" si="1130"/>
        <v>#VALUE!</v>
      </c>
      <c r="AH599" s="204" t="e">
        <f t="shared" si="1131"/>
        <v>#VALUE!</v>
      </c>
      <c r="AI599" s="204" t="e">
        <f t="shared" si="1132"/>
        <v>#VALUE!</v>
      </c>
      <c r="AJ599" s="205">
        <f t="shared" ref="AJ599:AJ632" si="1143">-(I599*(1+Z599))</f>
        <v>-161319.83134499998</v>
      </c>
      <c r="AK599" s="204" t="e">
        <f t="shared" si="1133"/>
        <v>#VALUE!</v>
      </c>
      <c r="AL599" s="204" t="e">
        <f t="shared" si="1134"/>
        <v>#VALUE!</v>
      </c>
      <c r="AM599" s="204" t="e">
        <f t="shared" si="1135"/>
        <v>#VALUE!</v>
      </c>
      <c r="AN599" s="204" t="e">
        <f t="shared" si="1136"/>
        <v>#VALUE!</v>
      </c>
      <c r="AO599" s="204" t="e">
        <f t="shared" si="1137"/>
        <v>#VALUE!</v>
      </c>
      <c r="AP599" s="204" t="e">
        <f t="shared" si="1138"/>
        <v>#VALUE!</v>
      </c>
      <c r="AQ599" s="204" t="e">
        <f t="shared" si="1139"/>
        <v>#VALUE!</v>
      </c>
      <c r="AR599" s="206" t="e">
        <f t="shared" ref="AR599:AR630" si="1144">(NPV(Y599,AK599,AL599,AM599,AN599,AO599,AP599,AQ599)+(SUM(AJ599,(J599*-1))))-(NPV(Y599,AC599,AD599,AE599,AF599,AG599,AH599,AI599))</f>
        <v>#VALUE!</v>
      </c>
      <c r="AS599" s="170" t="e">
        <f t="shared" si="1140"/>
        <v>#VALUE!</v>
      </c>
      <c r="AT599" s="170" t="e">
        <f t="shared" si="1141"/>
        <v>#VALUE!</v>
      </c>
      <c r="AU599" s="207" t="e">
        <f t="shared" ref="AU599:AU632" si="1145">(((AVERAGE(AC599:AI599)/1000)-(AVERAGE(AK599:AQ599)/1000))+(((AJ599/1000)*-1)/7)+((J599/1000)/7))*-1</f>
        <v>#VALUE!</v>
      </c>
      <c r="AV599" s="208" t="e">
        <f t="shared" ref="AV599:AV630" si="1146">AU599/(((J599/1000)+((AJ599*-1)/1000)))</f>
        <v>#VALUE!</v>
      </c>
      <c r="AW599" s="201" t="str">
        <f t="shared" ref="AW599:AW632" si="1147">IF(L599&gt;1.1,"Fase de Degradação",IF(L599&lt;1,"Confiabilidade em Crescimento","Fase de Vida Útil"))</f>
        <v>Confiabilidade em Crescimento</v>
      </c>
      <c r="AX599" s="253" t="e">
        <f>VLOOKUP(D599,#REF!,5,FALSE)</f>
        <v>#REF!</v>
      </c>
      <c r="AY599" s="201"/>
      <c r="AZ599" s="273" t="s">
        <v>1224</v>
      </c>
      <c r="BB599">
        <f>IFERROR(VLOOKUP(Tabela1[[#This Row],[Denominação]],[10]Planilha1!$A:$B,2,FALSE),"")</f>
        <v>50759</v>
      </c>
      <c r="BC599" s="219"/>
      <c r="BD599" s="219"/>
      <c r="BE599" s="219"/>
      <c r="BF599" s="219"/>
      <c r="BG599" s="219"/>
      <c r="BH599" s="219"/>
      <c r="BI599" s="219"/>
      <c r="BJ599" s="219"/>
      <c r="BK599" s="219"/>
      <c r="BL599" s="219"/>
    </row>
    <row r="600" spans="1:64" ht="15" hidden="1" customHeight="1" x14ac:dyDescent="0.3">
      <c r="A600" s="253">
        <v>599</v>
      </c>
      <c r="B600" s="201" t="s">
        <v>1152</v>
      </c>
      <c r="C600" s="211" t="s">
        <v>1153</v>
      </c>
      <c r="D600" s="201">
        <v>20003559</v>
      </c>
      <c r="E600" s="253" t="s">
        <v>1340</v>
      </c>
      <c r="F600" s="253">
        <v>4531</v>
      </c>
      <c r="G600" s="171" t="s">
        <v>1666</v>
      </c>
      <c r="H600" s="201">
        <v>2018</v>
      </c>
      <c r="I600" s="216">
        <v>125609.15</v>
      </c>
      <c r="J600" s="214">
        <f>(I600-((2023-H600)*I600/8))</f>
        <v>47103.431249999994</v>
      </c>
      <c r="K600" s="170">
        <v>19945.87</v>
      </c>
      <c r="L600" s="207">
        <v>0.88</v>
      </c>
      <c r="M600" s="212">
        <v>5224</v>
      </c>
      <c r="N600" s="212">
        <v>4342</v>
      </c>
      <c r="O600" s="171">
        <v>2</v>
      </c>
      <c r="P600" s="271" t="str">
        <f>IFERROR(VLOOKUP(Tabela1[[#This Row],[TAG]],#REF!,14,FALSE),"")</f>
        <v/>
      </c>
      <c r="Q600" s="262" t="e">
        <f t="shared" si="1120"/>
        <v>#VALUE!</v>
      </c>
      <c r="R600" s="262" t="e">
        <f t="shared" si="1121"/>
        <v>#VALUE!</v>
      </c>
      <c r="S600" s="262" t="e">
        <f t="shared" si="1122"/>
        <v>#VALUE!</v>
      </c>
      <c r="T600" s="262" t="e">
        <f t="shared" si="1123"/>
        <v>#VALUE!</v>
      </c>
      <c r="U600" s="262" t="e">
        <f t="shared" si="1124"/>
        <v>#VALUE!</v>
      </c>
      <c r="V600" s="262" t="e">
        <f t="shared" si="1125"/>
        <v>#VALUE!</v>
      </c>
      <c r="W600" s="218">
        <v>981.74</v>
      </c>
      <c r="X600" s="218">
        <v>311.57</v>
      </c>
      <c r="Y600" s="203">
        <v>0.1</v>
      </c>
      <c r="Z600" s="203">
        <f>IF(Tabela1[[#This Row],[Ano Aquisição]]=2023,0,IFERROR(VLOOKUP(H600,inflação!$F:$H,3,FALSE),""))</f>
        <v>0.2843</v>
      </c>
      <c r="AA600" s="203">
        <v>0.8</v>
      </c>
      <c r="AB600" s="202">
        <f t="shared" si="1142"/>
        <v>-125609.15</v>
      </c>
      <c r="AC600" s="204" t="e">
        <f t="shared" si="1126"/>
        <v>#VALUE!</v>
      </c>
      <c r="AD600" s="204" t="e">
        <f t="shared" si="1127"/>
        <v>#VALUE!</v>
      </c>
      <c r="AE600" s="204" t="e">
        <f t="shared" si="1128"/>
        <v>#VALUE!</v>
      </c>
      <c r="AF600" s="204" t="e">
        <f t="shared" si="1129"/>
        <v>#VALUE!</v>
      </c>
      <c r="AG600" s="204" t="e">
        <f t="shared" si="1130"/>
        <v>#VALUE!</v>
      </c>
      <c r="AH600" s="204" t="e">
        <f t="shared" si="1131"/>
        <v>#VALUE!</v>
      </c>
      <c r="AI600" s="204" t="e">
        <f t="shared" si="1132"/>
        <v>#VALUE!</v>
      </c>
      <c r="AJ600" s="205">
        <f t="shared" si="1143"/>
        <v>-161319.83134499998</v>
      </c>
      <c r="AK600" s="204" t="e">
        <f t="shared" si="1133"/>
        <v>#VALUE!</v>
      </c>
      <c r="AL600" s="204" t="e">
        <f t="shared" si="1134"/>
        <v>#VALUE!</v>
      </c>
      <c r="AM600" s="204" t="e">
        <f t="shared" si="1135"/>
        <v>#VALUE!</v>
      </c>
      <c r="AN600" s="204" t="e">
        <f t="shared" si="1136"/>
        <v>#VALUE!</v>
      </c>
      <c r="AO600" s="204" t="e">
        <f t="shared" si="1137"/>
        <v>#VALUE!</v>
      </c>
      <c r="AP600" s="204" t="e">
        <f t="shared" si="1138"/>
        <v>#VALUE!</v>
      </c>
      <c r="AQ600" s="204" t="e">
        <f t="shared" si="1139"/>
        <v>#VALUE!</v>
      </c>
      <c r="AR600" s="206" t="e">
        <f t="shared" si="1144"/>
        <v>#VALUE!</v>
      </c>
      <c r="AS600" s="170" t="e">
        <f t="shared" si="1140"/>
        <v>#VALUE!</v>
      </c>
      <c r="AT600" s="170" t="e">
        <f t="shared" si="1141"/>
        <v>#VALUE!</v>
      </c>
      <c r="AU600" s="207" t="e">
        <f t="shared" si="1145"/>
        <v>#VALUE!</v>
      </c>
      <c r="AV600" s="208" t="e">
        <f t="shared" si="1146"/>
        <v>#VALUE!</v>
      </c>
      <c r="AW600" s="201" t="str">
        <f t="shared" si="1147"/>
        <v>Confiabilidade em Crescimento</v>
      </c>
      <c r="AX600" s="253" t="e">
        <f>VLOOKUP(D600,#REF!,5,FALSE)</f>
        <v>#REF!</v>
      </c>
      <c r="AY600" s="201"/>
      <c r="AZ600" s="273" t="s">
        <v>1224</v>
      </c>
      <c r="BB600">
        <f>IFERROR(VLOOKUP(Tabela1[[#This Row],[Denominação]],[10]Planilha1!$A:$B,2,FALSE),"")</f>
        <v>19945.87</v>
      </c>
      <c r="BC600" s="219"/>
      <c r="BD600" s="219"/>
      <c r="BE600" s="219"/>
      <c r="BF600" s="219"/>
      <c r="BG600" s="219"/>
      <c r="BH600" s="219"/>
      <c r="BI600" s="219"/>
      <c r="BJ600" s="219"/>
      <c r="BK600" s="219"/>
      <c r="BL600" s="219"/>
    </row>
    <row r="601" spans="1:64" ht="15" hidden="1" customHeight="1" x14ac:dyDescent="0.3">
      <c r="A601" s="268">
        <v>600</v>
      </c>
      <c r="B601" s="201" t="s">
        <v>1154</v>
      </c>
      <c r="C601" s="211" t="s">
        <v>1155</v>
      </c>
      <c r="D601" s="201">
        <v>20003560</v>
      </c>
      <c r="E601" s="253" t="s">
        <v>1341</v>
      </c>
      <c r="F601" s="253">
        <v>4531</v>
      </c>
      <c r="G601" s="171" t="s">
        <v>1666</v>
      </c>
      <c r="H601" s="201">
        <v>2018</v>
      </c>
      <c r="I601" s="216">
        <v>125609.15</v>
      </c>
      <c r="J601" s="214">
        <f>(I601-((2023-H601)*I601/10))</f>
        <v>62804.574999999997</v>
      </c>
      <c r="K601" s="170">
        <v>131.63999999999999</v>
      </c>
      <c r="L601" s="207">
        <v>0.89</v>
      </c>
      <c r="M601" s="212">
        <v>4703</v>
      </c>
      <c r="N601" s="212">
        <v>4917</v>
      </c>
      <c r="O601" s="171">
        <v>3</v>
      </c>
      <c r="P601" s="271" t="str">
        <f>IFERROR(VLOOKUP(Tabela1[[#This Row],[TAG]],#REF!,14,FALSE),"")</f>
        <v/>
      </c>
      <c r="Q601" s="204" t="e">
        <f t="shared" si="1120"/>
        <v>#VALUE!</v>
      </c>
      <c r="R601" s="204" t="e">
        <f t="shared" si="1121"/>
        <v>#VALUE!</v>
      </c>
      <c r="S601" s="204" t="e">
        <f t="shared" si="1122"/>
        <v>#VALUE!</v>
      </c>
      <c r="T601" s="204" t="e">
        <f t="shared" si="1123"/>
        <v>#VALUE!</v>
      </c>
      <c r="U601" s="204" t="e">
        <f t="shared" si="1124"/>
        <v>#VALUE!</v>
      </c>
      <c r="V601" s="204" t="e">
        <f t="shared" si="1125"/>
        <v>#VALUE!</v>
      </c>
      <c r="W601" s="218">
        <v>415.48</v>
      </c>
      <c r="X601" s="218">
        <v>658.63</v>
      </c>
      <c r="Y601" s="203">
        <v>0.1</v>
      </c>
      <c r="Z601" s="203">
        <f>IF(Tabela1[[#This Row],[Ano Aquisição]]=2023,0,IFERROR(VLOOKUP(H601,inflação!$F:$H,3,FALSE),""))</f>
        <v>0.2843</v>
      </c>
      <c r="AA601" s="203">
        <v>0.8</v>
      </c>
      <c r="AB601" s="202">
        <f t="shared" si="1142"/>
        <v>-125609.15</v>
      </c>
      <c r="AC601" s="204" t="e">
        <f t="shared" si="1126"/>
        <v>#VALUE!</v>
      </c>
      <c r="AD601" s="204" t="e">
        <f t="shared" si="1127"/>
        <v>#VALUE!</v>
      </c>
      <c r="AE601" s="204" t="e">
        <f t="shared" si="1128"/>
        <v>#VALUE!</v>
      </c>
      <c r="AF601" s="204" t="e">
        <f t="shared" si="1129"/>
        <v>#VALUE!</v>
      </c>
      <c r="AG601" s="204" t="e">
        <f t="shared" si="1130"/>
        <v>#VALUE!</v>
      </c>
      <c r="AH601" s="204" t="e">
        <f t="shared" si="1131"/>
        <v>#VALUE!</v>
      </c>
      <c r="AI601" s="204" t="e">
        <f t="shared" si="1132"/>
        <v>#VALUE!</v>
      </c>
      <c r="AJ601" s="205">
        <f t="shared" si="1143"/>
        <v>-161319.83134499998</v>
      </c>
      <c r="AK601" s="204" t="e">
        <f t="shared" si="1133"/>
        <v>#VALUE!</v>
      </c>
      <c r="AL601" s="204" t="e">
        <f t="shared" si="1134"/>
        <v>#VALUE!</v>
      </c>
      <c r="AM601" s="204" t="e">
        <f t="shared" si="1135"/>
        <v>#VALUE!</v>
      </c>
      <c r="AN601" s="204" t="e">
        <f t="shared" si="1136"/>
        <v>#VALUE!</v>
      </c>
      <c r="AO601" s="204" t="e">
        <f t="shared" si="1137"/>
        <v>#VALUE!</v>
      </c>
      <c r="AP601" s="204" t="e">
        <f t="shared" si="1138"/>
        <v>#VALUE!</v>
      </c>
      <c r="AQ601" s="204" t="e">
        <f t="shared" si="1139"/>
        <v>#VALUE!</v>
      </c>
      <c r="AR601" s="206" t="e">
        <f t="shared" si="1144"/>
        <v>#VALUE!</v>
      </c>
      <c r="AS601" s="170" t="e">
        <f t="shared" si="1140"/>
        <v>#VALUE!</v>
      </c>
      <c r="AT601" s="170" t="e">
        <f t="shared" si="1141"/>
        <v>#VALUE!</v>
      </c>
      <c r="AU601" s="207" t="e">
        <f t="shared" si="1145"/>
        <v>#VALUE!</v>
      </c>
      <c r="AV601" s="208" t="e">
        <f t="shared" si="1146"/>
        <v>#VALUE!</v>
      </c>
      <c r="AW601" s="201" t="str">
        <f t="shared" si="1147"/>
        <v>Confiabilidade em Crescimento</v>
      </c>
      <c r="AX601" s="253" t="e">
        <f>VLOOKUP(D601,#REF!,5,FALSE)</f>
        <v>#REF!</v>
      </c>
      <c r="AY601" s="201"/>
      <c r="AZ601" s="273" t="s">
        <v>1224</v>
      </c>
      <c r="BB601">
        <f>IFERROR(VLOOKUP(Tabela1[[#This Row],[Denominação]],[10]Planilha1!$A:$B,2,FALSE),"")</f>
        <v>131.63999999999999</v>
      </c>
      <c r="BC601" s="219"/>
      <c r="BD601" s="219"/>
      <c r="BE601" s="219"/>
      <c r="BF601" s="219"/>
      <c r="BG601" s="219"/>
      <c r="BH601" s="219"/>
      <c r="BI601" s="219"/>
      <c r="BJ601" s="219"/>
      <c r="BK601" s="219"/>
      <c r="BL601" s="219"/>
    </row>
    <row r="602" spans="1:64" ht="15" hidden="1" customHeight="1" x14ac:dyDescent="0.3">
      <c r="A602" s="253">
        <v>601</v>
      </c>
      <c r="B602" s="201" t="s">
        <v>1156</v>
      </c>
      <c r="C602" s="211" t="s">
        <v>1157</v>
      </c>
      <c r="D602" s="201">
        <v>20003561</v>
      </c>
      <c r="E602" s="253" t="s">
        <v>1344</v>
      </c>
      <c r="F602" s="253">
        <v>4531</v>
      </c>
      <c r="G602" s="171" t="s">
        <v>1666</v>
      </c>
      <c r="H602" s="201">
        <v>2018</v>
      </c>
      <c r="I602" s="216">
        <v>125609.15</v>
      </c>
      <c r="J602" s="214">
        <f>(I602-((2023-H602)*I602/10))</f>
        <v>62804.574999999997</v>
      </c>
      <c r="K602" s="170">
        <v>5904.61</v>
      </c>
      <c r="L602" s="207">
        <v>0.91</v>
      </c>
      <c r="M602" s="212">
        <v>4935</v>
      </c>
      <c r="N602" s="212">
        <v>4917</v>
      </c>
      <c r="O602" s="171">
        <v>4</v>
      </c>
      <c r="P602" s="271" t="str">
        <f>IFERROR(VLOOKUP(Tabela1[[#This Row],[TAG]],#REF!,14,FALSE),"")</f>
        <v/>
      </c>
      <c r="Q602" s="204" t="e">
        <f t="shared" si="1120"/>
        <v>#VALUE!</v>
      </c>
      <c r="R602" s="204" t="e">
        <f t="shared" si="1121"/>
        <v>#VALUE!</v>
      </c>
      <c r="S602" s="204" t="e">
        <f t="shared" si="1122"/>
        <v>#VALUE!</v>
      </c>
      <c r="T602" s="204" t="e">
        <f t="shared" si="1123"/>
        <v>#VALUE!</v>
      </c>
      <c r="U602" s="204" t="e">
        <f t="shared" si="1124"/>
        <v>#VALUE!</v>
      </c>
      <c r="V602" s="204" t="e">
        <f t="shared" si="1125"/>
        <v>#VALUE!</v>
      </c>
      <c r="W602" s="218">
        <v>374.9</v>
      </c>
      <c r="X602" s="218">
        <v>2198.15</v>
      </c>
      <c r="Y602" s="203">
        <v>0.1</v>
      </c>
      <c r="Z602" s="203">
        <f>IF(Tabela1[[#This Row],[Ano Aquisição]]=2023,0,IFERROR(VLOOKUP(H602,inflação!$F:$H,3,FALSE),""))</f>
        <v>0.2843</v>
      </c>
      <c r="AA602" s="203">
        <v>0.8</v>
      </c>
      <c r="AB602" s="202">
        <f t="shared" si="1142"/>
        <v>-125609.15</v>
      </c>
      <c r="AC602" s="204" t="e">
        <f t="shared" si="1126"/>
        <v>#VALUE!</v>
      </c>
      <c r="AD602" s="204" t="e">
        <f t="shared" si="1127"/>
        <v>#VALUE!</v>
      </c>
      <c r="AE602" s="204" t="e">
        <f t="shared" si="1128"/>
        <v>#VALUE!</v>
      </c>
      <c r="AF602" s="204" t="e">
        <f t="shared" si="1129"/>
        <v>#VALUE!</v>
      </c>
      <c r="AG602" s="204" t="e">
        <f t="shared" si="1130"/>
        <v>#VALUE!</v>
      </c>
      <c r="AH602" s="204" t="e">
        <f t="shared" si="1131"/>
        <v>#VALUE!</v>
      </c>
      <c r="AI602" s="204" t="e">
        <f t="shared" si="1132"/>
        <v>#VALUE!</v>
      </c>
      <c r="AJ602" s="205">
        <f t="shared" si="1143"/>
        <v>-161319.83134499998</v>
      </c>
      <c r="AK602" s="204" t="e">
        <f t="shared" si="1133"/>
        <v>#VALUE!</v>
      </c>
      <c r="AL602" s="204" t="e">
        <f t="shared" si="1134"/>
        <v>#VALUE!</v>
      </c>
      <c r="AM602" s="204" t="e">
        <f t="shared" si="1135"/>
        <v>#VALUE!</v>
      </c>
      <c r="AN602" s="204" t="e">
        <f t="shared" si="1136"/>
        <v>#VALUE!</v>
      </c>
      <c r="AO602" s="204" t="e">
        <f t="shared" si="1137"/>
        <v>#VALUE!</v>
      </c>
      <c r="AP602" s="204" t="e">
        <f t="shared" si="1138"/>
        <v>#VALUE!</v>
      </c>
      <c r="AQ602" s="204" t="e">
        <f t="shared" si="1139"/>
        <v>#VALUE!</v>
      </c>
      <c r="AR602" s="206" t="e">
        <f t="shared" si="1144"/>
        <v>#VALUE!</v>
      </c>
      <c r="AS602" s="170" t="e">
        <f t="shared" si="1140"/>
        <v>#VALUE!</v>
      </c>
      <c r="AT602" s="170" t="e">
        <f t="shared" si="1141"/>
        <v>#VALUE!</v>
      </c>
      <c r="AU602" s="207" t="e">
        <f t="shared" si="1145"/>
        <v>#VALUE!</v>
      </c>
      <c r="AV602" s="208" t="e">
        <f t="shared" si="1146"/>
        <v>#VALUE!</v>
      </c>
      <c r="AW602" s="201" t="str">
        <f t="shared" si="1147"/>
        <v>Confiabilidade em Crescimento</v>
      </c>
      <c r="AX602" s="253" t="e">
        <f>VLOOKUP(D602,#REF!,5,FALSE)</f>
        <v>#REF!</v>
      </c>
      <c r="AY602" s="201"/>
      <c r="AZ602" s="273" t="s">
        <v>1224</v>
      </c>
      <c r="BB602">
        <f>IFERROR(VLOOKUP(Tabela1[[#This Row],[Denominação]],[10]Planilha1!$A:$B,2,FALSE),"")</f>
        <v>5904.61</v>
      </c>
      <c r="BC602" s="219"/>
      <c r="BD602" s="219"/>
      <c r="BE602" s="219"/>
      <c r="BF602" s="219"/>
      <c r="BG602" s="219"/>
      <c r="BH602" s="219"/>
      <c r="BI602" s="219"/>
      <c r="BJ602" s="219"/>
      <c r="BK602" s="219"/>
      <c r="BL602" s="219"/>
    </row>
    <row r="603" spans="1:64" ht="15" hidden="1" customHeight="1" x14ac:dyDescent="0.3">
      <c r="A603" s="268">
        <v>602</v>
      </c>
      <c r="B603" s="201" t="s">
        <v>1158</v>
      </c>
      <c r="C603" s="211" t="s">
        <v>1159</v>
      </c>
      <c r="D603" s="201">
        <v>20003562</v>
      </c>
      <c r="E603" s="253" t="s">
        <v>1345</v>
      </c>
      <c r="F603" s="253">
        <v>4531</v>
      </c>
      <c r="G603" s="171" t="s">
        <v>1666</v>
      </c>
      <c r="H603" s="201">
        <v>2018</v>
      </c>
      <c r="I603" s="216">
        <v>125609.15</v>
      </c>
      <c r="J603" s="214">
        <f>(I603-((2023-H603)*I603/10))</f>
        <v>62804.574999999997</v>
      </c>
      <c r="K603" s="170">
        <v>65.599999999999994</v>
      </c>
      <c r="L603" s="207">
        <v>0.9</v>
      </c>
      <c r="M603" s="212">
        <v>5281</v>
      </c>
      <c r="N603" s="212">
        <v>4917</v>
      </c>
      <c r="O603" s="171">
        <v>2</v>
      </c>
      <c r="P603" s="271" t="str">
        <f>IFERROR(VLOOKUP(Tabela1[[#This Row],[TAG]],#REF!,14,FALSE),"")</f>
        <v/>
      </c>
      <c r="Q603" s="204" t="e">
        <f t="shared" si="1120"/>
        <v>#VALUE!</v>
      </c>
      <c r="R603" s="204" t="e">
        <f t="shared" si="1121"/>
        <v>#VALUE!</v>
      </c>
      <c r="S603" s="204" t="e">
        <f t="shared" si="1122"/>
        <v>#VALUE!</v>
      </c>
      <c r="T603" s="204" t="e">
        <f t="shared" si="1123"/>
        <v>#VALUE!</v>
      </c>
      <c r="U603" s="204" t="e">
        <f t="shared" si="1124"/>
        <v>#VALUE!</v>
      </c>
      <c r="V603" s="204" t="e">
        <f t="shared" si="1125"/>
        <v>#VALUE!</v>
      </c>
      <c r="W603" s="218">
        <v>395.19</v>
      </c>
      <c r="X603" s="218">
        <v>1460.52</v>
      </c>
      <c r="Y603" s="203">
        <v>0.1</v>
      </c>
      <c r="Z603" s="203">
        <f>IF(Tabela1[[#This Row],[Ano Aquisição]]=2023,0,IFERROR(VLOOKUP(H603,inflação!$F:$H,3,FALSE),""))</f>
        <v>0.2843</v>
      </c>
      <c r="AA603" s="203">
        <v>0.8</v>
      </c>
      <c r="AB603" s="202">
        <f t="shared" si="1142"/>
        <v>-125609.15</v>
      </c>
      <c r="AC603" s="204" t="e">
        <f t="shared" si="1126"/>
        <v>#VALUE!</v>
      </c>
      <c r="AD603" s="204" t="e">
        <f t="shared" si="1127"/>
        <v>#VALUE!</v>
      </c>
      <c r="AE603" s="204" t="e">
        <f t="shared" si="1128"/>
        <v>#VALUE!</v>
      </c>
      <c r="AF603" s="204" t="e">
        <f t="shared" si="1129"/>
        <v>#VALUE!</v>
      </c>
      <c r="AG603" s="204" t="e">
        <f t="shared" si="1130"/>
        <v>#VALUE!</v>
      </c>
      <c r="AH603" s="204" t="e">
        <f t="shared" si="1131"/>
        <v>#VALUE!</v>
      </c>
      <c r="AI603" s="204" t="e">
        <f t="shared" si="1132"/>
        <v>#VALUE!</v>
      </c>
      <c r="AJ603" s="205">
        <f t="shared" si="1143"/>
        <v>-161319.83134499998</v>
      </c>
      <c r="AK603" s="204" t="e">
        <f t="shared" si="1133"/>
        <v>#VALUE!</v>
      </c>
      <c r="AL603" s="204" t="e">
        <f t="shared" si="1134"/>
        <v>#VALUE!</v>
      </c>
      <c r="AM603" s="204" t="e">
        <f t="shared" si="1135"/>
        <v>#VALUE!</v>
      </c>
      <c r="AN603" s="204" t="e">
        <f t="shared" si="1136"/>
        <v>#VALUE!</v>
      </c>
      <c r="AO603" s="204" t="e">
        <f t="shared" si="1137"/>
        <v>#VALUE!</v>
      </c>
      <c r="AP603" s="204" t="e">
        <f t="shared" si="1138"/>
        <v>#VALUE!</v>
      </c>
      <c r="AQ603" s="204" t="e">
        <f t="shared" si="1139"/>
        <v>#VALUE!</v>
      </c>
      <c r="AR603" s="206" t="e">
        <f t="shared" si="1144"/>
        <v>#VALUE!</v>
      </c>
      <c r="AS603" s="170" t="e">
        <f t="shared" si="1140"/>
        <v>#VALUE!</v>
      </c>
      <c r="AT603" s="170" t="e">
        <f t="shared" si="1141"/>
        <v>#VALUE!</v>
      </c>
      <c r="AU603" s="207" t="e">
        <f t="shared" si="1145"/>
        <v>#VALUE!</v>
      </c>
      <c r="AV603" s="208" t="e">
        <f t="shared" si="1146"/>
        <v>#VALUE!</v>
      </c>
      <c r="AW603" s="201" t="str">
        <f t="shared" si="1147"/>
        <v>Confiabilidade em Crescimento</v>
      </c>
      <c r="AX603" s="253" t="e">
        <f>VLOOKUP(D603,#REF!,5,FALSE)</f>
        <v>#REF!</v>
      </c>
      <c r="AY603" s="201"/>
      <c r="AZ603" s="273" t="s">
        <v>1224</v>
      </c>
      <c r="BB603">
        <f>IFERROR(VLOOKUP(Tabela1[[#This Row],[Denominação]],[10]Planilha1!$A:$B,2,FALSE),"")</f>
        <v>0</v>
      </c>
      <c r="BC603" s="219"/>
      <c r="BD603" s="219"/>
      <c r="BE603" s="219"/>
      <c r="BF603" s="219"/>
      <c r="BG603" s="219"/>
      <c r="BH603" s="219"/>
      <c r="BI603" s="219"/>
      <c r="BJ603" s="219"/>
      <c r="BK603" s="219"/>
      <c r="BL603" s="219"/>
    </row>
    <row r="604" spans="1:64" ht="15" hidden="1" customHeight="1" x14ac:dyDescent="0.3">
      <c r="A604" s="253">
        <v>603</v>
      </c>
      <c r="B604" s="201" t="s">
        <v>1160</v>
      </c>
      <c r="C604" s="256" t="s">
        <v>1161</v>
      </c>
      <c r="D604" s="201">
        <v>20003728</v>
      </c>
      <c r="E604" s="253" t="s">
        <v>1443</v>
      </c>
      <c r="F604" s="253">
        <v>3112</v>
      </c>
      <c r="G604" s="201">
        <v>48112</v>
      </c>
      <c r="H604" s="201">
        <v>2017</v>
      </c>
      <c r="I604" s="216">
        <v>99908.38</v>
      </c>
      <c r="J604" s="214">
        <v>36224</v>
      </c>
      <c r="K604" s="170">
        <v>13472.420000000002</v>
      </c>
      <c r="L604" s="207">
        <v>0.91</v>
      </c>
      <c r="M604" s="212">
        <v>4634</v>
      </c>
      <c r="N604" s="212">
        <v>14605</v>
      </c>
      <c r="O604" s="171">
        <v>30</v>
      </c>
      <c r="P604" s="271" t="str">
        <f>IFERROR(VLOOKUP(Tabela1[[#This Row],[TAG]],#REF!,14,FALSE),"")</f>
        <v/>
      </c>
      <c r="Q604" s="204" t="e">
        <f t="shared" si="1120"/>
        <v>#VALUE!</v>
      </c>
      <c r="R604" s="204" t="e">
        <f t="shared" si="1121"/>
        <v>#VALUE!</v>
      </c>
      <c r="S604" s="204" t="e">
        <f t="shared" si="1122"/>
        <v>#VALUE!</v>
      </c>
      <c r="T604" s="204" t="e">
        <f t="shared" si="1123"/>
        <v>#VALUE!</v>
      </c>
      <c r="U604" s="204" t="e">
        <f t="shared" si="1124"/>
        <v>#VALUE!</v>
      </c>
      <c r="V604" s="204" t="e">
        <f t="shared" si="1125"/>
        <v>#VALUE!</v>
      </c>
      <c r="W604" s="218">
        <v>424.36</v>
      </c>
      <c r="X604" s="218">
        <v>632.96</v>
      </c>
      <c r="Y604" s="203">
        <v>0.1</v>
      </c>
      <c r="Z604" s="203">
        <f>IF(Tabela1[[#This Row],[Ano Aquisição]]=2023,0,IFERROR(VLOOKUP(H604,inflação!$F:$H,3,FALSE),""))</f>
        <v>0.31379999999999997</v>
      </c>
      <c r="AA604" s="203">
        <v>0.8</v>
      </c>
      <c r="AB604" s="202">
        <f t="shared" si="1142"/>
        <v>-99908.38</v>
      </c>
      <c r="AC604" s="204" t="e">
        <f t="shared" si="1126"/>
        <v>#VALUE!</v>
      </c>
      <c r="AD604" s="204" t="e">
        <f t="shared" si="1127"/>
        <v>#VALUE!</v>
      </c>
      <c r="AE604" s="204" t="e">
        <f t="shared" si="1128"/>
        <v>#VALUE!</v>
      </c>
      <c r="AF604" s="204" t="e">
        <f t="shared" si="1129"/>
        <v>#VALUE!</v>
      </c>
      <c r="AG604" s="204" t="e">
        <f t="shared" si="1130"/>
        <v>#VALUE!</v>
      </c>
      <c r="AH604" s="204" t="e">
        <f t="shared" si="1131"/>
        <v>#VALUE!</v>
      </c>
      <c r="AI604" s="204" t="e">
        <f t="shared" si="1132"/>
        <v>#VALUE!</v>
      </c>
      <c r="AJ604" s="205">
        <f t="shared" si="1143"/>
        <v>-131259.629644</v>
      </c>
      <c r="AK604" s="204" t="e">
        <f t="shared" si="1133"/>
        <v>#VALUE!</v>
      </c>
      <c r="AL604" s="204" t="e">
        <f t="shared" si="1134"/>
        <v>#VALUE!</v>
      </c>
      <c r="AM604" s="204" t="e">
        <f t="shared" si="1135"/>
        <v>#VALUE!</v>
      </c>
      <c r="AN604" s="204" t="e">
        <f t="shared" si="1136"/>
        <v>#VALUE!</v>
      </c>
      <c r="AO604" s="204" t="e">
        <f t="shared" si="1137"/>
        <v>#VALUE!</v>
      </c>
      <c r="AP604" s="204" t="e">
        <f t="shared" si="1138"/>
        <v>#VALUE!</v>
      </c>
      <c r="AQ604" s="204" t="e">
        <f t="shared" si="1139"/>
        <v>#VALUE!</v>
      </c>
      <c r="AR604" s="206" t="e">
        <f t="shared" si="1144"/>
        <v>#VALUE!</v>
      </c>
      <c r="AS604" s="170" t="e">
        <f t="shared" si="1140"/>
        <v>#VALUE!</v>
      </c>
      <c r="AT604" s="170" t="e">
        <f t="shared" si="1141"/>
        <v>#VALUE!</v>
      </c>
      <c r="AU604" s="207" t="e">
        <f t="shared" si="1145"/>
        <v>#VALUE!</v>
      </c>
      <c r="AV604" s="208" t="e">
        <f t="shared" si="1146"/>
        <v>#VALUE!</v>
      </c>
      <c r="AW604" s="201" t="str">
        <f t="shared" si="1147"/>
        <v>Confiabilidade em Crescimento</v>
      </c>
      <c r="AX604" s="253" t="e">
        <f>VLOOKUP(D604,#REF!,5,FALSE)</f>
        <v>#REF!</v>
      </c>
      <c r="AY604" s="201"/>
      <c r="AZ604" s="273" t="s">
        <v>1224</v>
      </c>
      <c r="BB604">
        <f>IFERROR(VLOOKUP(Tabela1[[#This Row],[Denominação]],[10]Planilha1!$A:$B,2,FALSE),"")</f>
        <v>13472.420000000002</v>
      </c>
      <c r="BC604" s="219"/>
      <c r="BD604" s="219"/>
      <c r="BE604" s="219"/>
      <c r="BF604" s="219"/>
      <c r="BG604" s="219"/>
      <c r="BH604" s="219"/>
      <c r="BI604" s="219"/>
      <c r="BJ604" s="219"/>
      <c r="BK604" s="219"/>
      <c r="BL604" s="219"/>
    </row>
    <row r="605" spans="1:64" ht="15" hidden="1" customHeight="1" x14ac:dyDescent="0.3">
      <c r="A605" s="268">
        <v>604</v>
      </c>
      <c r="B605" s="201" t="s">
        <v>851</v>
      </c>
      <c r="C605" s="211" t="s">
        <v>852</v>
      </c>
      <c r="D605" s="201">
        <v>10006631</v>
      </c>
      <c r="E605" s="253" t="s">
        <v>1485</v>
      </c>
      <c r="F605" s="253">
        <v>4566</v>
      </c>
      <c r="G605" s="201">
        <v>55768</v>
      </c>
      <c r="H605" s="201">
        <v>2016</v>
      </c>
      <c r="I605" s="216">
        <v>184199.76</v>
      </c>
      <c r="J605" s="214">
        <v>163894</v>
      </c>
      <c r="K605" s="170">
        <v>35560.589999999997</v>
      </c>
      <c r="L605" s="207">
        <v>1.0900000000000001</v>
      </c>
      <c r="M605" s="212">
        <v>4099</v>
      </c>
      <c r="N605" s="212">
        <v>27428</v>
      </c>
      <c r="O605" s="171">
        <v>77</v>
      </c>
      <c r="P605" s="271" t="str">
        <f>IFERROR(VLOOKUP(Tabela1[[#This Row],[TAG]],#REF!,14,FALSE),"")</f>
        <v/>
      </c>
      <c r="Q605" s="204" t="e">
        <f t="shared" ref="Q605:Q619" si="1148">P605+P605</f>
        <v>#VALUE!</v>
      </c>
      <c r="R605" s="204" t="e">
        <f t="shared" ref="R605:R619" si="1149">Q605+P605</f>
        <v>#VALUE!</v>
      </c>
      <c r="S605" s="204" t="e">
        <f t="shared" ref="S605:S619" si="1150">R605+P605</f>
        <v>#VALUE!</v>
      </c>
      <c r="T605" s="204" t="e">
        <f t="shared" ref="T605:T619" si="1151">S605+P605</f>
        <v>#VALUE!</v>
      </c>
      <c r="U605" s="204" t="e">
        <f t="shared" ref="U605:U619" si="1152">T605+P605</f>
        <v>#VALUE!</v>
      </c>
      <c r="V605" s="204" t="e">
        <f t="shared" ref="V605:V619" si="1153">U605+P605</f>
        <v>#VALUE!</v>
      </c>
      <c r="W605" s="218">
        <v>394.78</v>
      </c>
      <c r="X605" s="218">
        <v>408.93</v>
      </c>
      <c r="Y605" s="203">
        <v>0.1</v>
      </c>
      <c r="Z605" s="203">
        <f>IF(Tabela1[[#This Row],[Ano Aquisição]]=2023,0,IFERROR(VLOOKUP(H605,inflação!$F:$H,3,FALSE),""))</f>
        <v>0.37669999999999998</v>
      </c>
      <c r="AA605" s="203">
        <v>0.8</v>
      </c>
      <c r="AB605" s="202">
        <f t="shared" si="1142"/>
        <v>-184199.76</v>
      </c>
      <c r="AC605" s="204" t="e">
        <f t="shared" ref="AC605:AC619" si="1154">-(((P605*$W605)+($X605*12))*((1+$Y605)^AC$1))</f>
        <v>#VALUE!</v>
      </c>
      <c r="AD605" s="204" t="e">
        <f t="shared" ref="AD605:AD619" si="1155">-((((Q605-P605)*$W605)+($X605*12))*((1+$Y605)^AD$1))</f>
        <v>#VALUE!</v>
      </c>
      <c r="AE605" s="204" t="e">
        <f t="shared" ref="AE605:AE619" si="1156">-((((R605-Q605)*$W605)+($X605*12))*((1+$Y605)^AE$1))</f>
        <v>#VALUE!</v>
      </c>
      <c r="AF605" s="204" t="e">
        <f t="shared" ref="AF605:AF619" si="1157">-((((S605-R605)*$W605)+($X605*12))*((1+$Y605)^AF$1))</f>
        <v>#VALUE!</v>
      </c>
      <c r="AG605" s="204" t="e">
        <f t="shared" ref="AG605:AG619" si="1158">-((((T605-S605)*$W605)+($X605*12))*((1+$Y605)^AG$1))</f>
        <v>#VALUE!</v>
      </c>
      <c r="AH605" s="204" t="e">
        <f t="shared" ref="AH605:AH619" si="1159">-((((U605-T605)*$W605)+($X605*12))*((1+$Y605)^AH$1))</f>
        <v>#VALUE!</v>
      </c>
      <c r="AI605" s="204" t="e">
        <f t="shared" ref="AI605:AI619" si="1160">-((((V605-U605)*$W605)+($X605*12))*((1+$Y605)^AI$1))</f>
        <v>#VALUE!</v>
      </c>
      <c r="AJ605" s="205">
        <f t="shared" si="1143"/>
        <v>-253587.80959200001</v>
      </c>
      <c r="AK605" s="204" t="e">
        <f t="shared" ref="AK605:AK619" si="1161">AC605*(1-$AA605)</f>
        <v>#VALUE!</v>
      </c>
      <c r="AL605" s="204" t="e">
        <f t="shared" ref="AL605:AL619" si="1162">AD605*(1-$AA605)</f>
        <v>#VALUE!</v>
      </c>
      <c r="AM605" s="204" t="e">
        <f t="shared" ref="AM605:AM619" si="1163">AE605*(1-$AA605)</f>
        <v>#VALUE!</v>
      </c>
      <c r="AN605" s="204" t="e">
        <f t="shared" ref="AN605:AN619" si="1164">AF605*(1-$AA605)</f>
        <v>#VALUE!</v>
      </c>
      <c r="AO605" s="204" t="e">
        <f t="shared" ref="AO605:AO619" si="1165">AG605*(1-$AA605)</f>
        <v>#VALUE!</v>
      </c>
      <c r="AP605" s="204" t="e">
        <f t="shared" ref="AP605:AP619" si="1166">AH605*(1-$AA605)</f>
        <v>#VALUE!</v>
      </c>
      <c r="AQ605" s="204" t="e">
        <f t="shared" ref="AQ605:AQ619" si="1167">AI605*(1-$AA605)</f>
        <v>#VALUE!</v>
      </c>
      <c r="AR605" s="206" t="e">
        <f t="shared" si="1144"/>
        <v>#VALUE!</v>
      </c>
      <c r="AS605" s="170" t="e">
        <f t="shared" ref="AS605:AS619" si="1168">SUM(AC605:AI605)</f>
        <v>#VALUE!</v>
      </c>
      <c r="AT605" s="170" t="e">
        <f t="shared" ref="AT605:AT619" si="1169">SUM(AK605:AQ605)</f>
        <v>#VALUE!</v>
      </c>
      <c r="AU605" s="207" t="e">
        <f t="shared" si="1145"/>
        <v>#VALUE!</v>
      </c>
      <c r="AV605" s="208" t="e">
        <f t="shared" si="1146"/>
        <v>#VALUE!</v>
      </c>
      <c r="AW605" s="201" t="str">
        <f t="shared" si="1147"/>
        <v>Fase de Vida Útil</v>
      </c>
      <c r="AX605" s="253" t="e">
        <f>VLOOKUP(D605,#REF!,5,FALSE)</f>
        <v>#REF!</v>
      </c>
      <c r="AY605" s="201"/>
      <c r="AZ605" s="273" t="s">
        <v>1224</v>
      </c>
      <c r="BB605">
        <f>IFERROR(VLOOKUP(Tabela1[[#This Row],[Denominação]],[10]Planilha1!$A:$B,2,FALSE),"")</f>
        <v>35560.589999999997</v>
      </c>
      <c r="BC605" s="219"/>
      <c r="BD605" s="219"/>
      <c r="BE605" s="219"/>
      <c r="BF605" s="219"/>
      <c r="BG605" s="219"/>
      <c r="BH605" s="219"/>
      <c r="BI605" s="219"/>
      <c r="BJ605" s="219"/>
      <c r="BK605" s="219"/>
      <c r="BL605" s="219"/>
    </row>
    <row r="606" spans="1:64" ht="15" hidden="1" customHeight="1" x14ac:dyDescent="0.3">
      <c r="A606" s="253">
        <v>605</v>
      </c>
      <c r="B606" s="315" t="s">
        <v>1162</v>
      </c>
      <c r="C606" s="318" t="s">
        <v>1163</v>
      </c>
      <c r="D606" s="315">
        <v>20004006</v>
      </c>
      <c r="E606" s="299" t="s">
        <v>1256</v>
      </c>
      <c r="F606" s="299">
        <v>4529</v>
      </c>
      <c r="G606" s="315">
        <v>47872</v>
      </c>
      <c r="H606" s="315">
        <v>2018</v>
      </c>
      <c r="I606" s="329">
        <v>101752.5</v>
      </c>
      <c r="J606" s="330">
        <v>45267</v>
      </c>
      <c r="K606" s="326">
        <v>0</v>
      </c>
      <c r="L606" s="319"/>
      <c r="M606" s="320"/>
      <c r="N606" s="320"/>
      <c r="O606" s="321"/>
      <c r="P606" s="271" t="str">
        <f>IFERROR(VLOOKUP(Tabela1[[#This Row],[TAG]],#REF!,14,FALSE),"")</f>
        <v/>
      </c>
      <c r="Q606" s="323" t="e">
        <f t="shared" si="1148"/>
        <v>#VALUE!</v>
      </c>
      <c r="R606" s="323" t="e">
        <f t="shared" si="1149"/>
        <v>#VALUE!</v>
      </c>
      <c r="S606" s="323" t="e">
        <f t="shared" si="1150"/>
        <v>#VALUE!</v>
      </c>
      <c r="T606" s="323" t="e">
        <f t="shared" si="1151"/>
        <v>#VALUE!</v>
      </c>
      <c r="U606" s="323" t="e">
        <f t="shared" si="1152"/>
        <v>#VALUE!</v>
      </c>
      <c r="V606" s="323" t="e">
        <f t="shared" si="1153"/>
        <v>#VALUE!</v>
      </c>
      <c r="W606" s="304"/>
      <c r="X606" s="304"/>
      <c r="Y606" s="322">
        <v>0.1</v>
      </c>
      <c r="Z606" s="322">
        <f>IF(Tabela1[[#This Row],[Ano Aquisição]]=2023,0,IFERROR(VLOOKUP(H606,inflação!$F:$H,3,FALSE),""))</f>
        <v>0.2843</v>
      </c>
      <c r="AA606" s="322">
        <v>0.8</v>
      </c>
      <c r="AB606" s="310">
        <f t="shared" si="1142"/>
        <v>-101752.5</v>
      </c>
      <c r="AC606" s="323" t="e">
        <f t="shared" si="1154"/>
        <v>#VALUE!</v>
      </c>
      <c r="AD606" s="323" t="e">
        <f t="shared" si="1155"/>
        <v>#VALUE!</v>
      </c>
      <c r="AE606" s="323" t="e">
        <f t="shared" si="1156"/>
        <v>#VALUE!</v>
      </c>
      <c r="AF606" s="323" t="e">
        <f t="shared" si="1157"/>
        <v>#VALUE!</v>
      </c>
      <c r="AG606" s="323" t="e">
        <f t="shared" si="1158"/>
        <v>#VALUE!</v>
      </c>
      <c r="AH606" s="323" t="e">
        <f t="shared" si="1159"/>
        <v>#VALUE!</v>
      </c>
      <c r="AI606" s="323" t="e">
        <f t="shared" si="1160"/>
        <v>#VALUE!</v>
      </c>
      <c r="AJ606" s="324">
        <f t="shared" si="1143"/>
        <v>-130680.73574999999</v>
      </c>
      <c r="AK606" s="323" t="e">
        <f t="shared" si="1161"/>
        <v>#VALUE!</v>
      </c>
      <c r="AL606" s="323" t="e">
        <f t="shared" si="1162"/>
        <v>#VALUE!</v>
      </c>
      <c r="AM606" s="323" t="e">
        <f t="shared" si="1163"/>
        <v>#VALUE!</v>
      </c>
      <c r="AN606" s="323" t="e">
        <f t="shared" si="1164"/>
        <v>#VALUE!</v>
      </c>
      <c r="AO606" s="323" t="e">
        <f t="shared" si="1165"/>
        <v>#VALUE!</v>
      </c>
      <c r="AP606" s="323" t="e">
        <f t="shared" si="1166"/>
        <v>#VALUE!</v>
      </c>
      <c r="AQ606" s="323" t="e">
        <f t="shared" si="1167"/>
        <v>#VALUE!</v>
      </c>
      <c r="AR606" s="325" t="e">
        <f t="shared" si="1144"/>
        <v>#VALUE!</v>
      </c>
      <c r="AS606" s="326" t="e">
        <f t="shared" si="1168"/>
        <v>#VALUE!</v>
      </c>
      <c r="AT606" s="326" t="e">
        <f t="shared" si="1169"/>
        <v>#VALUE!</v>
      </c>
      <c r="AU606" s="319" t="e">
        <f t="shared" si="1145"/>
        <v>#VALUE!</v>
      </c>
      <c r="AV606" s="327" t="e">
        <f t="shared" si="1146"/>
        <v>#VALUE!</v>
      </c>
      <c r="AW606" s="315" t="str">
        <f t="shared" si="1147"/>
        <v>Confiabilidade em Crescimento</v>
      </c>
      <c r="AX606" s="299" t="e">
        <f>VLOOKUP(D606,#REF!,5,FALSE)</f>
        <v>#REF!</v>
      </c>
      <c r="AY606" s="315"/>
      <c r="AZ606" s="316" t="s">
        <v>1224</v>
      </c>
      <c r="BB606">
        <f>IFERROR(VLOOKUP(Tabela1[[#This Row],[Denominação]],[10]Planilha1!$A:$B,2,FALSE),"")</f>
        <v>0</v>
      </c>
      <c r="BC606" s="219"/>
      <c r="BD606" s="219"/>
      <c r="BE606" s="219"/>
      <c r="BF606" s="219"/>
      <c r="BG606" s="219"/>
      <c r="BH606" s="219"/>
      <c r="BI606" s="219"/>
      <c r="BJ606" s="219"/>
      <c r="BK606" s="219"/>
      <c r="BL606" s="219"/>
    </row>
    <row r="607" spans="1:64" ht="15" hidden="1" customHeight="1" x14ac:dyDescent="0.3">
      <c r="A607" s="268">
        <v>606</v>
      </c>
      <c r="B607" s="201" t="s">
        <v>1164</v>
      </c>
      <c r="C607" s="211" t="s">
        <v>1165</v>
      </c>
      <c r="D607" s="201">
        <v>20004094</v>
      </c>
      <c r="E607" s="253" t="s">
        <v>1499</v>
      </c>
      <c r="F607" s="253">
        <v>4531</v>
      </c>
      <c r="G607" s="201">
        <v>52417</v>
      </c>
      <c r="H607" s="201">
        <v>2018</v>
      </c>
      <c r="I607" s="216">
        <v>125609.15</v>
      </c>
      <c r="J607" s="214">
        <v>93570</v>
      </c>
      <c r="K607" s="170">
        <v>3696.380000000001</v>
      </c>
      <c r="L607" s="207">
        <v>3.03</v>
      </c>
      <c r="M607" s="212">
        <v>4638</v>
      </c>
      <c r="N607" s="212">
        <v>12038</v>
      </c>
      <c r="O607" s="171">
        <v>3</v>
      </c>
      <c r="P607" s="271" t="str">
        <f>IFERROR(VLOOKUP(Tabela1[[#This Row],[TAG]],#REF!,14,FALSE),"")</f>
        <v/>
      </c>
      <c r="Q607" s="204" t="e">
        <f t="shared" si="1148"/>
        <v>#VALUE!</v>
      </c>
      <c r="R607" s="204" t="e">
        <f t="shared" si="1149"/>
        <v>#VALUE!</v>
      </c>
      <c r="S607" s="204" t="e">
        <f t="shared" si="1150"/>
        <v>#VALUE!</v>
      </c>
      <c r="T607" s="204" t="e">
        <f t="shared" si="1151"/>
        <v>#VALUE!</v>
      </c>
      <c r="U607" s="204" t="e">
        <f t="shared" si="1152"/>
        <v>#VALUE!</v>
      </c>
      <c r="V607" s="204" t="e">
        <f t="shared" si="1153"/>
        <v>#VALUE!</v>
      </c>
      <c r="W607" s="218">
        <v>582.91999999999996</v>
      </c>
      <c r="X607" s="218">
        <v>310</v>
      </c>
      <c r="Y607" s="203">
        <v>0.1</v>
      </c>
      <c r="Z607" s="203">
        <f>IF(Tabela1[[#This Row],[Ano Aquisição]]=2023,0,IFERROR(VLOOKUP(H607,inflação!$F:$H,3,FALSE),""))</f>
        <v>0.2843</v>
      </c>
      <c r="AA607" s="203">
        <v>0.8</v>
      </c>
      <c r="AB607" s="202">
        <f t="shared" si="1142"/>
        <v>-125609.15</v>
      </c>
      <c r="AC607" s="204" t="e">
        <f t="shared" si="1154"/>
        <v>#VALUE!</v>
      </c>
      <c r="AD607" s="204" t="e">
        <f t="shared" si="1155"/>
        <v>#VALUE!</v>
      </c>
      <c r="AE607" s="204" t="e">
        <f t="shared" si="1156"/>
        <v>#VALUE!</v>
      </c>
      <c r="AF607" s="204" t="e">
        <f t="shared" si="1157"/>
        <v>#VALUE!</v>
      </c>
      <c r="AG607" s="204" t="e">
        <f t="shared" si="1158"/>
        <v>#VALUE!</v>
      </c>
      <c r="AH607" s="204" t="e">
        <f t="shared" si="1159"/>
        <v>#VALUE!</v>
      </c>
      <c r="AI607" s="204" t="e">
        <f t="shared" si="1160"/>
        <v>#VALUE!</v>
      </c>
      <c r="AJ607" s="205">
        <f t="shared" si="1143"/>
        <v>-161319.83134499998</v>
      </c>
      <c r="AK607" s="204" t="e">
        <f t="shared" si="1161"/>
        <v>#VALUE!</v>
      </c>
      <c r="AL607" s="204" t="e">
        <f t="shared" si="1162"/>
        <v>#VALUE!</v>
      </c>
      <c r="AM607" s="204" t="e">
        <f t="shared" si="1163"/>
        <v>#VALUE!</v>
      </c>
      <c r="AN607" s="204" t="e">
        <f t="shared" si="1164"/>
        <v>#VALUE!</v>
      </c>
      <c r="AO607" s="204" t="e">
        <f t="shared" si="1165"/>
        <v>#VALUE!</v>
      </c>
      <c r="AP607" s="204" t="e">
        <f t="shared" si="1166"/>
        <v>#VALUE!</v>
      </c>
      <c r="AQ607" s="204" t="e">
        <f t="shared" si="1167"/>
        <v>#VALUE!</v>
      </c>
      <c r="AR607" s="206" t="e">
        <f t="shared" si="1144"/>
        <v>#VALUE!</v>
      </c>
      <c r="AS607" s="170" t="e">
        <f t="shared" si="1168"/>
        <v>#VALUE!</v>
      </c>
      <c r="AT607" s="170" t="e">
        <f t="shared" si="1169"/>
        <v>#VALUE!</v>
      </c>
      <c r="AU607" s="207" t="e">
        <f t="shared" si="1145"/>
        <v>#VALUE!</v>
      </c>
      <c r="AV607" s="208" t="e">
        <f t="shared" si="1146"/>
        <v>#VALUE!</v>
      </c>
      <c r="AW607" s="201" t="str">
        <f t="shared" si="1147"/>
        <v>Fase de Degradação</v>
      </c>
      <c r="AX607" s="253" t="e">
        <f>VLOOKUP(D607,#REF!,5,FALSE)</f>
        <v>#REF!</v>
      </c>
      <c r="AY607" s="201"/>
      <c r="AZ607" s="273" t="s">
        <v>1224</v>
      </c>
      <c r="BB607">
        <f>IFERROR(VLOOKUP(Tabela1[[#This Row],[Denominação]],[10]Planilha1!$A:$B,2,FALSE),"")</f>
        <v>3696.380000000001</v>
      </c>
      <c r="BC607" s="219"/>
      <c r="BD607" s="219"/>
      <c r="BE607" s="219"/>
      <c r="BF607" s="219"/>
      <c r="BG607" s="219"/>
      <c r="BH607" s="219"/>
      <c r="BI607" s="219"/>
      <c r="BJ607" s="219"/>
      <c r="BK607" s="219"/>
      <c r="BL607" s="219"/>
    </row>
    <row r="608" spans="1:64" ht="15" hidden="1" customHeight="1" x14ac:dyDescent="0.3">
      <c r="A608" s="253">
        <v>607</v>
      </c>
      <c r="B608" s="201" t="s">
        <v>1166</v>
      </c>
      <c r="C608" s="211" t="s">
        <v>1167</v>
      </c>
      <c r="D608" s="201">
        <v>20004095</v>
      </c>
      <c r="E608" s="253" t="s">
        <v>1501</v>
      </c>
      <c r="F608" s="253">
        <v>4531</v>
      </c>
      <c r="G608" s="201">
        <v>52418</v>
      </c>
      <c r="H608" s="201">
        <v>2019</v>
      </c>
      <c r="I608" s="216">
        <v>125609.14</v>
      </c>
      <c r="J608" s="214">
        <v>93570</v>
      </c>
      <c r="K608" s="170">
        <v>3961.76</v>
      </c>
      <c r="L608" s="207">
        <v>5</v>
      </c>
      <c r="M608" s="212">
        <v>5230</v>
      </c>
      <c r="N608" s="212">
        <v>17439</v>
      </c>
      <c r="O608" s="171">
        <v>12</v>
      </c>
      <c r="P608" s="271" t="str">
        <f>IFERROR(VLOOKUP(Tabela1[[#This Row],[TAG]],#REF!,14,FALSE),"")</f>
        <v/>
      </c>
      <c r="Q608" s="204" t="e">
        <f t="shared" si="1148"/>
        <v>#VALUE!</v>
      </c>
      <c r="R608" s="204" t="e">
        <f t="shared" si="1149"/>
        <v>#VALUE!</v>
      </c>
      <c r="S608" s="204" t="e">
        <f t="shared" si="1150"/>
        <v>#VALUE!</v>
      </c>
      <c r="T608" s="204" t="e">
        <f t="shared" si="1151"/>
        <v>#VALUE!</v>
      </c>
      <c r="U608" s="204" t="e">
        <f t="shared" si="1152"/>
        <v>#VALUE!</v>
      </c>
      <c r="V608" s="204" t="e">
        <f t="shared" si="1153"/>
        <v>#VALUE!</v>
      </c>
      <c r="W608" s="218">
        <v>303.95999999999998</v>
      </c>
      <c r="X608" s="218">
        <v>593.5</v>
      </c>
      <c r="Y608" s="203">
        <v>0.1</v>
      </c>
      <c r="Z608" s="203">
        <f>IF(Tabela1[[#This Row],[Ano Aquisição]]=2023,0,IFERROR(VLOOKUP(H608,inflação!$F:$H,3,FALSE),""))</f>
        <v>0.24679999999999999</v>
      </c>
      <c r="AA608" s="203">
        <v>0.8</v>
      </c>
      <c r="AB608" s="202">
        <f t="shared" si="1142"/>
        <v>-125609.14</v>
      </c>
      <c r="AC608" s="204" t="e">
        <f t="shared" si="1154"/>
        <v>#VALUE!</v>
      </c>
      <c r="AD608" s="204" t="e">
        <f t="shared" si="1155"/>
        <v>#VALUE!</v>
      </c>
      <c r="AE608" s="204" t="e">
        <f t="shared" si="1156"/>
        <v>#VALUE!</v>
      </c>
      <c r="AF608" s="204" t="e">
        <f t="shared" si="1157"/>
        <v>#VALUE!</v>
      </c>
      <c r="AG608" s="204" t="e">
        <f t="shared" si="1158"/>
        <v>#VALUE!</v>
      </c>
      <c r="AH608" s="204" t="e">
        <f t="shared" si="1159"/>
        <v>#VALUE!</v>
      </c>
      <c r="AI608" s="204" t="e">
        <f t="shared" si="1160"/>
        <v>#VALUE!</v>
      </c>
      <c r="AJ608" s="205">
        <f t="shared" si="1143"/>
        <v>-156609.475752</v>
      </c>
      <c r="AK608" s="204" t="e">
        <f t="shared" si="1161"/>
        <v>#VALUE!</v>
      </c>
      <c r="AL608" s="204" t="e">
        <f t="shared" si="1162"/>
        <v>#VALUE!</v>
      </c>
      <c r="AM608" s="204" t="e">
        <f t="shared" si="1163"/>
        <v>#VALUE!</v>
      </c>
      <c r="AN608" s="204" t="e">
        <f t="shared" si="1164"/>
        <v>#VALUE!</v>
      </c>
      <c r="AO608" s="204" t="e">
        <f t="shared" si="1165"/>
        <v>#VALUE!</v>
      </c>
      <c r="AP608" s="204" t="e">
        <f t="shared" si="1166"/>
        <v>#VALUE!</v>
      </c>
      <c r="AQ608" s="204" t="e">
        <f t="shared" si="1167"/>
        <v>#VALUE!</v>
      </c>
      <c r="AR608" s="206" t="e">
        <f t="shared" si="1144"/>
        <v>#VALUE!</v>
      </c>
      <c r="AS608" s="170" t="e">
        <f t="shared" si="1168"/>
        <v>#VALUE!</v>
      </c>
      <c r="AT608" s="170" t="e">
        <f t="shared" si="1169"/>
        <v>#VALUE!</v>
      </c>
      <c r="AU608" s="207" t="e">
        <f t="shared" si="1145"/>
        <v>#VALUE!</v>
      </c>
      <c r="AV608" s="208" t="e">
        <f t="shared" si="1146"/>
        <v>#VALUE!</v>
      </c>
      <c r="AW608" s="201" t="str">
        <f t="shared" si="1147"/>
        <v>Fase de Degradação</v>
      </c>
      <c r="AX608" s="253" t="e">
        <f>VLOOKUP(D608,#REF!,5,FALSE)</f>
        <v>#REF!</v>
      </c>
      <c r="AY608" s="201"/>
      <c r="AZ608" s="273" t="s">
        <v>1224</v>
      </c>
      <c r="BB608">
        <f>IFERROR(VLOOKUP(Tabela1[[#This Row],[Denominação]],[10]Planilha1!$A:$B,2,FALSE),"")</f>
        <v>3961.76</v>
      </c>
      <c r="BC608" s="219"/>
      <c r="BD608" s="219"/>
      <c r="BE608" s="219"/>
      <c r="BF608" s="219"/>
      <c r="BG608" s="219"/>
      <c r="BH608" s="219"/>
      <c r="BI608" s="219"/>
      <c r="BJ608" s="219"/>
      <c r="BK608" s="219"/>
      <c r="BL608" s="219"/>
    </row>
    <row r="609" spans="1:64" ht="15" hidden="1" customHeight="1" x14ac:dyDescent="0.3">
      <c r="A609" s="268">
        <v>608</v>
      </c>
      <c r="B609" s="201" t="s">
        <v>1168</v>
      </c>
      <c r="C609" s="211" t="s">
        <v>1169</v>
      </c>
      <c r="D609" s="201">
        <v>10006724</v>
      </c>
      <c r="E609" s="253" t="s">
        <v>1456</v>
      </c>
      <c r="F609" s="253">
        <v>4511</v>
      </c>
      <c r="G609" s="201">
        <v>56048</v>
      </c>
      <c r="H609" s="201">
        <v>2021</v>
      </c>
      <c r="I609" s="216">
        <v>397266.69</v>
      </c>
      <c r="J609" s="214">
        <v>354314</v>
      </c>
      <c r="K609" s="170">
        <v>11131.319999999998</v>
      </c>
      <c r="L609" s="207">
        <v>0.9</v>
      </c>
      <c r="M609" s="212" t="str">
        <f>IFERROR(VLOOKUP(Tabela1[[#This Row],[Denominação]],#REF!,7,FALSE),"")</f>
        <v/>
      </c>
      <c r="N609" s="212">
        <v>9909</v>
      </c>
      <c r="O609" s="171">
        <v>10</v>
      </c>
      <c r="P609" s="271" t="str">
        <f>IFERROR(VLOOKUP(Tabela1[[#This Row],[TAG]],#REF!,14,FALSE),"")</f>
        <v/>
      </c>
      <c r="Q609" s="204" t="e">
        <f t="shared" si="1148"/>
        <v>#VALUE!</v>
      </c>
      <c r="R609" s="204" t="e">
        <f t="shared" si="1149"/>
        <v>#VALUE!</v>
      </c>
      <c r="S609" s="204" t="e">
        <f t="shared" si="1150"/>
        <v>#VALUE!</v>
      </c>
      <c r="T609" s="204" t="e">
        <f t="shared" si="1151"/>
        <v>#VALUE!</v>
      </c>
      <c r="U609" s="204" t="e">
        <f t="shared" si="1152"/>
        <v>#VALUE!</v>
      </c>
      <c r="V609" s="204" t="e">
        <f t="shared" si="1153"/>
        <v>#VALUE!</v>
      </c>
      <c r="W609" s="218">
        <v>347.23</v>
      </c>
      <c r="X609" s="218">
        <v>832.78</v>
      </c>
      <c r="Y609" s="203">
        <v>0.1</v>
      </c>
      <c r="Z609" s="203">
        <f>IF(Tabela1[[#This Row],[Ano Aquisição]]=2023,0,IFERROR(VLOOKUP(H609,inflação!$F:$H,3,FALSE),""))</f>
        <v>0.1585</v>
      </c>
      <c r="AA609" s="203">
        <v>0.8</v>
      </c>
      <c r="AB609" s="202">
        <f t="shared" si="1142"/>
        <v>-397266.69</v>
      </c>
      <c r="AC609" s="204" t="e">
        <f t="shared" si="1154"/>
        <v>#VALUE!</v>
      </c>
      <c r="AD609" s="204" t="e">
        <f t="shared" si="1155"/>
        <v>#VALUE!</v>
      </c>
      <c r="AE609" s="204" t="e">
        <f t="shared" si="1156"/>
        <v>#VALUE!</v>
      </c>
      <c r="AF609" s="204" t="e">
        <f t="shared" si="1157"/>
        <v>#VALUE!</v>
      </c>
      <c r="AG609" s="204" t="e">
        <f t="shared" si="1158"/>
        <v>#VALUE!</v>
      </c>
      <c r="AH609" s="204" t="e">
        <f t="shared" si="1159"/>
        <v>#VALUE!</v>
      </c>
      <c r="AI609" s="204" t="e">
        <f t="shared" si="1160"/>
        <v>#VALUE!</v>
      </c>
      <c r="AJ609" s="205">
        <f t="shared" si="1143"/>
        <v>-460233.46036500006</v>
      </c>
      <c r="AK609" s="204" t="e">
        <f t="shared" si="1161"/>
        <v>#VALUE!</v>
      </c>
      <c r="AL609" s="204" t="e">
        <f t="shared" si="1162"/>
        <v>#VALUE!</v>
      </c>
      <c r="AM609" s="204" t="e">
        <f t="shared" si="1163"/>
        <v>#VALUE!</v>
      </c>
      <c r="AN609" s="204" t="e">
        <f t="shared" si="1164"/>
        <v>#VALUE!</v>
      </c>
      <c r="AO609" s="204" t="e">
        <f t="shared" si="1165"/>
        <v>#VALUE!</v>
      </c>
      <c r="AP609" s="204" t="e">
        <f t="shared" si="1166"/>
        <v>#VALUE!</v>
      </c>
      <c r="AQ609" s="204" t="e">
        <f t="shared" si="1167"/>
        <v>#VALUE!</v>
      </c>
      <c r="AR609" s="206" t="e">
        <f t="shared" si="1144"/>
        <v>#VALUE!</v>
      </c>
      <c r="AS609" s="170" t="e">
        <f t="shared" si="1168"/>
        <v>#VALUE!</v>
      </c>
      <c r="AT609" s="170" t="e">
        <f t="shared" si="1169"/>
        <v>#VALUE!</v>
      </c>
      <c r="AU609" s="207" t="e">
        <f t="shared" si="1145"/>
        <v>#VALUE!</v>
      </c>
      <c r="AV609" s="208" t="e">
        <f t="shared" si="1146"/>
        <v>#VALUE!</v>
      </c>
      <c r="AW609" s="201" t="str">
        <f t="shared" si="1147"/>
        <v>Confiabilidade em Crescimento</v>
      </c>
      <c r="AX609" s="253" t="e">
        <f>VLOOKUP(D609,#REF!,5,FALSE)</f>
        <v>#REF!</v>
      </c>
      <c r="AY609" s="201"/>
      <c r="AZ609" s="273" t="s">
        <v>1224</v>
      </c>
      <c r="BB609">
        <f>IFERROR(VLOOKUP(Tabela1[[#This Row],[Denominação]],[10]Planilha1!$A:$B,2,FALSE),"")</f>
        <v>11131.319999999998</v>
      </c>
      <c r="BC609" s="219"/>
      <c r="BD609" s="219"/>
      <c r="BE609" s="219"/>
      <c r="BF609" s="219"/>
      <c r="BG609" s="219"/>
      <c r="BH609" s="219"/>
      <c r="BI609" s="219"/>
      <c r="BJ609" s="219"/>
      <c r="BK609" s="219"/>
      <c r="BL609" s="219"/>
    </row>
    <row r="610" spans="1:64" ht="15" hidden="1" customHeight="1" x14ac:dyDescent="0.3">
      <c r="A610" s="253">
        <v>609</v>
      </c>
      <c r="B610" s="201" t="s">
        <v>1170</v>
      </c>
      <c r="C610" s="211" t="s">
        <v>1171</v>
      </c>
      <c r="D610" s="201">
        <v>10006725</v>
      </c>
      <c r="E610" s="253" t="s">
        <v>1456</v>
      </c>
      <c r="F610" s="253">
        <v>4511</v>
      </c>
      <c r="G610" s="201">
        <v>56051</v>
      </c>
      <c r="H610" s="201">
        <v>2021</v>
      </c>
      <c r="I610" s="216">
        <v>448649.64</v>
      </c>
      <c r="J610" s="214">
        <v>400141</v>
      </c>
      <c r="K610" s="170">
        <v>9850.6400000000031</v>
      </c>
      <c r="L610" s="207">
        <v>0.67</v>
      </c>
      <c r="M610" s="212" t="str">
        <f>IFERROR(VLOOKUP(Tabela1[[#This Row],[Denominação]],#REF!,7,FALSE),"")</f>
        <v/>
      </c>
      <c r="N610" s="212">
        <v>6726</v>
      </c>
      <c r="O610" s="171">
        <v>6</v>
      </c>
      <c r="P610" s="271" t="str">
        <f>IFERROR(VLOOKUP(Tabela1[[#This Row],[TAG]],#REF!,14,FALSE),"")</f>
        <v/>
      </c>
      <c r="Q610" s="204" t="e">
        <f t="shared" si="1148"/>
        <v>#VALUE!</v>
      </c>
      <c r="R610" s="204" t="e">
        <f t="shared" si="1149"/>
        <v>#VALUE!</v>
      </c>
      <c r="S610" s="204" t="e">
        <f t="shared" si="1150"/>
        <v>#VALUE!</v>
      </c>
      <c r="T610" s="204" t="e">
        <f t="shared" si="1151"/>
        <v>#VALUE!</v>
      </c>
      <c r="U610" s="204" t="e">
        <f t="shared" si="1152"/>
        <v>#VALUE!</v>
      </c>
      <c r="V610" s="204" t="e">
        <f t="shared" si="1153"/>
        <v>#VALUE!</v>
      </c>
      <c r="W610" s="218">
        <v>234.99</v>
      </c>
      <c r="X610" s="218">
        <v>675.27</v>
      </c>
      <c r="Y610" s="203">
        <v>0.1</v>
      </c>
      <c r="Z610" s="203">
        <f>IF(Tabela1[[#This Row],[Ano Aquisição]]=2023,0,IFERROR(VLOOKUP(H610,inflação!$F:$H,3,FALSE),""))</f>
        <v>0.1585</v>
      </c>
      <c r="AA610" s="203">
        <v>0.8</v>
      </c>
      <c r="AB610" s="202">
        <f t="shared" si="1142"/>
        <v>-448649.64</v>
      </c>
      <c r="AC610" s="204" t="e">
        <f t="shared" si="1154"/>
        <v>#VALUE!</v>
      </c>
      <c r="AD610" s="204" t="e">
        <f t="shared" si="1155"/>
        <v>#VALUE!</v>
      </c>
      <c r="AE610" s="204" t="e">
        <f t="shared" si="1156"/>
        <v>#VALUE!</v>
      </c>
      <c r="AF610" s="204" t="e">
        <f t="shared" si="1157"/>
        <v>#VALUE!</v>
      </c>
      <c r="AG610" s="204" t="e">
        <f t="shared" si="1158"/>
        <v>#VALUE!</v>
      </c>
      <c r="AH610" s="204" t="e">
        <f t="shared" si="1159"/>
        <v>#VALUE!</v>
      </c>
      <c r="AI610" s="204" t="e">
        <f t="shared" si="1160"/>
        <v>#VALUE!</v>
      </c>
      <c r="AJ610" s="205">
        <f t="shared" si="1143"/>
        <v>-519760.60794000007</v>
      </c>
      <c r="AK610" s="204" t="e">
        <f t="shared" si="1161"/>
        <v>#VALUE!</v>
      </c>
      <c r="AL610" s="204" t="e">
        <f t="shared" si="1162"/>
        <v>#VALUE!</v>
      </c>
      <c r="AM610" s="204" t="e">
        <f t="shared" si="1163"/>
        <v>#VALUE!</v>
      </c>
      <c r="AN610" s="204" t="e">
        <f t="shared" si="1164"/>
        <v>#VALUE!</v>
      </c>
      <c r="AO610" s="204" t="e">
        <f t="shared" si="1165"/>
        <v>#VALUE!</v>
      </c>
      <c r="AP610" s="204" t="e">
        <f t="shared" si="1166"/>
        <v>#VALUE!</v>
      </c>
      <c r="AQ610" s="204" t="e">
        <f t="shared" si="1167"/>
        <v>#VALUE!</v>
      </c>
      <c r="AR610" s="206" t="e">
        <f t="shared" si="1144"/>
        <v>#VALUE!</v>
      </c>
      <c r="AS610" s="170" t="e">
        <f t="shared" si="1168"/>
        <v>#VALUE!</v>
      </c>
      <c r="AT610" s="170" t="e">
        <f t="shared" si="1169"/>
        <v>#VALUE!</v>
      </c>
      <c r="AU610" s="207" t="e">
        <f t="shared" si="1145"/>
        <v>#VALUE!</v>
      </c>
      <c r="AV610" s="208" t="e">
        <f t="shared" si="1146"/>
        <v>#VALUE!</v>
      </c>
      <c r="AW610" s="201" t="str">
        <f t="shared" si="1147"/>
        <v>Confiabilidade em Crescimento</v>
      </c>
      <c r="AX610" s="253" t="e">
        <f>VLOOKUP(D610,#REF!,5,FALSE)</f>
        <v>#REF!</v>
      </c>
      <c r="AY610" s="201"/>
      <c r="AZ610" s="273" t="s">
        <v>1224</v>
      </c>
      <c r="BB610">
        <f>IFERROR(VLOOKUP(Tabela1[[#This Row],[Denominação]],[10]Planilha1!$A:$B,2,FALSE),"")</f>
        <v>9850.6400000000031</v>
      </c>
      <c r="BC610" s="219"/>
      <c r="BD610" s="219"/>
      <c r="BE610" s="219"/>
      <c r="BF610" s="219"/>
      <c r="BG610" s="219"/>
      <c r="BH610" s="219"/>
      <c r="BI610" s="219"/>
      <c r="BJ610" s="219"/>
      <c r="BK610" s="219"/>
      <c r="BL610" s="219"/>
    </row>
    <row r="611" spans="1:64" ht="15" hidden="1" customHeight="1" x14ac:dyDescent="0.3">
      <c r="A611" s="268">
        <v>610</v>
      </c>
      <c r="B611" s="201" t="s">
        <v>1172</v>
      </c>
      <c r="C611" s="211" t="s">
        <v>1173</v>
      </c>
      <c r="D611" s="201">
        <v>10006726</v>
      </c>
      <c r="E611" s="253" t="s">
        <v>1456</v>
      </c>
      <c r="F611" s="253">
        <v>4511</v>
      </c>
      <c r="G611" s="201">
        <v>56052</v>
      </c>
      <c r="H611" s="201">
        <v>2021</v>
      </c>
      <c r="I611" s="216">
        <v>412678.1</v>
      </c>
      <c r="J611" s="214">
        <v>368059</v>
      </c>
      <c r="K611" s="170">
        <v>7119.4400000000014</v>
      </c>
      <c r="L611" s="207">
        <v>0.49</v>
      </c>
      <c r="M611" s="212" t="str">
        <f>IFERROR(VLOOKUP(Tabela1[[#This Row],[Denominação]],#REF!,7,FALSE),"")</f>
        <v/>
      </c>
      <c r="N611" s="212">
        <v>11715</v>
      </c>
      <c r="O611" s="171">
        <v>7</v>
      </c>
      <c r="P611" s="271" t="str">
        <f>IFERROR(VLOOKUP(Tabela1[[#This Row],[TAG]],#REF!,14,FALSE),"")</f>
        <v/>
      </c>
      <c r="Q611" s="204" t="e">
        <f t="shared" si="1148"/>
        <v>#VALUE!</v>
      </c>
      <c r="R611" s="204" t="e">
        <f t="shared" si="1149"/>
        <v>#VALUE!</v>
      </c>
      <c r="S611" s="204" t="e">
        <f t="shared" si="1150"/>
        <v>#VALUE!</v>
      </c>
      <c r="T611" s="204" t="e">
        <f t="shared" si="1151"/>
        <v>#VALUE!</v>
      </c>
      <c r="U611" s="204" t="e">
        <f t="shared" si="1152"/>
        <v>#VALUE!</v>
      </c>
      <c r="V611" s="204" t="e">
        <f t="shared" si="1153"/>
        <v>#VALUE!</v>
      </c>
      <c r="W611" s="218">
        <v>268.67</v>
      </c>
      <c r="X611" s="218">
        <v>467.45</v>
      </c>
      <c r="Y611" s="203">
        <v>0.1</v>
      </c>
      <c r="Z611" s="203">
        <f>IF(Tabela1[[#This Row],[Ano Aquisição]]=2023,0,IFERROR(VLOOKUP(H611,inflação!$F:$H,3,FALSE),""))</f>
        <v>0.1585</v>
      </c>
      <c r="AA611" s="203">
        <v>0.8</v>
      </c>
      <c r="AB611" s="202">
        <f t="shared" si="1142"/>
        <v>-412678.1</v>
      </c>
      <c r="AC611" s="204" t="e">
        <f t="shared" si="1154"/>
        <v>#VALUE!</v>
      </c>
      <c r="AD611" s="204" t="e">
        <f t="shared" si="1155"/>
        <v>#VALUE!</v>
      </c>
      <c r="AE611" s="204" t="e">
        <f t="shared" si="1156"/>
        <v>#VALUE!</v>
      </c>
      <c r="AF611" s="204" t="e">
        <f t="shared" si="1157"/>
        <v>#VALUE!</v>
      </c>
      <c r="AG611" s="204" t="e">
        <f t="shared" si="1158"/>
        <v>#VALUE!</v>
      </c>
      <c r="AH611" s="204" t="e">
        <f t="shared" si="1159"/>
        <v>#VALUE!</v>
      </c>
      <c r="AI611" s="204" t="e">
        <f t="shared" si="1160"/>
        <v>#VALUE!</v>
      </c>
      <c r="AJ611" s="205">
        <f t="shared" si="1143"/>
        <v>-478087.57884999999</v>
      </c>
      <c r="AK611" s="204" t="e">
        <f t="shared" si="1161"/>
        <v>#VALUE!</v>
      </c>
      <c r="AL611" s="204" t="e">
        <f t="shared" si="1162"/>
        <v>#VALUE!</v>
      </c>
      <c r="AM611" s="204" t="e">
        <f t="shared" si="1163"/>
        <v>#VALUE!</v>
      </c>
      <c r="AN611" s="204" t="e">
        <f t="shared" si="1164"/>
        <v>#VALUE!</v>
      </c>
      <c r="AO611" s="204" t="e">
        <f t="shared" si="1165"/>
        <v>#VALUE!</v>
      </c>
      <c r="AP611" s="204" t="e">
        <f t="shared" si="1166"/>
        <v>#VALUE!</v>
      </c>
      <c r="AQ611" s="204" t="e">
        <f t="shared" si="1167"/>
        <v>#VALUE!</v>
      </c>
      <c r="AR611" s="206" t="e">
        <f t="shared" si="1144"/>
        <v>#VALUE!</v>
      </c>
      <c r="AS611" s="170" t="e">
        <f t="shared" si="1168"/>
        <v>#VALUE!</v>
      </c>
      <c r="AT611" s="170" t="e">
        <f t="shared" si="1169"/>
        <v>#VALUE!</v>
      </c>
      <c r="AU611" s="207" t="e">
        <f t="shared" si="1145"/>
        <v>#VALUE!</v>
      </c>
      <c r="AV611" s="208" t="e">
        <f t="shared" si="1146"/>
        <v>#VALUE!</v>
      </c>
      <c r="AW611" s="201" t="str">
        <f t="shared" si="1147"/>
        <v>Confiabilidade em Crescimento</v>
      </c>
      <c r="AX611" s="253" t="e">
        <f>VLOOKUP(D611,#REF!,5,FALSE)</f>
        <v>#REF!</v>
      </c>
      <c r="AY611" s="201"/>
      <c r="AZ611" s="273" t="s">
        <v>1224</v>
      </c>
      <c r="BB611">
        <f>IFERROR(VLOOKUP(Tabela1[[#This Row],[Denominação]],[10]Planilha1!$A:$B,2,FALSE),"")</f>
        <v>7119.4400000000014</v>
      </c>
      <c r="BC611" s="219"/>
      <c r="BD611" s="219"/>
      <c r="BE611" s="219"/>
      <c r="BF611" s="219"/>
      <c r="BG611" s="219"/>
      <c r="BH611" s="219"/>
      <c r="BI611" s="219"/>
      <c r="BJ611" s="219"/>
      <c r="BK611" s="219"/>
      <c r="BL611" s="219"/>
    </row>
    <row r="612" spans="1:64" ht="15" hidden="1" customHeight="1" x14ac:dyDescent="0.3">
      <c r="A612" s="253">
        <v>611</v>
      </c>
      <c r="B612" s="201" t="s">
        <v>1174</v>
      </c>
      <c r="C612" s="211" t="s">
        <v>1175</v>
      </c>
      <c r="D612" s="201">
        <v>10006787</v>
      </c>
      <c r="E612" s="253" t="s">
        <v>1455</v>
      </c>
      <c r="F612" s="253">
        <v>4511</v>
      </c>
      <c r="G612" s="201">
        <v>56638</v>
      </c>
      <c r="H612" s="201">
        <v>2021</v>
      </c>
      <c r="I612" s="216">
        <v>479797.45</v>
      </c>
      <c r="J612" s="214">
        <v>443106</v>
      </c>
      <c r="K612" s="170">
        <v>6442.1200000000008</v>
      </c>
      <c r="L612" s="207">
        <v>1.24</v>
      </c>
      <c r="M612" s="212" t="str">
        <f>IFERROR(VLOOKUP(Tabela1[[#This Row],[Denominação]],#REF!,7,FALSE),"")</f>
        <v/>
      </c>
      <c r="N612" s="212">
        <v>7855</v>
      </c>
      <c r="O612" s="171">
        <v>9</v>
      </c>
      <c r="P612" s="271" t="str">
        <f>IFERROR(VLOOKUP(Tabela1[[#This Row],[TAG]],#REF!,14,FALSE),"")</f>
        <v/>
      </c>
      <c r="Q612" s="204" t="e">
        <f>P612+P612</f>
        <v>#VALUE!</v>
      </c>
      <c r="R612" s="204" t="e">
        <f t="shared" si="1149"/>
        <v>#VALUE!</v>
      </c>
      <c r="S612" s="204" t="e">
        <f t="shared" si="1150"/>
        <v>#VALUE!</v>
      </c>
      <c r="T612" s="204" t="e">
        <f t="shared" si="1151"/>
        <v>#VALUE!</v>
      </c>
      <c r="U612" s="204" t="e">
        <f t="shared" si="1152"/>
        <v>#VALUE!</v>
      </c>
      <c r="V612" s="204" t="e">
        <f t="shared" si="1153"/>
        <v>#VALUE!</v>
      </c>
      <c r="W612" s="218">
        <v>291.39</v>
      </c>
      <c r="X612" s="218">
        <v>632.96</v>
      </c>
      <c r="Y612" s="203">
        <v>0.1</v>
      </c>
      <c r="Z612" s="203">
        <f>IF(Tabela1[[#This Row],[Ano Aquisição]]=2023,0,IFERROR(VLOOKUP(H612,inflação!$F:$H,3,FALSE),""))</f>
        <v>0.1585</v>
      </c>
      <c r="AA612" s="203">
        <v>0.8</v>
      </c>
      <c r="AB612" s="202">
        <f t="shared" si="1142"/>
        <v>-479797.45</v>
      </c>
      <c r="AC612" s="204" t="e">
        <f t="shared" si="1154"/>
        <v>#VALUE!</v>
      </c>
      <c r="AD612" s="204" t="e">
        <f t="shared" si="1155"/>
        <v>#VALUE!</v>
      </c>
      <c r="AE612" s="204" t="e">
        <f t="shared" si="1156"/>
        <v>#VALUE!</v>
      </c>
      <c r="AF612" s="204" t="e">
        <f t="shared" si="1157"/>
        <v>#VALUE!</v>
      </c>
      <c r="AG612" s="204" t="e">
        <f t="shared" si="1158"/>
        <v>#VALUE!</v>
      </c>
      <c r="AH612" s="204" t="e">
        <f t="shared" si="1159"/>
        <v>#VALUE!</v>
      </c>
      <c r="AI612" s="204" t="e">
        <f t="shared" si="1160"/>
        <v>#VALUE!</v>
      </c>
      <c r="AJ612" s="205">
        <f t="shared" si="1143"/>
        <v>-555845.34582500008</v>
      </c>
      <c r="AK612" s="204" t="e">
        <f t="shared" si="1161"/>
        <v>#VALUE!</v>
      </c>
      <c r="AL612" s="204" t="e">
        <f t="shared" si="1162"/>
        <v>#VALUE!</v>
      </c>
      <c r="AM612" s="204" t="e">
        <f t="shared" si="1163"/>
        <v>#VALUE!</v>
      </c>
      <c r="AN612" s="204" t="e">
        <f t="shared" si="1164"/>
        <v>#VALUE!</v>
      </c>
      <c r="AO612" s="204" t="e">
        <f t="shared" si="1165"/>
        <v>#VALUE!</v>
      </c>
      <c r="AP612" s="204" t="e">
        <f t="shared" si="1166"/>
        <v>#VALUE!</v>
      </c>
      <c r="AQ612" s="204" t="e">
        <f t="shared" si="1167"/>
        <v>#VALUE!</v>
      </c>
      <c r="AR612" s="206" t="e">
        <f t="shared" si="1144"/>
        <v>#VALUE!</v>
      </c>
      <c r="AS612" s="170" t="e">
        <f t="shared" si="1168"/>
        <v>#VALUE!</v>
      </c>
      <c r="AT612" s="170" t="e">
        <f t="shared" si="1169"/>
        <v>#VALUE!</v>
      </c>
      <c r="AU612" s="207" t="e">
        <f t="shared" si="1145"/>
        <v>#VALUE!</v>
      </c>
      <c r="AV612" s="208" t="e">
        <f t="shared" si="1146"/>
        <v>#VALUE!</v>
      </c>
      <c r="AW612" s="201" t="str">
        <f t="shared" si="1147"/>
        <v>Fase de Degradação</v>
      </c>
      <c r="AX612" s="253" t="e">
        <f>VLOOKUP(D612,#REF!,5,FALSE)</f>
        <v>#REF!</v>
      </c>
      <c r="AY612" s="201"/>
      <c r="AZ612" s="273" t="s">
        <v>1224</v>
      </c>
      <c r="BB612">
        <f>IFERROR(VLOOKUP(Tabela1[[#This Row],[Denominação]],[10]Planilha1!$A:$B,2,FALSE),"")</f>
        <v>6442.1200000000008</v>
      </c>
      <c r="BC612" s="219"/>
      <c r="BD612" s="219"/>
      <c r="BE612" s="219"/>
      <c r="BF612" s="219"/>
      <c r="BG612" s="219"/>
      <c r="BH612" s="219"/>
      <c r="BI612" s="219"/>
      <c r="BJ612" s="219"/>
      <c r="BK612" s="219"/>
      <c r="BL612" s="219"/>
    </row>
    <row r="613" spans="1:64" ht="15" hidden="1" customHeight="1" x14ac:dyDescent="0.3">
      <c r="A613" s="268">
        <v>612</v>
      </c>
      <c r="B613" s="201" t="s">
        <v>1176</v>
      </c>
      <c r="C613" s="211" t="s">
        <v>1177</v>
      </c>
      <c r="D613" s="201">
        <v>10006788</v>
      </c>
      <c r="E613" s="253" t="s">
        <v>1455</v>
      </c>
      <c r="F613" s="253">
        <v>4511</v>
      </c>
      <c r="G613" s="201">
        <v>56641</v>
      </c>
      <c r="H613" s="201">
        <v>2021</v>
      </c>
      <c r="I613" s="216">
        <v>535371.74</v>
      </c>
      <c r="J613" s="214">
        <v>494431</v>
      </c>
      <c r="K613" s="170">
        <v>23565.14000000001</v>
      </c>
      <c r="L613" s="207">
        <v>3.71</v>
      </c>
      <c r="M613" s="212" t="str">
        <f>IFERROR(VLOOKUP(Tabela1[[#This Row],[Denominação]],#REF!,7,FALSE),"")</f>
        <v/>
      </c>
      <c r="N613" s="212">
        <v>7511</v>
      </c>
      <c r="O613" s="171">
        <v>9</v>
      </c>
      <c r="P613" s="271" t="str">
        <f>IFERROR(VLOOKUP(Tabela1[[#This Row],[TAG]],#REF!,14,FALSE),"")</f>
        <v/>
      </c>
      <c r="Q613" s="204" t="e">
        <f t="shared" si="1148"/>
        <v>#VALUE!</v>
      </c>
      <c r="R613" s="204" t="e">
        <f t="shared" si="1149"/>
        <v>#VALUE!</v>
      </c>
      <c r="S613" s="204" t="e">
        <f t="shared" si="1150"/>
        <v>#VALUE!</v>
      </c>
      <c r="T613" s="204" t="e">
        <f t="shared" si="1151"/>
        <v>#VALUE!</v>
      </c>
      <c r="U613" s="204" t="e">
        <f t="shared" si="1152"/>
        <v>#VALUE!</v>
      </c>
      <c r="V613" s="204" t="e">
        <f t="shared" si="1153"/>
        <v>#VALUE!</v>
      </c>
      <c r="W613" s="218">
        <v>287.08</v>
      </c>
      <c r="X613" s="218">
        <v>733.12</v>
      </c>
      <c r="Y613" s="203">
        <v>0.1</v>
      </c>
      <c r="Z613" s="203">
        <f>IF(Tabela1[[#This Row],[Ano Aquisição]]=2023,0,IFERROR(VLOOKUP(H613,inflação!$F:$H,3,FALSE),""))</f>
        <v>0.1585</v>
      </c>
      <c r="AA613" s="203">
        <v>0.8</v>
      </c>
      <c r="AB613" s="202">
        <f t="shared" si="1142"/>
        <v>-535371.74</v>
      </c>
      <c r="AC613" s="204" t="e">
        <f t="shared" si="1154"/>
        <v>#VALUE!</v>
      </c>
      <c r="AD613" s="204" t="e">
        <f t="shared" si="1155"/>
        <v>#VALUE!</v>
      </c>
      <c r="AE613" s="204" t="e">
        <f t="shared" si="1156"/>
        <v>#VALUE!</v>
      </c>
      <c r="AF613" s="204" t="e">
        <f t="shared" si="1157"/>
        <v>#VALUE!</v>
      </c>
      <c r="AG613" s="204" t="e">
        <f t="shared" si="1158"/>
        <v>#VALUE!</v>
      </c>
      <c r="AH613" s="204" t="e">
        <f t="shared" si="1159"/>
        <v>#VALUE!</v>
      </c>
      <c r="AI613" s="204" t="e">
        <f t="shared" si="1160"/>
        <v>#VALUE!</v>
      </c>
      <c r="AJ613" s="205">
        <f t="shared" si="1143"/>
        <v>-620228.16078999999</v>
      </c>
      <c r="AK613" s="204" t="e">
        <f t="shared" si="1161"/>
        <v>#VALUE!</v>
      </c>
      <c r="AL613" s="204" t="e">
        <f t="shared" si="1162"/>
        <v>#VALUE!</v>
      </c>
      <c r="AM613" s="204" t="e">
        <f t="shared" si="1163"/>
        <v>#VALUE!</v>
      </c>
      <c r="AN613" s="204" t="e">
        <f t="shared" si="1164"/>
        <v>#VALUE!</v>
      </c>
      <c r="AO613" s="204" t="e">
        <f t="shared" si="1165"/>
        <v>#VALUE!</v>
      </c>
      <c r="AP613" s="204" t="e">
        <f t="shared" si="1166"/>
        <v>#VALUE!</v>
      </c>
      <c r="AQ613" s="204" t="e">
        <f t="shared" si="1167"/>
        <v>#VALUE!</v>
      </c>
      <c r="AR613" s="206" t="e">
        <f t="shared" si="1144"/>
        <v>#VALUE!</v>
      </c>
      <c r="AS613" s="170" t="e">
        <f t="shared" si="1168"/>
        <v>#VALUE!</v>
      </c>
      <c r="AT613" s="170" t="e">
        <f t="shared" si="1169"/>
        <v>#VALUE!</v>
      </c>
      <c r="AU613" s="207" t="e">
        <f t="shared" si="1145"/>
        <v>#VALUE!</v>
      </c>
      <c r="AV613" s="208" t="e">
        <f t="shared" si="1146"/>
        <v>#VALUE!</v>
      </c>
      <c r="AW613" s="201" t="str">
        <f t="shared" si="1147"/>
        <v>Fase de Degradação</v>
      </c>
      <c r="AX613" s="253" t="e">
        <f>VLOOKUP(D613,#REF!,5,FALSE)</f>
        <v>#REF!</v>
      </c>
      <c r="AY613" s="201"/>
      <c r="AZ613" s="273" t="s">
        <v>1224</v>
      </c>
      <c r="BB613">
        <f>IFERROR(VLOOKUP(Tabela1[[#This Row],[Denominação]],[10]Planilha1!$A:$B,2,FALSE),"")</f>
        <v>23565.14000000001</v>
      </c>
      <c r="BC613" s="219"/>
      <c r="BD613" s="219"/>
      <c r="BE613" s="219"/>
      <c r="BF613" s="219"/>
      <c r="BG613" s="219"/>
      <c r="BH613" s="219"/>
      <c r="BI613" s="219"/>
      <c r="BJ613" s="219"/>
      <c r="BK613" s="219"/>
      <c r="BL613" s="219"/>
    </row>
    <row r="614" spans="1:64" ht="15" hidden="1" customHeight="1" x14ac:dyDescent="0.3">
      <c r="A614" s="253">
        <v>613</v>
      </c>
      <c r="B614" s="201" t="s">
        <v>1178</v>
      </c>
      <c r="C614" s="211" t="s">
        <v>1179</v>
      </c>
      <c r="D614" s="201">
        <v>10006789</v>
      </c>
      <c r="E614" s="253" t="s">
        <v>1455</v>
      </c>
      <c r="F614" s="253">
        <v>4511</v>
      </c>
      <c r="G614" s="201">
        <v>56642</v>
      </c>
      <c r="H614" s="201">
        <v>2021</v>
      </c>
      <c r="I614" s="216">
        <v>341561.71</v>
      </c>
      <c r="J614" s="214">
        <v>315442</v>
      </c>
      <c r="K614" s="170">
        <v>3906.8300000000004</v>
      </c>
      <c r="L614" s="207">
        <v>1</v>
      </c>
      <c r="M614" s="212" t="str">
        <f>IFERROR(VLOOKUP(Tabela1[[#This Row],[Denominação]],#REF!,7,FALSE),"")</f>
        <v/>
      </c>
      <c r="N614" s="212">
        <v>476</v>
      </c>
      <c r="O614" s="171">
        <v>5</v>
      </c>
      <c r="P614" s="271" t="str">
        <f>IFERROR(VLOOKUP(Tabela1[[#This Row],[TAG]],#REF!,14,FALSE),"")</f>
        <v/>
      </c>
      <c r="Q614" s="204" t="e">
        <f t="shared" si="1148"/>
        <v>#VALUE!</v>
      </c>
      <c r="R614" s="204" t="e">
        <f t="shared" si="1149"/>
        <v>#VALUE!</v>
      </c>
      <c r="S614" s="204" t="e">
        <f t="shared" si="1150"/>
        <v>#VALUE!</v>
      </c>
      <c r="T614" s="204" t="e">
        <f t="shared" si="1151"/>
        <v>#VALUE!</v>
      </c>
      <c r="U614" s="204" t="e">
        <f t="shared" si="1152"/>
        <v>#VALUE!</v>
      </c>
      <c r="V614" s="204" t="e">
        <f t="shared" si="1153"/>
        <v>#VALUE!</v>
      </c>
      <c r="W614" s="218">
        <v>235.21</v>
      </c>
      <c r="X614" s="218">
        <v>353.88</v>
      </c>
      <c r="Y614" s="203">
        <v>0.1</v>
      </c>
      <c r="Z614" s="203">
        <f>IF(Tabela1[[#This Row],[Ano Aquisição]]=2023,0,IFERROR(VLOOKUP(H614,inflação!$F:$H,3,FALSE),""))</f>
        <v>0.1585</v>
      </c>
      <c r="AA614" s="203">
        <v>0.8</v>
      </c>
      <c r="AB614" s="202">
        <f t="shared" si="1142"/>
        <v>-341561.71</v>
      </c>
      <c r="AC614" s="204" t="e">
        <f t="shared" si="1154"/>
        <v>#VALUE!</v>
      </c>
      <c r="AD614" s="204" t="e">
        <f t="shared" si="1155"/>
        <v>#VALUE!</v>
      </c>
      <c r="AE614" s="204" t="e">
        <f t="shared" si="1156"/>
        <v>#VALUE!</v>
      </c>
      <c r="AF614" s="204" t="e">
        <f t="shared" si="1157"/>
        <v>#VALUE!</v>
      </c>
      <c r="AG614" s="204" t="e">
        <f t="shared" si="1158"/>
        <v>#VALUE!</v>
      </c>
      <c r="AH614" s="204" t="e">
        <f t="shared" si="1159"/>
        <v>#VALUE!</v>
      </c>
      <c r="AI614" s="204" t="e">
        <f t="shared" si="1160"/>
        <v>#VALUE!</v>
      </c>
      <c r="AJ614" s="205">
        <f t="shared" si="1143"/>
        <v>-395699.24103500007</v>
      </c>
      <c r="AK614" s="204" t="e">
        <f t="shared" si="1161"/>
        <v>#VALUE!</v>
      </c>
      <c r="AL614" s="204" t="e">
        <f t="shared" si="1162"/>
        <v>#VALUE!</v>
      </c>
      <c r="AM614" s="204" t="e">
        <f t="shared" si="1163"/>
        <v>#VALUE!</v>
      </c>
      <c r="AN614" s="204" t="e">
        <f t="shared" si="1164"/>
        <v>#VALUE!</v>
      </c>
      <c r="AO614" s="204" t="e">
        <f t="shared" si="1165"/>
        <v>#VALUE!</v>
      </c>
      <c r="AP614" s="204" t="e">
        <f t="shared" si="1166"/>
        <v>#VALUE!</v>
      </c>
      <c r="AQ614" s="204" t="e">
        <f t="shared" si="1167"/>
        <v>#VALUE!</v>
      </c>
      <c r="AR614" s="206" t="e">
        <f t="shared" si="1144"/>
        <v>#VALUE!</v>
      </c>
      <c r="AS614" s="170" t="e">
        <f t="shared" si="1168"/>
        <v>#VALUE!</v>
      </c>
      <c r="AT614" s="170" t="e">
        <f t="shared" si="1169"/>
        <v>#VALUE!</v>
      </c>
      <c r="AU614" s="207" t="e">
        <f t="shared" si="1145"/>
        <v>#VALUE!</v>
      </c>
      <c r="AV614" s="208" t="e">
        <f t="shared" si="1146"/>
        <v>#VALUE!</v>
      </c>
      <c r="AW614" s="201" t="str">
        <f t="shared" si="1147"/>
        <v>Fase de Vida Útil</v>
      </c>
      <c r="AX614" s="253" t="e">
        <f>VLOOKUP(D614,#REF!,5,FALSE)</f>
        <v>#REF!</v>
      </c>
      <c r="AY614" s="201"/>
      <c r="AZ614" s="273" t="s">
        <v>1224</v>
      </c>
      <c r="BB614">
        <f>IFERROR(VLOOKUP(Tabela1[[#This Row],[Denominação]],[10]Planilha1!$A:$B,2,FALSE),"")</f>
        <v>3906.8300000000004</v>
      </c>
      <c r="BC614" s="219"/>
      <c r="BD614" s="219"/>
      <c r="BE614" s="219"/>
      <c r="BF614" s="219"/>
      <c r="BG614" s="219"/>
      <c r="BH614" s="219"/>
      <c r="BI614" s="219"/>
      <c r="BJ614" s="219"/>
      <c r="BK614" s="219"/>
      <c r="BL614" s="219"/>
    </row>
    <row r="615" spans="1:64" ht="15" hidden="1" customHeight="1" x14ac:dyDescent="0.3">
      <c r="A615" s="268">
        <v>614</v>
      </c>
      <c r="B615" s="201" t="s">
        <v>1180</v>
      </c>
      <c r="C615" s="211" t="s">
        <v>1181</v>
      </c>
      <c r="D615" s="201">
        <v>10006758</v>
      </c>
      <c r="E615" s="253" t="s">
        <v>1448</v>
      </c>
      <c r="F615" s="253">
        <v>4511</v>
      </c>
      <c r="G615" s="201" t="s">
        <v>875</v>
      </c>
      <c r="H615" s="201">
        <v>2021</v>
      </c>
      <c r="I615" s="216"/>
      <c r="J615" s="214"/>
      <c r="K615" s="170">
        <v>61322</v>
      </c>
      <c r="L615" s="207">
        <v>1</v>
      </c>
      <c r="M615" s="212" t="str">
        <f>IFERROR(VLOOKUP(Tabela1[[#This Row],[Denominação]],#REF!,7,FALSE),"")</f>
        <v/>
      </c>
      <c r="N615" s="212">
        <v>998</v>
      </c>
      <c r="O615" s="171">
        <v>5</v>
      </c>
      <c r="P615" s="271" t="str">
        <f>IFERROR(VLOOKUP(Tabela1[[#This Row],[TAG]],#REF!,14,FALSE),"")</f>
        <v/>
      </c>
      <c r="Q615" s="204" t="e">
        <f t="shared" si="1148"/>
        <v>#VALUE!</v>
      </c>
      <c r="R615" s="204" t="e">
        <f t="shared" si="1149"/>
        <v>#VALUE!</v>
      </c>
      <c r="S615" s="204" t="e">
        <f t="shared" si="1150"/>
        <v>#VALUE!</v>
      </c>
      <c r="T615" s="204" t="e">
        <f t="shared" si="1151"/>
        <v>#VALUE!</v>
      </c>
      <c r="U615" s="204" t="e">
        <f t="shared" si="1152"/>
        <v>#VALUE!</v>
      </c>
      <c r="V615" s="204" t="e">
        <f t="shared" si="1153"/>
        <v>#VALUE!</v>
      </c>
      <c r="W615" s="218">
        <v>330.43</v>
      </c>
      <c r="X615" s="218">
        <v>4341.2</v>
      </c>
      <c r="Y615" s="203">
        <v>0.1</v>
      </c>
      <c r="Z615" s="203">
        <f>IF(Tabela1[[#This Row],[Ano Aquisição]]=2023,0,IFERROR(VLOOKUP(H615,inflação!$F:$H,3,FALSE),""))</f>
        <v>0.1585</v>
      </c>
      <c r="AA615" s="203">
        <v>0.8</v>
      </c>
      <c r="AB615" s="202">
        <f t="shared" si="1142"/>
        <v>0</v>
      </c>
      <c r="AC615" s="204" t="e">
        <f t="shared" si="1154"/>
        <v>#VALUE!</v>
      </c>
      <c r="AD615" s="204" t="e">
        <f t="shared" si="1155"/>
        <v>#VALUE!</v>
      </c>
      <c r="AE615" s="204" t="e">
        <f t="shared" si="1156"/>
        <v>#VALUE!</v>
      </c>
      <c r="AF615" s="204" t="e">
        <f t="shared" si="1157"/>
        <v>#VALUE!</v>
      </c>
      <c r="AG615" s="204" t="e">
        <f t="shared" si="1158"/>
        <v>#VALUE!</v>
      </c>
      <c r="AH615" s="204" t="e">
        <f t="shared" si="1159"/>
        <v>#VALUE!</v>
      </c>
      <c r="AI615" s="204" t="e">
        <f t="shared" si="1160"/>
        <v>#VALUE!</v>
      </c>
      <c r="AJ615" s="205">
        <f t="shared" si="1143"/>
        <v>0</v>
      </c>
      <c r="AK615" s="204" t="e">
        <f t="shared" si="1161"/>
        <v>#VALUE!</v>
      </c>
      <c r="AL615" s="204" t="e">
        <f t="shared" si="1162"/>
        <v>#VALUE!</v>
      </c>
      <c r="AM615" s="204" t="e">
        <f t="shared" si="1163"/>
        <v>#VALUE!</v>
      </c>
      <c r="AN615" s="204" t="e">
        <f t="shared" si="1164"/>
        <v>#VALUE!</v>
      </c>
      <c r="AO615" s="204" t="e">
        <f t="shared" si="1165"/>
        <v>#VALUE!</v>
      </c>
      <c r="AP615" s="204" t="e">
        <f t="shared" si="1166"/>
        <v>#VALUE!</v>
      </c>
      <c r="AQ615" s="204" t="e">
        <f t="shared" si="1167"/>
        <v>#VALUE!</v>
      </c>
      <c r="AR615" s="206" t="e">
        <f t="shared" si="1144"/>
        <v>#VALUE!</v>
      </c>
      <c r="AS615" s="170" t="e">
        <f t="shared" si="1168"/>
        <v>#VALUE!</v>
      </c>
      <c r="AT615" s="170" t="e">
        <f t="shared" si="1169"/>
        <v>#VALUE!</v>
      </c>
      <c r="AU615" s="207" t="e">
        <f t="shared" si="1145"/>
        <v>#VALUE!</v>
      </c>
      <c r="AV615" s="208" t="e">
        <f t="shared" si="1146"/>
        <v>#VALUE!</v>
      </c>
      <c r="AW615" s="201" t="str">
        <f t="shared" si="1147"/>
        <v>Fase de Vida Útil</v>
      </c>
      <c r="AX615" s="253" t="e">
        <f>VLOOKUP(D615,#REF!,5,FALSE)</f>
        <v>#REF!</v>
      </c>
      <c r="AY615" s="201"/>
      <c r="AZ615" s="273" t="s">
        <v>1224</v>
      </c>
      <c r="BB615">
        <f>IFERROR(VLOOKUP(Tabela1[[#This Row],[Denominação]],[10]Planilha1!$A:$B,2,FALSE),"")</f>
        <v>61322</v>
      </c>
      <c r="BC615" s="219"/>
      <c r="BD615" s="219"/>
      <c r="BE615" s="219"/>
      <c r="BF615" s="219"/>
      <c r="BG615" s="219"/>
      <c r="BH615" s="219"/>
      <c r="BI615" s="219"/>
      <c r="BJ615" s="219"/>
      <c r="BK615" s="219"/>
      <c r="BL615" s="219"/>
    </row>
    <row r="616" spans="1:64" ht="15" hidden="1" customHeight="1" x14ac:dyDescent="0.3">
      <c r="A616" s="253">
        <v>615</v>
      </c>
      <c r="B616" s="201" t="s">
        <v>1182</v>
      </c>
      <c r="C616" s="211" t="s">
        <v>1183</v>
      </c>
      <c r="D616" s="201">
        <v>10006872</v>
      </c>
      <c r="E616" s="253" t="s">
        <v>1776</v>
      </c>
      <c r="F616" s="253">
        <v>4511</v>
      </c>
      <c r="G616" s="180">
        <v>58897</v>
      </c>
      <c r="H616" s="201">
        <v>2022</v>
      </c>
      <c r="I616" s="216">
        <v>360476.25</v>
      </c>
      <c r="J616" s="214">
        <v>347601</v>
      </c>
      <c r="K616" s="170" t="s">
        <v>1223</v>
      </c>
      <c r="L616" s="207">
        <v>1</v>
      </c>
      <c r="M616" s="212" t="str">
        <f>IFERROR(VLOOKUP(Tabela1[[#This Row],[Denominação]],#REF!,7,FALSE),"")</f>
        <v/>
      </c>
      <c r="N616" s="212">
        <v>1310</v>
      </c>
      <c r="O616" s="171">
        <v>2</v>
      </c>
      <c r="P616" s="271" t="str">
        <f>IFERROR(VLOOKUP(Tabela1[[#This Row],[TAG]],#REF!,14,FALSE),"")</f>
        <v/>
      </c>
      <c r="Q616" s="204" t="e">
        <f t="shared" si="1148"/>
        <v>#VALUE!</v>
      </c>
      <c r="R616" s="204" t="e">
        <f t="shared" si="1149"/>
        <v>#VALUE!</v>
      </c>
      <c r="S616" s="204" t="e">
        <f t="shared" si="1150"/>
        <v>#VALUE!</v>
      </c>
      <c r="T616" s="204" t="e">
        <f t="shared" si="1151"/>
        <v>#VALUE!</v>
      </c>
      <c r="U616" s="204" t="e">
        <f t="shared" si="1152"/>
        <v>#VALUE!</v>
      </c>
      <c r="V616" s="204" t="e">
        <f t="shared" si="1153"/>
        <v>#VALUE!</v>
      </c>
      <c r="W616" s="304">
        <v>480.81</v>
      </c>
      <c r="X616" s="304">
        <v>630.49</v>
      </c>
      <c r="Y616" s="203">
        <v>0.1</v>
      </c>
      <c r="Z616" s="203">
        <f>IF(Tabela1[[#This Row],[Ano Aquisição]]=2023,0,IFERROR(VLOOKUP(H616,inflação!$F:$H,3,FALSE),""))</f>
        <v>5.79E-2</v>
      </c>
      <c r="AA616" s="203">
        <v>0.8</v>
      </c>
      <c r="AB616" s="202">
        <f t="shared" si="1142"/>
        <v>-360476.25</v>
      </c>
      <c r="AC616" s="204" t="e">
        <f t="shared" si="1154"/>
        <v>#VALUE!</v>
      </c>
      <c r="AD616" s="204" t="e">
        <f t="shared" si="1155"/>
        <v>#VALUE!</v>
      </c>
      <c r="AE616" s="204" t="e">
        <f t="shared" si="1156"/>
        <v>#VALUE!</v>
      </c>
      <c r="AF616" s="204" t="e">
        <f t="shared" si="1157"/>
        <v>#VALUE!</v>
      </c>
      <c r="AG616" s="204" t="e">
        <f t="shared" si="1158"/>
        <v>#VALUE!</v>
      </c>
      <c r="AH616" s="204" t="e">
        <f t="shared" si="1159"/>
        <v>#VALUE!</v>
      </c>
      <c r="AI616" s="204" t="e">
        <f t="shared" si="1160"/>
        <v>#VALUE!</v>
      </c>
      <c r="AJ616" s="205">
        <f t="shared" si="1143"/>
        <v>-381347.82487500005</v>
      </c>
      <c r="AK616" s="204" t="e">
        <f t="shared" si="1161"/>
        <v>#VALUE!</v>
      </c>
      <c r="AL616" s="204" t="e">
        <f t="shared" si="1162"/>
        <v>#VALUE!</v>
      </c>
      <c r="AM616" s="204" t="e">
        <f t="shared" si="1163"/>
        <v>#VALUE!</v>
      </c>
      <c r="AN616" s="204" t="e">
        <f t="shared" si="1164"/>
        <v>#VALUE!</v>
      </c>
      <c r="AO616" s="204" t="e">
        <f t="shared" si="1165"/>
        <v>#VALUE!</v>
      </c>
      <c r="AP616" s="204" t="e">
        <f t="shared" si="1166"/>
        <v>#VALUE!</v>
      </c>
      <c r="AQ616" s="204" t="e">
        <f t="shared" si="1167"/>
        <v>#VALUE!</v>
      </c>
      <c r="AR616" s="206" t="e">
        <f t="shared" si="1144"/>
        <v>#VALUE!</v>
      </c>
      <c r="AS616" s="170" t="e">
        <f t="shared" si="1168"/>
        <v>#VALUE!</v>
      </c>
      <c r="AT616" s="170" t="e">
        <f t="shared" si="1169"/>
        <v>#VALUE!</v>
      </c>
      <c r="AU616" s="207" t="e">
        <f t="shared" si="1145"/>
        <v>#VALUE!</v>
      </c>
      <c r="AV616" s="208" t="e">
        <f t="shared" si="1146"/>
        <v>#VALUE!</v>
      </c>
      <c r="AW616" s="201" t="str">
        <f t="shared" si="1147"/>
        <v>Fase de Vida Útil</v>
      </c>
      <c r="AX616" s="253" t="s">
        <v>1583</v>
      </c>
      <c r="AY616" s="201"/>
      <c r="AZ616" s="273" t="s">
        <v>1224</v>
      </c>
      <c r="BB616" t="str">
        <f>IFERROR(VLOOKUP(Tabela1[[#This Row],[Denominação]],[10]Planilha1!$A:$B,2,FALSE),"")</f>
        <v/>
      </c>
      <c r="BC616" s="219"/>
      <c r="BD616" s="219"/>
      <c r="BE616" s="219"/>
      <c r="BF616" s="219"/>
      <c r="BG616" s="219"/>
      <c r="BH616" s="219"/>
      <c r="BI616" s="219"/>
      <c r="BJ616" s="219"/>
      <c r="BK616" s="219"/>
      <c r="BL616" s="219"/>
    </row>
    <row r="617" spans="1:64" ht="15" hidden="1" customHeight="1" x14ac:dyDescent="0.3">
      <c r="A617" s="268">
        <v>616</v>
      </c>
      <c r="B617" s="255" t="s">
        <v>1184</v>
      </c>
      <c r="C617" s="256" t="s">
        <v>1185</v>
      </c>
      <c r="D617" s="255">
        <v>10006824</v>
      </c>
      <c r="E617" s="253" t="s">
        <v>1444</v>
      </c>
      <c r="F617" s="257">
        <v>3112</v>
      </c>
      <c r="G617" s="255">
        <v>56295</v>
      </c>
      <c r="H617" s="255">
        <v>2022</v>
      </c>
      <c r="I617" s="258">
        <v>182439.37</v>
      </c>
      <c r="J617" s="218">
        <v>165368</v>
      </c>
      <c r="K617" s="265">
        <v>2565.54</v>
      </c>
      <c r="L617" s="259">
        <v>0.8</v>
      </c>
      <c r="M617" s="212">
        <v>3268</v>
      </c>
      <c r="N617" s="260">
        <v>5747</v>
      </c>
      <c r="O617" s="254">
        <v>3</v>
      </c>
      <c r="P617" s="271" t="str">
        <f>IFERROR(VLOOKUP(Tabela1[[#This Row],[TAG]],#REF!,14,FALSE),"")</f>
        <v/>
      </c>
      <c r="Q617" s="204" t="e">
        <f t="shared" si="1148"/>
        <v>#VALUE!</v>
      </c>
      <c r="R617" s="204" t="e">
        <f t="shared" si="1149"/>
        <v>#VALUE!</v>
      </c>
      <c r="S617" s="204" t="e">
        <f t="shared" si="1150"/>
        <v>#VALUE!</v>
      </c>
      <c r="T617" s="204" t="e">
        <f t="shared" si="1151"/>
        <v>#VALUE!</v>
      </c>
      <c r="U617" s="204" t="e">
        <f t="shared" si="1152"/>
        <v>#VALUE!</v>
      </c>
      <c r="V617" s="204" t="e">
        <f t="shared" si="1153"/>
        <v>#VALUE!</v>
      </c>
      <c r="W617" s="218">
        <v>612.97</v>
      </c>
      <c r="X617" s="218">
        <v>3076.93</v>
      </c>
      <c r="Y617" s="203">
        <v>0.1</v>
      </c>
      <c r="Z617" s="203">
        <f>IF(Tabela1[[#This Row],[Ano Aquisição]]=2023,0,IFERROR(VLOOKUP(H617,inflação!$F:$H,3,FALSE),""))</f>
        <v>5.79E-2</v>
      </c>
      <c r="AA617" s="203">
        <v>0.8</v>
      </c>
      <c r="AB617" s="202">
        <f t="shared" si="1142"/>
        <v>-182439.37</v>
      </c>
      <c r="AC617" s="204" t="e">
        <f t="shared" si="1154"/>
        <v>#VALUE!</v>
      </c>
      <c r="AD617" s="204" t="e">
        <f t="shared" si="1155"/>
        <v>#VALUE!</v>
      </c>
      <c r="AE617" s="204" t="e">
        <f t="shared" si="1156"/>
        <v>#VALUE!</v>
      </c>
      <c r="AF617" s="204" t="e">
        <f t="shared" si="1157"/>
        <v>#VALUE!</v>
      </c>
      <c r="AG617" s="204" t="e">
        <f t="shared" si="1158"/>
        <v>#VALUE!</v>
      </c>
      <c r="AH617" s="204" t="e">
        <f t="shared" si="1159"/>
        <v>#VALUE!</v>
      </c>
      <c r="AI617" s="204" t="e">
        <f t="shared" si="1160"/>
        <v>#VALUE!</v>
      </c>
      <c r="AJ617" s="205">
        <f t="shared" si="1143"/>
        <v>-193002.60952300002</v>
      </c>
      <c r="AK617" s="204" t="e">
        <f t="shared" si="1161"/>
        <v>#VALUE!</v>
      </c>
      <c r="AL617" s="204" t="e">
        <f t="shared" si="1162"/>
        <v>#VALUE!</v>
      </c>
      <c r="AM617" s="204" t="e">
        <f t="shared" si="1163"/>
        <v>#VALUE!</v>
      </c>
      <c r="AN617" s="204" t="e">
        <f t="shared" si="1164"/>
        <v>#VALUE!</v>
      </c>
      <c r="AO617" s="204" t="e">
        <f t="shared" si="1165"/>
        <v>#VALUE!</v>
      </c>
      <c r="AP617" s="204" t="e">
        <f t="shared" si="1166"/>
        <v>#VALUE!</v>
      </c>
      <c r="AQ617" s="204" t="e">
        <f t="shared" si="1167"/>
        <v>#VALUE!</v>
      </c>
      <c r="AR617" s="206" t="e">
        <f t="shared" si="1144"/>
        <v>#VALUE!</v>
      </c>
      <c r="AS617" s="170" t="e">
        <f t="shared" si="1168"/>
        <v>#VALUE!</v>
      </c>
      <c r="AT617" s="170" t="e">
        <f t="shared" si="1169"/>
        <v>#VALUE!</v>
      </c>
      <c r="AU617" s="207" t="e">
        <f t="shared" si="1145"/>
        <v>#VALUE!</v>
      </c>
      <c r="AV617" s="208" t="e">
        <f t="shared" si="1146"/>
        <v>#VALUE!</v>
      </c>
      <c r="AW617" s="201" t="str">
        <f t="shared" si="1147"/>
        <v>Confiabilidade em Crescimento</v>
      </c>
      <c r="AX617" s="253" t="e">
        <f>VLOOKUP(D617,#REF!,5,FALSE)</f>
        <v>#REF!</v>
      </c>
      <c r="AY617" s="201"/>
      <c r="AZ617" s="273" t="s">
        <v>1224</v>
      </c>
      <c r="BB617">
        <f>IFERROR(VLOOKUP(Tabela1[[#This Row],[Denominação]],[10]Planilha1!$A:$B,2,FALSE),"")</f>
        <v>2565.54</v>
      </c>
      <c r="BC617" s="219"/>
      <c r="BD617" s="219"/>
      <c r="BE617" s="219"/>
      <c r="BF617" s="219"/>
      <c r="BG617" s="219"/>
      <c r="BH617" s="219"/>
      <c r="BI617" s="219"/>
      <c r="BJ617" s="219"/>
      <c r="BK617" s="219"/>
      <c r="BL617" s="219"/>
    </row>
    <row r="618" spans="1:64" ht="15" hidden="1" customHeight="1" x14ac:dyDescent="0.3">
      <c r="A618" s="253">
        <v>617</v>
      </c>
      <c r="B618" s="255" t="s">
        <v>1186</v>
      </c>
      <c r="C618" s="256" t="s">
        <v>1187</v>
      </c>
      <c r="D618" s="255">
        <v>10006825</v>
      </c>
      <c r="E618" s="253" t="s">
        <v>1446</v>
      </c>
      <c r="F618" s="257">
        <v>3115</v>
      </c>
      <c r="G618" s="255">
        <v>56293</v>
      </c>
      <c r="H618" s="255">
        <v>2022</v>
      </c>
      <c r="I618" s="258">
        <v>182494.11</v>
      </c>
      <c r="J618" s="218">
        <v>165418</v>
      </c>
      <c r="K618" s="265">
        <v>2635.83</v>
      </c>
      <c r="L618" s="259">
        <v>3.05</v>
      </c>
      <c r="M618" s="212">
        <v>4537</v>
      </c>
      <c r="N618" s="260">
        <v>5479</v>
      </c>
      <c r="O618" s="254">
        <v>6</v>
      </c>
      <c r="P618" s="271" t="str">
        <f>IFERROR(VLOOKUP(Tabela1[[#This Row],[TAG]],#REF!,14,FALSE),"")</f>
        <v/>
      </c>
      <c r="Q618" s="204" t="e">
        <f t="shared" si="1148"/>
        <v>#VALUE!</v>
      </c>
      <c r="R618" s="204" t="e">
        <f t="shared" si="1149"/>
        <v>#VALUE!</v>
      </c>
      <c r="S618" s="204" t="e">
        <f t="shared" si="1150"/>
        <v>#VALUE!</v>
      </c>
      <c r="T618" s="204" t="e">
        <f t="shared" si="1151"/>
        <v>#VALUE!</v>
      </c>
      <c r="U618" s="204" t="e">
        <f t="shared" si="1152"/>
        <v>#VALUE!</v>
      </c>
      <c r="V618" s="204" t="e">
        <f t="shared" si="1153"/>
        <v>#VALUE!</v>
      </c>
      <c r="W618" s="218">
        <v>612.97</v>
      </c>
      <c r="X618" s="218">
        <v>3076.93</v>
      </c>
      <c r="Y618" s="203">
        <v>0.1</v>
      </c>
      <c r="Z618" s="203">
        <f>IF(Tabela1[[#This Row],[Ano Aquisição]]=2023,0,IFERROR(VLOOKUP(H618,inflação!$F:$H,3,FALSE),""))</f>
        <v>5.79E-2</v>
      </c>
      <c r="AA618" s="203">
        <v>0.8</v>
      </c>
      <c r="AB618" s="202">
        <f t="shared" si="1142"/>
        <v>-182494.11</v>
      </c>
      <c r="AC618" s="204" t="e">
        <f t="shared" si="1154"/>
        <v>#VALUE!</v>
      </c>
      <c r="AD618" s="204" t="e">
        <f t="shared" si="1155"/>
        <v>#VALUE!</v>
      </c>
      <c r="AE618" s="204" t="e">
        <f t="shared" si="1156"/>
        <v>#VALUE!</v>
      </c>
      <c r="AF618" s="204" t="e">
        <f t="shared" si="1157"/>
        <v>#VALUE!</v>
      </c>
      <c r="AG618" s="204" t="e">
        <f t="shared" si="1158"/>
        <v>#VALUE!</v>
      </c>
      <c r="AH618" s="204" t="e">
        <f t="shared" si="1159"/>
        <v>#VALUE!</v>
      </c>
      <c r="AI618" s="204" t="e">
        <f t="shared" si="1160"/>
        <v>#VALUE!</v>
      </c>
      <c r="AJ618" s="205">
        <f t="shared" si="1143"/>
        <v>-193060.518969</v>
      </c>
      <c r="AK618" s="204" t="e">
        <f t="shared" si="1161"/>
        <v>#VALUE!</v>
      </c>
      <c r="AL618" s="204" t="e">
        <f t="shared" si="1162"/>
        <v>#VALUE!</v>
      </c>
      <c r="AM618" s="204" t="e">
        <f t="shared" si="1163"/>
        <v>#VALUE!</v>
      </c>
      <c r="AN618" s="204" t="e">
        <f t="shared" si="1164"/>
        <v>#VALUE!</v>
      </c>
      <c r="AO618" s="204" t="e">
        <f t="shared" si="1165"/>
        <v>#VALUE!</v>
      </c>
      <c r="AP618" s="204" t="e">
        <f t="shared" si="1166"/>
        <v>#VALUE!</v>
      </c>
      <c r="AQ618" s="204" t="e">
        <f t="shared" si="1167"/>
        <v>#VALUE!</v>
      </c>
      <c r="AR618" s="206" t="e">
        <f t="shared" si="1144"/>
        <v>#VALUE!</v>
      </c>
      <c r="AS618" s="170" t="e">
        <f t="shared" si="1168"/>
        <v>#VALUE!</v>
      </c>
      <c r="AT618" s="170" t="e">
        <f t="shared" si="1169"/>
        <v>#VALUE!</v>
      </c>
      <c r="AU618" s="207" t="e">
        <f t="shared" si="1145"/>
        <v>#VALUE!</v>
      </c>
      <c r="AV618" s="208" t="e">
        <f t="shared" si="1146"/>
        <v>#VALUE!</v>
      </c>
      <c r="AW618" s="201" t="str">
        <f t="shared" si="1147"/>
        <v>Fase de Degradação</v>
      </c>
      <c r="AX618" s="253" t="e">
        <f>VLOOKUP(D618,#REF!,5,FALSE)</f>
        <v>#REF!</v>
      </c>
      <c r="AY618" s="201"/>
      <c r="AZ618" s="273" t="s">
        <v>1224</v>
      </c>
      <c r="BB618">
        <f>IFERROR(VLOOKUP(Tabela1[[#This Row],[Denominação]],[10]Planilha1!$A:$B,2,FALSE),"")</f>
        <v>2635.83</v>
      </c>
      <c r="BC618" s="219"/>
      <c r="BD618" s="219"/>
      <c r="BE618" s="219"/>
      <c r="BF618" s="219"/>
      <c r="BG618" s="219"/>
      <c r="BH618" s="219"/>
      <c r="BI618" s="219"/>
      <c r="BJ618" s="219"/>
      <c r="BK618" s="219"/>
      <c r="BL618" s="219"/>
    </row>
    <row r="619" spans="1:64" ht="15" hidden="1" customHeight="1" x14ac:dyDescent="0.3">
      <c r="A619" s="268">
        <v>618</v>
      </c>
      <c r="B619" s="255" t="s">
        <v>1188</v>
      </c>
      <c r="C619" s="256" t="s">
        <v>1189</v>
      </c>
      <c r="D619" s="255">
        <v>10006826</v>
      </c>
      <c r="E619" s="253" t="s">
        <v>1445</v>
      </c>
      <c r="F619" s="257">
        <v>3115</v>
      </c>
      <c r="G619" s="255">
        <v>56294</v>
      </c>
      <c r="H619" s="255">
        <v>2022</v>
      </c>
      <c r="I619" s="258">
        <v>182439.36</v>
      </c>
      <c r="J619" s="218">
        <v>165368</v>
      </c>
      <c r="K619" s="265">
        <v>2467.0200000000004</v>
      </c>
      <c r="L619" s="259">
        <v>1.07</v>
      </c>
      <c r="M619" s="212">
        <v>2379</v>
      </c>
      <c r="N619" s="260">
        <v>6745</v>
      </c>
      <c r="O619" s="254">
        <v>5</v>
      </c>
      <c r="P619" s="271" t="str">
        <f>IFERROR(VLOOKUP(Tabela1[[#This Row],[TAG]],#REF!,14,FALSE),"")</f>
        <v/>
      </c>
      <c r="Q619" s="204" t="e">
        <f t="shared" si="1148"/>
        <v>#VALUE!</v>
      </c>
      <c r="R619" s="204" t="e">
        <f t="shared" si="1149"/>
        <v>#VALUE!</v>
      </c>
      <c r="S619" s="204" t="e">
        <f t="shared" si="1150"/>
        <v>#VALUE!</v>
      </c>
      <c r="T619" s="204" t="e">
        <f t="shared" si="1151"/>
        <v>#VALUE!</v>
      </c>
      <c r="U619" s="204" t="e">
        <f t="shared" si="1152"/>
        <v>#VALUE!</v>
      </c>
      <c r="V619" s="204" t="e">
        <f t="shared" si="1153"/>
        <v>#VALUE!</v>
      </c>
      <c r="W619" s="218">
        <v>612.97</v>
      </c>
      <c r="X619" s="218">
        <v>3076.93</v>
      </c>
      <c r="Y619" s="203">
        <v>0.1</v>
      </c>
      <c r="Z619" s="203">
        <f>IF(Tabela1[[#This Row],[Ano Aquisição]]=2023,0,IFERROR(VLOOKUP(H619,inflação!$F:$H,3,FALSE),""))</f>
        <v>5.79E-2</v>
      </c>
      <c r="AA619" s="203">
        <v>0.8</v>
      </c>
      <c r="AB619" s="202">
        <f t="shared" si="1142"/>
        <v>-182439.36</v>
      </c>
      <c r="AC619" s="204" t="e">
        <f t="shared" si="1154"/>
        <v>#VALUE!</v>
      </c>
      <c r="AD619" s="204" t="e">
        <f t="shared" si="1155"/>
        <v>#VALUE!</v>
      </c>
      <c r="AE619" s="204" t="e">
        <f t="shared" si="1156"/>
        <v>#VALUE!</v>
      </c>
      <c r="AF619" s="204" t="e">
        <f t="shared" si="1157"/>
        <v>#VALUE!</v>
      </c>
      <c r="AG619" s="204" t="e">
        <f t="shared" si="1158"/>
        <v>#VALUE!</v>
      </c>
      <c r="AH619" s="204" t="e">
        <f t="shared" si="1159"/>
        <v>#VALUE!</v>
      </c>
      <c r="AI619" s="204" t="e">
        <f t="shared" si="1160"/>
        <v>#VALUE!</v>
      </c>
      <c r="AJ619" s="205">
        <f t="shared" si="1143"/>
        <v>-193002.598944</v>
      </c>
      <c r="AK619" s="204" t="e">
        <f t="shared" si="1161"/>
        <v>#VALUE!</v>
      </c>
      <c r="AL619" s="204" t="e">
        <f t="shared" si="1162"/>
        <v>#VALUE!</v>
      </c>
      <c r="AM619" s="204" t="e">
        <f t="shared" si="1163"/>
        <v>#VALUE!</v>
      </c>
      <c r="AN619" s="204" t="e">
        <f t="shared" si="1164"/>
        <v>#VALUE!</v>
      </c>
      <c r="AO619" s="204" t="e">
        <f t="shared" si="1165"/>
        <v>#VALUE!</v>
      </c>
      <c r="AP619" s="204" t="e">
        <f t="shared" si="1166"/>
        <v>#VALUE!</v>
      </c>
      <c r="AQ619" s="204" t="e">
        <f t="shared" si="1167"/>
        <v>#VALUE!</v>
      </c>
      <c r="AR619" s="206" t="e">
        <f t="shared" si="1144"/>
        <v>#VALUE!</v>
      </c>
      <c r="AS619" s="170" t="e">
        <f t="shared" si="1168"/>
        <v>#VALUE!</v>
      </c>
      <c r="AT619" s="170" t="e">
        <f t="shared" si="1169"/>
        <v>#VALUE!</v>
      </c>
      <c r="AU619" s="207" t="e">
        <f t="shared" si="1145"/>
        <v>#VALUE!</v>
      </c>
      <c r="AV619" s="208" t="e">
        <f t="shared" si="1146"/>
        <v>#VALUE!</v>
      </c>
      <c r="AW619" s="201" t="str">
        <f t="shared" si="1147"/>
        <v>Fase de Vida Útil</v>
      </c>
      <c r="AX619" s="253" t="e">
        <f>VLOOKUP(D619,#REF!,5,FALSE)</f>
        <v>#REF!</v>
      </c>
      <c r="AY619" s="201"/>
      <c r="AZ619" s="273" t="s">
        <v>1224</v>
      </c>
      <c r="BB619">
        <f>IFERROR(VLOOKUP(Tabela1[[#This Row],[Denominação]],[10]Planilha1!$A:$B,2,FALSE),"")</f>
        <v>2467.0200000000004</v>
      </c>
      <c r="BC619" s="219"/>
      <c r="BD619" s="219"/>
      <c r="BE619" s="219"/>
      <c r="BF619" s="219"/>
      <c r="BG619" s="219"/>
      <c r="BH619" s="219"/>
      <c r="BI619" s="219"/>
      <c r="BJ619" s="219"/>
      <c r="BK619" s="219"/>
      <c r="BL619" s="219"/>
    </row>
    <row r="620" spans="1:64" ht="15" hidden="1" customHeight="1" x14ac:dyDescent="0.3">
      <c r="A620" s="253">
        <v>619</v>
      </c>
      <c r="B620" s="300" t="s">
        <v>1865</v>
      </c>
      <c r="C620" s="301" t="s">
        <v>1734</v>
      </c>
      <c r="D620" s="300">
        <v>10006833</v>
      </c>
      <c r="E620" s="299" t="s">
        <v>1784</v>
      </c>
      <c r="F620" s="302">
        <v>3319</v>
      </c>
      <c r="G620" s="300">
        <v>57511</v>
      </c>
      <c r="H620" s="300">
        <v>2021</v>
      </c>
      <c r="I620" s="303">
        <v>200624.79</v>
      </c>
      <c r="J620" s="304">
        <v>186294</v>
      </c>
      <c r="K620" s="305"/>
      <c r="L620" s="319">
        <v>1.1200000000000001</v>
      </c>
      <c r="M620" s="320">
        <v>3938.13</v>
      </c>
      <c r="N620" s="320">
        <v>28272</v>
      </c>
      <c r="O620" s="321">
        <v>96</v>
      </c>
      <c r="P620" s="271" t="str">
        <f>IFERROR(VLOOKUP(Tabela1[[#This Row],[TAG]],#REF!,14,FALSE),"")</f>
        <v/>
      </c>
      <c r="Q620" s="323" t="e">
        <f t="shared" ref="Q620:Q631" si="1170">P620+P620</f>
        <v>#VALUE!</v>
      </c>
      <c r="R620" s="323" t="e">
        <f t="shared" ref="R620:R631" si="1171">Q620+P620</f>
        <v>#VALUE!</v>
      </c>
      <c r="S620" s="323" t="e">
        <f t="shared" ref="S620:S631" si="1172">R620+P620</f>
        <v>#VALUE!</v>
      </c>
      <c r="T620" s="323" t="e">
        <f t="shared" ref="T620:T631" si="1173">S620+P620</f>
        <v>#VALUE!</v>
      </c>
      <c r="U620" s="323" t="e">
        <f t="shared" ref="U620:U631" si="1174">T620+P620</f>
        <v>#VALUE!</v>
      </c>
      <c r="V620" s="323" t="e">
        <f t="shared" ref="V620:V631" si="1175">U620+P620</f>
        <v>#VALUE!</v>
      </c>
      <c r="W620" s="304">
        <v>300.58999999999997</v>
      </c>
      <c r="X620" s="304">
        <v>265.32027777777779</v>
      </c>
      <c r="Y620" s="322">
        <v>0.1</v>
      </c>
      <c r="Z620" s="322">
        <f>IF(Tabela1[[#This Row],[Ano Aquisição]]=2023,0,IFERROR(VLOOKUP(H620,inflação!$F:$H,3,FALSE),""))</f>
        <v>0.1585</v>
      </c>
      <c r="AA620" s="322">
        <v>0.8</v>
      </c>
      <c r="AB620" s="310">
        <f t="shared" si="1142"/>
        <v>-200624.79</v>
      </c>
      <c r="AC620" s="323" t="e">
        <f t="shared" ref="AC620:AC631" si="1176">-(((P620*$W620)+($X620*12))*((1+$Y620)^AC$1))</f>
        <v>#VALUE!</v>
      </c>
      <c r="AD620" s="323" t="e">
        <f t="shared" ref="AD620:AD631" si="1177">-((((Q620-P620)*$W620)+($X620*12))*((1+$Y620)^AD$1))</f>
        <v>#VALUE!</v>
      </c>
      <c r="AE620" s="323" t="e">
        <f t="shared" ref="AE620:AE631" si="1178">-((((R620-Q620)*$W620)+($X620*12))*((1+$Y620)^AE$1))</f>
        <v>#VALUE!</v>
      </c>
      <c r="AF620" s="323" t="e">
        <f t="shared" ref="AF620:AF631" si="1179">-((((S620-R620)*$W620)+($X620*12))*((1+$Y620)^AF$1))</f>
        <v>#VALUE!</v>
      </c>
      <c r="AG620" s="323" t="e">
        <f t="shared" ref="AG620:AG631" si="1180">-((((T620-S620)*$W620)+($X620*12))*((1+$Y620)^AG$1))</f>
        <v>#VALUE!</v>
      </c>
      <c r="AH620" s="323" t="e">
        <f t="shared" ref="AH620:AH631" si="1181">-((((U620-T620)*$W620)+($X620*12))*((1+$Y620)^AH$1))</f>
        <v>#VALUE!</v>
      </c>
      <c r="AI620" s="323" t="e">
        <f t="shared" ref="AI620:AI631" si="1182">-((((V620-U620)*$W620)+($X620*12))*((1+$Y620)^AI$1))</f>
        <v>#VALUE!</v>
      </c>
      <c r="AJ620" s="324">
        <f t="shared" si="1143"/>
        <v>-232423.81921500002</v>
      </c>
      <c r="AK620" s="323" t="e">
        <f t="shared" ref="AK620:AK631" si="1183">AC620*(1-$AA620)</f>
        <v>#VALUE!</v>
      </c>
      <c r="AL620" s="323" t="e">
        <f t="shared" ref="AL620:AL631" si="1184">AD620*(1-$AA620)</f>
        <v>#VALUE!</v>
      </c>
      <c r="AM620" s="323" t="e">
        <f t="shared" ref="AM620:AM631" si="1185">AE620*(1-$AA620)</f>
        <v>#VALUE!</v>
      </c>
      <c r="AN620" s="323" t="e">
        <f t="shared" ref="AN620:AN631" si="1186">AF620*(1-$AA620)</f>
        <v>#VALUE!</v>
      </c>
      <c r="AO620" s="323" t="e">
        <f t="shared" ref="AO620:AO631" si="1187">AG620*(1-$AA620)</f>
        <v>#VALUE!</v>
      </c>
      <c r="AP620" s="323" t="e">
        <f t="shared" ref="AP620:AP631" si="1188">AH620*(1-$AA620)</f>
        <v>#VALUE!</v>
      </c>
      <c r="AQ620" s="323" t="e">
        <f t="shared" ref="AQ620:AQ631" si="1189">AI620*(1-$AA620)</f>
        <v>#VALUE!</v>
      </c>
      <c r="AR620" s="325" t="e">
        <f t="shared" si="1144"/>
        <v>#VALUE!</v>
      </c>
      <c r="AS620" s="326" t="e">
        <f t="shared" ref="AS620:AS631" si="1190">SUM(AC620:AI620)</f>
        <v>#VALUE!</v>
      </c>
      <c r="AT620" s="326" t="e">
        <f t="shared" ref="AT620:AT631" si="1191">SUM(AK620:AQ620)</f>
        <v>#VALUE!</v>
      </c>
      <c r="AU620" s="319" t="e">
        <f t="shared" si="1145"/>
        <v>#VALUE!</v>
      </c>
      <c r="AV620" s="327" t="e">
        <f t="shared" si="1146"/>
        <v>#VALUE!</v>
      </c>
      <c r="AW620" s="315" t="str">
        <f t="shared" si="1147"/>
        <v>Fase de Degradação</v>
      </c>
      <c r="AX620" s="299" t="e">
        <f>VLOOKUP(D620,#REF!,5,FALSE)</f>
        <v>#REF!</v>
      </c>
      <c r="AY620" s="201"/>
      <c r="AZ620" s="273" t="s">
        <v>1224</v>
      </c>
      <c r="BB620" t="str">
        <f>IFERROR(VLOOKUP(Tabela1[[#This Row],[Denominação]],[10]Planilha1!$A:$B,2,FALSE),"")</f>
        <v/>
      </c>
      <c r="BC620" s="219"/>
      <c r="BD620" s="219"/>
      <c r="BE620" s="219"/>
      <c r="BF620" s="219"/>
      <c r="BG620" s="219"/>
      <c r="BH620" s="219"/>
      <c r="BI620" s="219"/>
      <c r="BJ620" s="219"/>
      <c r="BK620" s="219"/>
      <c r="BL620" s="219"/>
    </row>
    <row r="621" spans="1:64" ht="15" hidden="1" customHeight="1" x14ac:dyDescent="0.3">
      <c r="A621" s="268">
        <v>620</v>
      </c>
      <c r="B621" s="255" t="s">
        <v>1866</v>
      </c>
      <c r="C621" s="256" t="s">
        <v>1735</v>
      </c>
      <c r="D621" s="255">
        <v>20004341</v>
      </c>
      <c r="E621" s="253" t="s">
        <v>1333</v>
      </c>
      <c r="F621" s="257">
        <v>4531</v>
      </c>
      <c r="G621" s="255"/>
      <c r="H621" s="255">
        <v>2018</v>
      </c>
      <c r="I621" s="216">
        <v>125609.14</v>
      </c>
      <c r="J621" s="214">
        <f t="shared" ref="J621:J628" si="1192">(I621-((2023-H621)*I621/10))</f>
        <v>62804.570000000007</v>
      </c>
      <c r="K621" s="265">
        <v>2272.17</v>
      </c>
      <c r="L621" s="259">
        <v>1.03</v>
      </c>
      <c r="M621" s="212">
        <v>6102</v>
      </c>
      <c r="N621" s="260">
        <v>2923</v>
      </c>
      <c r="O621" s="254">
        <v>4</v>
      </c>
      <c r="P621" s="271" t="str">
        <f>IFERROR(VLOOKUP(Tabela1[[#This Row],[TAG]],#REF!,14,FALSE),"")</f>
        <v/>
      </c>
      <c r="Q621" s="204" t="e">
        <f t="shared" si="1170"/>
        <v>#VALUE!</v>
      </c>
      <c r="R621" s="204" t="e">
        <f t="shared" si="1171"/>
        <v>#VALUE!</v>
      </c>
      <c r="S621" s="204" t="e">
        <f t="shared" si="1172"/>
        <v>#VALUE!</v>
      </c>
      <c r="T621" s="204" t="e">
        <f t="shared" si="1173"/>
        <v>#VALUE!</v>
      </c>
      <c r="U621" s="204" t="e">
        <f t="shared" si="1174"/>
        <v>#VALUE!</v>
      </c>
      <c r="V621" s="204" t="e">
        <f t="shared" si="1175"/>
        <v>#VALUE!</v>
      </c>
      <c r="W621" s="218">
        <v>443.44</v>
      </c>
      <c r="X621" s="218">
        <v>1926.91</v>
      </c>
      <c r="Y621" s="203">
        <v>0.1</v>
      </c>
      <c r="Z621" s="261">
        <f>IF(Tabela1[[#This Row],[Ano Aquisição]]=2023,0,IFERROR(VLOOKUP(H621,inflação!$F:$H,3,FALSE),""))</f>
        <v>0.2843</v>
      </c>
      <c r="AA621" s="203">
        <v>0.8</v>
      </c>
      <c r="AB621" s="202">
        <f t="shared" si="1142"/>
        <v>-125609.14</v>
      </c>
      <c r="AC621" s="204" t="e">
        <f t="shared" si="1176"/>
        <v>#VALUE!</v>
      </c>
      <c r="AD621" s="204" t="e">
        <f t="shared" si="1177"/>
        <v>#VALUE!</v>
      </c>
      <c r="AE621" s="204" t="e">
        <f t="shared" si="1178"/>
        <v>#VALUE!</v>
      </c>
      <c r="AF621" s="204" t="e">
        <f t="shared" si="1179"/>
        <v>#VALUE!</v>
      </c>
      <c r="AG621" s="204" t="e">
        <f t="shared" si="1180"/>
        <v>#VALUE!</v>
      </c>
      <c r="AH621" s="204" t="e">
        <f t="shared" si="1181"/>
        <v>#VALUE!</v>
      </c>
      <c r="AI621" s="204" t="e">
        <f t="shared" si="1182"/>
        <v>#VALUE!</v>
      </c>
      <c r="AJ621" s="205">
        <f t="shared" si="1143"/>
        <v>-161319.81850200001</v>
      </c>
      <c r="AK621" s="204" t="e">
        <f t="shared" si="1183"/>
        <v>#VALUE!</v>
      </c>
      <c r="AL621" s="204" t="e">
        <f t="shared" si="1184"/>
        <v>#VALUE!</v>
      </c>
      <c r="AM621" s="204" t="e">
        <f t="shared" si="1185"/>
        <v>#VALUE!</v>
      </c>
      <c r="AN621" s="204" t="e">
        <f t="shared" si="1186"/>
        <v>#VALUE!</v>
      </c>
      <c r="AO621" s="204" t="e">
        <f t="shared" si="1187"/>
        <v>#VALUE!</v>
      </c>
      <c r="AP621" s="204" t="e">
        <f t="shared" si="1188"/>
        <v>#VALUE!</v>
      </c>
      <c r="AQ621" s="204" t="e">
        <f t="shared" si="1189"/>
        <v>#VALUE!</v>
      </c>
      <c r="AR621" s="206" t="e">
        <f t="shared" si="1144"/>
        <v>#VALUE!</v>
      </c>
      <c r="AS621" s="170" t="e">
        <f t="shared" si="1190"/>
        <v>#VALUE!</v>
      </c>
      <c r="AT621" s="170" t="e">
        <f t="shared" si="1191"/>
        <v>#VALUE!</v>
      </c>
      <c r="AU621" s="207" t="e">
        <f t="shared" si="1145"/>
        <v>#VALUE!</v>
      </c>
      <c r="AV621" s="208" t="e">
        <f t="shared" si="1146"/>
        <v>#VALUE!</v>
      </c>
      <c r="AW621" s="201" t="str">
        <f t="shared" si="1147"/>
        <v>Fase de Vida Útil</v>
      </c>
      <c r="AX621" s="253" t="e">
        <f>VLOOKUP(D621,#REF!,5,FALSE)</f>
        <v>#REF!</v>
      </c>
      <c r="AY621" s="201"/>
      <c r="AZ621" s="273" t="s">
        <v>1224</v>
      </c>
      <c r="BB621">
        <f>IFERROR(VLOOKUP(Tabela1[[#This Row],[Denominação]],[10]Planilha1!$A:$B,2,FALSE),"")</f>
        <v>2272.17</v>
      </c>
      <c r="BC621" s="219"/>
      <c r="BD621" s="219"/>
      <c r="BE621" s="219"/>
      <c r="BF621" s="219"/>
      <c r="BG621" s="219"/>
      <c r="BH621" s="219"/>
      <c r="BI621" s="219"/>
      <c r="BJ621" s="219"/>
      <c r="BK621" s="219"/>
      <c r="BL621" s="219"/>
    </row>
    <row r="622" spans="1:64" ht="15" hidden="1" customHeight="1" x14ac:dyDescent="0.3">
      <c r="A622" s="253">
        <v>621</v>
      </c>
      <c r="B622" s="255" t="s">
        <v>1867</v>
      </c>
      <c r="C622" s="256" t="s">
        <v>1736</v>
      </c>
      <c r="D622" s="255">
        <v>20004342</v>
      </c>
      <c r="E622" s="253" t="s">
        <v>1334</v>
      </c>
      <c r="F622" s="257">
        <v>4531</v>
      </c>
      <c r="G622" s="255"/>
      <c r="H622" s="255">
        <v>2017</v>
      </c>
      <c r="I622" s="216">
        <v>125609.14</v>
      </c>
      <c r="J622" s="214">
        <f t="shared" si="1192"/>
        <v>50243.656000000003</v>
      </c>
      <c r="K622" s="265">
        <v>10724.32</v>
      </c>
      <c r="L622" s="259">
        <v>1.64</v>
      </c>
      <c r="M622" s="212">
        <v>5573</v>
      </c>
      <c r="N622" s="260">
        <v>2610</v>
      </c>
      <c r="O622" s="254">
        <v>4</v>
      </c>
      <c r="P622" s="271" t="str">
        <f>IFERROR(VLOOKUP(Tabela1[[#This Row],[TAG]],#REF!,14,FALSE),"")</f>
        <v/>
      </c>
      <c r="Q622" s="204" t="e">
        <f t="shared" si="1170"/>
        <v>#VALUE!</v>
      </c>
      <c r="R622" s="204" t="e">
        <f t="shared" si="1171"/>
        <v>#VALUE!</v>
      </c>
      <c r="S622" s="204" t="e">
        <f t="shared" si="1172"/>
        <v>#VALUE!</v>
      </c>
      <c r="T622" s="204" t="e">
        <f t="shared" si="1173"/>
        <v>#VALUE!</v>
      </c>
      <c r="U622" s="204" t="e">
        <f t="shared" si="1174"/>
        <v>#VALUE!</v>
      </c>
      <c r="V622" s="204" t="e">
        <f t="shared" si="1175"/>
        <v>#VALUE!</v>
      </c>
      <c r="W622" s="218">
        <v>973.49</v>
      </c>
      <c r="X622" s="218">
        <v>1765.89</v>
      </c>
      <c r="Y622" s="203">
        <v>0.1</v>
      </c>
      <c r="Z622" s="261">
        <f>IF(Tabela1[[#This Row],[Ano Aquisição]]=2023,0,IFERROR(VLOOKUP(H622,inflação!$F:$H,3,FALSE),""))</f>
        <v>0.31379999999999997</v>
      </c>
      <c r="AA622" s="203">
        <v>0.8</v>
      </c>
      <c r="AB622" s="202">
        <f t="shared" si="1142"/>
        <v>-125609.14</v>
      </c>
      <c r="AC622" s="204" t="e">
        <f t="shared" si="1176"/>
        <v>#VALUE!</v>
      </c>
      <c r="AD622" s="204" t="e">
        <f t="shared" si="1177"/>
        <v>#VALUE!</v>
      </c>
      <c r="AE622" s="204" t="e">
        <f t="shared" si="1178"/>
        <v>#VALUE!</v>
      </c>
      <c r="AF622" s="204" t="e">
        <f t="shared" si="1179"/>
        <v>#VALUE!</v>
      </c>
      <c r="AG622" s="204" t="e">
        <f t="shared" si="1180"/>
        <v>#VALUE!</v>
      </c>
      <c r="AH622" s="204" t="e">
        <f t="shared" si="1181"/>
        <v>#VALUE!</v>
      </c>
      <c r="AI622" s="204" t="e">
        <f t="shared" si="1182"/>
        <v>#VALUE!</v>
      </c>
      <c r="AJ622" s="205">
        <f t="shared" si="1143"/>
        <v>-165025.28813200002</v>
      </c>
      <c r="AK622" s="204" t="e">
        <f t="shared" si="1183"/>
        <v>#VALUE!</v>
      </c>
      <c r="AL622" s="204" t="e">
        <f t="shared" si="1184"/>
        <v>#VALUE!</v>
      </c>
      <c r="AM622" s="204" t="e">
        <f t="shared" si="1185"/>
        <v>#VALUE!</v>
      </c>
      <c r="AN622" s="204" t="e">
        <f t="shared" si="1186"/>
        <v>#VALUE!</v>
      </c>
      <c r="AO622" s="204" t="e">
        <f t="shared" si="1187"/>
        <v>#VALUE!</v>
      </c>
      <c r="AP622" s="204" t="e">
        <f t="shared" si="1188"/>
        <v>#VALUE!</v>
      </c>
      <c r="AQ622" s="204" t="e">
        <f t="shared" si="1189"/>
        <v>#VALUE!</v>
      </c>
      <c r="AR622" s="206" t="e">
        <f t="shared" si="1144"/>
        <v>#VALUE!</v>
      </c>
      <c r="AS622" s="170" t="e">
        <f t="shared" si="1190"/>
        <v>#VALUE!</v>
      </c>
      <c r="AT622" s="170" t="e">
        <f t="shared" si="1191"/>
        <v>#VALUE!</v>
      </c>
      <c r="AU622" s="207" t="e">
        <f t="shared" si="1145"/>
        <v>#VALUE!</v>
      </c>
      <c r="AV622" s="208" t="e">
        <f t="shared" si="1146"/>
        <v>#VALUE!</v>
      </c>
      <c r="AW622" s="201" t="str">
        <f t="shared" si="1147"/>
        <v>Fase de Degradação</v>
      </c>
      <c r="AX622" s="253" t="e">
        <f>VLOOKUP(D622,#REF!,5,FALSE)</f>
        <v>#REF!</v>
      </c>
      <c r="AY622" s="201"/>
      <c r="AZ622" s="273" t="s">
        <v>1224</v>
      </c>
      <c r="BB622">
        <f>IFERROR(VLOOKUP(Tabela1[[#This Row],[Denominação]],[10]Planilha1!$A:$B,2,FALSE),"")</f>
        <v>10724.32</v>
      </c>
      <c r="BC622" s="219"/>
      <c r="BD622" s="219"/>
      <c r="BE622" s="219"/>
      <c r="BF622" s="219"/>
      <c r="BG622" s="219"/>
      <c r="BH622" s="219"/>
      <c r="BI622" s="219"/>
      <c r="BJ622" s="219"/>
      <c r="BK622" s="219"/>
      <c r="BL622" s="219"/>
    </row>
    <row r="623" spans="1:64" hidden="1" x14ac:dyDescent="0.3">
      <c r="A623" s="268">
        <v>622</v>
      </c>
      <c r="B623" s="255" t="s">
        <v>1868</v>
      </c>
      <c r="C623" s="256" t="s">
        <v>1737</v>
      </c>
      <c r="D623" s="255">
        <v>20004343</v>
      </c>
      <c r="E623" s="253" t="s">
        <v>1335</v>
      </c>
      <c r="F623" s="257">
        <v>4531</v>
      </c>
      <c r="G623" s="255"/>
      <c r="H623" s="255">
        <v>2017</v>
      </c>
      <c r="I623" s="216">
        <v>125609.14</v>
      </c>
      <c r="J623" s="214">
        <f t="shared" si="1192"/>
        <v>50243.656000000003</v>
      </c>
      <c r="K623" s="265">
        <v>25414.42</v>
      </c>
      <c r="L623" s="259">
        <v>1</v>
      </c>
      <c r="M623" s="212">
        <v>5517</v>
      </c>
      <c r="N623" s="260">
        <v>3365</v>
      </c>
      <c r="O623" s="254">
        <v>20</v>
      </c>
      <c r="P623" s="271" t="str">
        <f>IFERROR(VLOOKUP(Tabela1[[#This Row],[TAG]],#REF!,14,FALSE),"")</f>
        <v/>
      </c>
      <c r="Q623" s="204" t="e">
        <f t="shared" si="1170"/>
        <v>#VALUE!</v>
      </c>
      <c r="R623" s="204" t="e">
        <f t="shared" si="1171"/>
        <v>#VALUE!</v>
      </c>
      <c r="S623" s="204" t="e">
        <f t="shared" si="1172"/>
        <v>#VALUE!</v>
      </c>
      <c r="T623" s="204" t="e">
        <f t="shared" si="1173"/>
        <v>#VALUE!</v>
      </c>
      <c r="U623" s="204" t="e">
        <f t="shared" si="1174"/>
        <v>#VALUE!</v>
      </c>
      <c r="V623" s="204" t="e">
        <f t="shared" si="1175"/>
        <v>#VALUE!</v>
      </c>
      <c r="W623" s="218">
        <v>461.25</v>
      </c>
      <c r="X623" s="218">
        <v>1995.95</v>
      </c>
      <c r="Y623" s="203">
        <v>0.1</v>
      </c>
      <c r="Z623" s="261">
        <f>IF(Tabela1[[#This Row],[Ano Aquisição]]=2023,0,IFERROR(VLOOKUP(H623,inflação!$F:$H,3,FALSE),""))</f>
        <v>0.31379999999999997</v>
      </c>
      <c r="AA623" s="203">
        <v>0.8</v>
      </c>
      <c r="AB623" s="202">
        <f t="shared" si="1142"/>
        <v>-125609.14</v>
      </c>
      <c r="AC623" s="204" t="e">
        <f t="shared" si="1176"/>
        <v>#VALUE!</v>
      </c>
      <c r="AD623" s="204" t="e">
        <f t="shared" si="1177"/>
        <v>#VALUE!</v>
      </c>
      <c r="AE623" s="204" t="e">
        <f t="shared" si="1178"/>
        <v>#VALUE!</v>
      </c>
      <c r="AF623" s="204" t="e">
        <f t="shared" si="1179"/>
        <v>#VALUE!</v>
      </c>
      <c r="AG623" s="204" t="e">
        <f t="shared" si="1180"/>
        <v>#VALUE!</v>
      </c>
      <c r="AH623" s="204" t="e">
        <f t="shared" si="1181"/>
        <v>#VALUE!</v>
      </c>
      <c r="AI623" s="204" t="e">
        <f t="shared" si="1182"/>
        <v>#VALUE!</v>
      </c>
      <c r="AJ623" s="205">
        <f t="shared" si="1143"/>
        <v>-165025.28813200002</v>
      </c>
      <c r="AK623" s="204" t="e">
        <f t="shared" si="1183"/>
        <v>#VALUE!</v>
      </c>
      <c r="AL623" s="204" t="e">
        <f t="shared" si="1184"/>
        <v>#VALUE!</v>
      </c>
      <c r="AM623" s="204" t="e">
        <f t="shared" si="1185"/>
        <v>#VALUE!</v>
      </c>
      <c r="AN623" s="204" t="e">
        <f t="shared" si="1186"/>
        <v>#VALUE!</v>
      </c>
      <c r="AO623" s="204" t="e">
        <f t="shared" si="1187"/>
        <v>#VALUE!</v>
      </c>
      <c r="AP623" s="204" t="e">
        <f t="shared" si="1188"/>
        <v>#VALUE!</v>
      </c>
      <c r="AQ623" s="204" t="e">
        <f t="shared" si="1189"/>
        <v>#VALUE!</v>
      </c>
      <c r="AR623" s="206" t="e">
        <f t="shared" si="1144"/>
        <v>#VALUE!</v>
      </c>
      <c r="AS623" s="170" t="e">
        <f t="shared" si="1190"/>
        <v>#VALUE!</v>
      </c>
      <c r="AT623" s="170" t="e">
        <f t="shared" si="1191"/>
        <v>#VALUE!</v>
      </c>
      <c r="AU623" s="207" t="e">
        <f t="shared" si="1145"/>
        <v>#VALUE!</v>
      </c>
      <c r="AV623" s="208" t="e">
        <f t="shared" si="1146"/>
        <v>#VALUE!</v>
      </c>
      <c r="AW623" s="201" t="str">
        <f t="shared" si="1147"/>
        <v>Fase de Vida Útil</v>
      </c>
      <c r="AX623" s="253" t="e">
        <f>VLOOKUP(D623,#REF!,5,FALSE)</f>
        <v>#REF!</v>
      </c>
      <c r="AY623" s="201"/>
      <c r="AZ623" s="273" t="s">
        <v>1224</v>
      </c>
      <c r="BB623">
        <f>IFERROR(VLOOKUP(Tabela1[[#This Row],[Denominação]],[10]Planilha1!$A:$B,2,FALSE),"")</f>
        <v>25414.42</v>
      </c>
      <c r="BC623" s="219"/>
      <c r="BD623" s="219"/>
      <c r="BE623" s="219"/>
      <c r="BF623" s="219"/>
      <c r="BG623" s="219"/>
      <c r="BH623" s="219"/>
      <c r="BI623" s="219"/>
      <c r="BJ623" s="219"/>
      <c r="BK623" s="219"/>
      <c r="BL623" s="219"/>
    </row>
    <row r="624" spans="1:64" hidden="1" x14ac:dyDescent="0.3">
      <c r="A624" s="253">
        <v>623</v>
      </c>
      <c r="B624" s="255" t="s">
        <v>1869</v>
      </c>
      <c r="C624" s="256" t="s">
        <v>1738</v>
      </c>
      <c r="D624" s="255">
        <v>20004344</v>
      </c>
      <c r="E624" s="253" t="s">
        <v>1336</v>
      </c>
      <c r="F624" s="257">
        <v>4531</v>
      </c>
      <c r="G624" s="255"/>
      <c r="H624" s="255">
        <v>2017</v>
      </c>
      <c r="I624" s="216">
        <v>125609.14</v>
      </c>
      <c r="J624" s="214">
        <f t="shared" si="1192"/>
        <v>50243.656000000003</v>
      </c>
      <c r="K624" s="265">
        <v>676.48</v>
      </c>
      <c r="L624" s="259">
        <v>1.02</v>
      </c>
      <c r="M624" s="212">
        <v>6283</v>
      </c>
      <c r="N624" s="260">
        <v>3365</v>
      </c>
      <c r="O624" s="254">
        <v>8</v>
      </c>
      <c r="P624" s="271" t="str">
        <f>IFERROR(VLOOKUP(Tabela1[[#This Row],[TAG]],#REF!,14,FALSE),"")</f>
        <v/>
      </c>
      <c r="Q624" s="204" t="e">
        <f t="shared" si="1170"/>
        <v>#VALUE!</v>
      </c>
      <c r="R624" s="204" t="e">
        <f t="shared" si="1171"/>
        <v>#VALUE!</v>
      </c>
      <c r="S624" s="204" t="e">
        <f t="shared" si="1172"/>
        <v>#VALUE!</v>
      </c>
      <c r="T624" s="204" t="e">
        <f t="shared" si="1173"/>
        <v>#VALUE!</v>
      </c>
      <c r="U624" s="204" t="e">
        <f t="shared" si="1174"/>
        <v>#VALUE!</v>
      </c>
      <c r="V624" s="204" t="e">
        <f t="shared" si="1175"/>
        <v>#VALUE!</v>
      </c>
      <c r="W624" s="218">
        <v>717.37</v>
      </c>
      <c r="X624" s="218">
        <v>1663.82</v>
      </c>
      <c r="Y624" s="203">
        <v>0.1</v>
      </c>
      <c r="Z624" s="261">
        <f>IF(Tabela1[[#This Row],[Ano Aquisição]]=2023,0,IFERROR(VLOOKUP(H624,inflação!$F:$H,3,FALSE),""))</f>
        <v>0.31379999999999997</v>
      </c>
      <c r="AA624" s="203">
        <v>0.8</v>
      </c>
      <c r="AB624" s="202">
        <f t="shared" si="1142"/>
        <v>-125609.14</v>
      </c>
      <c r="AC624" s="204" t="e">
        <f t="shared" si="1176"/>
        <v>#VALUE!</v>
      </c>
      <c r="AD624" s="204" t="e">
        <f t="shared" si="1177"/>
        <v>#VALUE!</v>
      </c>
      <c r="AE624" s="204" t="e">
        <f t="shared" si="1178"/>
        <v>#VALUE!</v>
      </c>
      <c r="AF624" s="204" t="e">
        <f t="shared" si="1179"/>
        <v>#VALUE!</v>
      </c>
      <c r="AG624" s="204" t="e">
        <f t="shared" si="1180"/>
        <v>#VALUE!</v>
      </c>
      <c r="AH624" s="204" t="e">
        <f t="shared" si="1181"/>
        <v>#VALUE!</v>
      </c>
      <c r="AI624" s="204" t="e">
        <f t="shared" si="1182"/>
        <v>#VALUE!</v>
      </c>
      <c r="AJ624" s="205">
        <f t="shared" si="1143"/>
        <v>-165025.28813200002</v>
      </c>
      <c r="AK624" s="204" t="e">
        <f t="shared" si="1183"/>
        <v>#VALUE!</v>
      </c>
      <c r="AL624" s="204" t="e">
        <f t="shared" si="1184"/>
        <v>#VALUE!</v>
      </c>
      <c r="AM624" s="204" t="e">
        <f t="shared" si="1185"/>
        <v>#VALUE!</v>
      </c>
      <c r="AN624" s="204" t="e">
        <f t="shared" si="1186"/>
        <v>#VALUE!</v>
      </c>
      <c r="AO624" s="204" t="e">
        <f t="shared" si="1187"/>
        <v>#VALUE!</v>
      </c>
      <c r="AP624" s="204" t="e">
        <f t="shared" si="1188"/>
        <v>#VALUE!</v>
      </c>
      <c r="AQ624" s="204" t="e">
        <f t="shared" si="1189"/>
        <v>#VALUE!</v>
      </c>
      <c r="AR624" s="206" t="e">
        <f t="shared" si="1144"/>
        <v>#VALUE!</v>
      </c>
      <c r="AS624" s="170" t="e">
        <f t="shared" si="1190"/>
        <v>#VALUE!</v>
      </c>
      <c r="AT624" s="170" t="e">
        <f t="shared" si="1191"/>
        <v>#VALUE!</v>
      </c>
      <c r="AU624" s="207" t="e">
        <f t="shared" si="1145"/>
        <v>#VALUE!</v>
      </c>
      <c r="AV624" s="208" t="e">
        <f t="shared" si="1146"/>
        <v>#VALUE!</v>
      </c>
      <c r="AW624" s="201" t="str">
        <f t="shared" si="1147"/>
        <v>Fase de Vida Útil</v>
      </c>
      <c r="AX624" s="253" t="e">
        <f>VLOOKUP(D624,#REF!,5,FALSE)</f>
        <v>#REF!</v>
      </c>
      <c r="AY624" s="201"/>
      <c r="AZ624" s="273" t="s">
        <v>1224</v>
      </c>
      <c r="BB624" t="str">
        <f>IFERROR(VLOOKUP(Tabela1[[#This Row],[Denominação]],[10]Planilha1!$A:$B,2,FALSE),"")</f>
        <v/>
      </c>
      <c r="BC624" s="219"/>
      <c r="BD624" s="219"/>
      <c r="BE624" s="219"/>
      <c r="BF624" s="219"/>
      <c r="BG624" s="219"/>
      <c r="BH624" s="219"/>
      <c r="BI624" s="219"/>
      <c r="BJ624" s="219"/>
      <c r="BK624" s="219"/>
      <c r="BL624" s="219"/>
    </row>
    <row r="625" spans="1:64" hidden="1" x14ac:dyDescent="0.3">
      <c r="A625" s="268">
        <v>624</v>
      </c>
      <c r="B625" s="255" t="s">
        <v>1870</v>
      </c>
      <c r="C625" s="256" t="s">
        <v>1739</v>
      </c>
      <c r="D625" s="255">
        <v>20004345</v>
      </c>
      <c r="E625" s="253" t="s">
        <v>1329</v>
      </c>
      <c r="F625" s="257">
        <v>4531</v>
      </c>
      <c r="G625" s="255"/>
      <c r="H625" s="255">
        <v>2018</v>
      </c>
      <c r="I625" s="258">
        <v>165025.29</v>
      </c>
      <c r="J625" s="214">
        <f t="shared" si="1192"/>
        <v>82512.645000000004</v>
      </c>
      <c r="K625" s="265">
        <v>795.68000000000006</v>
      </c>
      <c r="L625" s="259">
        <v>0.98</v>
      </c>
      <c r="M625" s="212">
        <v>6104</v>
      </c>
      <c r="N625" s="260">
        <v>3574</v>
      </c>
      <c r="O625" s="254">
        <v>4</v>
      </c>
      <c r="P625" s="271" t="str">
        <f>IFERROR(VLOOKUP(Tabela1[[#This Row],[TAG]],#REF!,14,FALSE),"")</f>
        <v/>
      </c>
      <c r="Q625" s="204" t="e">
        <f t="shared" si="1170"/>
        <v>#VALUE!</v>
      </c>
      <c r="R625" s="204" t="e">
        <f t="shared" si="1171"/>
        <v>#VALUE!</v>
      </c>
      <c r="S625" s="204" t="e">
        <f t="shared" si="1172"/>
        <v>#VALUE!</v>
      </c>
      <c r="T625" s="204" t="e">
        <f t="shared" si="1173"/>
        <v>#VALUE!</v>
      </c>
      <c r="U625" s="204" t="e">
        <f t="shared" si="1174"/>
        <v>#VALUE!</v>
      </c>
      <c r="V625" s="204" t="e">
        <f t="shared" si="1175"/>
        <v>#VALUE!</v>
      </c>
      <c r="W625" s="218">
        <v>278.02999999999997</v>
      </c>
      <c r="X625" s="218">
        <v>1229.6300000000001</v>
      </c>
      <c r="Y625" s="203">
        <v>0.1</v>
      </c>
      <c r="Z625" s="261">
        <f>IF(Tabela1[[#This Row],[Ano Aquisição]]=2023,0,IFERROR(VLOOKUP(H625,inflação!$F:$H,3,FALSE),""))</f>
        <v>0.2843</v>
      </c>
      <c r="AA625" s="203">
        <v>0.8</v>
      </c>
      <c r="AB625" s="202">
        <f t="shared" si="1142"/>
        <v>-165025.29</v>
      </c>
      <c r="AC625" s="204" t="e">
        <f t="shared" si="1176"/>
        <v>#VALUE!</v>
      </c>
      <c r="AD625" s="204" t="e">
        <f t="shared" si="1177"/>
        <v>#VALUE!</v>
      </c>
      <c r="AE625" s="204" t="e">
        <f t="shared" si="1178"/>
        <v>#VALUE!</v>
      </c>
      <c r="AF625" s="204" t="e">
        <f t="shared" si="1179"/>
        <v>#VALUE!</v>
      </c>
      <c r="AG625" s="204" t="e">
        <f t="shared" si="1180"/>
        <v>#VALUE!</v>
      </c>
      <c r="AH625" s="204" t="e">
        <f t="shared" si="1181"/>
        <v>#VALUE!</v>
      </c>
      <c r="AI625" s="204" t="e">
        <f t="shared" si="1182"/>
        <v>#VALUE!</v>
      </c>
      <c r="AJ625" s="205">
        <f t="shared" si="1143"/>
        <v>-211941.97994700001</v>
      </c>
      <c r="AK625" s="204" t="e">
        <f t="shared" si="1183"/>
        <v>#VALUE!</v>
      </c>
      <c r="AL625" s="204" t="e">
        <f t="shared" si="1184"/>
        <v>#VALUE!</v>
      </c>
      <c r="AM625" s="204" t="e">
        <f t="shared" si="1185"/>
        <v>#VALUE!</v>
      </c>
      <c r="AN625" s="204" t="e">
        <f t="shared" si="1186"/>
        <v>#VALUE!</v>
      </c>
      <c r="AO625" s="204" t="e">
        <f t="shared" si="1187"/>
        <v>#VALUE!</v>
      </c>
      <c r="AP625" s="204" t="e">
        <f t="shared" si="1188"/>
        <v>#VALUE!</v>
      </c>
      <c r="AQ625" s="204" t="e">
        <f t="shared" si="1189"/>
        <v>#VALUE!</v>
      </c>
      <c r="AR625" s="206" t="e">
        <f t="shared" si="1144"/>
        <v>#VALUE!</v>
      </c>
      <c r="AS625" s="170" t="e">
        <f t="shared" si="1190"/>
        <v>#VALUE!</v>
      </c>
      <c r="AT625" s="170" t="e">
        <f t="shared" si="1191"/>
        <v>#VALUE!</v>
      </c>
      <c r="AU625" s="207" t="e">
        <f t="shared" si="1145"/>
        <v>#VALUE!</v>
      </c>
      <c r="AV625" s="208" t="e">
        <f t="shared" si="1146"/>
        <v>#VALUE!</v>
      </c>
      <c r="AW625" s="201" t="str">
        <f t="shared" si="1147"/>
        <v>Confiabilidade em Crescimento</v>
      </c>
      <c r="AX625" s="253" t="e">
        <f>VLOOKUP(D625,#REF!,5,FALSE)</f>
        <v>#REF!</v>
      </c>
      <c r="AY625" s="201"/>
      <c r="AZ625" s="273" t="s">
        <v>1224</v>
      </c>
      <c r="BB625">
        <f>IFERROR(VLOOKUP(Tabela1[[#This Row],[Denominação]],[10]Planilha1!$A:$B,2,FALSE),"")</f>
        <v>795.68000000000006</v>
      </c>
      <c r="BC625" s="219"/>
      <c r="BD625" s="219"/>
      <c r="BE625" s="219"/>
      <c r="BF625" s="219"/>
      <c r="BG625" s="219"/>
      <c r="BH625" s="219"/>
      <c r="BI625" s="219"/>
      <c r="BJ625" s="219"/>
      <c r="BK625" s="219"/>
      <c r="BL625" s="219"/>
    </row>
    <row r="626" spans="1:64" hidden="1" x14ac:dyDescent="0.3">
      <c r="A626" s="253">
        <v>625</v>
      </c>
      <c r="B626" s="255" t="s">
        <v>1871</v>
      </c>
      <c r="C626" s="256" t="s">
        <v>1740</v>
      </c>
      <c r="D626" s="255">
        <v>20004346</v>
      </c>
      <c r="E626" s="253" t="s">
        <v>1331</v>
      </c>
      <c r="F626" s="257">
        <v>4531</v>
      </c>
      <c r="G626" s="255"/>
      <c r="H626" s="255">
        <v>2018</v>
      </c>
      <c r="I626" s="258">
        <v>165025.29</v>
      </c>
      <c r="J626" s="214">
        <f t="shared" si="1192"/>
        <v>82512.645000000004</v>
      </c>
      <c r="K626" s="265">
        <v>10901.51</v>
      </c>
      <c r="L626" s="259">
        <v>3.91</v>
      </c>
      <c r="M626" s="212">
        <v>6144</v>
      </c>
      <c r="N626" s="260">
        <v>3574</v>
      </c>
      <c r="O626" s="254">
        <v>4</v>
      </c>
      <c r="P626" s="271" t="str">
        <f>IFERROR(VLOOKUP(Tabela1[[#This Row],[TAG]],#REF!,14,FALSE),"")</f>
        <v/>
      </c>
      <c r="Q626" s="204" t="e">
        <f t="shared" si="1170"/>
        <v>#VALUE!</v>
      </c>
      <c r="R626" s="204" t="e">
        <f t="shared" si="1171"/>
        <v>#VALUE!</v>
      </c>
      <c r="S626" s="204" t="e">
        <f t="shared" si="1172"/>
        <v>#VALUE!</v>
      </c>
      <c r="T626" s="204" t="e">
        <f t="shared" si="1173"/>
        <v>#VALUE!</v>
      </c>
      <c r="U626" s="204" t="e">
        <f t="shared" si="1174"/>
        <v>#VALUE!</v>
      </c>
      <c r="V626" s="204" t="e">
        <f t="shared" si="1175"/>
        <v>#VALUE!</v>
      </c>
      <c r="W626" s="218">
        <v>197.95</v>
      </c>
      <c r="X626" s="218">
        <v>197.48</v>
      </c>
      <c r="Y626" s="203">
        <v>0.1</v>
      </c>
      <c r="Z626" s="261">
        <f>IF(Tabela1[[#This Row],[Ano Aquisição]]=2023,0,IFERROR(VLOOKUP(H626,inflação!$F:$H,3,FALSE),""))</f>
        <v>0.2843</v>
      </c>
      <c r="AA626" s="203">
        <v>0.8</v>
      </c>
      <c r="AB626" s="202">
        <f t="shared" si="1142"/>
        <v>-165025.29</v>
      </c>
      <c r="AC626" s="204" t="e">
        <f t="shared" si="1176"/>
        <v>#VALUE!</v>
      </c>
      <c r="AD626" s="204" t="e">
        <f t="shared" si="1177"/>
        <v>#VALUE!</v>
      </c>
      <c r="AE626" s="204" t="e">
        <f t="shared" si="1178"/>
        <v>#VALUE!</v>
      </c>
      <c r="AF626" s="204" t="e">
        <f t="shared" si="1179"/>
        <v>#VALUE!</v>
      </c>
      <c r="AG626" s="204" t="e">
        <f t="shared" si="1180"/>
        <v>#VALUE!</v>
      </c>
      <c r="AH626" s="204" t="e">
        <f t="shared" si="1181"/>
        <v>#VALUE!</v>
      </c>
      <c r="AI626" s="204" t="e">
        <f t="shared" si="1182"/>
        <v>#VALUE!</v>
      </c>
      <c r="AJ626" s="205">
        <f t="shared" si="1143"/>
        <v>-211941.97994700001</v>
      </c>
      <c r="AK626" s="204" t="e">
        <f t="shared" si="1183"/>
        <v>#VALUE!</v>
      </c>
      <c r="AL626" s="204" t="e">
        <f t="shared" si="1184"/>
        <v>#VALUE!</v>
      </c>
      <c r="AM626" s="204" t="e">
        <f t="shared" si="1185"/>
        <v>#VALUE!</v>
      </c>
      <c r="AN626" s="204" t="e">
        <f t="shared" si="1186"/>
        <v>#VALUE!</v>
      </c>
      <c r="AO626" s="204" t="e">
        <f t="shared" si="1187"/>
        <v>#VALUE!</v>
      </c>
      <c r="AP626" s="204" t="e">
        <f t="shared" si="1188"/>
        <v>#VALUE!</v>
      </c>
      <c r="AQ626" s="204" t="e">
        <f t="shared" si="1189"/>
        <v>#VALUE!</v>
      </c>
      <c r="AR626" s="206" t="e">
        <f t="shared" si="1144"/>
        <v>#VALUE!</v>
      </c>
      <c r="AS626" s="170" t="e">
        <f t="shared" si="1190"/>
        <v>#VALUE!</v>
      </c>
      <c r="AT626" s="170" t="e">
        <f t="shared" si="1191"/>
        <v>#VALUE!</v>
      </c>
      <c r="AU626" s="207" t="e">
        <f t="shared" si="1145"/>
        <v>#VALUE!</v>
      </c>
      <c r="AV626" s="208" t="e">
        <f t="shared" si="1146"/>
        <v>#VALUE!</v>
      </c>
      <c r="AW626" s="201" t="str">
        <f t="shared" si="1147"/>
        <v>Fase de Degradação</v>
      </c>
      <c r="AX626" s="253" t="e">
        <f>VLOOKUP(D626,#REF!,5,FALSE)</f>
        <v>#REF!</v>
      </c>
      <c r="AY626" s="201"/>
      <c r="AZ626" s="273" t="s">
        <v>1224</v>
      </c>
      <c r="BB626">
        <f>IFERROR(VLOOKUP(Tabela1[[#This Row],[Denominação]],[10]Planilha1!$A:$B,2,FALSE),"")</f>
        <v>10901.51</v>
      </c>
      <c r="BC626" s="219"/>
      <c r="BD626" s="219"/>
      <c r="BE626" s="219"/>
      <c r="BF626" s="219"/>
      <c r="BG626" s="219"/>
      <c r="BH626" s="219"/>
      <c r="BI626" s="219"/>
      <c r="BJ626" s="219"/>
      <c r="BK626" s="219"/>
      <c r="BL626" s="219"/>
    </row>
    <row r="627" spans="1:64" hidden="1" x14ac:dyDescent="0.3">
      <c r="A627" s="268">
        <v>626</v>
      </c>
      <c r="B627" s="255" t="s">
        <v>1872</v>
      </c>
      <c r="C627" s="256" t="s">
        <v>1741</v>
      </c>
      <c r="D627" s="255">
        <v>20004347</v>
      </c>
      <c r="E627" s="253" t="s">
        <v>1332</v>
      </c>
      <c r="F627" s="257">
        <v>4531</v>
      </c>
      <c r="G627" s="255"/>
      <c r="H627" s="255">
        <v>2018</v>
      </c>
      <c r="I627" s="258">
        <v>165025.29</v>
      </c>
      <c r="J627" s="214">
        <f t="shared" si="1192"/>
        <v>82512.645000000004</v>
      </c>
      <c r="K627" s="265">
        <v>1133.44</v>
      </c>
      <c r="L627" s="259">
        <v>0.99</v>
      </c>
      <c r="M627" s="212">
        <v>7404</v>
      </c>
      <c r="N627" s="260">
        <v>3166</v>
      </c>
      <c r="O627" s="254">
        <v>5</v>
      </c>
      <c r="P627" s="271" t="str">
        <f>IFERROR(VLOOKUP(Tabela1[[#This Row],[TAG]],#REF!,14,FALSE),"")</f>
        <v/>
      </c>
      <c r="Q627" s="204" t="e">
        <f t="shared" si="1170"/>
        <v>#VALUE!</v>
      </c>
      <c r="R627" s="204" t="e">
        <f t="shared" si="1171"/>
        <v>#VALUE!</v>
      </c>
      <c r="S627" s="204" t="e">
        <f t="shared" si="1172"/>
        <v>#VALUE!</v>
      </c>
      <c r="T627" s="204" t="e">
        <f t="shared" si="1173"/>
        <v>#VALUE!</v>
      </c>
      <c r="U627" s="204" t="e">
        <f t="shared" si="1174"/>
        <v>#VALUE!</v>
      </c>
      <c r="V627" s="204" t="e">
        <f t="shared" si="1175"/>
        <v>#VALUE!</v>
      </c>
      <c r="W627" s="218">
        <v>439.83</v>
      </c>
      <c r="X627" s="218">
        <v>713.56</v>
      </c>
      <c r="Y627" s="203">
        <v>0.1</v>
      </c>
      <c r="Z627" s="261">
        <f>IF(Tabela1[[#This Row],[Ano Aquisição]]=2023,0,IFERROR(VLOOKUP(H627,inflação!$F:$H,3,FALSE),""))</f>
        <v>0.2843</v>
      </c>
      <c r="AA627" s="203">
        <v>0.8</v>
      </c>
      <c r="AB627" s="202">
        <f t="shared" si="1142"/>
        <v>-165025.29</v>
      </c>
      <c r="AC627" s="204" t="e">
        <f t="shared" si="1176"/>
        <v>#VALUE!</v>
      </c>
      <c r="AD627" s="204" t="e">
        <f t="shared" si="1177"/>
        <v>#VALUE!</v>
      </c>
      <c r="AE627" s="204" t="e">
        <f t="shared" si="1178"/>
        <v>#VALUE!</v>
      </c>
      <c r="AF627" s="204" t="e">
        <f t="shared" si="1179"/>
        <v>#VALUE!</v>
      </c>
      <c r="AG627" s="204" t="e">
        <f t="shared" si="1180"/>
        <v>#VALUE!</v>
      </c>
      <c r="AH627" s="204" t="e">
        <f t="shared" si="1181"/>
        <v>#VALUE!</v>
      </c>
      <c r="AI627" s="204" t="e">
        <f t="shared" si="1182"/>
        <v>#VALUE!</v>
      </c>
      <c r="AJ627" s="205">
        <f t="shared" si="1143"/>
        <v>-211941.97994700001</v>
      </c>
      <c r="AK627" s="204" t="e">
        <f t="shared" si="1183"/>
        <v>#VALUE!</v>
      </c>
      <c r="AL627" s="204" t="e">
        <f t="shared" si="1184"/>
        <v>#VALUE!</v>
      </c>
      <c r="AM627" s="204" t="e">
        <f t="shared" si="1185"/>
        <v>#VALUE!</v>
      </c>
      <c r="AN627" s="204" t="e">
        <f t="shared" si="1186"/>
        <v>#VALUE!</v>
      </c>
      <c r="AO627" s="204" t="e">
        <f t="shared" si="1187"/>
        <v>#VALUE!</v>
      </c>
      <c r="AP627" s="204" t="e">
        <f t="shared" si="1188"/>
        <v>#VALUE!</v>
      </c>
      <c r="AQ627" s="204" t="e">
        <f t="shared" si="1189"/>
        <v>#VALUE!</v>
      </c>
      <c r="AR627" s="206" t="e">
        <f t="shared" si="1144"/>
        <v>#VALUE!</v>
      </c>
      <c r="AS627" s="170" t="e">
        <f t="shared" si="1190"/>
        <v>#VALUE!</v>
      </c>
      <c r="AT627" s="170" t="e">
        <f t="shared" si="1191"/>
        <v>#VALUE!</v>
      </c>
      <c r="AU627" s="207" t="e">
        <f t="shared" si="1145"/>
        <v>#VALUE!</v>
      </c>
      <c r="AV627" s="208" t="e">
        <f t="shared" si="1146"/>
        <v>#VALUE!</v>
      </c>
      <c r="AW627" s="201" t="str">
        <f t="shared" si="1147"/>
        <v>Confiabilidade em Crescimento</v>
      </c>
      <c r="AX627" s="253" t="e">
        <f>VLOOKUP(D627,#REF!,5,FALSE)</f>
        <v>#REF!</v>
      </c>
      <c r="AY627" s="201"/>
      <c r="AZ627" s="273" t="s">
        <v>1224</v>
      </c>
      <c r="BB627">
        <f>IFERROR(VLOOKUP(Tabela1[[#This Row],[Denominação]],[10]Planilha1!$A:$B,2,FALSE),"")</f>
        <v>1133.44</v>
      </c>
      <c r="BC627" s="219"/>
      <c r="BD627" s="219"/>
      <c r="BE627" s="219"/>
      <c r="BF627" s="219"/>
      <c r="BG627" s="219"/>
      <c r="BH627" s="219"/>
      <c r="BI627" s="219"/>
      <c r="BJ627" s="219"/>
      <c r="BK627" s="219"/>
      <c r="BL627" s="219"/>
    </row>
    <row r="628" spans="1:64" hidden="1" x14ac:dyDescent="0.3">
      <c r="A628" s="253">
        <v>627</v>
      </c>
      <c r="B628" s="255" t="s">
        <v>1873</v>
      </c>
      <c r="C628" s="256" t="s">
        <v>1742</v>
      </c>
      <c r="D628" s="255">
        <v>20004348</v>
      </c>
      <c r="E628" s="253" t="s">
        <v>1330</v>
      </c>
      <c r="F628" s="257">
        <v>4531</v>
      </c>
      <c r="G628" s="255"/>
      <c r="H628" s="255">
        <v>2019</v>
      </c>
      <c r="I628" s="258">
        <v>269521.27</v>
      </c>
      <c r="J628" s="214">
        <f t="shared" si="1192"/>
        <v>161712.76200000002</v>
      </c>
      <c r="K628" s="265">
        <v>0</v>
      </c>
      <c r="L628" s="259">
        <v>1.03</v>
      </c>
      <c r="M628" s="212">
        <v>5761</v>
      </c>
      <c r="N628" s="260">
        <v>3166</v>
      </c>
      <c r="O628" s="254">
        <v>9</v>
      </c>
      <c r="P628" s="271" t="str">
        <f>IFERROR(VLOOKUP(Tabela1[[#This Row],[TAG]],#REF!,14,FALSE),"")</f>
        <v/>
      </c>
      <c r="Q628" s="204" t="e">
        <f t="shared" si="1170"/>
        <v>#VALUE!</v>
      </c>
      <c r="R628" s="204" t="e">
        <f t="shared" si="1171"/>
        <v>#VALUE!</v>
      </c>
      <c r="S628" s="204" t="e">
        <f t="shared" si="1172"/>
        <v>#VALUE!</v>
      </c>
      <c r="T628" s="204" t="e">
        <f t="shared" si="1173"/>
        <v>#VALUE!</v>
      </c>
      <c r="U628" s="204" t="e">
        <f t="shared" si="1174"/>
        <v>#VALUE!</v>
      </c>
      <c r="V628" s="204" t="e">
        <f t="shared" si="1175"/>
        <v>#VALUE!</v>
      </c>
      <c r="W628" s="218">
        <v>318.89</v>
      </c>
      <c r="X628" s="218">
        <v>951.12</v>
      </c>
      <c r="Y628" s="203">
        <v>0.1</v>
      </c>
      <c r="Z628" s="261">
        <f>IF(Tabela1[[#This Row],[Ano Aquisição]]=2023,0,IFERROR(VLOOKUP(H628,inflação!$F:$H,3,FALSE),""))</f>
        <v>0.24679999999999999</v>
      </c>
      <c r="AA628" s="203">
        <v>0.8</v>
      </c>
      <c r="AB628" s="202">
        <f t="shared" si="1142"/>
        <v>-269521.27</v>
      </c>
      <c r="AC628" s="204" t="e">
        <f t="shared" si="1176"/>
        <v>#VALUE!</v>
      </c>
      <c r="AD628" s="204" t="e">
        <f t="shared" si="1177"/>
        <v>#VALUE!</v>
      </c>
      <c r="AE628" s="204" t="e">
        <f t="shared" si="1178"/>
        <v>#VALUE!</v>
      </c>
      <c r="AF628" s="204" t="e">
        <f t="shared" si="1179"/>
        <v>#VALUE!</v>
      </c>
      <c r="AG628" s="204" t="e">
        <f t="shared" si="1180"/>
        <v>#VALUE!</v>
      </c>
      <c r="AH628" s="204" t="e">
        <f t="shared" si="1181"/>
        <v>#VALUE!</v>
      </c>
      <c r="AI628" s="204" t="e">
        <f t="shared" si="1182"/>
        <v>#VALUE!</v>
      </c>
      <c r="AJ628" s="205">
        <f t="shared" si="1143"/>
        <v>-336039.11943600001</v>
      </c>
      <c r="AK628" s="204" t="e">
        <f t="shared" si="1183"/>
        <v>#VALUE!</v>
      </c>
      <c r="AL628" s="204" t="e">
        <f t="shared" si="1184"/>
        <v>#VALUE!</v>
      </c>
      <c r="AM628" s="204" t="e">
        <f t="shared" si="1185"/>
        <v>#VALUE!</v>
      </c>
      <c r="AN628" s="204" t="e">
        <f t="shared" si="1186"/>
        <v>#VALUE!</v>
      </c>
      <c r="AO628" s="204" t="e">
        <f t="shared" si="1187"/>
        <v>#VALUE!</v>
      </c>
      <c r="AP628" s="204" t="e">
        <f t="shared" si="1188"/>
        <v>#VALUE!</v>
      </c>
      <c r="AQ628" s="204" t="e">
        <f t="shared" si="1189"/>
        <v>#VALUE!</v>
      </c>
      <c r="AR628" s="206" t="e">
        <f t="shared" si="1144"/>
        <v>#VALUE!</v>
      </c>
      <c r="AS628" s="170" t="e">
        <f t="shared" si="1190"/>
        <v>#VALUE!</v>
      </c>
      <c r="AT628" s="170" t="e">
        <f t="shared" si="1191"/>
        <v>#VALUE!</v>
      </c>
      <c r="AU628" s="207" t="e">
        <f t="shared" si="1145"/>
        <v>#VALUE!</v>
      </c>
      <c r="AV628" s="208" t="e">
        <f t="shared" si="1146"/>
        <v>#VALUE!</v>
      </c>
      <c r="AW628" s="201" t="str">
        <f t="shared" si="1147"/>
        <v>Fase de Vida Útil</v>
      </c>
      <c r="AX628" s="253" t="e">
        <f>VLOOKUP(D628,#REF!,5,FALSE)</f>
        <v>#REF!</v>
      </c>
      <c r="AY628" s="201"/>
      <c r="AZ628" s="273" t="s">
        <v>1224</v>
      </c>
      <c r="BB628">
        <f>IFERROR(VLOOKUP(Tabela1[[#This Row],[Denominação]],[10]Planilha1!$A:$B,2,FALSE),"")</f>
        <v>0</v>
      </c>
      <c r="BC628" s="219"/>
      <c r="BD628" s="219"/>
      <c r="BE628" s="219"/>
      <c r="BF628" s="219"/>
      <c r="BG628" s="219"/>
      <c r="BH628" s="219"/>
      <c r="BI628" s="219"/>
      <c r="BJ628" s="219"/>
      <c r="BK628" s="219"/>
      <c r="BL628" s="219"/>
    </row>
    <row r="629" spans="1:64" hidden="1" x14ac:dyDescent="0.3">
      <c r="A629" s="268">
        <v>628</v>
      </c>
      <c r="B629" s="255" t="s">
        <v>1874</v>
      </c>
      <c r="C629" s="256" t="s">
        <v>1743</v>
      </c>
      <c r="D629" s="255">
        <v>20004349</v>
      </c>
      <c r="E629" s="253" t="s">
        <v>1307</v>
      </c>
      <c r="F629" s="257">
        <v>4531</v>
      </c>
      <c r="G629" s="255">
        <v>58070</v>
      </c>
      <c r="H629" s="255">
        <v>2019</v>
      </c>
      <c r="I629" s="258">
        <v>269521.27</v>
      </c>
      <c r="J629" s="218">
        <v>255081</v>
      </c>
      <c r="K629" s="265">
        <v>3354.8300000000004</v>
      </c>
      <c r="L629" s="259">
        <v>2.0099999999999998</v>
      </c>
      <c r="M629" s="212">
        <v>4704</v>
      </c>
      <c r="N629" s="260">
        <v>3166</v>
      </c>
      <c r="O629" s="254">
        <v>5</v>
      </c>
      <c r="P629" s="271" t="str">
        <f>IFERROR(VLOOKUP(Tabela1[[#This Row],[TAG]],#REF!,14,FALSE),"")</f>
        <v/>
      </c>
      <c r="Q629" s="204" t="e">
        <f t="shared" si="1170"/>
        <v>#VALUE!</v>
      </c>
      <c r="R629" s="204" t="e">
        <f t="shared" si="1171"/>
        <v>#VALUE!</v>
      </c>
      <c r="S629" s="204" t="e">
        <f t="shared" si="1172"/>
        <v>#VALUE!</v>
      </c>
      <c r="T629" s="204" t="e">
        <f t="shared" si="1173"/>
        <v>#VALUE!</v>
      </c>
      <c r="U629" s="204" t="e">
        <f t="shared" si="1174"/>
        <v>#VALUE!</v>
      </c>
      <c r="V629" s="204" t="e">
        <f t="shared" si="1175"/>
        <v>#VALUE!</v>
      </c>
      <c r="W629" s="218">
        <v>419.19</v>
      </c>
      <c r="X629" s="218">
        <v>707.21</v>
      </c>
      <c r="Y629" s="203">
        <v>0.1</v>
      </c>
      <c r="Z629" s="261">
        <f>IF(Tabela1[[#This Row],[Ano Aquisição]]=2023,0,IFERROR(VLOOKUP(H629,inflação!$F:$H,3,FALSE),""))</f>
        <v>0.24679999999999999</v>
      </c>
      <c r="AA629" s="203">
        <v>0.8</v>
      </c>
      <c r="AB629" s="202">
        <f t="shared" si="1142"/>
        <v>-269521.27</v>
      </c>
      <c r="AC629" s="204" t="e">
        <f t="shared" si="1176"/>
        <v>#VALUE!</v>
      </c>
      <c r="AD629" s="204" t="e">
        <f t="shared" si="1177"/>
        <v>#VALUE!</v>
      </c>
      <c r="AE629" s="204" t="e">
        <f t="shared" si="1178"/>
        <v>#VALUE!</v>
      </c>
      <c r="AF629" s="204" t="e">
        <f t="shared" si="1179"/>
        <v>#VALUE!</v>
      </c>
      <c r="AG629" s="204" t="e">
        <f t="shared" si="1180"/>
        <v>#VALUE!</v>
      </c>
      <c r="AH629" s="204" t="e">
        <f t="shared" si="1181"/>
        <v>#VALUE!</v>
      </c>
      <c r="AI629" s="204" t="e">
        <f t="shared" si="1182"/>
        <v>#VALUE!</v>
      </c>
      <c r="AJ629" s="205">
        <f t="shared" si="1143"/>
        <v>-336039.11943600001</v>
      </c>
      <c r="AK629" s="204" t="e">
        <f t="shared" si="1183"/>
        <v>#VALUE!</v>
      </c>
      <c r="AL629" s="204" t="e">
        <f t="shared" si="1184"/>
        <v>#VALUE!</v>
      </c>
      <c r="AM629" s="204" t="e">
        <f t="shared" si="1185"/>
        <v>#VALUE!</v>
      </c>
      <c r="AN629" s="204" t="e">
        <f t="shared" si="1186"/>
        <v>#VALUE!</v>
      </c>
      <c r="AO629" s="204" t="e">
        <f t="shared" si="1187"/>
        <v>#VALUE!</v>
      </c>
      <c r="AP629" s="204" t="e">
        <f t="shared" si="1188"/>
        <v>#VALUE!</v>
      </c>
      <c r="AQ629" s="204" t="e">
        <f t="shared" si="1189"/>
        <v>#VALUE!</v>
      </c>
      <c r="AR629" s="206" t="e">
        <f t="shared" si="1144"/>
        <v>#VALUE!</v>
      </c>
      <c r="AS629" s="170" t="e">
        <f t="shared" si="1190"/>
        <v>#VALUE!</v>
      </c>
      <c r="AT629" s="170" t="e">
        <f t="shared" si="1191"/>
        <v>#VALUE!</v>
      </c>
      <c r="AU629" s="207" t="e">
        <f t="shared" si="1145"/>
        <v>#VALUE!</v>
      </c>
      <c r="AV629" s="208" t="e">
        <f t="shared" si="1146"/>
        <v>#VALUE!</v>
      </c>
      <c r="AW629" s="201" t="str">
        <f t="shared" si="1147"/>
        <v>Fase de Degradação</v>
      </c>
      <c r="AX629" s="253" t="e">
        <f>VLOOKUP(D629,#REF!,5,FALSE)</f>
        <v>#REF!</v>
      </c>
      <c r="AY629" s="201"/>
      <c r="AZ629" s="273" t="s">
        <v>1224</v>
      </c>
      <c r="BB629">
        <f>IFERROR(VLOOKUP(Tabela1[[#This Row],[Denominação]],[10]Planilha1!$A:$B,2,FALSE),"")</f>
        <v>3354.8300000000004</v>
      </c>
      <c r="BC629" s="219"/>
      <c r="BD629" s="219"/>
      <c r="BE629" s="219"/>
      <c r="BF629" s="219"/>
      <c r="BG629" s="219"/>
      <c r="BH629" s="219"/>
      <c r="BI629" s="219"/>
      <c r="BJ629" s="219"/>
      <c r="BK629" s="219"/>
      <c r="BL629" s="219"/>
    </row>
    <row r="630" spans="1:64" hidden="1" x14ac:dyDescent="0.3">
      <c r="A630" s="253">
        <v>629</v>
      </c>
      <c r="B630" s="255" t="s">
        <v>1875</v>
      </c>
      <c r="C630" s="256" t="s">
        <v>1744</v>
      </c>
      <c r="D630" s="255">
        <v>20004350</v>
      </c>
      <c r="E630" s="253" t="s">
        <v>1308</v>
      </c>
      <c r="F630" s="257">
        <v>4531</v>
      </c>
      <c r="G630" s="255"/>
      <c r="H630" s="255">
        <v>2019</v>
      </c>
      <c r="I630" s="258">
        <v>269521.27</v>
      </c>
      <c r="J630" s="214">
        <f>(I630-((2023-H630)*I630/10))</f>
        <v>161712.76200000002</v>
      </c>
      <c r="K630" s="265">
        <v>7604.28</v>
      </c>
      <c r="L630" s="259">
        <v>1.01</v>
      </c>
      <c r="M630" s="212">
        <v>3328</v>
      </c>
      <c r="N630" s="260">
        <v>3166</v>
      </c>
      <c r="O630" s="254">
        <v>4</v>
      </c>
      <c r="P630" s="271" t="str">
        <f>IFERROR(VLOOKUP(Tabela1[[#This Row],[TAG]],#REF!,14,FALSE),"")</f>
        <v/>
      </c>
      <c r="Q630" s="204" t="e">
        <f t="shared" si="1170"/>
        <v>#VALUE!</v>
      </c>
      <c r="R630" s="204" t="e">
        <f t="shared" si="1171"/>
        <v>#VALUE!</v>
      </c>
      <c r="S630" s="204" t="e">
        <f t="shared" si="1172"/>
        <v>#VALUE!</v>
      </c>
      <c r="T630" s="204" t="e">
        <f t="shared" si="1173"/>
        <v>#VALUE!</v>
      </c>
      <c r="U630" s="204" t="e">
        <f t="shared" si="1174"/>
        <v>#VALUE!</v>
      </c>
      <c r="V630" s="204" t="e">
        <f t="shared" si="1175"/>
        <v>#VALUE!</v>
      </c>
      <c r="W630" s="218">
        <v>577.47</v>
      </c>
      <c r="X630" s="218">
        <v>642.34</v>
      </c>
      <c r="Y630" s="203">
        <v>0.1</v>
      </c>
      <c r="Z630" s="261">
        <f>IF(Tabela1[[#This Row],[Ano Aquisição]]=2023,0,IFERROR(VLOOKUP(H630,inflação!$F:$H,3,FALSE),""))</f>
        <v>0.24679999999999999</v>
      </c>
      <c r="AA630" s="203">
        <v>0.8</v>
      </c>
      <c r="AB630" s="202">
        <f t="shared" si="1142"/>
        <v>-269521.27</v>
      </c>
      <c r="AC630" s="204" t="e">
        <f t="shared" si="1176"/>
        <v>#VALUE!</v>
      </c>
      <c r="AD630" s="204" t="e">
        <f t="shared" si="1177"/>
        <v>#VALUE!</v>
      </c>
      <c r="AE630" s="204" t="e">
        <f t="shared" si="1178"/>
        <v>#VALUE!</v>
      </c>
      <c r="AF630" s="204" t="e">
        <f t="shared" si="1179"/>
        <v>#VALUE!</v>
      </c>
      <c r="AG630" s="204" t="e">
        <f t="shared" si="1180"/>
        <v>#VALUE!</v>
      </c>
      <c r="AH630" s="204" t="e">
        <f t="shared" si="1181"/>
        <v>#VALUE!</v>
      </c>
      <c r="AI630" s="204" t="e">
        <f t="shared" si="1182"/>
        <v>#VALUE!</v>
      </c>
      <c r="AJ630" s="205">
        <f t="shared" si="1143"/>
        <v>-336039.11943600001</v>
      </c>
      <c r="AK630" s="204" t="e">
        <f t="shared" si="1183"/>
        <v>#VALUE!</v>
      </c>
      <c r="AL630" s="204" t="e">
        <f t="shared" si="1184"/>
        <v>#VALUE!</v>
      </c>
      <c r="AM630" s="204" t="e">
        <f t="shared" si="1185"/>
        <v>#VALUE!</v>
      </c>
      <c r="AN630" s="204" t="e">
        <f t="shared" si="1186"/>
        <v>#VALUE!</v>
      </c>
      <c r="AO630" s="204" t="e">
        <f t="shared" si="1187"/>
        <v>#VALUE!</v>
      </c>
      <c r="AP630" s="204" t="e">
        <f t="shared" si="1188"/>
        <v>#VALUE!</v>
      </c>
      <c r="AQ630" s="204" t="e">
        <f t="shared" si="1189"/>
        <v>#VALUE!</v>
      </c>
      <c r="AR630" s="206" t="e">
        <f t="shared" si="1144"/>
        <v>#VALUE!</v>
      </c>
      <c r="AS630" s="170" t="e">
        <f t="shared" si="1190"/>
        <v>#VALUE!</v>
      </c>
      <c r="AT630" s="170" t="e">
        <f t="shared" si="1191"/>
        <v>#VALUE!</v>
      </c>
      <c r="AU630" s="207" t="e">
        <f t="shared" si="1145"/>
        <v>#VALUE!</v>
      </c>
      <c r="AV630" s="208" t="e">
        <f t="shared" si="1146"/>
        <v>#VALUE!</v>
      </c>
      <c r="AW630" s="201" t="str">
        <f t="shared" si="1147"/>
        <v>Fase de Vida Útil</v>
      </c>
      <c r="AX630" s="253" t="e">
        <f>VLOOKUP(D630,#REF!,5,FALSE)</f>
        <v>#REF!</v>
      </c>
      <c r="AY630" s="201"/>
      <c r="AZ630" s="273" t="s">
        <v>1224</v>
      </c>
      <c r="BB630">
        <f>IFERROR(VLOOKUP(Tabela1[[#This Row],[Denominação]],[10]Planilha1!$A:$B,2,FALSE),"")</f>
        <v>7604.28</v>
      </c>
      <c r="BC630" s="219"/>
      <c r="BD630" s="219"/>
      <c r="BE630" s="219"/>
      <c r="BF630" s="219"/>
      <c r="BG630" s="219"/>
      <c r="BH630" s="219"/>
      <c r="BI630" s="219"/>
      <c r="BJ630" s="219"/>
      <c r="BK630" s="219"/>
      <c r="BL630" s="219"/>
    </row>
    <row r="631" spans="1:64" hidden="1" x14ac:dyDescent="0.3">
      <c r="A631" s="268">
        <v>630</v>
      </c>
      <c r="B631" s="255" t="s">
        <v>1876</v>
      </c>
      <c r="C631" s="256" t="s">
        <v>1745</v>
      </c>
      <c r="D631" s="255">
        <v>20004351</v>
      </c>
      <c r="E631" s="253" t="s">
        <v>1451</v>
      </c>
      <c r="F631" s="257">
        <v>4531</v>
      </c>
      <c r="G631" s="255" t="s">
        <v>875</v>
      </c>
      <c r="H631" s="255">
        <v>2023</v>
      </c>
      <c r="I631" s="258"/>
      <c r="J631" s="218"/>
      <c r="K631" s="265">
        <v>559.63</v>
      </c>
      <c r="L631" s="259">
        <v>1.32</v>
      </c>
      <c r="M631" s="260" t="str">
        <f>IFERROR(VLOOKUP(Tabela1[[#This Row],[Denominação]],#REF!,7,FALSE),"")</f>
        <v/>
      </c>
      <c r="N631" s="260">
        <v>2745</v>
      </c>
      <c r="O631" s="254">
        <v>4</v>
      </c>
      <c r="P631" s="271" t="str">
        <f>IFERROR(VLOOKUP(Tabela1[[#This Row],[TAG]],#REF!,14,FALSE),"")</f>
        <v/>
      </c>
      <c r="Q631" s="204" t="e">
        <f t="shared" si="1170"/>
        <v>#VALUE!</v>
      </c>
      <c r="R631" s="204" t="e">
        <f t="shared" si="1171"/>
        <v>#VALUE!</v>
      </c>
      <c r="S631" s="204" t="e">
        <f t="shared" si="1172"/>
        <v>#VALUE!</v>
      </c>
      <c r="T631" s="204" t="e">
        <f t="shared" si="1173"/>
        <v>#VALUE!</v>
      </c>
      <c r="U631" s="204" t="e">
        <f t="shared" si="1174"/>
        <v>#VALUE!</v>
      </c>
      <c r="V631" s="204" t="e">
        <f t="shared" si="1175"/>
        <v>#VALUE!</v>
      </c>
      <c r="W631" s="218">
        <v>180.04</v>
      </c>
      <c r="X631" s="218">
        <v>172.92</v>
      </c>
      <c r="Y631" s="203">
        <v>0.1</v>
      </c>
      <c r="Z631" s="261">
        <f>IF(Tabela1[[#This Row],[Ano Aquisição]]=2023,0,IFERROR(VLOOKUP(H631,inflação!$F:$H,3,FALSE),""))</f>
        <v>0</v>
      </c>
      <c r="AA631" s="203">
        <v>0.8</v>
      </c>
      <c r="AB631" s="202">
        <f t="shared" si="1142"/>
        <v>0</v>
      </c>
      <c r="AC631" s="204" t="e">
        <f t="shared" si="1176"/>
        <v>#VALUE!</v>
      </c>
      <c r="AD631" s="204" t="e">
        <f t="shared" si="1177"/>
        <v>#VALUE!</v>
      </c>
      <c r="AE631" s="204" t="e">
        <f t="shared" si="1178"/>
        <v>#VALUE!</v>
      </c>
      <c r="AF631" s="204" t="e">
        <f t="shared" si="1179"/>
        <v>#VALUE!</v>
      </c>
      <c r="AG631" s="204" t="e">
        <f t="shared" si="1180"/>
        <v>#VALUE!</v>
      </c>
      <c r="AH631" s="204" t="e">
        <f t="shared" si="1181"/>
        <v>#VALUE!</v>
      </c>
      <c r="AI631" s="204" t="e">
        <f t="shared" si="1182"/>
        <v>#VALUE!</v>
      </c>
      <c r="AJ631" s="205">
        <f t="shared" si="1143"/>
        <v>0</v>
      </c>
      <c r="AK631" s="204" t="e">
        <f t="shared" si="1183"/>
        <v>#VALUE!</v>
      </c>
      <c r="AL631" s="204" t="e">
        <f t="shared" si="1184"/>
        <v>#VALUE!</v>
      </c>
      <c r="AM631" s="204" t="e">
        <f t="shared" si="1185"/>
        <v>#VALUE!</v>
      </c>
      <c r="AN631" s="204" t="e">
        <f t="shared" si="1186"/>
        <v>#VALUE!</v>
      </c>
      <c r="AO631" s="204" t="e">
        <f t="shared" si="1187"/>
        <v>#VALUE!</v>
      </c>
      <c r="AP631" s="204" t="e">
        <f t="shared" si="1188"/>
        <v>#VALUE!</v>
      </c>
      <c r="AQ631" s="204" t="e">
        <f t="shared" si="1189"/>
        <v>#VALUE!</v>
      </c>
      <c r="AR631" s="206" t="e">
        <f t="shared" ref="AR631:AR662" si="1193">(NPV(Y631,AK631,AL631,AM631,AN631,AO631,AP631,AQ631)+(SUM(AJ631,(J631*-1))))-(NPV(Y631,AC631,AD631,AE631,AF631,AG631,AH631,AI631))</f>
        <v>#VALUE!</v>
      </c>
      <c r="AS631" s="170" t="e">
        <f t="shared" si="1190"/>
        <v>#VALUE!</v>
      </c>
      <c r="AT631" s="170" t="e">
        <f t="shared" si="1191"/>
        <v>#VALUE!</v>
      </c>
      <c r="AU631" s="207" t="e">
        <f t="shared" si="1145"/>
        <v>#VALUE!</v>
      </c>
      <c r="AV631" s="208" t="e">
        <f t="shared" ref="AV631:AV662" si="1194">AU631/(((J631/1000)+((AJ631*-1)/1000)))</f>
        <v>#VALUE!</v>
      </c>
      <c r="AW631" s="201" t="str">
        <f t="shared" si="1147"/>
        <v>Fase de Degradação</v>
      </c>
      <c r="AX631" s="253" t="s">
        <v>1583</v>
      </c>
      <c r="AY631" s="201"/>
      <c r="AZ631" s="273" t="s">
        <v>1224</v>
      </c>
      <c r="BB631">
        <f>IFERROR(VLOOKUP(Tabela1[[#This Row],[Denominação]],[10]Planilha1!$A:$B,2,FALSE),"")</f>
        <v>559.63</v>
      </c>
      <c r="BC631" s="219"/>
      <c r="BD631" s="219"/>
      <c r="BE631" s="219"/>
      <c r="BF631" s="219"/>
      <c r="BG631" s="219"/>
      <c r="BH631" s="219"/>
      <c r="BI631" s="219"/>
      <c r="BJ631" s="219"/>
      <c r="BK631" s="219"/>
      <c r="BL631" s="219"/>
    </row>
    <row r="632" spans="1:64" hidden="1" x14ac:dyDescent="0.3">
      <c r="A632" s="253">
        <v>631</v>
      </c>
      <c r="B632" s="255" t="s">
        <v>1877</v>
      </c>
      <c r="C632" s="256" t="s">
        <v>1746</v>
      </c>
      <c r="D632" s="255">
        <v>20004374</v>
      </c>
      <c r="E632" s="253" t="s">
        <v>1788</v>
      </c>
      <c r="F632" s="257">
        <v>4531</v>
      </c>
      <c r="G632" s="255"/>
      <c r="H632" s="255">
        <v>2022</v>
      </c>
      <c r="I632" s="258">
        <v>269521.27</v>
      </c>
      <c r="J632" s="214">
        <f>(I632-((2023-H632)*I632/10))</f>
        <v>242569.14300000001</v>
      </c>
      <c r="K632" s="265">
        <v>1950.3500000000001</v>
      </c>
      <c r="L632" s="259">
        <v>0.97</v>
      </c>
      <c r="M632" s="212">
        <v>3124</v>
      </c>
      <c r="N632" s="260">
        <v>2323</v>
      </c>
      <c r="O632" s="254">
        <v>2</v>
      </c>
      <c r="P632" s="271" t="str">
        <f>IFERROR(VLOOKUP(Tabela1[[#This Row],[TAG]],#REF!,14,FALSE),"")</f>
        <v/>
      </c>
      <c r="Q632" s="204" t="e">
        <f t="shared" ref="Q632" si="1195">P632+P632</f>
        <v>#VALUE!</v>
      </c>
      <c r="R632" s="204" t="e">
        <f t="shared" ref="R632" si="1196">Q632+P632</f>
        <v>#VALUE!</v>
      </c>
      <c r="S632" s="204" t="e">
        <f t="shared" ref="S632" si="1197">R632+P632</f>
        <v>#VALUE!</v>
      </c>
      <c r="T632" s="204" t="e">
        <f t="shared" ref="T632" si="1198">S632+P632</f>
        <v>#VALUE!</v>
      </c>
      <c r="U632" s="204" t="e">
        <f t="shared" ref="U632" si="1199">T632+P632</f>
        <v>#VALUE!</v>
      </c>
      <c r="V632" s="204" t="e">
        <f t="shared" ref="V632" si="1200">U632+P632</f>
        <v>#VALUE!</v>
      </c>
      <c r="W632" s="218">
        <v>366.08</v>
      </c>
      <c r="X632" s="218">
        <v>802.25</v>
      </c>
      <c r="Y632" s="203">
        <v>0.1</v>
      </c>
      <c r="Z632" s="261">
        <f>IF(Tabela1[[#This Row],[Ano Aquisição]]=2023,0,IFERROR(VLOOKUP(H632,inflação!$F:$H,3,FALSE),""))</f>
        <v>5.79E-2</v>
      </c>
      <c r="AA632" s="203">
        <v>0.8</v>
      </c>
      <c r="AB632" s="202">
        <f t="shared" si="1142"/>
        <v>-269521.27</v>
      </c>
      <c r="AC632" s="204" t="e">
        <f t="shared" ref="AC632" si="1201">-(((P632*$W632)+($X632*12))*((1+$Y632)^AC$1))</f>
        <v>#VALUE!</v>
      </c>
      <c r="AD632" s="204" t="e">
        <f t="shared" ref="AD632" si="1202">-((((Q632-P632)*$W632)+($X632*12))*((1+$Y632)^AD$1))</f>
        <v>#VALUE!</v>
      </c>
      <c r="AE632" s="204" t="e">
        <f t="shared" ref="AE632" si="1203">-((((R632-Q632)*$W632)+($X632*12))*((1+$Y632)^AE$1))</f>
        <v>#VALUE!</v>
      </c>
      <c r="AF632" s="204" t="e">
        <f t="shared" ref="AF632" si="1204">-((((S632-R632)*$W632)+($X632*12))*((1+$Y632)^AF$1))</f>
        <v>#VALUE!</v>
      </c>
      <c r="AG632" s="204" t="e">
        <f t="shared" ref="AG632" si="1205">-((((T632-S632)*$W632)+($X632*12))*((1+$Y632)^AG$1))</f>
        <v>#VALUE!</v>
      </c>
      <c r="AH632" s="204" t="e">
        <f t="shared" ref="AH632" si="1206">-((((U632-T632)*$W632)+($X632*12))*((1+$Y632)^AH$1))</f>
        <v>#VALUE!</v>
      </c>
      <c r="AI632" s="204" t="e">
        <f t="shared" ref="AI632" si="1207">-((((V632-U632)*$W632)+($X632*12))*((1+$Y632)^AI$1))</f>
        <v>#VALUE!</v>
      </c>
      <c r="AJ632" s="205">
        <f t="shared" si="1143"/>
        <v>-285126.55153300002</v>
      </c>
      <c r="AK632" s="204" t="e">
        <f t="shared" ref="AK632" si="1208">AC632*(1-$AA632)</f>
        <v>#VALUE!</v>
      </c>
      <c r="AL632" s="204" t="e">
        <f t="shared" ref="AL632" si="1209">AD632*(1-$AA632)</f>
        <v>#VALUE!</v>
      </c>
      <c r="AM632" s="204" t="e">
        <f t="shared" ref="AM632" si="1210">AE632*(1-$AA632)</f>
        <v>#VALUE!</v>
      </c>
      <c r="AN632" s="204" t="e">
        <f t="shared" ref="AN632" si="1211">AF632*(1-$AA632)</f>
        <v>#VALUE!</v>
      </c>
      <c r="AO632" s="204" t="e">
        <f t="shared" ref="AO632" si="1212">AG632*(1-$AA632)</f>
        <v>#VALUE!</v>
      </c>
      <c r="AP632" s="204" t="e">
        <f t="shared" ref="AP632" si="1213">AH632*(1-$AA632)</f>
        <v>#VALUE!</v>
      </c>
      <c r="AQ632" s="204" t="e">
        <f t="shared" ref="AQ632" si="1214">AI632*(1-$AA632)</f>
        <v>#VALUE!</v>
      </c>
      <c r="AR632" s="206" t="e">
        <f t="shared" si="1193"/>
        <v>#VALUE!</v>
      </c>
      <c r="AS632" s="170" t="e">
        <f t="shared" ref="AS632" si="1215">SUM(AC632:AI632)</f>
        <v>#VALUE!</v>
      </c>
      <c r="AT632" s="170" t="e">
        <f t="shared" ref="AT632" si="1216">SUM(AK632:AQ632)</f>
        <v>#VALUE!</v>
      </c>
      <c r="AU632" s="207" t="e">
        <f t="shared" si="1145"/>
        <v>#VALUE!</v>
      </c>
      <c r="AV632" s="208" t="e">
        <f t="shared" si="1194"/>
        <v>#VALUE!</v>
      </c>
      <c r="AW632" s="201" t="str">
        <f t="shared" si="1147"/>
        <v>Confiabilidade em Crescimento</v>
      </c>
      <c r="AX632" s="253" t="e">
        <f>VLOOKUP(D632,#REF!,5,FALSE)</f>
        <v>#REF!</v>
      </c>
      <c r="AY632" s="201"/>
      <c r="AZ632" s="273" t="s">
        <v>1224</v>
      </c>
      <c r="BB632">
        <f>IFERROR(VLOOKUP(Tabela1[[#This Row],[Denominação]],[10]Planilha1!$A:$B,2,FALSE),"")</f>
        <v>1950.3500000000001</v>
      </c>
      <c r="BC632" s="219"/>
      <c r="BD632" s="219"/>
      <c r="BE632" s="219"/>
      <c r="BF632" s="219"/>
      <c r="BG632" s="219"/>
      <c r="BH632" s="219"/>
      <c r="BI632" s="219"/>
      <c r="BJ632" s="219"/>
      <c r="BK632" s="219"/>
      <c r="BL632" s="219"/>
    </row>
    <row r="633" spans="1:64" hidden="1" x14ac:dyDescent="0.3">
      <c r="A633" s="268">
        <v>632</v>
      </c>
      <c r="B633" s="300" t="s">
        <v>1878</v>
      </c>
      <c r="C633" s="301" t="s">
        <v>1747</v>
      </c>
      <c r="D633" s="300">
        <v>20004420</v>
      </c>
      <c r="E633" s="299" t="s">
        <v>1448</v>
      </c>
      <c r="F633" s="302">
        <v>4511</v>
      </c>
      <c r="G633" s="300">
        <v>56748</v>
      </c>
      <c r="H633" s="300">
        <v>2021</v>
      </c>
      <c r="I633" s="303">
        <v>47710.17</v>
      </c>
      <c r="J633" s="304">
        <v>43148</v>
      </c>
      <c r="K633" s="305"/>
      <c r="L633" s="306"/>
      <c r="M633" s="307"/>
      <c r="N633" s="307"/>
      <c r="O633" s="308"/>
      <c r="P633" s="271" t="str">
        <f>IFERROR(VLOOKUP(Tabela1[[#This Row],[TAG]],#REF!,14,FALSE),"")</f>
        <v/>
      </c>
      <c r="Q633" s="311"/>
      <c r="R633" s="311"/>
      <c r="S633" s="311"/>
      <c r="T633" s="311"/>
      <c r="U633" s="311"/>
      <c r="V633" s="311"/>
      <c r="W633" s="304"/>
      <c r="X633" s="304"/>
      <c r="Y633" s="309"/>
      <c r="Z633" s="309">
        <f>IF(Tabela1[[#This Row],[Ano Aquisição]]=2023,0,IFERROR(VLOOKUP(H633,inflação!$F:$H,3,FALSE),""))</f>
        <v>0.1585</v>
      </c>
      <c r="AA633" s="309"/>
      <c r="AB633" s="310"/>
      <c r="AC633" s="311"/>
      <c r="AD633" s="311"/>
      <c r="AE633" s="311"/>
      <c r="AF633" s="311"/>
      <c r="AG633" s="311"/>
      <c r="AH633" s="311"/>
      <c r="AI633" s="311"/>
      <c r="AJ633" s="312"/>
      <c r="AK633" s="311"/>
      <c r="AL633" s="311"/>
      <c r="AM633" s="311"/>
      <c r="AN633" s="311"/>
      <c r="AO633" s="311"/>
      <c r="AP633" s="311"/>
      <c r="AQ633" s="311"/>
      <c r="AR633" s="313"/>
      <c r="AS633" s="305"/>
      <c r="AT633" s="305"/>
      <c r="AU633" s="306"/>
      <c r="AV633" s="314"/>
      <c r="AW633" s="300"/>
      <c r="AX633" s="299" t="e">
        <f>VLOOKUP(D633,#REF!,5,FALSE)</f>
        <v>#REF!</v>
      </c>
      <c r="AY633" s="315"/>
      <c r="AZ633" s="316" t="s">
        <v>1224</v>
      </c>
      <c r="BB633" t="str">
        <f>IFERROR(VLOOKUP(Tabela1[[#This Row],[Denominação]],[10]Planilha1!$A:$B,2,FALSE),"")</f>
        <v/>
      </c>
      <c r="BC633" s="219"/>
      <c r="BD633" s="219"/>
      <c r="BE633" s="219"/>
      <c r="BF633" s="219"/>
      <c r="BG633" s="219"/>
      <c r="BH633" s="219"/>
      <c r="BI633" s="219"/>
      <c r="BJ633" s="219"/>
      <c r="BK633" s="219"/>
      <c r="BL633" s="219"/>
    </row>
    <row r="634" spans="1:64" hidden="1" x14ac:dyDescent="0.3">
      <c r="A634" s="253">
        <v>633</v>
      </c>
      <c r="B634" s="300" t="s">
        <v>1879</v>
      </c>
      <c r="C634" s="301" t="s">
        <v>1748</v>
      </c>
      <c r="D634" s="300">
        <v>20004437</v>
      </c>
      <c r="E634" s="299" t="s">
        <v>1761</v>
      </c>
      <c r="F634" s="302">
        <v>4023</v>
      </c>
      <c r="G634" s="300">
        <v>59271</v>
      </c>
      <c r="H634" s="300">
        <v>2023</v>
      </c>
      <c r="I634" s="303">
        <v>293093.55</v>
      </c>
      <c r="J634" s="304">
        <v>286115</v>
      </c>
      <c r="K634" s="305"/>
      <c r="L634" s="306"/>
      <c r="M634" s="320">
        <v>4547</v>
      </c>
      <c r="N634" s="307"/>
      <c r="O634" s="308"/>
      <c r="P634" s="271" t="str">
        <f>IFERROR(VLOOKUP(Tabela1[[#This Row],[TAG]],#REF!,14,FALSE),"")</f>
        <v/>
      </c>
      <c r="Q634" s="311"/>
      <c r="R634" s="311"/>
      <c r="S634" s="311"/>
      <c r="T634" s="311"/>
      <c r="U634" s="311"/>
      <c r="V634" s="311"/>
      <c r="W634" s="304">
        <v>175.72</v>
      </c>
      <c r="X634" s="304">
        <v>90.01</v>
      </c>
      <c r="Y634" s="309"/>
      <c r="Z634" s="309">
        <f>IF(Tabela1[[#This Row],[Ano Aquisição]]=2023,0,IFERROR(VLOOKUP(H634,inflação!$F:$H,3,FALSE),""))</f>
        <v>0</v>
      </c>
      <c r="AA634" s="309"/>
      <c r="AB634" s="310"/>
      <c r="AC634" s="311"/>
      <c r="AD634" s="311"/>
      <c r="AE634" s="311"/>
      <c r="AF634" s="311"/>
      <c r="AG634" s="311"/>
      <c r="AH634" s="311"/>
      <c r="AI634" s="311"/>
      <c r="AJ634" s="312"/>
      <c r="AK634" s="311"/>
      <c r="AL634" s="311"/>
      <c r="AM634" s="311"/>
      <c r="AN634" s="311"/>
      <c r="AO634" s="311"/>
      <c r="AP634" s="311"/>
      <c r="AQ634" s="311"/>
      <c r="AR634" s="313"/>
      <c r="AS634" s="305"/>
      <c r="AT634" s="305"/>
      <c r="AU634" s="306"/>
      <c r="AV634" s="314"/>
      <c r="AW634" s="300"/>
      <c r="AX634" s="299" t="e">
        <f>VLOOKUP(D634,#REF!,5,FALSE)</f>
        <v>#REF!</v>
      </c>
      <c r="AY634" s="315"/>
      <c r="AZ634" s="316" t="s">
        <v>1224</v>
      </c>
      <c r="BB634" t="str">
        <f>IFERROR(VLOOKUP(Tabela1[[#This Row],[Denominação]],[10]Planilha1!$A:$B,2,FALSE),"")</f>
        <v/>
      </c>
      <c r="BC634" s="219"/>
      <c r="BD634" s="219"/>
      <c r="BE634" s="219"/>
      <c r="BF634" s="219"/>
      <c r="BG634" s="219"/>
      <c r="BH634" s="219"/>
      <c r="BI634" s="219"/>
      <c r="BJ634" s="219"/>
      <c r="BK634" s="219"/>
      <c r="BL634" s="219"/>
    </row>
    <row r="635" spans="1:64" hidden="1" x14ac:dyDescent="0.3">
      <c r="A635" s="268">
        <v>634</v>
      </c>
      <c r="B635" s="300" t="s">
        <v>1880</v>
      </c>
      <c r="C635" s="301" t="s">
        <v>1749</v>
      </c>
      <c r="D635" s="300">
        <v>20004438</v>
      </c>
      <c r="E635" s="299" t="s">
        <v>1761</v>
      </c>
      <c r="F635" s="302">
        <v>4023</v>
      </c>
      <c r="G635" s="300">
        <v>59322</v>
      </c>
      <c r="H635" s="300">
        <v>2023</v>
      </c>
      <c r="I635" s="303">
        <v>136089.28</v>
      </c>
      <c r="J635" s="304">
        <v>133658.09</v>
      </c>
      <c r="K635" s="305"/>
      <c r="L635" s="306"/>
      <c r="M635" s="320">
        <v>4547</v>
      </c>
      <c r="N635" s="307"/>
      <c r="O635" s="308"/>
      <c r="P635" s="271" t="str">
        <f>IFERROR(VLOOKUP(Tabela1[[#This Row],[TAG]],#REF!,14,FALSE),"")</f>
        <v/>
      </c>
      <c r="Q635" s="311"/>
      <c r="R635" s="311"/>
      <c r="S635" s="311"/>
      <c r="T635" s="311"/>
      <c r="U635" s="311"/>
      <c r="V635" s="311"/>
      <c r="W635" s="304" t="s">
        <v>1666</v>
      </c>
      <c r="X635" s="304" t="s">
        <v>1666</v>
      </c>
      <c r="Y635" s="309"/>
      <c r="Z635" s="309">
        <f>IF(Tabela1[[#This Row],[Ano Aquisição]]=2023,0,IFERROR(VLOOKUP(H635,inflação!$F:$H,3,FALSE),""))</f>
        <v>0</v>
      </c>
      <c r="AA635" s="309"/>
      <c r="AB635" s="310"/>
      <c r="AC635" s="311"/>
      <c r="AD635" s="311"/>
      <c r="AE635" s="311"/>
      <c r="AF635" s="311"/>
      <c r="AG635" s="311"/>
      <c r="AH635" s="311"/>
      <c r="AI635" s="311"/>
      <c r="AJ635" s="312"/>
      <c r="AK635" s="311"/>
      <c r="AL635" s="311"/>
      <c r="AM635" s="311"/>
      <c r="AN635" s="311"/>
      <c r="AO635" s="311"/>
      <c r="AP635" s="311"/>
      <c r="AQ635" s="311"/>
      <c r="AR635" s="313"/>
      <c r="AS635" s="305"/>
      <c r="AT635" s="305"/>
      <c r="AU635" s="306"/>
      <c r="AV635" s="314"/>
      <c r="AW635" s="300"/>
      <c r="AX635" s="299" t="e">
        <f>VLOOKUP(D635,#REF!,5,FALSE)</f>
        <v>#REF!</v>
      </c>
      <c r="AY635" s="315"/>
      <c r="AZ635" s="316" t="s">
        <v>1224</v>
      </c>
      <c r="BB635" t="str">
        <f>IFERROR(VLOOKUP(Tabela1[[#This Row],[Denominação]],[10]Planilha1!$A:$B,2,FALSE),"")</f>
        <v/>
      </c>
      <c r="BC635" s="219"/>
      <c r="BD635" s="219"/>
      <c r="BE635" s="219"/>
      <c r="BF635" s="219"/>
      <c r="BG635" s="219"/>
      <c r="BH635" s="219"/>
      <c r="BI635" s="219"/>
      <c r="BJ635" s="219"/>
      <c r="BK635" s="219"/>
      <c r="BL635" s="219"/>
    </row>
    <row r="636" spans="1:64" hidden="1" x14ac:dyDescent="0.3">
      <c r="A636" s="253">
        <v>635</v>
      </c>
      <c r="B636" s="300" t="s">
        <v>1881</v>
      </c>
      <c r="C636" s="301" t="s">
        <v>1750</v>
      </c>
      <c r="D636" s="300">
        <v>10006846</v>
      </c>
      <c r="E636" s="299" t="s">
        <v>1794</v>
      </c>
      <c r="F636" s="302">
        <v>4023</v>
      </c>
      <c r="G636" s="300">
        <v>59271</v>
      </c>
      <c r="H636" s="300">
        <v>2023</v>
      </c>
      <c r="I636" s="303">
        <v>136089.28</v>
      </c>
      <c r="J636" s="304">
        <v>133658.09</v>
      </c>
      <c r="K636" s="305">
        <v>0</v>
      </c>
      <c r="L636" s="306"/>
      <c r="M636" s="320">
        <v>4547</v>
      </c>
      <c r="N636" s="307"/>
      <c r="O636" s="308"/>
      <c r="P636" s="271" t="str">
        <f>IFERROR(VLOOKUP(Tabela1[[#This Row],[TAG]],#REF!,14,FALSE),"")</f>
        <v/>
      </c>
      <c r="Q636" s="311"/>
      <c r="R636" s="311"/>
      <c r="S636" s="311"/>
      <c r="T636" s="311"/>
      <c r="U636" s="311"/>
      <c r="V636" s="311"/>
      <c r="W636" s="304">
        <v>175.72</v>
      </c>
      <c r="X636" s="304">
        <v>90.01</v>
      </c>
      <c r="Y636" s="309"/>
      <c r="Z636" s="309">
        <f>IF(Tabela1[[#This Row],[Ano Aquisição]]=2023,0,IFERROR(VLOOKUP(H636,inflação!$F:$H,3,FALSE),""))</f>
        <v>0</v>
      </c>
      <c r="AA636" s="309"/>
      <c r="AB636" s="310"/>
      <c r="AC636" s="311"/>
      <c r="AD636" s="311"/>
      <c r="AE636" s="311"/>
      <c r="AF636" s="311"/>
      <c r="AG636" s="311"/>
      <c r="AH636" s="311"/>
      <c r="AI636" s="311"/>
      <c r="AJ636" s="312"/>
      <c r="AK636" s="311"/>
      <c r="AL636" s="311"/>
      <c r="AM636" s="311"/>
      <c r="AN636" s="311"/>
      <c r="AO636" s="311"/>
      <c r="AP636" s="311"/>
      <c r="AQ636" s="311"/>
      <c r="AR636" s="313"/>
      <c r="AS636" s="305"/>
      <c r="AT636" s="305"/>
      <c r="AU636" s="306"/>
      <c r="AV636" s="314"/>
      <c r="AW636" s="300"/>
      <c r="AX636" s="299" t="e">
        <f>VLOOKUP(D636,#REF!,5,FALSE)</f>
        <v>#REF!</v>
      </c>
      <c r="AY636" s="315"/>
      <c r="AZ636" s="316" t="s">
        <v>1224</v>
      </c>
      <c r="BB636">
        <f>IFERROR(VLOOKUP(Tabela1[[#This Row],[Denominação]],[10]Planilha1!$A:$B,2,FALSE),"")</f>
        <v>0</v>
      </c>
      <c r="BC636" s="219"/>
      <c r="BD636" s="219"/>
      <c r="BE636" s="219"/>
      <c r="BF636" s="219"/>
      <c r="BG636" s="219"/>
      <c r="BH636" s="219"/>
      <c r="BI636" s="219"/>
      <c r="BJ636" s="219"/>
      <c r="BK636" s="219"/>
      <c r="BL636" s="219"/>
    </row>
    <row r="637" spans="1:64" hidden="1" x14ac:dyDescent="0.3">
      <c r="A637" s="268">
        <v>636</v>
      </c>
      <c r="B637" s="300" t="s">
        <v>1882</v>
      </c>
      <c r="C637" s="301" t="s">
        <v>1751</v>
      </c>
      <c r="D637" s="300">
        <v>10006759</v>
      </c>
      <c r="E637" s="299" t="s">
        <v>1420</v>
      </c>
      <c r="F637" s="302">
        <v>4511</v>
      </c>
      <c r="G637" s="315">
        <v>56323</v>
      </c>
      <c r="H637" s="300">
        <v>2022</v>
      </c>
      <c r="I637" s="303">
        <v>319785.56</v>
      </c>
      <c r="J637" s="304">
        <v>290210</v>
      </c>
      <c r="K637" s="305">
        <v>5813.1399999999994</v>
      </c>
      <c r="L637" s="306">
        <v>0.8</v>
      </c>
      <c r="M637" s="307">
        <v>4486.0464000000002</v>
      </c>
      <c r="N637" s="307"/>
      <c r="O637" s="308"/>
      <c r="P637" s="271" t="str">
        <f>IFERROR(VLOOKUP(Tabela1[[#This Row],[TAG]],#REF!,14,FALSE),"")</f>
        <v/>
      </c>
      <c r="Q637" s="323" t="e">
        <f t="shared" ref="Q637" si="1217">P637+P637</f>
        <v>#VALUE!</v>
      </c>
      <c r="R637" s="323" t="e">
        <f t="shared" ref="R637" si="1218">Q637+P637</f>
        <v>#VALUE!</v>
      </c>
      <c r="S637" s="323" t="e">
        <f t="shared" ref="S637" si="1219">R637+P637</f>
        <v>#VALUE!</v>
      </c>
      <c r="T637" s="323" t="e">
        <f t="shared" ref="T637" si="1220">S637+P637</f>
        <v>#VALUE!</v>
      </c>
      <c r="U637" s="323" t="e">
        <f t="shared" ref="U637" si="1221">T637+P637</f>
        <v>#VALUE!</v>
      </c>
      <c r="V637" s="323" t="e">
        <f t="shared" ref="V637" si="1222">U637+P637</f>
        <v>#VALUE!</v>
      </c>
      <c r="W637" s="304">
        <v>1476.9</v>
      </c>
      <c r="X637" s="304">
        <v>3655.48</v>
      </c>
      <c r="Y637" s="322">
        <v>0.1</v>
      </c>
      <c r="Z637" s="309">
        <f>IF(Tabela1[[#This Row],[Ano Aquisição]]=2023,0,IFERROR(VLOOKUP(H637,inflação!$F:$H,3,FALSE),""))</f>
        <v>5.79E-2</v>
      </c>
      <c r="AA637" s="322">
        <v>0.8</v>
      </c>
      <c r="AB637" s="310">
        <f>I637*-1</f>
        <v>-319785.56</v>
      </c>
      <c r="AC637" s="323" t="e">
        <f t="shared" ref="AC637" si="1223">-(((P637*$W637)+($X637*12))*((1+$Y637)^AC$1))</f>
        <v>#VALUE!</v>
      </c>
      <c r="AD637" s="323" t="e">
        <f t="shared" ref="AD637" si="1224">-((((Q637-P637)*$W637)+($X637*12))*((1+$Y637)^AD$1))</f>
        <v>#VALUE!</v>
      </c>
      <c r="AE637" s="323" t="e">
        <f t="shared" ref="AE637" si="1225">-((((R637-Q637)*$W637)+($X637*12))*((1+$Y637)^AE$1))</f>
        <v>#VALUE!</v>
      </c>
      <c r="AF637" s="323" t="e">
        <f t="shared" ref="AF637" si="1226">-((((S637-R637)*$W637)+($X637*12))*((1+$Y637)^AF$1))</f>
        <v>#VALUE!</v>
      </c>
      <c r="AG637" s="323" t="e">
        <f t="shared" ref="AG637" si="1227">-((((T637-S637)*$W637)+($X637*12))*((1+$Y637)^AG$1))</f>
        <v>#VALUE!</v>
      </c>
      <c r="AH637" s="323" t="e">
        <f t="shared" ref="AH637" si="1228">-((((U637-T637)*$W637)+($X637*12))*((1+$Y637)^AH$1))</f>
        <v>#VALUE!</v>
      </c>
      <c r="AI637" s="323" t="e">
        <f t="shared" ref="AI637" si="1229">-((((V637-U637)*$W637)+($X637*12))*((1+$Y637)^AI$1))</f>
        <v>#VALUE!</v>
      </c>
      <c r="AJ637" s="324">
        <f>-(I637*(1+Z637))</f>
        <v>-338301.14392400003</v>
      </c>
      <c r="AK637" s="323" t="e">
        <f t="shared" ref="AK637" si="1230">AC637*(1-$AA637)</f>
        <v>#VALUE!</v>
      </c>
      <c r="AL637" s="323" t="e">
        <f t="shared" ref="AL637" si="1231">AD637*(1-$AA637)</f>
        <v>#VALUE!</v>
      </c>
      <c r="AM637" s="323" t="e">
        <f t="shared" ref="AM637" si="1232">AE637*(1-$AA637)</f>
        <v>#VALUE!</v>
      </c>
      <c r="AN637" s="323" t="e">
        <f t="shared" ref="AN637" si="1233">AF637*(1-$AA637)</f>
        <v>#VALUE!</v>
      </c>
      <c r="AO637" s="323" t="e">
        <f t="shared" ref="AO637" si="1234">AG637*(1-$AA637)</f>
        <v>#VALUE!</v>
      </c>
      <c r="AP637" s="323" t="e">
        <f t="shared" ref="AP637" si="1235">AH637*(1-$AA637)</f>
        <v>#VALUE!</v>
      </c>
      <c r="AQ637" s="323" t="e">
        <f t="shared" ref="AQ637" si="1236">AI637*(1-$AA637)</f>
        <v>#VALUE!</v>
      </c>
      <c r="AR637" s="325" t="e">
        <f>(NPV(Y637,AK637,AL637,AM637,AN637,AO637,AP637,AQ637)+(SUM(AJ637,(J637*-1))))-(NPV(Y637,AC637,AD637,AE637,AF637,AG637,AH637,AI637))</f>
        <v>#VALUE!</v>
      </c>
      <c r="AS637" s="326" t="e">
        <f t="shared" ref="AS637" si="1237">SUM(AC637:AI637)</f>
        <v>#VALUE!</v>
      </c>
      <c r="AT637" s="326" t="e">
        <f t="shared" ref="AT637" si="1238">SUM(AK637:AQ637)</f>
        <v>#VALUE!</v>
      </c>
      <c r="AU637" s="319" t="e">
        <f>(((AVERAGE(AC637:AI637)/1000)-(AVERAGE(AK637:AQ637)/1000))+(((AJ637/1000)*-1)/7)+((J637/1000)/7))*-1</f>
        <v>#VALUE!</v>
      </c>
      <c r="AV637" s="327" t="e">
        <f>AU637/(((J637/1000)+((AJ637*-1)/1000)))</f>
        <v>#VALUE!</v>
      </c>
      <c r="AW637" s="315" t="str">
        <f>IF(L637&gt;1.1,"Fase de Degradação",IF(L637&lt;1,"Confiabilidade em Crescimento","Fase de Vida Útil"))</f>
        <v>Confiabilidade em Crescimento</v>
      </c>
      <c r="AX637" s="299" t="e">
        <f>VLOOKUP(D637,#REF!,5,FALSE)</f>
        <v>#REF!</v>
      </c>
      <c r="AY637" s="315"/>
      <c r="AZ637" s="316" t="s">
        <v>1224</v>
      </c>
      <c r="BB637">
        <f>IFERROR(VLOOKUP(Tabela1[[#This Row],[Denominação]],[10]Planilha1!$A:$B,2,FALSE),"")</f>
        <v>5813.1399999999994</v>
      </c>
      <c r="BC637" s="219"/>
      <c r="BD637" s="219"/>
      <c r="BE637" s="219"/>
      <c r="BF637" s="219"/>
      <c r="BG637" s="219"/>
      <c r="BH637" s="219"/>
      <c r="BI637" s="219"/>
      <c r="BJ637" s="219"/>
      <c r="BK637" s="219"/>
      <c r="BL637" s="219"/>
    </row>
    <row r="638" spans="1:64" hidden="1" x14ac:dyDescent="0.3">
      <c r="A638" s="253">
        <v>637</v>
      </c>
      <c r="B638" s="255" t="s">
        <v>1883</v>
      </c>
      <c r="C638" s="256" t="s">
        <v>1752</v>
      </c>
      <c r="D638" s="255">
        <v>20004165</v>
      </c>
      <c r="E638" s="253" t="s">
        <v>1795</v>
      </c>
      <c r="F638" s="257">
        <v>620</v>
      </c>
      <c r="G638" s="255">
        <v>56216</v>
      </c>
      <c r="H638" s="255">
        <v>2020</v>
      </c>
      <c r="I638" s="258"/>
      <c r="J638" s="218"/>
      <c r="K638" s="265">
        <v>16616.77</v>
      </c>
      <c r="L638" s="259"/>
      <c r="M638" s="260"/>
      <c r="N638" s="260"/>
      <c r="O638" s="254"/>
      <c r="P638" s="271" t="str">
        <f>IFERROR(VLOOKUP(Tabela1[[#This Row],[TAG]],#REF!,14,FALSE),"")</f>
        <v/>
      </c>
      <c r="Q638" s="262"/>
      <c r="R638" s="262"/>
      <c r="S638" s="262"/>
      <c r="T638" s="262"/>
      <c r="U638" s="262"/>
      <c r="V638" s="262"/>
      <c r="W638" s="218"/>
      <c r="X638" s="218"/>
      <c r="Y638" s="261"/>
      <c r="Z638" s="261">
        <f>IF(Tabela1[[#This Row],[Ano Aquisição]]=2023,0,IFERROR(VLOOKUP(H638,inflação!$F:$H,3,FALSE),""))</f>
        <v>0.20369999999999999</v>
      </c>
      <c r="AA638" s="261"/>
      <c r="AB638" s="202"/>
      <c r="AC638" s="262"/>
      <c r="AD638" s="262"/>
      <c r="AE638" s="262"/>
      <c r="AF638" s="262"/>
      <c r="AG638" s="262"/>
      <c r="AH638" s="262"/>
      <c r="AI638" s="262"/>
      <c r="AJ638" s="263"/>
      <c r="AK638" s="262"/>
      <c r="AL638" s="262"/>
      <c r="AM638" s="262"/>
      <c r="AN638" s="262"/>
      <c r="AO638" s="262"/>
      <c r="AP638" s="262"/>
      <c r="AQ638" s="262"/>
      <c r="AR638" s="264"/>
      <c r="AS638" s="265"/>
      <c r="AT638" s="265"/>
      <c r="AU638" s="259"/>
      <c r="AV638" s="266"/>
      <c r="AW638" s="255"/>
      <c r="AX638" s="253" t="e">
        <f>VLOOKUP(D638,#REF!,5,FALSE)</f>
        <v>#REF!</v>
      </c>
      <c r="AY638" s="201"/>
      <c r="AZ638" s="273"/>
      <c r="BB638">
        <f>IFERROR(VLOOKUP(Tabela1[[#This Row],[Denominação]],[10]Planilha1!$A:$B,2,FALSE),"")</f>
        <v>16616.77</v>
      </c>
      <c r="BC638" s="219"/>
      <c r="BD638" s="219"/>
      <c r="BE638" s="219"/>
      <c r="BF638" s="219"/>
      <c r="BG638" s="219"/>
      <c r="BH638" s="219"/>
      <c r="BI638" s="219"/>
      <c r="BJ638" s="219"/>
      <c r="BK638" s="219"/>
      <c r="BL638" s="219"/>
    </row>
    <row r="639" spans="1:64" hidden="1" x14ac:dyDescent="0.3">
      <c r="A639" s="268">
        <v>638</v>
      </c>
      <c r="B639" s="255" t="s">
        <v>1884</v>
      </c>
      <c r="C639" s="256" t="s">
        <v>1753</v>
      </c>
      <c r="D639" s="255">
        <v>20004467</v>
      </c>
      <c r="E639" s="253" t="s">
        <v>1796</v>
      </c>
      <c r="F639" s="257">
        <v>681</v>
      </c>
      <c r="G639" s="255">
        <v>55857</v>
      </c>
      <c r="H639" s="255">
        <v>2020</v>
      </c>
      <c r="I639" s="258"/>
      <c r="J639" s="218"/>
      <c r="K639" s="265"/>
      <c r="L639" s="259"/>
      <c r="M639" s="260"/>
      <c r="N639" s="260"/>
      <c r="O639" s="254"/>
      <c r="P639" s="271" t="str">
        <f>IFERROR(VLOOKUP(Tabela1[[#This Row],[TAG]],#REF!,14,FALSE),"")</f>
        <v/>
      </c>
      <c r="Q639" s="262"/>
      <c r="R639" s="262"/>
      <c r="S639" s="262"/>
      <c r="T639" s="262"/>
      <c r="U639" s="262"/>
      <c r="V639" s="262"/>
      <c r="W639" s="218"/>
      <c r="X639" s="218"/>
      <c r="Y639" s="261"/>
      <c r="Z639" s="261">
        <f>IF(Tabela1[[#This Row],[Ano Aquisição]]=2023,0,IFERROR(VLOOKUP(H639,inflação!$F:$H,3,FALSE),""))</f>
        <v>0.20369999999999999</v>
      </c>
      <c r="AA639" s="261"/>
      <c r="AB639" s="202"/>
      <c r="AC639" s="262"/>
      <c r="AD639" s="262"/>
      <c r="AE639" s="262"/>
      <c r="AF639" s="262"/>
      <c r="AG639" s="262"/>
      <c r="AH639" s="262"/>
      <c r="AI639" s="262"/>
      <c r="AJ639" s="263"/>
      <c r="AK639" s="262"/>
      <c r="AL639" s="262"/>
      <c r="AM639" s="262"/>
      <c r="AN639" s="262"/>
      <c r="AO639" s="262"/>
      <c r="AP639" s="262"/>
      <c r="AQ639" s="262"/>
      <c r="AR639" s="264"/>
      <c r="AS639" s="265"/>
      <c r="AT639" s="265"/>
      <c r="AU639" s="259"/>
      <c r="AV639" s="266"/>
      <c r="AW639" s="255"/>
      <c r="AX639" s="253" t="e">
        <f>VLOOKUP(D639,#REF!,5,FALSE)</f>
        <v>#REF!</v>
      </c>
      <c r="AY639" s="201"/>
      <c r="AZ639" s="273"/>
      <c r="BB639" t="str">
        <f>IFERROR(VLOOKUP(Tabela1[[#This Row],[Denominação]],[10]Planilha1!$A:$B,2,FALSE),"")</f>
        <v/>
      </c>
      <c r="BC639" s="219"/>
      <c r="BD639" s="219"/>
      <c r="BE639" s="219"/>
      <c r="BF639" s="219"/>
      <c r="BG639" s="219"/>
      <c r="BH639" s="219"/>
      <c r="BI639" s="219"/>
      <c r="BJ639" s="219"/>
      <c r="BK639" s="219"/>
      <c r="BL639" s="219"/>
    </row>
    <row r="640" spans="1:64" hidden="1" x14ac:dyDescent="0.3">
      <c r="A640" s="253">
        <v>639</v>
      </c>
      <c r="B640" s="201" t="s">
        <v>1190</v>
      </c>
      <c r="C640" s="211" t="s">
        <v>1191</v>
      </c>
      <c r="D640" s="201">
        <v>10000597</v>
      </c>
      <c r="E640" s="253" t="s">
        <v>1549</v>
      </c>
      <c r="F640" s="253">
        <v>2522</v>
      </c>
      <c r="G640" s="201">
        <v>20284</v>
      </c>
      <c r="H640" s="201">
        <v>1997</v>
      </c>
      <c r="I640" s="216">
        <v>310288.15999999997</v>
      </c>
      <c r="J640" s="214">
        <v>40422</v>
      </c>
      <c r="K640" s="170">
        <v>650037.09999999974</v>
      </c>
      <c r="L640" s="215">
        <v>1.0900000000000001</v>
      </c>
      <c r="M640" s="307">
        <v>4795.2647999999999</v>
      </c>
      <c r="N640" s="212">
        <v>198345</v>
      </c>
      <c r="O640" s="171">
        <v>656</v>
      </c>
      <c r="P640" s="271" t="str">
        <f>IFERROR(VLOOKUP(Tabela1[[#This Row],[TAG]],#REF!,14,FALSE),"")</f>
        <v/>
      </c>
      <c r="Q640" s="204" t="e">
        <f>P640+P640</f>
        <v>#VALUE!</v>
      </c>
      <c r="R640" s="204" t="e">
        <f>Q640+P640</f>
        <v>#VALUE!</v>
      </c>
      <c r="S640" s="204" t="e">
        <f>R640+P640</f>
        <v>#VALUE!</v>
      </c>
      <c r="T640" s="204" t="e">
        <f>S640+P640</f>
        <v>#VALUE!</v>
      </c>
      <c r="U640" s="204" t="e">
        <f>T640+P640</f>
        <v>#VALUE!</v>
      </c>
      <c r="V640" s="204" t="e">
        <f>U640+P640</f>
        <v>#VALUE!</v>
      </c>
      <c r="W640" s="304">
        <v>579.09</v>
      </c>
      <c r="X640" s="304">
        <v>3829.45</v>
      </c>
      <c r="Y640" s="203">
        <v>0.1</v>
      </c>
      <c r="Z640" s="203">
        <f>IF(Tabela1[[#This Row],[Ano Aquisição]]=2023,0,IFERROR(VLOOKUP(H640,inflação!$F:$H,3,FALSE),""))</f>
        <v>1.6129</v>
      </c>
      <c r="AA640" s="203">
        <v>0.8</v>
      </c>
      <c r="AB640" s="202">
        <f t="shared" ref="AB640:AB675" si="1239">I640*-1</f>
        <v>-310288.15999999997</v>
      </c>
      <c r="AC640" s="204" t="e">
        <f>-(((P640*$W640)+($X640*12))*((1+$Y640)^AC$1))</f>
        <v>#VALUE!</v>
      </c>
      <c r="AD640" s="204" t="e">
        <f t="shared" ref="AD640:AI645" si="1240">-((((Q640-P640)*$W640)+($X640*12))*((1+$Y640)^AD$1))</f>
        <v>#VALUE!</v>
      </c>
      <c r="AE640" s="204" t="e">
        <f t="shared" si="1240"/>
        <v>#VALUE!</v>
      </c>
      <c r="AF640" s="204" t="e">
        <f t="shared" si="1240"/>
        <v>#VALUE!</v>
      </c>
      <c r="AG640" s="204" t="e">
        <f t="shared" si="1240"/>
        <v>#VALUE!</v>
      </c>
      <c r="AH640" s="204" t="e">
        <f t="shared" si="1240"/>
        <v>#VALUE!</v>
      </c>
      <c r="AI640" s="204" t="e">
        <f t="shared" si="1240"/>
        <v>#VALUE!</v>
      </c>
      <c r="AJ640" s="205">
        <f t="shared" ref="AJ640:AJ675" si="1241">-(I640*(1+Z640))</f>
        <v>-810751.93326399988</v>
      </c>
      <c r="AK640" s="204" t="e">
        <f t="shared" ref="AK640:AQ645" si="1242">AC640*(1-$AA640)</f>
        <v>#VALUE!</v>
      </c>
      <c r="AL640" s="204" t="e">
        <f t="shared" si="1242"/>
        <v>#VALUE!</v>
      </c>
      <c r="AM640" s="204" t="e">
        <f t="shared" si="1242"/>
        <v>#VALUE!</v>
      </c>
      <c r="AN640" s="204" t="e">
        <f t="shared" si="1242"/>
        <v>#VALUE!</v>
      </c>
      <c r="AO640" s="204" t="e">
        <f t="shared" si="1242"/>
        <v>#VALUE!</v>
      </c>
      <c r="AP640" s="204" t="e">
        <f t="shared" si="1242"/>
        <v>#VALUE!</v>
      </c>
      <c r="AQ640" s="204" t="e">
        <f t="shared" si="1242"/>
        <v>#VALUE!</v>
      </c>
      <c r="AR640" s="206" t="e">
        <f t="shared" ref="AR640:AR675" si="1243">(NPV(Y640,AK640,AL640,AM640,AN640,AO640,AP640,AQ640)+(SUM(AJ640,(J640*-1))))-(NPV(Y640,AC640,AD640,AE640,AF640,AG640,AH640,AI640))</f>
        <v>#VALUE!</v>
      </c>
      <c r="AS640" s="170" t="e">
        <f>SUM(AC640:AI640)</f>
        <v>#VALUE!</v>
      </c>
      <c r="AT640" s="170" t="e">
        <f>SUM(AK640:AQ640)</f>
        <v>#VALUE!</v>
      </c>
      <c r="AU640" s="207" t="e">
        <f t="shared" ref="AU640:AU675" si="1244">(((AVERAGE(AC640:AI640)/1000)-(AVERAGE(AK640:AQ640)/1000))+(((AJ640/1000)*-1)/7)+((J640/1000)/7))*-1</f>
        <v>#VALUE!</v>
      </c>
      <c r="AV640" s="208" t="e">
        <f t="shared" ref="AV640:AV675" si="1245">AU640/(((J640/1000)+((AJ640*-1)/1000)))</f>
        <v>#VALUE!</v>
      </c>
      <c r="AW640" s="201" t="str">
        <f t="shared" ref="AW640:AW675" si="1246">IF(L640&gt;1.1,"Fase de Degradação",IF(L640&lt;1,"Confiabilidade em Crescimento","Fase de Vida Útil"))</f>
        <v>Fase de Vida Útil</v>
      </c>
      <c r="AX640" s="253" t="e">
        <f>VLOOKUP(D640,#REF!,5,FALSE)</f>
        <v>#REF!</v>
      </c>
      <c r="AY640" s="201"/>
      <c r="AZ640" s="273" t="s">
        <v>1224</v>
      </c>
      <c r="BB640">
        <f>IFERROR(VLOOKUP(Tabela1[[#This Row],[Denominação]],[10]Planilha1!$A:$B,2,FALSE),"")</f>
        <v>650037.09999999974</v>
      </c>
      <c r="BC640" s="219"/>
      <c r="BD640" s="219"/>
      <c r="BE640" s="219"/>
      <c r="BF640" s="219"/>
      <c r="BG640" s="219"/>
      <c r="BH640" s="219"/>
      <c r="BI640" s="219"/>
      <c r="BJ640" s="219"/>
      <c r="BK640" s="219"/>
      <c r="BL640" s="219"/>
    </row>
    <row r="641" spans="1:64" hidden="1" x14ac:dyDescent="0.3">
      <c r="A641" s="268">
        <v>640</v>
      </c>
      <c r="B641" s="201" t="s">
        <v>1192</v>
      </c>
      <c r="C641" s="211" t="s">
        <v>1193</v>
      </c>
      <c r="D641" s="201">
        <v>10004227</v>
      </c>
      <c r="E641" s="253" t="s">
        <v>1550</v>
      </c>
      <c r="F641" s="253">
        <v>2538</v>
      </c>
      <c r="G641" s="201">
        <v>34294</v>
      </c>
      <c r="H641" s="201">
        <v>2006</v>
      </c>
      <c r="I641" s="216">
        <v>68324.23</v>
      </c>
      <c r="J641" s="214">
        <v>0</v>
      </c>
      <c r="K641" s="170">
        <v>25222.680000000011</v>
      </c>
      <c r="L641" s="215">
        <v>0.63</v>
      </c>
      <c r="M641" s="307">
        <v>4795.2647999999999</v>
      </c>
      <c r="N641" s="212">
        <v>149699</v>
      </c>
      <c r="O641" s="171">
        <v>39</v>
      </c>
      <c r="P641" s="271" t="str">
        <f>IFERROR(VLOOKUP(Tabela1[[#This Row],[TAG]],#REF!,14,FALSE),"")</f>
        <v/>
      </c>
      <c r="Q641" s="204" t="e">
        <f>P641+P641</f>
        <v>#VALUE!</v>
      </c>
      <c r="R641" s="204" t="e">
        <f>Q641+P641</f>
        <v>#VALUE!</v>
      </c>
      <c r="S641" s="204" t="e">
        <f>R641+P641</f>
        <v>#VALUE!</v>
      </c>
      <c r="T641" s="204" t="e">
        <f>S641+P641</f>
        <v>#VALUE!</v>
      </c>
      <c r="U641" s="204" t="e">
        <f>T641+P641</f>
        <v>#VALUE!</v>
      </c>
      <c r="V641" s="204" t="e">
        <f>U641+P641</f>
        <v>#VALUE!</v>
      </c>
      <c r="W641" s="304">
        <v>314.63</v>
      </c>
      <c r="X641" s="304">
        <v>450.14</v>
      </c>
      <c r="Y641" s="203">
        <v>0.1</v>
      </c>
      <c r="Z641" s="203">
        <f>IF(Tabela1[[#This Row],[Ano Aquisição]]=2023,0,IFERROR(VLOOKUP(H641,inflação!$F:$H,3,FALSE),""))</f>
        <v>0.96719999999999995</v>
      </c>
      <c r="AA641" s="203">
        <v>0.8</v>
      </c>
      <c r="AB641" s="202">
        <f t="shared" si="1239"/>
        <v>-68324.23</v>
      </c>
      <c r="AC641" s="204" t="e">
        <f>-(((P641*$W641)+($X641*12))*((1+$Y641)^AC$1))</f>
        <v>#VALUE!</v>
      </c>
      <c r="AD641" s="204" t="e">
        <f t="shared" si="1240"/>
        <v>#VALUE!</v>
      </c>
      <c r="AE641" s="204" t="e">
        <f t="shared" si="1240"/>
        <v>#VALUE!</v>
      </c>
      <c r="AF641" s="204" t="e">
        <f t="shared" si="1240"/>
        <v>#VALUE!</v>
      </c>
      <c r="AG641" s="204" t="e">
        <f t="shared" si="1240"/>
        <v>#VALUE!</v>
      </c>
      <c r="AH641" s="204" t="e">
        <f t="shared" si="1240"/>
        <v>#VALUE!</v>
      </c>
      <c r="AI641" s="204" t="e">
        <f t="shared" si="1240"/>
        <v>#VALUE!</v>
      </c>
      <c r="AJ641" s="205">
        <f t="shared" si="1241"/>
        <v>-134407.42525599999</v>
      </c>
      <c r="AK641" s="204" t="e">
        <f t="shared" si="1242"/>
        <v>#VALUE!</v>
      </c>
      <c r="AL641" s="204" t="e">
        <f t="shared" si="1242"/>
        <v>#VALUE!</v>
      </c>
      <c r="AM641" s="204" t="e">
        <f t="shared" si="1242"/>
        <v>#VALUE!</v>
      </c>
      <c r="AN641" s="204" t="e">
        <f t="shared" si="1242"/>
        <v>#VALUE!</v>
      </c>
      <c r="AO641" s="204" t="e">
        <f t="shared" si="1242"/>
        <v>#VALUE!</v>
      </c>
      <c r="AP641" s="204" t="e">
        <f t="shared" si="1242"/>
        <v>#VALUE!</v>
      </c>
      <c r="AQ641" s="204" t="e">
        <f t="shared" si="1242"/>
        <v>#VALUE!</v>
      </c>
      <c r="AR641" s="206" t="e">
        <f t="shared" si="1243"/>
        <v>#VALUE!</v>
      </c>
      <c r="AS641" s="170" t="e">
        <f>SUM(AC641:AI641)</f>
        <v>#VALUE!</v>
      </c>
      <c r="AT641" s="170" t="e">
        <f>SUM(AK641:AQ641)</f>
        <v>#VALUE!</v>
      </c>
      <c r="AU641" s="207" t="e">
        <f t="shared" si="1244"/>
        <v>#VALUE!</v>
      </c>
      <c r="AV641" s="208" t="e">
        <f t="shared" si="1245"/>
        <v>#VALUE!</v>
      </c>
      <c r="AW641" s="201" t="str">
        <f t="shared" si="1246"/>
        <v>Confiabilidade em Crescimento</v>
      </c>
      <c r="AX641" s="253" t="e">
        <f>VLOOKUP(D641,#REF!,5,FALSE)</f>
        <v>#REF!</v>
      </c>
      <c r="AY641" s="201"/>
      <c r="AZ641" s="273" t="s">
        <v>1224</v>
      </c>
      <c r="BB641">
        <f>IFERROR(VLOOKUP(Tabela1[[#This Row],[Denominação]],[10]Planilha1!$A:$B,2,FALSE),"")</f>
        <v>25222.680000000011</v>
      </c>
      <c r="BC641" s="219"/>
      <c r="BD641" s="219"/>
      <c r="BE641" s="219"/>
      <c r="BF641" s="219"/>
      <c r="BG641" s="219"/>
      <c r="BH641" s="219"/>
      <c r="BI641" s="219"/>
      <c r="BJ641" s="219"/>
      <c r="BK641" s="219"/>
      <c r="BL641" s="219"/>
    </row>
    <row r="642" spans="1:64" hidden="1" x14ac:dyDescent="0.3">
      <c r="A642" s="253">
        <v>641</v>
      </c>
      <c r="B642" s="201" t="s">
        <v>1194</v>
      </c>
      <c r="C642" s="256" t="s">
        <v>1195</v>
      </c>
      <c r="D642" s="201">
        <v>10005133</v>
      </c>
      <c r="E642" s="253" t="s">
        <v>1551</v>
      </c>
      <c r="F642" s="253">
        <v>3121</v>
      </c>
      <c r="G642" s="201">
        <v>34908</v>
      </c>
      <c r="H642" s="201">
        <v>2007</v>
      </c>
      <c r="I642" s="216">
        <v>487660.57</v>
      </c>
      <c r="J642" s="214">
        <v>0</v>
      </c>
      <c r="K642" s="170">
        <v>459307.39999999932</v>
      </c>
      <c r="L642" s="207">
        <v>0.77</v>
      </c>
      <c r="M642" s="212">
        <v>4415</v>
      </c>
      <c r="N642" s="212">
        <v>133562</v>
      </c>
      <c r="O642" s="171">
        <v>584</v>
      </c>
      <c r="P642" s="271" t="str">
        <f>IFERROR(VLOOKUP(Tabela1[[#This Row],[TAG]],#REF!,14,FALSE),"")</f>
        <v/>
      </c>
      <c r="Q642" s="204" t="e">
        <f>P642+P642</f>
        <v>#VALUE!</v>
      </c>
      <c r="R642" s="204" t="e">
        <f>Q642+P642</f>
        <v>#VALUE!</v>
      </c>
      <c r="S642" s="204" t="e">
        <f>R642+P642</f>
        <v>#VALUE!</v>
      </c>
      <c r="T642" s="204" t="e">
        <f>S642+P642</f>
        <v>#VALUE!</v>
      </c>
      <c r="U642" s="204" t="e">
        <f>T642+P642</f>
        <v>#VALUE!</v>
      </c>
      <c r="V642" s="204" t="e">
        <f>U642+P642</f>
        <v>#VALUE!</v>
      </c>
      <c r="W642" s="218">
        <v>617.53</v>
      </c>
      <c r="X642" s="218">
        <v>1829.89</v>
      </c>
      <c r="Y642" s="203">
        <v>0.1</v>
      </c>
      <c r="Z642" s="203">
        <f>IF(Tabela1[[#This Row],[Ano Aquisição]]=2023,0,IFERROR(VLOOKUP(H642,inflação!$F:$H,3,FALSE),""))</f>
        <v>0.93579999999999997</v>
      </c>
      <c r="AA642" s="203">
        <v>0.8</v>
      </c>
      <c r="AB642" s="202">
        <f t="shared" si="1239"/>
        <v>-487660.57</v>
      </c>
      <c r="AC642" s="204" t="e">
        <f>-(((P642*$W642)+($X642*12))*((1+$Y642)^AC$1))</f>
        <v>#VALUE!</v>
      </c>
      <c r="AD642" s="204" t="e">
        <f t="shared" si="1240"/>
        <v>#VALUE!</v>
      </c>
      <c r="AE642" s="204" t="e">
        <f t="shared" si="1240"/>
        <v>#VALUE!</v>
      </c>
      <c r="AF642" s="204" t="e">
        <f t="shared" si="1240"/>
        <v>#VALUE!</v>
      </c>
      <c r="AG642" s="204" t="e">
        <f t="shared" si="1240"/>
        <v>#VALUE!</v>
      </c>
      <c r="AH642" s="204" t="e">
        <f t="shared" si="1240"/>
        <v>#VALUE!</v>
      </c>
      <c r="AI642" s="204" t="e">
        <f t="shared" si="1240"/>
        <v>#VALUE!</v>
      </c>
      <c r="AJ642" s="205">
        <f t="shared" si="1241"/>
        <v>-944013.33140599995</v>
      </c>
      <c r="AK642" s="204" t="e">
        <f t="shared" si="1242"/>
        <v>#VALUE!</v>
      </c>
      <c r="AL642" s="204" t="e">
        <f t="shared" si="1242"/>
        <v>#VALUE!</v>
      </c>
      <c r="AM642" s="204" t="e">
        <f t="shared" si="1242"/>
        <v>#VALUE!</v>
      </c>
      <c r="AN642" s="204" t="e">
        <f t="shared" si="1242"/>
        <v>#VALUE!</v>
      </c>
      <c r="AO642" s="204" t="e">
        <f t="shared" si="1242"/>
        <v>#VALUE!</v>
      </c>
      <c r="AP642" s="204" t="e">
        <f t="shared" si="1242"/>
        <v>#VALUE!</v>
      </c>
      <c r="AQ642" s="204" t="e">
        <f t="shared" si="1242"/>
        <v>#VALUE!</v>
      </c>
      <c r="AR642" s="206" t="e">
        <f t="shared" si="1243"/>
        <v>#VALUE!</v>
      </c>
      <c r="AS642" s="170" t="e">
        <f>SUM(AC642:AI642)</f>
        <v>#VALUE!</v>
      </c>
      <c r="AT642" s="170" t="e">
        <f>SUM(AK642:AQ642)</f>
        <v>#VALUE!</v>
      </c>
      <c r="AU642" s="207" t="e">
        <f t="shared" si="1244"/>
        <v>#VALUE!</v>
      </c>
      <c r="AV642" s="208" t="e">
        <f t="shared" si="1245"/>
        <v>#VALUE!</v>
      </c>
      <c r="AW642" s="201" t="str">
        <f t="shared" si="1246"/>
        <v>Confiabilidade em Crescimento</v>
      </c>
      <c r="AX642" s="253" t="e">
        <f>VLOOKUP(D642,#REF!,5,FALSE)</f>
        <v>#REF!</v>
      </c>
      <c r="AY642" s="201"/>
      <c r="AZ642" s="273" t="s">
        <v>1224</v>
      </c>
      <c r="BB642">
        <f>IFERROR(VLOOKUP(Tabela1[[#This Row],[Denominação]],[10]Planilha1!$A:$B,2,FALSE),"")</f>
        <v>459307.39999999932</v>
      </c>
      <c r="BC642" s="219"/>
      <c r="BD642" s="219"/>
      <c r="BE642" s="219"/>
      <c r="BF642" s="219"/>
      <c r="BG642" s="219"/>
      <c r="BH642" s="219"/>
      <c r="BI642" s="219"/>
      <c r="BJ642" s="219"/>
      <c r="BK642" s="219"/>
      <c r="BL642" s="219"/>
    </row>
    <row r="643" spans="1:64" hidden="1" x14ac:dyDescent="0.3">
      <c r="A643" s="268">
        <v>642</v>
      </c>
      <c r="B643" s="171" t="s">
        <v>586</v>
      </c>
      <c r="C643" s="267" t="s">
        <v>587</v>
      </c>
      <c r="D643" s="171">
        <v>10005519</v>
      </c>
      <c r="E643" s="253" t="s">
        <v>1552</v>
      </c>
      <c r="F643" s="210">
        <v>3121</v>
      </c>
      <c r="G643" s="171">
        <v>35651</v>
      </c>
      <c r="H643" s="171">
        <v>2008</v>
      </c>
      <c r="I643" s="213">
        <v>453118.26</v>
      </c>
      <c r="J643" s="214">
        <v>0</v>
      </c>
      <c r="K643" s="170">
        <v>527723.91000000027</v>
      </c>
      <c r="L643" s="207">
        <v>1.05</v>
      </c>
      <c r="M643" s="212">
        <v>3852</v>
      </c>
      <c r="N643" s="212">
        <v>121513</v>
      </c>
      <c r="O643" s="171">
        <v>652</v>
      </c>
      <c r="P643" s="271" t="str">
        <f>IFERROR(VLOOKUP(Tabela1[[#This Row],[TAG]],#REF!,14,FALSE),"")</f>
        <v/>
      </c>
      <c r="Q643" s="204" t="e">
        <f>P643+P643</f>
        <v>#VALUE!</v>
      </c>
      <c r="R643" s="204" t="e">
        <f>Q643+P643</f>
        <v>#VALUE!</v>
      </c>
      <c r="S643" s="204" t="e">
        <f>R643+P643</f>
        <v>#VALUE!</v>
      </c>
      <c r="T643" s="204" t="e">
        <f>S643+P643</f>
        <v>#VALUE!</v>
      </c>
      <c r="U643" s="204" t="e">
        <f>T643+P643</f>
        <v>#VALUE!</v>
      </c>
      <c r="V643" s="204" t="e">
        <f>U643+P643</f>
        <v>#VALUE!</v>
      </c>
      <c r="W643" s="218">
        <v>581.77</v>
      </c>
      <c r="X643" s="218">
        <v>1981.08</v>
      </c>
      <c r="Y643" s="203">
        <v>0.1</v>
      </c>
      <c r="Z643" s="203">
        <f>IF(Tabela1[[#This Row],[Ano Aquisição]]=2023,0,IFERROR(VLOOKUP(H643,inflação!$F:$H,3,FALSE),""))</f>
        <v>0.89119999999999999</v>
      </c>
      <c r="AA643" s="203">
        <v>0.8</v>
      </c>
      <c r="AB643" s="202">
        <f t="shared" si="1239"/>
        <v>-453118.26</v>
      </c>
      <c r="AC643" s="204" t="e">
        <f>-(((P643*$W643)+($X643*12))*((1+$Y643)^AC$1))</f>
        <v>#VALUE!</v>
      </c>
      <c r="AD643" s="204" t="e">
        <f t="shared" si="1240"/>
        <v>#VALUE!</v>
      </c>
      <c r="AE643" s="204" t="e">
        <f t="shared" si="1240"/>
        <v>#VALUE!</v>
      </c>
      <c r="AF643" s="204" t="e">
        <f t="shared" si="1240"/>
        <v>#VALUE!</v>
      </c>
      <c r="AG643" s="204" t="e">
        <f t="shared" si="1240"/>
        <v>#VALUE!</v>
      </c>
      <c r="AH643" s="204" t="e">
        <f t="shared" si="1240"/>
        <v>#VALUE!</v>
      </c>
      <c r="AI643" s="204" t="e">
        <f t="shared" si="1240"/>
        <v>#VALUE!</v>
      </c>
      <c r="AJ643" s="205">
        <f t="shared" si="1241"/>
        <v>-856937.25331199996</v>
      </c>
      <c r="AK643" s="204" t="e">
        <f t="shared" si="1242"/>
        <v>#VALUE!</v>
      </c>
      <c r="AL643" s="204" t="e">
        <f t="shared" si="1242"/>
        <v>#VALUE!</v>
      </c>
      <c r="AM643" s="204" t="e">
        <f t="shared" si="1242"/>
        <v>#VALUE!</v>
      </c>
      <c r="AN643" s="204" t="e">
        <f t="shared" si="1242"/>
        <v>#VALUE!</v>
      </c>
      <c r="AO643" s="204" t="e">
        <f t="shared" si="1242"/>
        <v>#VALUE!</v>
      </c>
      <c r="AP643" s="204" t="e">
        <f t="shared" si="1242"/>
        <v>#VALUE!</v>
      </c>
      <c r="AQ643" s="204" t="e">
        <f t="shared" si="1242"/>
        <v>#VALUE!</v>
      </c>
      <c r="AR643" s="206" t="e">
        <f t="shared" si="1243"/>
        <v>#VALUE!</v>
      </c>
      <c r="AS643" s="170" t="e">
        <f>SUM(AC643:AI643)</f>
        <v>#VALUE!</v>
      </c>
      <c r="AT643" s="170" t="e">
        <f>SUM(AK643:AQ643)</f>
        <v>#VALUE!</v>
      </c>
      <c r="AU643" s="207" t="e">
        <f t="shared" si="1244"/>
        <v>#VALUE!</v>
      </c>
      <c r="AV643" s="208" t="e">
        <f t="shared" si="1245"/>
        <v>#VALUE!</v>
      </c>
      <c r="AW643" s="201" t="str">
        <f t="shared" si="1246"/>
        <v>Fase de Vida Útil</v>
      </c>
      <c r="AX643" s="253" t="e">
        <f>VLOOKUP(D643,#REF!,5,FALSE)</f>
        <v>#REF!</v>
      </c>
      <c r="AY643" s="201"/>
      <c r="AZ643" s="273" t="s">
        <v>1224</v>
      </c>
      <c r="BB643">
        <f>IFERROR(VLOOKUP(Tabela1[[#This Row],[Denominação]],[10]Planilha1!$A:$B,2,FALSE),"")</f>
        <v>527723.91000000027</v>
      </c>
      <c r="BC643" s="219"/>
      <c r="BD643" s="219"/>
      <c r="BE643" s="219"/>
      <c r="BF643" s="219"/>
      <c r="BG643" s="219"/>
      <c r="BH643" s="219"/>
      <c r="BI643" s="219"/>
      <c r="BJ643" s="219"/>
      <c r="BK643" s="219"/>
      <c r="BL643" s="219"/>
    </row>
    <row r="644" spans="1:64" hidden="1" x14ac:dyDescent="0.3">
      <c r="A644" s="253">
        <v>643</v>
      </c>
      <c r="B644" s="201" t="s">
        <v>1196</v>
      </c>
      <c r="C644" s="256" t="s">
        <v>1197</v>
      </c>
      <c r="D644" s="201">
        <v>10006603</v>
      </c>
      <c r="E644" s="253" t="s">
        <v>1553</v>
      </c>
      <c r="F644" s="253">
        <v>3121</v>
      </c>
      <c r="G644" s="201">
        <v>51244</v>
      </c>
      <c r="H644" s="201">
        <v>2019</v>
      </c>
      <c r="I644" s="216">
        <v>563502</v>
      </c>
      <c r="J644" s="214">
        <v>369886</v>
      </c>
      <c r="K644" s="170">
        <v>204035.57</v>
      </c>
      <c r="L644" s="207">
        <v>1.35</v>
      </c>
      <c r="M644" s="212">
        <v>4286</v>
      </c>
      <c r="N644" s="212">
        <v>33678</v>
      </c>
      <c r="O644" s="171">
        <v>124</v>
      </c>
      <c r="P644" s="271" t="str">
        <f>IFERROR(VLOOKUP(Tabela1[[#This Row],[TAG]],#REF!,14,FALSE),"")</f>
        <v/>
      </c>
      <c r="Q644" s="204" t="e">
        <f>P644+P644</f>
        <v>#VALUE!</v>
      </c>
      <c r="R644" s="204" t="e">
        <f>Q644+P644</f>
        <v>#VALUE!</v>
      </c>
      <c r="S644" s="204" t="e">
        <f>R644+P644</f>
        <v>#VALUE!</v>
      </c>
      <c r="T644" s="204" t="e">
        <f>S644+P644</f>
        <v>#VALUE!</v>
      </c>
      <c r="U644" s="204" t="e">
        <f>T644+P644</f>
        <v>#VALUE!</v>
      </c>
      <c r="V644" s="204" t="e">
        <f>U644+P644</f>
        <v>#VALUE!</v>
      </c>
      <c r="W644" s="218">
        <v>795.54</v>
      </c>
      <c r="X644" s="218">
        <v>2928.96</v>
      </c>
      <c r="Y644" s="203">
        <v>0.1</v>
      </c>
      <c r="Z644" s="203">
        <f>IF(Tabela1[[#This Row],[Ano Aquisição]]=2023,0,IFERROR(VLOOKUP(H644,inflação!$F:$H,3,FALSE),""))</f>
        <v>0.24679999999999999</v>
      </c>
      <c r="AA644" s="203">
        <v>0.8</v>
      </c>
      <c r="AB644" s="202">
        <f t="shared" si="1239"/>
        <v>-563502</v>
      </c>
      <c r="AC644" s="204" t="e">
        <f>-(((P644*$W644)+($X644*12))*((1+$Y644)^AC$1))</f>
        <v>#VALUE!</v>
      </c>
      <c r="AD644" s="204" t="e">
        <f t="shared" si="1240"/>
        <v>#VALUE!</v>
      </c>
      <c r="AE644" s="204" t="e">
        <f t="shared" si="1240"/>
        <v>#VALUE!</v>
      </c>
      <c r="AF644" s="204" t="e">
        <f t="shared" si="1240"/>
        <v>#VALUE!</v>
      </c>
      <c r="AG644" s="204" t="e">
        <f t="shared" si="1240"/>
        <v>#VALUE!</v>
      </c>
      <c r="AH644" s="204" t="e">
        <f t="shared" si="1240"/>
        <v>#VALUE!</v>
      </c>
      <c r="AI644" s="204" t="e">
        <f t="shared" si="1240"/>
        <v>#VALUE!</v>
      </c>
      <c r="AJ644" s="205">
        <f t="shared" si="1241"/>
        <v>-702574.29359999998</v>
      </c>
      <c r="AK644" s="204" t="e">
        <f t="shared" si="1242"/>
        <v>#VALUE!</v>
      </c>
      <c r="AL644" s="204" t="e">
        <f t="shared" si="1242"/>
        <v>#VALUE!</v>
      </c>
      <c r="AM644" s="204" t="e">
        <f t="shared" si="1242"/>
        <v>#VALUE!</v>
      </c>
      <c r="AN644" s="204" t="e">
        <f t="shared" si="1242"/>
        <v>#VALUE!</v>
      </c>
      <c r="AO644" s="204" t="e">
        <f t="shared" si="1242"/>
        <v>#VALUE!</v>
      </c>
      <c r="AP644" s="204" t="e">
        <f t="shared" si="1242"/>
        <v>#VALUE!</v>
      </c>
      <c r="AQ644" s="204" t="e">
        <f t="shared" si="1242"/>
        <v>#VALUE!</v>
      </c>
      <c r="AR644" s="206" t="e">
        <f t="shared" si="1243"/>
        <v>#VALUE!</v>
      </c>
      <c r="AS644" s="170" t="e">
        <f>SUM(AC644:AI644)</f>
        <v>#VALUE!</v>
      </c>
      <c r="AT644" s="170" t="e">
        <f>SUM(AK644:AQ644)</f>
        <v>#VALUE!</v>
      </c>
      <c r="AU644" s="207" t="e">
        <f t="shared" si="1244"/>
        <v>#VALUE!</v>
      </c>
      <c r="AV644" s="208" t="e">
        <f t="shared" si="1245"/>
        <v>#VALUE!</v>
      </c>
      <c r="AW644" s="201" t="str">
        <f t="shared" si="1246"/>
        <v>Fase de Degradação</v>
      </c>
      <c r="AX644" s="253" t="e">
        <f>VLOOKUP(D644,#REF!,5,FALSE)</f>
        <v>#REF!</v>
      </c>
      <c r="AY644" s="201"/>
      <c r="AZ644" s="273" t="s">
        <v>1224</v>
      </c>
      <c r="BB644">
        <f>IFERROR(VLOOKUP(Tabela1[[#This Row],[Denominação]],[10]Planilha1!$A:$B,2,FALSE),"")</f>
        <v>204035.57</v>
      </c>
      <c r="BC644" s="219"/>
      <c r="BD644" s="219"/>
      <c r="BE644" s="219"/>
      <c r="BF644" s="219"/>
      <c r="BG644" s="219"/>
      <c r="BH644" s="219"/>
      <c r="BI644" s="219"/>
      <c r="BJ644" s="219"/>
      <c r="BK644" s="219"/>
      <c r="BL644" s="219"/>
    </row>
    <row r="645" spans="1:64" hidden="1" x14ac:dyDescent="0.3">
      <c r="A645" s="268">
        <v>644</v>
      </c>
      <c r="B645" s="300" t="s">
        <v>1885</v>
      </c>
      <c r="C645" s="301" t="s">
        <v>1198</v>
      </c>
      <c r="D645" s="315">
        <v>10006807</v>
      </c>
      <c r="E645" s="299" t="s">
        <v>1554</v>
      </c>
      <c r="F645" s="253">
        <v>3129</v>
      </c>
      <c r="G645" s="201">
        <v>58011</v>
      </c>
      <c r="H645" s="201">
        <v>2022</v>
      </c>
      <c r="I645" s="216">
        <v>1851219.2</v>
      </c>
      <c r="J645" s="214">
        <v>1779226</v>
      </c>
      <c r="K645" s="170">
        <v>3490.4100000000003</v>
      </c>
      <c r="L645" s="319">
        <v>0.8</v>
      </c>
      <c r="M645" s="320">
        <v>4184</v>
      </c>
      <c r="N645" s="320">
        <v>10080</v>
      </c>
      <c r="O645" s="321">
        <v>3</v>
      </c>
      <c r="P645" s="271" t="str">
        <f>IFERROR(VLOOKUP(Tabela1[[#This Row],[TAG]],#REF!,14,FALSE),"")</f>
        <v/>
      </c>
      <c r="Q645" s="323" t="e">
        <f t="shared" ref="Q645" si="1247">P645+P645</f>
        <v>#VALUE!</v>
      </c>
      <c r="R645" s="323" t="e">
        <f t="shared" ref="R645" si="1248">Q645+P645</f>
        <v>#VALUE!</v>
      </c>
      <c r="S645" s="323" t="e">
        <f t="shared" ref="S645" si="1249">R645+P645</f>
        <v>#VALUE!</v>
      </c>
      <c r="T645" s="323" t="e">
        <f t="shared" ref="T645" si="1250">S645+P645</f>
        <v>#VALUE!</v>
      </c>
      <c r="U645" s="323" t="e">
        <f t="shared" ref="U645" si="1251">T645+P645</f>
        <v>#VALUE!</v>
      </c>
      <c r="V645" s="323" t="e">
        <f t="shared" ref="V645" si="1252">U645+P645</f>
        <v>#VALUE!</v>
      </c>
      <c r="W645" s="304">
        <v>612.97</v>
      </c>
      <c r="X645" s="304">
        <v>3076.93</v>
      </c>
      <c r="Y645" s="322">
        <v>0.1</v>
      </c>
      <c r="Z645" s="322">
        <f>IF(Tabela1[[#This Row],[Ano Aquisição]]=2023,0,IFERROR(VLOOKUP(H645,inflação!$F:$H,3,FALSE),""))</f>
        <v>5.79E-2</v>
      </c>
      <c r="AA645" s="322">
        <v>0.8</v>
      </c>
      <c r="AB645" s="310">
        <f t="shared" si="1239"/>
        <v>-1851219.2</v>
      </c>
      <c r="AC645" s="323" t="e">
        <f t="shared" ref="AC645" si="1253">-(((P645*$W645)+($X645*12))*((1+$Y645)^AC$1))</f>
        <v>#VALUE!</v>
      </c>
      <c r="AD645" s="323" t="e">
        <f t="shared" si="1240"/>
        <v>#VALUE!</v>
      </c>
      <c r="AE645" s="323" t="e">
        <f t="shared" si="1240"/>
        <v>#VALUE!</v>
      </c>
      <c r="AF645" s="323" t="e">
        <f t="shared" si="1240"/>
        <v>#VALUE!</v>
      </c>
      <c r="AG645" s="323" t="e">
        <f t="shared" si="1240"/>
        <v>#VALUE!</v>
      </c>
      <c r="AH645" s="323" t="e">
        <f t="shared" si="1240"/>
        <v>#VALUE!</v>
      </c>
      <c r="AI645" s="323" t="e">
        <f t="shared" si="1240"/>
        <v>#VALUE!</v>
      </c>
      <c r="AJ645" s="324">
        <f t="shared" si="1241"/>
        <v>-1958404.79168</v>
      </c>
      <c r="AK645" s="323" t="e">
        <f t="shared" si="1242"/>
        <v>#VALUE!</v>
      </c>
      <c r="AL645" s="323" t="e">
        <f t="shared" si="1242"/>
        <v>#VALUE!</v>
      </c>
      <c r="AM645" s="323" t="e">
        <f t="shared" si="1242"/>
        <v>#VALUE!</v>
      </c>
      <c r="AN645" s="323" t="e">
        <f t="shared" si="1242"/>
        <v>#VALUE!</v>
      </c>
      <c r="AO645" s="323" t="e">
        <f t="shared" si="1242"/>
        <v>#VALUE!</v>
      </c>
      <c r="AP645" s="323" t="e">
        <f t="shared" si="1242"/>
        <v>#VALUE!</v>
      </c>
      <c r="AQ645" s="323" t="e">
        <f t="shared" si="1242"/>
        <v>#VALUE!</v>
      </c>
      <c r="AR645" s="325" t="e">
        <f t="shared" si="1243"/>
        <v>#VALUE!</v>
      </c>
      <c r="AS645" s="326" t="e">
        <f t="shared" ref="AS645" si="1254">SUM(AC645:AI645)</f>
        <v>#VALUE!</v>
      </c>
      <c r="AT645" s="326" t="e">
        <f t="shared" ref="AT645" si="1255">SUM(AK645:AQ645)</f>
        <v>#VALUE!</v>
      </c>
      <c r="AU645" s="319" t="e">
        <f t="shared" si="1244"/>
        <v>#VALUE!</v>
      </c>
      <c r="AV645" s="327" t="e">
        <f t="shared" si="1245"/>
        <v>#VALUE!</v>
      </c>
      <c r="AW645" s="315" t="str">
        <f t="shared" si="1246"/>
        <v>Confiabilidade em Crescimento</v>
      </c>
      <c r="AX645" s="299" t="e">
        <f>VLOOKUP(D645,#REF!,5,FALSE)</f>
        <v>#REF!</v>
      </c>
      <c r="AY645" s="315"/>
      <c r="AZ645" s="316" t="s">
        <v>1224</v>
      </c>
      <c r="BB645">
        <f>IFERROR(VLOOKUP(Tabela1[[#This Row],[Denominação]],[10]Planilha1!$A:$B,2,FALSE),"")</f>
        <v>3490.4100000000003</v>
      </c>
      <c r="BC645" s="219"/>
      <c r="BD645" s="219"/>
      <c r="BE645" s="219"/>
      <c r="BF645" s="219"/>
      <c r="BG645" s="219"/>
      <c r="BH645" s="219"/>
      <c r="BI645" s="219"/>
      <c r="BJ645" s="219"/>
      <c r="BK645" s="219"/>
      <c r="BL645" s="219"/>
    </row>
    <row r="646" spans="1:64" hidden="1" x14ac:dyDescent="0.3">
      <c r="A646" s="253">
        <v>645</v>
      </c>
      <c r="B646" s="201" t="s">
        <v>853</v>
      </c>
      <c r="C646" s="211" t="s">
        <v>854</v>
      </c>
      <c r="D646" s="201">
        <v>10004430</v>
      </c>
      <c r="E646" s="253" t="s">
        <v>1555</v>
      </c>
      <c r="F646" s="253">
        <v>4712</v>
      </c>
      <c r="G646" s="201">
        <v>34066</v>
      </c>
      <c r="H646" s="201">
        <v>2005</v>
      </c>
      <c r="I646" s="216">
        <v>481984.92</v>
      </c>
      <c r="J646" s="214">
        <v>0</v>
      </c>
      <c r="K646" s="170">
        <v>728741.29999999842</v>
      </c>
      <c r="L646" s="215">
        <v>0.69</v>
      </c>
      <c r="M646" s="212">
        <v>4846</v>
      </c>
      <c r="N646" s="212">
        <v>150343</v>
      </c>
      <c r="O646" s="171">
        <v>1271</v>
      </c>
      <c r="P646" s="271" t="str">
        <f>IFERROR(VLOOKUP(Tabela1[[#This Row],[TAG]],#REF!,14,FALSE),"")</f>
        <v/>
      </c>
      <c r="Q646" s="204" t="e">
        <f t="shared" ref="Q646:Q655" si="1256">P646+P646</f>
        <v>#VALUE!</v>
      </c>
      <c r="R646" s="204" t="e">
        <f t="shared" ref="R646:R655" si="1257">Q646+P646</f>
        <v>#VALUE!</v>
      </c>
      <c r="S646" s="204" t="e">
        <f t="shared" ref="S646:S655" si="1258">R646+P646</f>
        <v>#VALUE!</v>
      </c>
      <c r="T646" s="204" t="e">
        <f t="shared" ref="T646:T655" si="1259">S646+P646</f>
        <v>#VALUE!</v>
      </c>
      <c r="U646" s="204" t="e">
        <f t="shared" ref="U646:U655" si="1260">T646+P646</f>
        <v>#VALUE!</v>
      </c>
      <c r="V646" s="204" t="e">
        <f t="shared" ref="V646:V655" si="1261">U646+P646</f>
        <v>#VALUE!</v>
      </c>
      <c r="W646" s="218">
        <v>483.49</v>
      </c>
      <c r="X646" s="218">
        <v>6653.34</v>
      </c>
      <c r="Y646" s="203">
        <v>0.1</v>
      </c>
      <c r="Z646" s="203">
        <f>IF(Tabela1[[#This Row],[Ano Aquisição]]=2023,0,IFERROR(VLOOKUP(H646,inflação!$F:$H,3,FALSE),""))</f>
        <v>1.0241</v>
      </c>
      <c r="AA646" s="203">
        <v>0.8</v>
      </c>
      <c r="AB646" s="202">
        <f t="shared" si="1239"/>
        <v>-481984.92</v>
      </c>
      <c r="AC646" s="204" t="e">
        <f t="shared" ref="AC646:AC655" si="1262">-(((P646*$W646)+($X646*12))*((1+$Y646)^AC$1))</f>
        <v>#VALUE!</v>
      </c>
      <c r="AD646" s="204" t="e">
        <f t="shared" ref="AD646:AD655" si="1263">-((((Q646-P646)*$W646)+($X646*12))*((1+$Y646)^AD$1))</f>
        <v>#VALUE!</v>
      </c>
      <c r="AE646" s="204" t="e">
        <f t="shared" ref="AE646:AE655" si="1264">-((((R646-Q646)*$W646)+($X646*12))*((1+$Y646)^AE$1))</f>
        <v>#VALUE!</v>
      </c>
      <c r="AF646" s="204" t="e">
        <f t="shared" ref="AF646:AF655" si="1265">-((((S646-R646)*$W646)+($X646*12))*((1+$Y646)^AF$1))</f>
        <v>#VALUE!</v>
      </c>
      <c r="AG646" s="204" t="e">
        <f t="shared" ref="AG646:AG655" si="1266">-((((T646-S646)*$W646)+($X646*12))*((1+$Y646)^AG$1))</f>
        <v>#VALUE!</v>
      </c>
      <c r="AH646" s="204" t="e">
        <f t="shared" ref="AH646:AH655" si="1267">-((((U646-T646)*$W646)+($X646*12))*((1+$Y646)^AH$1))</f>
        <v>#VALUE!</v>
      </c>
      <c r="AI646" s="204" t="e">
        <f t="shared" ref="AI646:AI655" si="1268">-((((V646-U646)*$W646)+($X646*12))*((1+$Y646)^AI$1))</f>
        <v>#VALUE!</v>
      </c>
      <c r="AJ646" s="205">
        <f t="shared" si="1241"/>
        <v>-975585.67657199991</v>
      </c>
      <c r="AK646" s="204" t="e">
        <f t="shared" ref="AK646:AK655" si="1269">AC646*(1-$AA646)</f>
        <v>#VALUE!</v>
      </c>
      <c r="AL646" s="204" t="e">
        <f t="shared" ref="AL646:AL655" si="1270">AD646*(1-$AA646)</f>
        <v>#VALUE!</v>
      </c>
      <c r="AM646" s="204" t="e">
        <f t="shared" ref="AM646:AM655" si="1271">AE646*(1-$AA646)</f>
        <v>#VALUE!</v>
      </c>
      <c r="AN646" s="204" t="e">
        <f t="shared" ref="AN646:AN655" si="1272">AF646*(1-$AA646)</f>
        <v>#VALUE!</v>
      </c>
      <c r="AO646" s="204" t="e">
        <f t="shared" ref="AO646:AO655" si="1273">AG646*(1-$AA646)</f>
        <v>#VALUE!</v>
      </c>
      <c r="AP646" s="204" t="e">
        <f t="shared" ref="AP646:AP655" si="1274">AH646*(1-$AA646)</f>
        <v>#VALUE!</v>
      </c>
      <c r="AQ646" s="204" t="e">
        <f t="shared" ref="AQ646:AQ655" si="1275">AI646*(1-$AA646)</f>
        <v>#VALUE!</v>
      </c>
      <c r="AR646" s="206" t="e">
        <f t="shared" si="1243"/>
        <v>#VALUE!</v>
      </c>
      <c r="AS646" s="170" t="e">
        <f t="shared" ref="AS646:AS655" si="1276">SUM(AC646:AI646)</f>
        <v>#VALUE!</v>
      </c>
      <c r="AT646" s="170" t="e">
        <f t="shared" ref="AT646:AT655" si="1277">SUM(AK646:AQ646)</f>
        <v>#VALUE!</v>
      </c>
      <c r="AU646" s="207" t="e">
        <f t="shared" si="1244"/>
        <v>#VALUE!</v>
      </c>
      <c r="AV646" s="208" t="e">
        <f t="shared" si="1245"/>
        <v>#VALUE!</v>
      </c>
      <c r="AW646" s="201" t="str">
        <f t="shared" si="1246"/>
        <v>Confiabilidade em Crescimento</v>
      </c>
      <c r="AX646" s="253" t="e">
        <f>VLOOKUP(D646,#REF!,5,FALSE)</f>
        <v>#REF!</v>
      </c>
      <c r="AY646" s="201"/>
      <c r="AZ646" s="273" t="s">
        <v>1224</v>
      </c>
      <c r="BB646">
        <f>IFERROR(VLOOKUP(Tabela1[[#This Row],[Denominação]],[10]Planilha1!$A:$B,2,FALSE),"")</f>
        <v>728741.29999999842</v>
      </c>
      <c r="BC646" s="219"/>
      <c r="BD646" s="219"/>
      <c r="BE646" s="219"/>
      <c r="BF646" s="219"/>
      <c r="BG646" s="219"/>
      <c r="BH646" s="219"/>
      <c r="BI646" s="219"/>
      <c r="BJ646" s="219"/>
      <c r="BK646" s="219"/>
      <c r="BL646" s="219"/>
    </row>
    <row r="647" spans="1:64" hidden="1" x14ac:dyDescent="0.3">
      <c r="A647" s="268">
        <v>646</v>
      </c>
      <c r="B647" s="201" t="s">
        <v>855</v>
      </c>
      <c r="C647" s="211" t="s">
        <v>856</v>
      </c>
      <c r="D647" s="201">
        <v>10004896</v>
      </c>
      <c r="E647" s="253" t="s">
        <v>1556</v>
      </c>
      <c r="F647" s="253">
        <v>4712</v>
      </c>
      <c r="G647" s="171">
        <v>34803</v>
      </c>
      <c r="H647" s="201">
        <v>2007</v>
      </c>
      <c r="I647" s="216">
        <v>457865.2</v>
      </c>
      <c r="J647" s="214">
        <v>0</v>
      </c>
      <c r="K647" s="170">
        <v>669555.46999999916</v>
      </c>
      <c r="L647" s="207">
        <v>1.05</v>
      </c>
      <c r="M647" s="212">
        <v>5349</v>
      </c>
      <c r="N647" s="212">
        <v>139841</v>
      </c>
      <c r="O647" s="171">
        <v>1151</v>
      </c>
      <c r="P647" s="271" t="str">
        <f>IFERROR(VLOOKUP(Tabela1[[#This Row],[TAG]],#REF!,14,FALSE),"")</f>
        <v/>
      </c>
      <c r="Q647" s="204" t="e">
        <f t="shared" si="1256"/>
        <v>#VALUE!</v>
      </c>
      <c r="R647" s="204" t="e">
        <f t="shared" si="1257"/>
        <v>#VALUE!</v>
      </c>
      <c r="S647" s="204" t="e">
        <f t="shared" si="1258"/>
        <v>#VALUE!</v>
      </c>
      <c r="T647" s="204" t="e">
        <f t="shared" si="1259"/>
        <v>#VALUE!</v>
      </c>
      <c r="U647" s="204" t="e">
        <f t="shared" si="1260"/>
        <v>#VALUE!</v>
      </c>
      <c r="V647" s="204" t="e">
        <f t="shared" si="1261"/>
        <v>#VALUE!</v>
      </c>
      <c r="W647" s="218">
        <v>449.65</v>
      </c>
      <c r="X647" s="218">
        <v>4161.2700000000004</v>
      </c>
      <c r="Y647" s="203">
        <v>0.1</v>
      </c>
      <c r="Z647" s="203">
        <f>IF(Tabela1[[#This Row],[Ano Aquisição]]=2023,0,IFERROR(VLOOKUP(H647,inflação!$F:$H,3,FALSE),""))</f>
        <v>0.93579999999999997</v>
      </c>
      <c r="AA647" s="203">
        <v>0.8</v>
      </c>
      <c r="AB647" s="202">
        <f t="shared" si="1239"/>
        <v>-457865.2</v>
      </c>
      <c r="AC647" s="204" t="e">
        <f t="shared" si="1262"/>
        <v>#VALUE!</v>
      </c>
      <c r="AD647" s="204" t="e">
        <f t="shared" si="1263"/>
        <v>#VALUE!</v>
      </c>
      <c r="AE647" s="204" t="e">
        <f t="shared" si="1264"/>
        <v>#VALUE!</v>
      </c>
      <c r="AF647" s="204" t="e">
        <f t="shared" si="1265"/>
        <v>#VALUE!</v>
      </c>
      <c r="AG647" s="204" t="e">
        <f t="shared" si="1266"/>
        <v>#VALUE!</v>
      </c>
      <c r="AH647" s="204" t="e">
        <f t="shared" si="1267"/>
        <v>#VALUE!</v>
      </c>
      <c r="AI647" s="204" t="e">
        <f t="shared" si="1268"/>
        <v>#VALUE!</v>
      </c>
      <c r="AJ647" s="205">
        <f t="shared" si="1241"/>
        <v>-886335.45415999996</v>
      </c>
      <c r="AK647" s="204" t="e">
        <f t="shared" si="1269"/>
        <v>#VALUE!</v>
      </c>
      <c r="AL647" s="204" t="e">
        <f t="shared" si="1270"/>
        <v>#VALUE!</v>
      </c>
      <c r="AM647" s="204" t="e">
        <f t="shared" si="1271"/>
        <v>#VALUE!</v>
      </c>
      <c r="AN647" s="204" t="e">
        <f t="shared" si="1272"/>
        <v>#VALUE!</v>
      </c>
      <c r="AO647" s="204" t="e">
        <f t="shared" si="1273"/>
        <v>#VALUE!</v>
      </c>
      <c r="AP647" s="204" t="e">
        <f t="shared" si="1274"/>
        <v>#VALUE!</v>
      </c>
      <c r="AQ647" s="204" t="e">
        <f t="shared" si="1275"/>
        <v>#VALUE!</v>
      </c>
      <c r="AR647" s="206" t="e">
        <f t="shared" si="1243"/>
        <v>#VALUE!</v>
      </c>
      <c r="AS647" s="170" t="e">
        <f t="shared" si="1276"/>
        <v>#VALUE!</v>
      </c>
      <c r="AT647" s="170" t="e">
        <f t="shared" si="1277"/>
        <v>#VALUE!</v>
      </c>
      <c r="AU647" s="207" t="e">
        <f t="shared" si="1244"/>
        <v>#VALUE!</v>
      </c>
      <c r="AV647" s="208" t="e">
        <f t="shared" si="1245"/>
        <v>#VALUE!</v>
      </c>
      <c r="AW647" s="201" t="str">
        <f t="shared" si="1246"/>
        <v>Fase de Vida Útil</v>
      </c>
      <c r="AX647" s="253" t="e">
        <f>VLOOKUP(D647,#REF!,5,FALSE)</f>
        <v>#REF!</v>
      </c>
      <c r="AY647" s="201"/>
      <c r="AZ647" s="273" t="s">
        <v>1224</v>
      </c>
      <c r="BB647">
        <f>IFERROR(VLOOKUP(Tabela1[[#This Row],[Denominação]],[10]Planilha1!$A:$B,2,FALSE),"")</f>
        <v>669555.46999999916</v>
      </c>
      <c r="BC647" s="219"/>
      <c r="BD647" s="219"/>
      <c r="BE647" s="219"/>
      <c r="BF647" s="219"/>
      <c r="BG647" s="219"/>
      <c r="BH647" s="219"/>
      <c r="BI647" s="219"/>
      <c r="BJ647" s="219"/>
      <c r="BK647" s="219"/>
      <c r="BL647" s="219"/>
    </row>
    <row r="648" spans="1:64" hidden="1" x14ac:dyDescent="0.3">
      <c r="A648" s="253">
        <v>647</v>
      </c>
      <c r="B648" s="201" t="s">
        <v>857</v>
      </c>
      <c r="C648" s="211" t="s">
        <v>858</v>
      </c>
      <c r="D648" s="201">
        <v>10004897</v>
      </c>
      <c r="E648" s="253" t="s">
        <v>1557</v>
      </c>
      <c r="F648" s="253">
        <v>4712</v>
      </c>
      <c r="G648" s="201">
        <v>34802</v>
      </c>
      <c r="H648" s="201">
        <v>2007</v>
      </c>
      <c r="I648" s="216">
        <v>437820.81</v>
      </c>
      <c r="J648" s="214">
        <v>0</v>
      </c>
      <c r="K648" s="170">
        <v>678750.70999999973</v>
      </c>
      <c r="L648" s="207">
        <v>1.07</v>
      </c>
      <c r="M648" s="212">
        <v>5495</v>
      </c>
      <c r="N648" s="212">
        <v>139730</v>
      </c>
      <c r="O648" s="171">
        <v>1089</v>
      </c>
      <c r="P648" s="271" t="str">
        <f>IFERROR(VLOOKUP(Tabela1[[#This Row],[TAG]],#REF!,14,FALSE),"")</f>
        <v/>
      </c>
      <c r="Q648" s="204" t="e">
        <f t="shared" si="1256"/>
        <v>#VALUE!</v>
      </c>
      <c r="R648" s="204" t="e">
        <f t="shared" si="1257"/>
        <v>#VALUE!</v>
      </c>
      <c r="S648" s="204" t="e">
        <f t="shared" si="1258"/>
        <v>#VALUE!</v>
      </c>
      <c r="T648" s="204" t="e">
        <f t="shared" si="1259"/>
        <v>#VALUE!</v>
      </c>
      <c r="U648" s="204" t="e">
        <f t="shared" si="1260"/>
        <v>#VALUE!</v>
      </c>
      <c r="V648" s="204" t="e">
        <f t="shared" si="1261"/>
        <v>#VALUE!</v>
      </c>
      <c r="W648" s="218">
        <v>489.82</v>
      </c>
      <c r="X648" s="218">
        <v>6822.44</v>
      </c>
      <c r="Y648" s="203">
        <v>0.1</v>
      </c>
      <c r="Z648" s="203">
        <f>IF(Tabela1[[#This Row],[Ano Aquisição]]=2023,0,IFERROR(VLOOKUP(H648,inflação!$F:$H,3,FALSE),""))</f>
        <v>0.93579999999999997</v>
      </c>
      <c r="AA648" s="203">
        <v>0.8</v>
      </c>
      <c r="AB648" s="202">
        <f t="shared" si="1239"/>
        <v>-437820.81</v>
      </c>
      <c r="AC648" s="204" t="e">
        <f t="shared" si="1262"/>
        <v>#VALUE!</v>
      </c>
      <c r="AD648" s="204" t="e">
        <f t="shared" si="1263"/>
        <v>#VALUE!</v>
      </c>
      <c r="AE648" s="204" t="e">
        <f t="shared" si="1264"/>
        <v>#VALUE!</v>
      </c>
      <c r="AF648" s="204" t="e">
        <f t="shared" si="1265"/>
        <v>#VALUE!</v>
      </c>
      <c r="AG648" s="204" t="e">
        <f t="shared" si="1266"/>
        <v>#VALUE!</v>
      </c>
      <c r="AH648" s="204" t="e">
        <f t="shared" si="1267"/>
        <v>#VALUE!</v>
      </c>
      <c r="AI648" s="204" t="e">
        <f t="shared" si="1268"/>
        <v>#VALUE!</v>
      </c>
      <c r="AJ648" s="205">
        <f t="shared" si="1241"/>
        <v>-847533.52399799996</v>
      </c>
      <c r="AK648" s="204" t="e">
        <f t="shared" si="1269"/>
        <v>#VALUE!</v>
      </c>
      <c r="AL648" s="204" t="e">
        <f t="shared" si="1270"/>
        <v>#VALUE!</v>
      </c>
      <c r="AM648" s="204" t="e">
        <f t="shared" si="1271"/>
        <v>#VALUE!</v>
      </c>
      <c r="AN648" s="204" t="e">
        <f t="shared" si="1272"/>
        <v>#VALUE!</v>
      </c>
      <c r="AO648" s="204" t="e">
        <f t="shared" si="1273"/>
        <v>#VALUE!</v>
      </c>
      <c r="AP648" s="204" t="e">
        <f t="shared" si="1274"/>
        <v>#VALUE!</v>
      </c>
      <c r="AQ648" s="204" t="e">
        <f t="shared" si="1275"/>
        <v>#VALUE!</v>
      </c>
      <c r="AR648" s="206" t="e">
        <f t="shared" si="1243"/>
        <v>#VALUE!</v>
      </c>
      <c r="AS648" s="170" t="e">
        <f t="shared" si="1276"/>
        <v>#VALUE!</v>
      </c>
      <c r="AT648" s="170" t="e">
        <f t="shared" si="1277"/>
        <v>#VALUE!</v>
      </c>
      <c r="AU648" s="207" t="e">
        <f t="shared" si="1244"/>
        <v>#VALUE!</v>
      </c>
      <c r="AV648" s="208" t="e">
        <f t="shared" si="1245"/>
        <v>#VALUE!</v>
      </c>
      <c r="AW648" s="201" t="str">
        <f t="shared" si="1246"/>
        <v>Fase de Vida Útil</v>
      </c>
      <c r="AX648" s="253" t="e">
        <f>VLOOKUP(D648,#REF!,5,FALSE)</f>
        <v>#REF!</v>
      </c>
      <c r="AY648" s="201"/>
      <c r="AZ648" s="273" t="s">
        <v>1224</v>
      </c>
      <c r="BB648">
        <f>IFERROR(VLOOKUP(Tabela1[[#This Row],[Denominação]],[10]Planilha1!$A:$B,2,FALSE),"")</f>
        <v>678750.70999999973</v>
      </c>
      <c r="BC648" s="219"/>
      <c r="BD648" s="219"/>
      <c r="BE648" s="219"/>
      <c r="BF648" s="219"/>
      <c r="BG648" s="219"/>
      <c r="BH648" s="219"/>
      <c r="BI648" s="219"/>
      <c r="BJ648" s="219"/>
      <c r="BK648" s="219"/>
      <c r="BL648" s="219"/>
    </row>
    <row r="649" spans="1:64" hidden="1" x14ac:dyDescent="0.3">
      <c r="A649" s="268">
        <v>648</v>
      </c>
      <c r="B649" s="201" t="s">
        <v>859</v>
      </c>
      <c r="C649" s="211" t="s">
        <v>860</v>
      </c>
      <c r="D649" s="201">
        <v>10004908</v>
      </c>
      <c r="E649" s="253" t="s">
        <v>1558</v>
      </c>
      <c r="F649" s="253">
        <v>4712</v>
      </c>
      <c r="G649" s="201">
        <v>34836</v>
      </c>
      <c r="H649" s="201">
        <v>2007</v>
      </c>
      <c r="I649" s="216">
        <v>536795.88</v>
      </c>
      <c r="J649" s="214">
        <v>0</v>
      </c>
      <c r="K649" s="170">
        <v>696820.0900000009</v>
      </c>
      <c r="L649" s="207">
        <v>1.19</v>
      </c>
      <c r="M649" s="212">
        <v>5253</v>
      </c>
      <c r="N649" s="212">
        <v>139408</v>
      </c>
      <c r="O649" s="171">
        <v>1122</v>
      </c>
      <c r="P649" s="271" t="str">
        <f>IFERROR(VLOOKUP(Tabela1[[#This Row],[TAG]],#REF!,14,FALSE),"")</f>
        <v/>
      </c>
      <c r="Q649" s="204" t="e">
        <f t="shared" si="1256"/>
        <v>#VALUE!</v>
      </c>
      <c r="R649" s="204" t="e">
        <f t="shared" si="1257"/>
        <v>#VALUE!</v>
      </c>
      <c r="S649" s="204" t="e">
        <f t="shared" si="1258"/>
        <v>#VALUE!</v>
      </c>
      <c r="T649" s="204" t="e">
        <f t="shared" si="1259"/>
        <v>#VALUE!</v>
      </c>
      <c r="U649" s="204" t="e">
        <f t="shared" si="1260"/>
        <v>#VALUE!</v>
      </c>
      <c r="V649" s="204" t="e">
        <f t="shared" si="1261"/>
        <v>#VALUE!</v>
      </c>
      <c r="W649" s="218">
        <v>496.94565236500694</v>
      </c>
      <c r="X649" s="218">
        <v>5603.14</v>
      </c>
      <c r="Y649" s="203">
        <v>0.1</v>
      </c>
      <c r="Z649" s="203">
        <f>IF(Tabela1[[#This Row],[Ano Aquisição]]=2023,0,IFERROR(VLOOKUP(H649,inflação!$F:$H,3,FALSE),""))</f>
        <v>0.93579999999999997</v>
      </c>
      <c r="AA649" s="203">
        <v>0.8</v>
      </c>
      <c r="AB649" s="202">
        <f t="shared" si="1239"/>
        <v>-536795.88</v>
      </c>
      <c r="AC649" s="204" t="e">
        <f t="shared" si="1262"/>
        <v>#VALUE!</v>
      </c>
      <c r="AD649" s="204" t="e">
        <f t="shared" si="1263"/>
        <v>#VALUE!</v>
      </c>
      <c r="AE649" s="204" t="e">
        <f t="shared" si="1264"/>
        <v>#VALUE!</v>
      </c>
      <c r="AF649" s="204" t="e">
        <f t="shared" si="1265"/>
        <v>#VALUE!</v>
      </c>
      <c r="AG649" s="204" t="e">
        <f t="shared" si="1266"/>
        <v>#VALUE!</v>
      </c>
      <c r="AH649" s="204" t="e">
        <f t="shared" si="1267"/>
        <v>#VALUE!</v>
      </c>
      <c r="AI649" s="204" t="e">
        <f t="shared" si="1268"/>
        <v>#VALUE!</v>
      </c>
      <c r="AJ649" s="205">
        <f t="shared" si="1241"/>
        <v>-1039129.464504</v>
      </c>
      <c r="AK649" s="204" t="e">
        <f t="shared" si="1269"/>
        <v>#VALUE!</v>
      </c>
      <c r="AL649" s="204" t="e">
        <f t="shared" si="1270"/>
        <v>#VALUE!</v>
      </c>
      <c r="AM649" s="204" t="e">
        <f t="shared" si="1271"/>
        <v>#VALUE!</v>
      </c>
      <c r="AN649" s="204" t="e">
        <f t="shared" si="1272"/>
        <v>#VALUE!</v>
      </c>
      <c r="AO649" s="204" t="e">
        <f t="shared" si="1273"/>
        <v>#VALUE!</v>
      </c>
      <c r="AP649" s="204" t="e">
        <f t="shared" si="1274"/>
        <v>#VALUE!</v>
      </c>
      <c r="AQ649" s="204" t="e">
        <f t="shared" si="1275"/>
        <v>#VALUE!</v>
      </c>
      <c r="AR649" s="206" t="e">
        <f t="shared" si="1243"/>
        <v>#VALUE!</v>
      </c>
      <c r="AS649" s="170" t="e">
        <f t="shared" si="1276"/>
        <v>#VALUE!</v>
      </c>
      <c r="AT649" s="170" t="e">
        <f t="shared" si="1277"/>
        <v>#VALUE!</v>
      </c>
      <c r="AU649" s="207" t="e">
        <f t="shared" si="1244"/>
        <v>#VALUE!</v>
      </c>
      <c r="AV649" s="208" t="e">
        <f t="shared" si="1245"/>
        <v>#VALUE!</v>
      </c>
      <c r="AW649" s="201" t="str">
        <f t="shared" si="1246"/>
        <v>Fase de Degradação</v>
      </c>
      <c r="AX649" s="253" t="e">
        <f>VLOOKUP(D649,#REF!,5,FALSE)</f>
        <v>#REF!</v>
      </c>
      <c r="AY649" s="201"/>
      <c r="AZ649" s="273" t="s">
        <v>1224</v>
      </c>
      <c r="BB649">
        <f>IFERROR(VLOOKUP(Tabela1[[#This Row],[Denominação]],[10]Planilha1!$A:$B,2,FALSE),"")</f>
        <v>696820.0900000009</v>
      </c>
      <c r="BC649" s="219"/>
      <c r="BD649" s="219"/>
      <c r="BE649" s="219"/>
      <c r="BF649" s="219"/>
      <c r="BG649" s="219"/>
      <c r="BH649" s="219"/>
      <c r="BI649" s="219"/>
      <c r="BJ649" s="219"/>
      <c r="BK649" s="219"/>
      <c r="BL649" s="219"/>
    </row>
    <row r="650" spans="1:64" hidden="1" x14ac:dyDescent="0.3">
      <c r="A650" s="253">
        <v>649</v>
      </c>
      <c r="B650" s="201" t="s">
        <v>861</v>
      </c>
      <c r="C650" s="211" t="s">
        <v>862</v>
      </c>
      <c r="D650" s="201">
        <v>10005202</v>
      </c>
      <c r="E650" s="253" t="s">
        <v>1559</v>
      </c>
      <c r="F650" s="253">
        <v>4712</v>
      </c>
      <c r="G650" s="171">
        <v>35040</v>
      </c>
      <c r="H650" s="201">
        <v>2007</v>
      </c>
      <c r="I650" s="216">
        <v>257455.55</v>
      </c>
      <c r="J650" s="214">
        <v>0</v>
      </c>
      <c r="K650" s="170">
        <v>882937.35000000149</v>
      </c>
      <c r="L650" s="207">
        <v>1.69</v>
      </c>
      <c r="M650" s="212">
        <v>4829</v>
      </c>
      <c r="N650" s="212">
        <v>132136</v>
      </c>
      <c r="O650" s="171">
        <v>1535</v>
      </c>
      <c r="P650" s="271" t="str">
        <f>IFERROR(VLOOKUP(Tabela1[[#This Row],[TAG]],#REF!,14,FALSE),"")</f>
        <v/>
      </c>
      <c r="Q650" s="204" t="e">
        <f t="shared" si="1256"/>
        <v>#VALUE!</v>
      </c>
      <c r="R650" s="204" t="e">
        <f t="shared" si="1257"/>
        <v>#VALUE!</v>
      </c>
      <c r="S650" s="204" t="e">
        <f t="shared" si="1258"/>
        <v>#VALUE!</v>
      </c>
      <c r="T650" s="204" t="e">
        <f t="shared" si="1259"/>
        <v>#VALUE!</v>
      </c>
      <c r="U650" s="204" t="e">
        <f t="shared" si="1260"/>
        <v>#VALUE!</v>
      </c>
      <c r="V650" s="204" t="e">
        <f t="shared" si="1261"/>
        <v>#VALUE!</v>
      </c>
      <c r="W650" s="218">
        <v>435.6565192157359</v>
      </c>
      <c r="X650" s="218">
        <v>8620.36</v>
      </c>
      <c r="Y650" s="203">
        <v>0.1</v>
      </c>
      <c r="Z650" s="203">
        <f>IF(Tabela1[[#This Row],[Ano Aquisição]]=2023,0,IFERROR(VLOOKUP(H650,inflação!$F:$H,3,FALSE),""))</f>
        <v>0.93579999999999997</v>
      </c>
      <c r="AA650" s="203">
        <v>0.8</v>
      </c>
      <c r="AB650" s="202">
        <f t="shared" si="1239"/>
        <v>-257455.55</v>
      </c>
      <c r="AC650" s="204" t="e">
        <f t="shared" si="1262"/>
        <v>#VALUE!</v>
      </c>
      <c r="AD650" s="204" t="e">
        <f t="shared" si="1263"/>
        <v>#VALUE!</v>
      </c>
      <c r="AE650" s="204" t="e">
        <f t="shared" si="1264"/>
        <v>#VALUE!</v>
      </c>
      <c r="AF650" s="204" t="e">
        <f t="shared" si="1265"/>
        <v>#VALUE!</v>
      </c>
      <c r="AG650" s="204" t="e">
        <f t="shared" si="1266"/>
        <v>#VALUE!</v>
      </c>
      <c r="AH650" s="204" t="e">
        <f t="shared" si="1267"/>
        <v>#VALUE!</v>
      </c>
      <c r="AI650" s="204" t="e">
        <f t="shared" si="1268"/>
        <v>#VALUE!</v>
      </c>
      <c r="AJ650" s="205">
        <f t="shared" si="1241"/>
        <v>-498382.45368999999</v>
      </c>
      <c r="AK650" s="204" t="e">
        <f t="shared" si="1269"/>
        <v>#VALUE!</v>
      </c>
      <c r="AL650" s="204" t="e">
        <f t="shared" si="1270"/>
        <v>#VALUE!</v>
      </c>
      <c r="AM650" s="204" t="e">
        <f t="shared" si="1271"/>
        <v>#VALUE!</v>
      </c>
      <c r="AN650" s="204" t="e">
        <f t="shared" si="1272"/>
        <v>#VALUE!</v>
      </c>
      <c r="AO650" s="204" t="e">
        <f t="shared" si="1273"/>
        <v>#VALUE!</v>
      </c>
      <c r="AP650" s="204" t="e">
        <f t="shared" si="1274"/>
        <v>#VALUE!</v>
      </c>
      <c r="AQ650" s="204" t="e">
        <f t="shared" si="1275"/>
        <v>#VALUE!</v>
      </c>
      <c r="AR650" s="206" t="e">
        <f t="shared" si="1243"/>
        <v>#VALUE!</v>
      </c>
      <c r="AS650" s="170" t="e">
        <f t="shared" si="1276"/>
        <v>#VALUE!</v>
      </c>
      <c r="AT650" s="170" t="e">
        <f t="shared" si="1277"/>
        <v>#VALUE!</v>
      </c>
      <c r="AU650" s="207" t="e">
        <f t="shared" si="1244"/>
        <v>#VALUE!</v>
      </c>
      <c r="AV650" s="208" t="e">
        <f t="shared" si="1245"/>
        <v>#VALUE!</v>
      </c>
      <c r="AW650" s="201" t="str">
        <f t="shared" si="1246"/>
        <v>Fase de Degradação</v>
      </c>
      <c r="AX650" s="253" t="e">
        <f>VLOOKUP(D650,#REF!,5,FALSE)</f>
        <v>#REF!</v>
      </c>
      <c r="AY650" s="201"/>
      <c r="AZ650" s="273" t="s">
        <v>1224</v>
      </c>
      <c r="BB650">
        <f>IFERROR(VLOOKUP(Tabela1[[#This Row],[Denominação]],[10]Planilha1!$A:$B,2,FALSE),"")</f>
        <v>882937.35000000149</v>
      </c>
      <c r="BC650" s="219"/>
      <c r="BD650" s="219"/>
      <c r="BE650" s="219"/>
      <c r="BF650" s="219"/>
      <c r="BG650" s="219"/>
      <c r="BH650" s="219"/>
      <c r="BI650" s="219"/>
      <c r="BJ650" s="219"/>
      <c r="BK650" s="219"/>
      <c r="BL650" s="219"/>
    </row>
    <row r="651" spans="1:64" hidden="1" x14ac:dyDescent="0.3">
      <c r="A651" s="268">
        <v>650</v>
      </c>
      <c r="B651" s="201" t="s">
        <v>863</v>
      </c>
      <c r="C651" s="211" t="s">
        <v>864</v>
      </c>
      <c r="D651" s="201">
        <v>10005254</v>
      </c>
      <c r="E651" s="253" t="s">
        <v>1560</v>
      </c>
      <c r="F651" s="253">
        <v>4712</v>
      </c>
      <c r="G651" s="201">
        <v>35456</v>
      </c>
      <c r="H651" s="201">
        <v>2008</v>
      </c>
      <c r="I651" s="216">
        <v>413909.71</v>
      </c>
      <c r="J651" s="214">
        <v>88936</v>
      </c>
      <c r="K651" s="170">
        <v>689153.85999999964</v>
      </c>
      <c r="L651" s="207">
        <v>2.04</v>
      </c>
      <c r="M651" s="212">
        <v>5056</v>
      </c>
      <c r="N651" s="212">
        <v>129982</v>
      </c>
      <c r="O651" s="171">
        <v>1093</v>
      </c>
      <c r="P651" s="271" t="str">
        <f>IFERROR(VLOOKUP(Tabela1[[#This Row],[TAG]],#REF!,14,FALSE),"")</f>
        <v/>
      </c>
      <c r="Q651" s="204" t="e">
        <f t="shared" si="1256"/>
        <v>#VALUE!</v>
      </c>
      <c r="R651" s="204" t="e">
        <f t="shared" si="1257"/>
        <v>#VALUE!</v>
      </c>
      <c r="S651" s="204" t="e">
        <f t="shared" si="1258"/>
        <v>#VALUE!</v>
      </c>
      <c r="T651" s="204" t="e">
        <f t="shared" si="1259"/>
        <v>#VALUE!</v>
      </c>
      <c r="U651" s="204" t="e">
        <f t="shared" si="1260"/>
        <v>#VALUE!</v>
      </c>
      <c r="V651" s="204" t="e">
        <f t="shared" si="1261"/>
        <v>#VALUE!</v>
      </c>
      <c r="W651" s="218">
        <v>520.58000000000004</v>
      </c>
      <c r="X651" s="218">
        <v>10589.52</v>
      </c>
      <c r="Y651" s="203">
        <v>0.1</v>
      </c>
      <c r="Z651" s="203">
        <f>IF(Tabela1[[#This Row],[Ano Aquisição]]=2023,0,IFERROR(VLOOKUP(H651,inflação!$F:$H,3,FALSE),""))</f>
        <v>0.89119999999999999</v>
      </c>
      <c r="AA651" s="203">
        <v>0.8</v>
      </c>
      <c r="AB651" s="202">
        <f t="shared" si="1239"/>
        <v>-413909.71</v>
      </c>
      <c r="AC651" s="204" t="e">
        <f t="shared" si="1262"/>
        <v>#VALUE!</v>
      </c>
      <c r="AD651" s="204" t="e">
        <f t="shared" si="1263"/>
        <v>#VALUE!</v>
      </c>
      <c r="AE651" s="204" t="e">
        <f t="shared" si="1264"/>
        <v>#VALUE!</v>
      </c>
      <c r="AF651" s="204" t="e">
        <f t="shared" si="1265"/>
        <v>#VALUE!</v>
      </c>
      <c r="AG651" s="204" t="e">
        <f t="shared" si="1266"/>
        <v>#VALUE!</v>
      </c>
      <c r="AH651" s="204" t="e">
        <f t="shared" si="1267"/>
        <v>#VALUE!</v>
      </c>
      <c r="AI651" s="204" t="e">
        <f t="shared" si="1268"/>
        <v>#VALUE!</v>
      </c>
      <c r="AJ651" s="205">
        <f t="shared" si="1241"/>
        <v>-782786.04355200008</v>
      </c>
      <c r="AK651" s="204" t="e">
        <f t="shared" si="1269"/>
        <v>#VALUE!</v>
      </c>
      <c r="AL651" s="204" t="e">
        <f t="shared" si="1270"/>
        <v>#VALUE!</v>
      </c>
      <c r="AM651" s="204" t="e">
        <f t="shared" si="1271"/>
        <v>#VALUE!</v>
      </c>
      <c r="AN651" s="204" t="e">
        <f t="shared" si="1272"/>
        <v>#VALUE!</v>
      </c>
      <c r="AO651" s="204" t="e">
        <f t="shared" si="1273"/>
        <v>#VALUE!</v>
      </c>
      <c r="AP651" s="204" t="e">
        <f t="shared" si="1274"/>
        <v>#VALUE!</v>
      </c>
      <c r="AQ651" s="204" t="e">
        <f t="shared" si="1275"/>
        <v>#VALUE!</v>
      </c>
      <c r="AR651" s="206" t="e">
        <f t="shared" si="1243"/>
        <v>#VALUE!</v>
      </c>
      <c r="AS651" s="170" t="e">
        <f t="shared" si="1276"/>
        <v>#VALUE!</v>
      </c>
      <c r="AT651" s="170" t="e">
        <f t="shared" si="1277"/>
        <v>#VALUE!</v>
      </c>
      <c r="AU651" s="207" t="e">
        <f t="shared" si="1244"/>
        <v>#VALUE!</v>
      </c>
      <c r="AV651" s="208" t="e">
        <f t="shared" si="1245"/>
        <v>#VALUE!</v>
      </c>
      <c r="AW651" s="201" t="str">
        <f t="shared" si="1246"/>
        <v>Fase de Degradação</v>
      </c>
      <c r="AX651" s="253" t="e">
        <f>VLOOKUP(D651,#REF!,5,FALSE)</f>
        <v>#REF!</v>
      </c>
      <c r="AY651" s="201"/>
      <c r="AZ651" s="273" t="s">
        <v>1224</v>
      </c>
      <c r="BB651">
        <f>IFERROR(VLOOKUP(Tabela1[[#This Row],[Denominação]],[10]Planilha1!$A:$B,2,FALSE),"")</f>
        <v>689153.85999999964</v>
      </c>
      <c r="BC651" s="219"/>
      <c r="BD651" s="219"/>
      <c r="BE651" s="219"/>
      <c r="BF651" s="219"/>
      <c r="BG651" s="219"/>
      <c r="BH651" s="219"/>
      <c r="BI651" s="219"/>
      <c r="BJ651" s="219"/>
      <c r="BK651" s="219"/>
      <c r="BL651" s="219"/>
    </row>
    <row r="652" spans="1:64" hidden="1" x14ac:dyDescent="0.3">
      <c r="A652" s="253">
        <v>651</v>
      </c>
      <c r="B652" s="201" t="s">
        <v>1199</v>
      </c>
      <c r="C652" s="211" t="s">
        <v>1200</v>
      </c>
      <c r="D652" s="201">
        <v>10006804</v>
      </c>
      <c r="E652" s="253" t="s">
        <v>1561</v>
      </c>
      <c r="F652" s="253">
        <v>4712</v>
      </c>
      <c r="G652" s="201">
        <v>58016</v>
      </c>
      <c r="H652" s="201">
        <v>2022</v>
      </c>
      <c r="I652" s="216">
        <v>1089147.3500000001</v>
      </c>
      <c r="J652" s="214">
        <v>1028637</v>
      </c>
      <c r="K652" s="170">
        <v>44044.399999999987</v>
      </c>
      <c r="L652" s="207">
        <v>0.84</v>
      </c>
      <c r="M652" s="212">
        <v>4995</v>
      </c>
      <c r="N652" s="212">
        <v>6948</v>
      </c>
      <c r="O652" s="171">
        <v>72</v>
      </c>
      <c r="P652" s="271" t="str">
        <f>IFERROR(VLOOKUP(Tabela1[[#This Row],[TAG]],#REF!,14,FALSE),"")</f>
        <v/>
      </c>
      <c r="Q652" s="204" t="e">
        <f t="shared" si="1256"/>
        <v>#VALUE!</v>
      </c>
      <c r="R652" s="204" t="e">
        <f t="shared" si="1257"/>
        <v>#VALUE!</v>
      </c>
      <c r="S652" s="204" t="e">
        <f t="shared" si="1258"/>
        <v>#VALUE!</v>
      </c>
      <c r="T652" s="204" t="e">
        <f t="shared" si="1259"/>
        <v>#VALUE!</v>
      </c>
      <c r="U652" s="204" t="e">
        <f t="shared" si="1260"/>
        <v>#VALUE!</v>
      </c>
      <c r="V652" s="204" t="e">
        <f t="shared" si="1261"/>
        <v>#VALUE!</v>
      </c>
      <c r="W652" s="218">
        <v>523.70000000000005</v>
      </c>
      <c r="X652" s="218">
        <v>3547.95</v>
      </c>
      <c r="Y652" s="203">
        <v>0.1</v>
      </c>
      <c r="Z652" s="203">
        <f>IF(Tabela1[[#This Row],[Ano Aquisição]]=2023,0,IFERROR(VLOOKUP(H652,inflação!$F:$H,3,FALSE),""))</f>
        <v>5.79E-2</v>
      </c>
      <c r="AA652" s="203">
        <v>0.8</v>
      </c>
      <c r="AB652" s="202">
        <f t="shared" si="1239"/>
        <v>-1089147.3500000001</v>
      </c>
      <c r="AC652" s="204" t="e">
        <f t="shared" si="1262"/>
        <v>#VALUE!</v>
      </c>
      <c r="AD652" s="204" t="e">
        <f t="shared" si="1263"/>
        <v>#VALUE!</v>
      </c>
      <c r="AE652" s="204" t="e">
        <f t="shared" si="1264"/>
        <v>#VALUE!</v>
      </c>
      <c r="AF652" s="204" t="e">
        <f t="shared" si="1265"/>
        <v>#VALUE!</v>
      </c>
      <c r="AG652" s="204" t="e">
        <f t="shared" si="1266"/>
        <v>#VALUE!</v>
      </c>
      <c r="AH652" s="204" t="e">
        <f t="shared" si="1267"/>
        <v>#VALUE!</v>
      </c>
      <c r="AI652" s="204" t="e">
        <f t="shared" si="1268"/>
        <v>#VALUE!</v>
      </c>
      <c r="AJ652" s="205">
        <f t="shared" si="1241"/>
        <v>-1152208.9815650003</v>
      </c>
      <c r="AK652" s="204" t="e">
        <f t="shared" si="1269"/>
        <v>#VALUE!</v>
      </c>
      <c r="AL652" s="204" t="e">
        <f t="shared" si="1270"/>
        <v>#VALUE!</v>
      </c>
      <c r="AM652" s="204" t="e">
        <f t="shared" si="1271"/>
        <v>#VALUE!</v>
      </c>
      <c r="AN652" s="204" t="e">
        <f t="shared" si="1272"/>
        <v>#VALUE!</v>
      </c>
      <c r="AO652" s="204" t="e">
        <f t="shared" si="1273"/>
        <v>#VALUE!</v>
      </c>
      <c r="AP652" s="204" t="e">
        <f t="shared" si="1274"/>
        <v>#VALUE!</v>
      </c>
      <c r="AQ652" s="204" t="e">
        <f t="shared" si="1275"/>
        <v>#VALUE!</v>
      </c>
      <c r="AR652" s="206" t="e">
        <f t="shared" si="1243"/>
        <v>#VALUE!</v>
      </c>
      <c r="AS652" s="170" t="e">
        <f t="shared" si="1276"/>
        <v>#VALUE!</v>
      </c>
      <c r="AT652" s="170" t="e">
        <f t="shared" si="1277"/>
        <v>#VALUE!</v>
      </c>
      <c r="AU652" s="207" t="e">
        <f t="shared" si="1244"/>
        <v>#VALUE!</v>
      </c>
      <c r="AV652" s="208" t="e">
        <f t="shared" si="1245"/>
        <v>#VALUE!</v>
      </c>
      <c r="AW652" s="201" t="str">
        <f t="shared" si="1246"/>
        <v>Confiabilidade em Crescimento</v>
      </c>
      <c r="AX652" s="253" t="e">
        <f>VLOOKUP(D652,#REF!,5,FALSE)</f>
        <v>#REF!</v>
      </c>
      <c r="AY652" s="201"/>
      <c r="AZ652" s="273" t="s">
        <v>1224</v>
      </c>
      <c r="BB652">
        <f>IFERROR(VLOOKUP(Tabela1[[#This Row],[Denominação]],[10]Planilha1!$A:$B,2,FALSE),"")</f>
        <v>44044.399999999987</v>
      </c>
      <c r="BC652" s="219"/>
      <c r="BD652" s="219"/>
      <c r="BE652" s="219"/>
      <c r="BF652" s="219"/>
      <c r="BG652" s="219"/>
      <c r="BH652" s="219"/>
      <c r="BI652" s="219"/>
      <c r="BJ652" s="219"/>
      <c r="BK652" s="219"/>
      <c r="BL652" s="219"/>
    </row>
    <row r="653" spans="1:64" hidden="1" x14ac:dyDescent="0.3">
      <c r="A653" s="268">
        <v>652</v>
      </c>
      <c r="B653" s="201" t="s">
        <v>865</v>
      </c>
      <c r="C653" s="211" t="s">
        <v>866</v>
      </c>
      <c r="D653" s="201">
        <v>10006279</v>
      </c>
      <c r="E653" s="253" t="s">
        <v>1562</v>
      </c>
      <c r="F653" s="253">
        <v>2526</v>
      </c>
      <c r="G653" s="171">
        <v>20502</v>
      </c>
      <c r="H653" s="201">
        <v>2013</v>
      </c>
      <c r="I653" s="216">
        <v>5800</v>
      </c>
      <c r="J653" s="213">
        <v>0</v>
      </c>
      <c r="K653" s="170">
        <v>365495.0599999993</v>
      </c>
      <c r="L653" s="207">
        <v>0.81</v>
      </c>
      <c r="M653" s="320">
        <v>5853.5532000000003</v>
      </c>
      <c r="N653" s="212">
        <v>76211</v>
      </c>
      <c r="O653" s="171">
        <v>353</v>
      </c>
      <c r="P653" s="271" t="str">
        <f>IFERROR(VLOOKUP(Tabela1[[#This Row],[TAG]],#REF!,14,FALSE),"")</f>
        <v/>
      </c>
      <c r="Q653" s="204" t="e">
        <f t="shared" si="1256"/>
        <v>#VALUE!</v>
      </c>
      <c r="R653" s="204" t="e">
        <f t="shared" si="1257"/>
        <v>#VALUE!</v>
      </c>
      <c r="S653" s="204" t="e">
        <f t="shared" si="1258"/>
        <v>#VALUE!</v>
      </c>
      <c r="T653" s="204" t="e">
        <f t="shared" si="1259"/>
        <v>#VALUE!</v>
      </c>
      <c r="U653" s="204" t="e">
        <f t="shared" si="1260"/>
        <v>#VALUE!</v>
      </c>
      <c r="V653" s="204" t="e">
        <f t="shared" si="1261"/>
        <v>#VALUE!</v>
      </c>
      <c r="W653" s="304">
        <v>670.01</v>
      </c>
      <c r="X653" s="304">
        <v>3420.01</v>
      </c>
      <c r="Y653" s="203">
        <v>0.1</v>
      </c>
      <c r="Z653" s="203">
        <f>IF(Tabela1[[#This Row],[Ano Aquisição]]=2023,0,IFERROR(VLOOKUP(H653,inflação!$F:$H,3,FALSE),""))</f>
        <v>0.60660000000000003</v>
      </c>
      <c r="AA653" s="203">
        <v>0.8</v>
      </c>
      <c r="AB653" s="202">
        <f t="shared" si="1239"/>
        <v>-5800</v>
      </c>
      <c r="AC653" s="204" t="e">
        <f t="shared" si="1262"/>
        <v>#VALUE!</v>
      </c>
      <c r="AD653" s="204" t="e">
        <f t="shared" si="1263"/>
        <v>#VALUE!</v>
      </c>
      <c r="AE653" s="204" t="e">
        <f t="shared" si="1264"/>
        <v>#VALUE!</v>
      </c>
      <c r="AF653" s="204" t="e">
        <f t="shared" si="1265"/>
        <v>#VALUE!</v>
      </c>
      <c r="AG653" s="204" t="e">
        <f t="shared" si="1266"/>
        <v>#VALUE!</v>
      </c>
      <c r="AH653" s="204" t="e">
        <f t="shared" si="1267"/>
        <v>#VALUE!</v>
      </c>
      <c r="AI653" s="204" t="e">
        <f t="shared" si="1268"/>
        <v>#VALUE!</v>
      </c>
      <c r="AJ653" s="205">
        <f t="shared" si="1241"/>
        <v>-9318.2800000000007</v>
      </c>
      <c r="AK653" s="204" t="e">
        <f t="shared" si="1269"/>
        <v>#VALUE!</v>
      </c>
      <c r="AL653" s="204" t="e">
        <f t="shared" si="1270"/>
        <v>#VALUE!</v>
      </c>
      <c r="AM653" s="204" t="e">
        <f t="shared" si="1271"/>
        <v>#VALUE!</v>
      </c>
      <c r="AN653" s="204" t="e">
        <f t="shared" si="1272"/>
        <v>#VALUE!</v>
      </c>
      <c r="AO653" s="204" t="e">
        <f t="shared" si="1273"/>
        <v>#VALUE!</v>
      </c>
      <c r="AP653" s="204" t="e">
        <f t="shared" si="1274"/>
        <v>#VALUE!</v>
      </c>
      <c r="AQ653" s="204" t="e">
        <f t="shared" si="1275"/>
        <v>#VALUE!</v>
      </c>
      <c r="AR653" s="206" t="e">
        <f t="shared" si="1243"/>
        <v>#VALUE!</v>
      </c>
      <c r="AS653" s="170" t="e">
        <f t="shared" si="1276"/>
        <v>#VALUE!</v>
      </c>
      <c r="AT653" s="170" t="e">
        <f t="shared" si="1277"/>
        <v>#VALUE!</v>
      </c>
      <c r="AU653" s="207" t="e">
        <f t="shared" si="1244"/>
        <v>#VALUE!</v>
      </c>
      <c r="AV653" s="208" t="e">
        <f t="shared" si="1245"/>
        <v>#VALUE!</v>
      </c>
      <c r="AW653" s="201" t="str">
        <f t="shared" si="1246"/>
        <v>Confiabilidade em Crescimento</v>
      </c>
      <c r="AX653" s="253" t="e">
        <f>VLOOKUP(D653,#REF!,5,FALSE)</f>
        <v>#REF!</v>
      </c>
      <c r="AY653" s="201"/>
      <c r="AZ653" s="273" t="s">
        <v>1224</v>
      </c>
      <c r="BB653">
        <f>IFERROR(VLOOKUP(Tabela1[[#This Row],[Denominação]],[10]Planilha1!$A:$B,2,FALSE),"")</f>
        <v>365495.0599999993</v>
      </c>
      <c r="BC653" s="219"/>
      <c r="BD653" s="219"/>
      <c r="BE653" s="219"/>
      <c r="BF653" s="219"/>
      <c r="BG653" s="219"/>
      <c r="BH653" s="219"/>
      <c r="BI653" s="219"/>
      <c r="BJ653" s="219"/>
      <c r="BK653" s="219"/>
      <c r="BL653" s="219"/>
    </row>
    <row r="654" spans="1:64" hidden="1" x14ac:dyDescent="0.3">
      <c r="A654" s="253">
        <v>653</v>
      </c>
      <c r="B654" s="201" t="s">
        <v>1201</v>
      </c>
      <c r="C654" s="211" t="s">
        <v>1202</v>
      </c>
      <c r="D654" s="201">
        <v>10003941</v>
      </c>
      <c r="E654" s="253" t="s">
        <v>1563</v>
      </c>
      <c r="F654" s="253">
        <v>4715</v>
      </c>
      <c r="G654" s="201">
        <v>20715</v>
      </c>
      <c r="H654" s="201">
        <v>2003</v>
      </c>
      <c r="I654" s="216">
        <v>38132.239999999998</v>
      </c>
      <c r="J654" s="214">
        <v>0</v>
      </c>
      <c r="K654" s="170">
        <v>372408.84000000008</v>
      </c>
      <c r="L654" s="207">
        <v>2.69</v>
      </c>
      <c r="M654" s="212">
        <v>5000</v>
      </c>
      <c r="N654" s="212">
        <v>161100</v>
      </c>
      <c r="O654" s="171">
        <v>210</v>
      </c>
      <c r="P654" s="271" t="str">
        <f>IFERROR(VLOOKUP(Tabela1[[#This Row],[TAG]],#REF!,14,FALSE),"")</f>
        <v/>
      </c>
      <c r="Q654" s="204" t="e">
        <f t="shared" si="1256"/>
        <v>#VALUE!</v>
      </c>
      <c r="R654" s="204" t="e">
        <f t="shared" si="1257"/>
        <v>#VALUE!</v>
      </c>
      <c r="S654" s="204" t="e">
        <f t="shared" si="1258"/>
        <v>#VALUE!</v>
      </c>
      <c r="T654" s="204" t="e">
        <f t="shared" si="1259"/>
        <v>#VALUE!</v>
      </c>
      <c r="U654" s="204" t="e">
        <f t="shared" si="1260"/>
        <v>#VALUE!</v>
      </c>
      <c r="V654" s="204" t="e">
        <f t="shared" si="1261"/>
        <v>#VALUE!</v>
      </c>
      <c r="W654" s="218">
        <v>586.15</v>
      </c>
      <c r="X654" s="218">
        <v>1819.3</v>
      </c>
      <c r="Y654" s="203">
        <v>0.1</v>
      </c>
      <c r="Z654" s="203">
        <f>IF(Tabela1[[#This Row],[Ano Aquisição]]=2023,0,IFERROR(VLOOKUP(H654,inflação!$F:$H,3,FALSE),""))</f>
        <v>1.1931</v>
      </c>
      <c r="AA654" s="203">
        <v>0.8</v>
      </c>
      <c r="AB654" s="202">
        <f t="shared" si="1239"/>
        <v>-38132.239999999998</v>
      </c>
      <c r="AC654" s="204" t="e">
        <f t="shared" si="1262"/>
        <v>#VALUE!</v>
      </c>
      <c r="AD654" s="204" t="e">
        <f t="shared" si="1263"/>
        <v>#VALUE!</v>
      </c>
      <c r="AE654" s="204" t="e">
        <f t="shared" si="1264"/>
        <v>#VALUE!</v>
      </c>
      <c r="AF654" s="204" t="e">
        <f t="shared" si="1265"/>
        <v>#VALUE!</v>
      </c>
      <c r="AG654" s="204" t="e">
        <f t="shared" si="1266"/>
        <v>#VALUE!</v>
      </c>
      <c r="AH654" s="204" t="e">
        <f t="shared" si="1267"/>
        <v>#VALUE!</v>
      </c>
      <c r="AI654" s="204" t="e">
        <f t="shared" si="1268"/>
        <v>#VALUE!</v>
      </c>
      <c r="AJ654" s="205">
        <f t="shared" si="1241"/>
        <v>-83627.815544000012</v>
      </c>
      <c r="AK654" s="204" t="e">
        <f t="shared" si="1269"/>
        <v>#VALUE!</v>
      </c>
      <c r="AL654" s="204" t="e">
        <f t="shared" si="1270"/>
        <v>#VALUE!</v>
      </c>
      <c r="AM654" s="204" t="e">
        <f t="shared" si="1271"/>
        <v>#VALUE!</v>
      </c>
      <c r="AN654" s="204" t="e">
        <f t="shared" si="1272"/>
        <v>#VALUE!</v>
      </c>
      <c r="AO654" s="204" t="e">
        <f t="shared" si="1273"/>
        <v>#VALUE!</v>
      </c>
      <c r="AP654" s="204" t="e">
        <f t="shared" si="1274"/>
        <v>#VALUE!</v>
      </c>
      <c r="AQ654" s="204" t="e">
        <f t="shared" si="1275"/>
        <v>#VALUE!</v>
      </c>
      <c r="AR654" s="206" t="e">
        <f t="shared" si="1243"/>
        <v>#VALUE!</v>
      </c>
      <c r="AS654" s="170" t="e">
        <f t="shared" si="1276"/>
        <v>#VALUE!</v>
      </c>
      <c r="AT654" s="170" t="e">
        <f t="shared" si="1277"/>
        <v>#VALUE!</v>
      </c>
      <c r="AU654" s="207" t="e">
        <f t="shared" si="1244"/>
        <v>#VALUE!</v>
      </c>
      <c r="AV654" s="208" t="e">
        <f t="shared" si="1245"/>
        <v>#VALUE!</v>
      </c>
      <c r="AW654" s="201" t="str">
        <f t="shared" si="1246"/>
        <v>Fase de Degradação</v>
      </c>
      <c r="AX654" s="253" t="e">
        <f>VLOOKUP(D654,#REF!,5,FALSE)</f>
        <v>#REF!</v>
      </c>
      <c r="AY654" s="201"/>
      <c r="AZ654" s="273" t="s">
        <v>1224</v>
      </c>
      <c r="BB654">
        <f>IFERROR(VLOOKUP(Tabela1[[#This Row],[Denominação]],[10]Planilha1!$A:$B,2,FALSE),"")</f>
        <v>372408.84000000008</v>
      </c>
      <c r="BC654" s="219"/>
      <c r="BD654" s="219"/>
      <c r="BE654" s="219"/>
      <c r="BF654" s="219"/>
      <c r="BG654" s="219"/>
      <c r="BH654" s="219"/>
      <c r="BI654" s="219"/>
      <c r="BJ654" s="219"/>
      <c r="BK654" s="219"/>
      <c r="BL654" s="219"/>
    </row>
    <row r="655" spans="1:64" hidden="1" x14ac:dyDescent="0.3">
      <c r="A655" s="268">
        <v>654</v>
      </c>
      <c r="B655" s="201" t="s">
        <v>1203</v>
      </c>
      <c r="C655" s="211" t="s">
        <v>1204</v>
      </c>
      <c r="D655" s="201">
        <v>10006749</v>
      </c>
      <c r="E655" s="253" t="s">
        <v>1564</v>
      </c>
      <c r="F655" s="253">
        <v>4715</v>
      </c>
      <c r="G655" s="201">
        <v>55773</v>
      </c>
      <c r="H655" s="201">
        <v>2021</v>
      </c>
      <c r="I655" s="216">
        <v>477784.89</v>
      </c>
      <c r="J655" s="214">
        <v>428590</v>
      </c>
      <c r="K655" s="170">
        <v>39224.930000000008</v>
      </c>
      <c r="L655" s="207">
        <v>1.46</v>
      </c>
      <c r="M655" s="212">
        <v>5000</v>
      </c>
      <c r="N655" s="212">
        <v>9688</v>
      </c>
      <c r="O655" s="171">
        <v>37</v>
      </c>
      <c r="P655" s="271" t="str">
        <f>IFERROR(VLOOKUP(Tabela1[[#This Row],[TAG]],#REF!,14,FALSE),"")</f>
        <v/>
      </c>
      <c r="Q655" s="204" t="e">
        <f t="shared" si="1256"/>
        <v>#VALUE!</v>
      </c>
      <c r="R655" s="204" t="e">
        <f t="shared" si="1257"/>
        <v>#VALUE!</v>
      </c>
      <c r="S655" s="204" t="e">
        <f t="shared" si="1258"/>
        <v>#VALUE!</v>
      </c>
      <c r="T655" s="204" t="e">
        <f t="shared" si="1259"/>
        <v>#VALUE!</v>
      </c>
      <c r="U655" s="204" t="e">
        <f t="shared" si="1260"/>
        <v>#VALUE!</v>
      </c>
      <c r="V655" s="204" t="e">
        <f t="shared" si="1261"/>
        <v>#VALUE!</v>
      </c>
      <c r="W655" s="218">
        <v>871.24</v>
      </c>
      <c r="X655" s="218">
        <v>2902.77</v>
      </c>
      <c r="Y655" s="203">
        <v>0.1</v>
      </c>
      <c r="Z655" s="203">
        <f>IF(Tabela1[[#This Row],[Ano Aquisição]]=2023,0,IFERROR(VLOOKUP(H655,inflação!$F:$H,3,FALSE),""))</f>
        <v>0.1585</v>
      </c>
      <c r="AA655" s="203">
        <v>0.8</v>
      </c>
      <c r="AB655" s="202">
        <f t="shared" si="1239"/>
        <v>-477784.89</v>
      </c>
      <c r="AC655" s="204" t="e">
        <f t="shared" si="1262"/>
        <v>#VALUE!</v>
      </c>
      <c r="AD655" s="204" t="e">
        <f t="shared" si="1263"/>
        <v>#VALUE!</v>
      </c>
      <c r="AE655" s="204" t="e">
        <f t="shared" si="1264"/>
        <v>#VALUE!</v>
      </c>
      <c r="AF655" s="204" t="e">
        <f t="shared" si="1265"/>
        <v>#VALUE!</v>
      </c>
      <c r="AG655" s="204" t="e">
        <f t="shared" si="1266"/>
        <v>#VALUE!</v>
      </c>
      <c r="AH655" s="204" t="e">
        <f t="shared" si="1267"/>
        <v>#VALUE!</v>
      </c>
      <c r="AI655" s="204" t="e">
        <f t="shared" si="1268"/>
        <v>#VALUE!</v>
      </c>
      <c r="AJ655" s="205">
        <f t="shared" si="1241"/>
        <v>-553513.79506500007</v>
      </c>
      <c r="AK655" s="204" t="e">
        <f t="shared" si="1269"/>
        <v>#VALUE!</v>
      </c>
      <c r="AL655" s="204" t="e">
        <f t="shared" si="1270"/>
        <v>#VALUE!</v>
      </c>
      <c r="AM655" s="204" t="e">
        <f t="shared" si="1271"/>
        <v>#VALUE!</v>
      </c>
      <c r="AN655" s="204" t="e">
        <f t="shared" si="1272"/>
        <v>#VALUE!</v>
      </c>
      <c r="AO655" s="204" t="e">
        <f t="shared" si="1273"/>
        <v>#VALUE!</v>
      </c>
      <c r="AP655" s="204" t="e">
        <f t="shared" si="1274"/>
        <v>#VALUE!</v>
      </c>
      <c r="AQ655" s="204" t="e">
        <f t="shared" si="1275"/>
        <v>#VALUE!</v>
      </c>
      <c r="AR655" s="206" t="e">
        <f t="shared" si="1243"/>
        <v>#VALUE!</v>
      </c>
      <c r="AS655" s="170" t="e">
        <f t="shared" si="1276"/>
        <v>#VALUE!</v>
      </c>
      <c r="AT655" s="170" t="e">
        <f t="shared" si="1277"/>
        <v>#VALUE!</v>
      </c>
      <c r="AU655" s="207" t="e">
        <f t="shared" si="1244"/>
        <v>#VALUE!</v>
      </c>
      <c r="AV655" s="208" t="e">
        <f t="shared" si="1245"/>
        <v>#VALUE!</v>
      </c>
      <c r="AW655" s="201" t="str">
        <f t="shared" si="1246"/>
        <v>Fase de Degradação</v>
      </c>
      <c r="AX655" s="253" t="e">
        <f>VLOOKUP(D655,#REF!,5,FALSE)</f>
        <v>#REF!</v>
      </c>
      <c r="AY655" s="201"/>
      <c r="AZ655" s="273" t="s">
        <v>1224</v>
      </c>
      <c r="BB655">
        <f>IFERROR(VLOOKUP(Tabela1[[#This Row],[Denominação]],[10]Planilha1!$A:$B,2,FALSE),"")</f>
        <v>39224.930000000008</v>
      </c>
      <c r="BC655" s="219"/>
      <c r="BD655" s="219"/>
      <c r="BE655" s="219"/>
      <c r="BF655" s="219"/>
      <c r="BG655" s="219"/>
      <c r="BH655" s="219"/>
      <c r="BI655" s="219"/>
      <c r="BJ655" s="219"/>
      <c r="BK655" s="219"/>
      <c r="BL655" s="219"/>
    </row>
    <row r="656" spans="1:64" hidden="1" x14ac:dyDescent="0.3">
      <c r="A656" s="253">
        <v>655</v>
      </c>
      <c r="B656" s="255" t="s">
        <v>1886</v>
      </c>
      <c r="C656" s="256" t="s">
        <v>1754</v>
      </c>
      <c r="D656" s="201">
        <v>10006783</v>
      </c>
      <c r="E656" s="253" t="s">
        <v>1797</v>
      </c>
      <c r="F656" s="253">
        <v>2514</v>
      </c>
      <c r="G656" s="201">
        <v>56277</v>
      </c>
      <c r="H656" s="201">
        <v>2022</v>
      </c>
      <c r="I656" s="216">
        <v>231710.59</v>
      </c>
      <c r="J656" s="214">
        <v>212795</v>
      </c>
      <c r="K656" s="170">
        <v>22083.56</v>
      </c>
      <c r="L656" s="207">
        <v>1.28</v>
      </c>
      <c r="M656" s="320">
        <v>6831</v>
      </c>
      <c r="N656" s="212">
        <v>6419</v>
      </c>
      <c r="O656" s="171">
        <v>16</v>
      </c>
      <c r="P656" s="271" t="str">
        <f>IFERROR(VLOOKUP(Tabela1[[#This Row],[TAG]],#REF!,14,FALSE),"")</f>
        <v/>
      </c>
      <c r="Q656" s="204" t="e">
        <f t="shared" ref="Q656" si="1278">P656+P656</f>
        <v>#VALUE!</v>
      </c>
      <c r="R656" s="204" t="e">
        <f t="shared" ref="R656" si="1279">Q656+P656</f>
        <v>#VALUE!</v>
      </c>
      <c r="S656" s="204" t="e">
        <f t="shared" ref="S656" si="1280">R656+P656</f>
        <v>#VALUE!</v>
      </c>
      <c r="T656" s="204" t="e">
        <f t="shared" ref="T656" si="1281">S656+P656</f>
        <v>#VALUE!</v>
      </c>
      <c r="U656" s="204" t="e">
        <f t="shared" ref="U656" si="1282">T656+P656</f>
        <v>#VALUE!</v>
      </c>
      <c r="V656" s="204" t="e">
        <f t="shared" ref="V656" si="1283">U656+P656</f>
        <v>#VALUE!</v>
      </c>
      <c r="W656" s="304">
        <v>815.12</v>
      </c>
      <c r="X656" s="304">
        <v>3134.49</v>
      </c>
      <c r="Y656" s="203">
        <v>0.1</v>
      </c>
      <c r="Z656" s="203">
        <f>IF(Tabela1[[#This Row],[Ano Aquisição]]=2023,0,IFERROR(VLOOKUP(H656,inflação!$F:$H,3,FALSE),""))</f>
        <v>5.79E-2</v>
      </c>
      <c r="AA656" s="203">
        <v>0.8</v>
      </c>
      <c r="AB656" s="202">
        <f t="shared" si="1239"/>
        <v>-231710.59</v>
      </c>
      <c r="AC656" s="204" t="e">
        <f t="shared" ref="AC656" si="1284">-(((P656*$W656)+($X656*12))*((1+$Y656)^AC$1))</f>
        <v>#VALUE!</v>
      </c>
      <c r="AD656" s="204" t="e">
        <f t="shared" ref="AD656" si="1285">-((((Q656-P656)*$W656)+($X656*12))*((1+$Y656)^AD$1))</f>
        <v>#VALUE!</v>
      </c>
      <c r="AE656" s="204" t="e">
        <f t="shared" ref="AE656" si="1286">-((((R656-Q656)*$W656)+($X656*12))*((1+$Y656)^AE$1))</f>
        <v>#VALUE!</v>
      </c>
      <c r="AF656" s="204" t="e">
        <f t="shared" ref="AF656" si="1287">-((((S656-R656)*$W656)+($X656*12))*((1+$Y656)^AF$1))</f>
        <v>#VALUE!</v>
      </c>
      <c r="AG656" s="204" t="e">
        <f t="shared" ref="AG656" si="1288">-((((T656-S656)*$W656)+($X656*12))*((1+$Y656)^AG$1))</f>
        <v>#VALUE!</v>
      </c>
      <c r="AH656" s="204" t="e">
        <f t="shared" ref="AH656" si="1289">-((((U656-T656)*$W656)+($X656*12))*((1+$Y656)^AH$1))</f>
        <v>#VALUE!</v>
      </c>
      <c r="AI656" s="204" t="e">
        <f t="shared" ref="AI656" si="1290">-((((V656-U656)*$W656)+($X656*12))*((1+$Y656)^AI$1))</f>
        <v>#VALUE!</v>
      </c>
      <c r="AJ656" s="205">
        <f t="shared" si="1241"/>
        <v>-245126.63316100001</v>
      </c>
      <c r="AK656" s="204" t="e">
        <f t="shared" ref="AK656" si="1291">AC656*(1-$AA656)</f>
        <v>#VALUE!</v>
      </c>
      <c r="AL656" s="204" t="e">
        <f t="shared" ref="AL656" si="1292">AD656*(1-$AA656)</f>
        <v>#VALUE!</v>
      </c>
      <c r="AM656" s="204" t="e">
        <f t="shared" ref="AM656" si="1293">AE656*(1-$AA656)</f>
        <v>#VALUE!</v>
      </c>
      <c r="AN656" s="204" t="e">
        <f t="shared" ref="AN656" si="1294">AF656*(1-$AA656)</f>
        <v>#VALUE!</v>
      </c>
      <c r="AO656" s="204" t="e">
        <f t="shared" ref="AO656" si="1295">AG656*(1-$AA656)</f>
        <v>#VALUE!</v>
      </c>
      <c r="AP656" s="204" t="e">
        <f t="shared" ref="AP656" si="1296">AH656*(1-$AA656)</f>
        <v>#VALUE!</v>
      </c>
      <c r="AQ656" s="204" t="e">
        <f t="shared" ref="AQ656" si="1297">AI656*(1-$AA656)</f>
        <v>#VALUE!</v>
      </c>
      <c r="AR656" s="206" t="e">
        <f t="shared" si="1243"/>
        <v>#VALUE!</v>
      </c>
      <c r="AS656" s="170" t="e">
        <f t="shared" ref="AS656" si="1298">SUM(AC656:AI656)</f>
        <v>#VALUE!</v>
      </c>
      <c r="AT656" s="170" t="e">
        <f t="shared" ref="AT656" si="1299">SUM(AK656:AQ656)</f>
        <v>#VALUE!</v>
      </c>
      <c r="AU656" s="207" t="e">
        <f t="shared" si="1244"/>
        <v>#VALUE!</v>
      </c>
      <c r="AV656" s="208" t="e">
        <f t="shared" si="1245"/>
        <v>#VALUE!</v>
      </c>
      <c r="AW656" s="201" t="str">
        <f t="shared" si="1246"/>
        <v>Fase de Degradação</v>
      </c>
      <c r="AX656" s="253" t="e">
        <f>VLOOKUP(D656,#REF!,5,FALSE)</f>
        <v>#REF!</v>
      </c>
      <c r="AY656" s="201"/>
      <c r="AZ656" s="273" t="s">
        <v>1224</v>
      </c>
      <c r="BB656">
        <f>IFERROR(VLOOKUP(Tabela1[[#This Row],[Denominação]],[10]Planilha1!$A:$B,2,FALSE),"")</f>
        <v>22083.56</v>
      </c>
      <c r="BC656" s="219"/>
      <c r="BD656" s="219"/>
      <c r="BE656" s="219"/>
      <c r="BF656" s="219"/>
      <c r="BG656" s="219"/>
      <c r="BH656" s="219"/>
      <c r="BI656" s="219"/>
      <c r="BJ656" s="219"/>
      <c r="BK656" s="219"/>
      <c r="BL656" s="219"/>
    </row>
    <row r="657" spans="1:64" hidden="1" x14ac:dyDescent="0.3">
      <c r="A657" s="268">
        <v>656</v>
      </c>
      <c r="B657" s="171" t="s">
        <v>379</v>
      </c>
      <c r="C657" s="209" t="s">
        <v>200</v>
      </c>
      <c r="D657" s="171">
        <v>10000602</v>
      </c>
      <c r="E657" s="253" t="s">
        <v>1565</v>
      </c>
      <c r="F657" s="210">
        <v>2522</v>
      </c>
      <c r="G657" s="171">
        <v>20215</v>
      </c>
      <c r="H657" s="171">
        <v>1996</v>
      </c>
      <c r="I657" s="213">
        <v>232228.07</v>
      </c>
      <c r="J657" s="213">
        <v>3621</v>
      </c>
      <c r="K657" s="170">
        <v>2542725.5399999903</v>
      </c>
      <c r="L657" s="215">
        <v>1.03</v>
      </c>
      <c r="M657" s="307">
        <v>4795.2647999999999</v>
      </c>
      <c r="N657" s="212">
        <v>198852</v>
      </c>
      <c r="O657" s="171">
        <v>1174</v>
      </c>
      <c r="P657" s="271" t="str">
        <f>IFERROR(VLOOKUP(Tabela1[[#This Row],[TAG]],#REF!,14,FALSE),"")</f>
        <v/>
      </c>
      <c r="Q657" s="204" t="e">
        <f t="shared" ref="Q657:Q674" si="1300">P657+P657</f>
        <v>#VALUE!</v>
      </c>
      <c r="R657" s="204" t="e">
        <f t="shared" ref="R657:R674" si="1301">Q657+P657</f>
        <v>#VALUE!</v>
      </c>
      <c r="S657" s="204" t="e">
        <f t="shared" ref="S657:S674" si="1302">R657+P657</f>
        <v>#VALUE!</v>
      </c>
      <c r="T657" s="204" t="e">
        <f t="shared" ref="T657:T674" si="1303">S657+P657</f>
        <v>#VALUE!</v>
      </c>
      <c r="U657" s="204" t="e">
        <f t="shared" ref="U657:U674" si="1304">T657+P657</f>
        <v>#VALUE!</v>
      </c>
      <c r="V657" s="204" t="e">
        <f t="shared" ref="V657:V674" si="1305">U657+P657</f>
        <v>#VALUE!</v>
      </c>
      <c r="W657" s="304">
        <v>1165.96</v>
      </c>
      <c r="X657" s="304">
        <v>11254</v>
      </c>
      <c r="Y657" s="203">
        <v>0.1</v>
      </c>
      <c r="Z657" s="203">
        <f>IF(Tabela1[[#This Row],[Ano Aquisição]]=2023,0,IFERROR(VLOOKUP(H657,inflação!$F:$H,3,FALSE),""))</f>
        <v>1.7084999999999999</v>
      </c>
      <c r="AA657" s="203">
        <v>0.8</v>
      </c>
      <c r="AB657" s="202">
        <f t="shared" si="1239"/>
        <v>-232228.07</v>
      </c>
      <c r="AC657" s="204" t="e">
        <f t="shared" ref="AC657:AC674" si="1306">-(((P657*$W657)+($X657*12))*((1+$Y657)^AC$1))</f>
        <v>#VALUE!</v>
      </c>
      <c r="AD657" s="204" t="e">
        <f t="shared" ref="AD657:AD674" si="1307">-((((Q657-P657)*$W657)+($X657*12))*((1+$Y657)^AD$1))</f>
        <v>#VALUE!</v>
      </c>
      <c r="AE657" s="204" t="e">
        <f t="shared" ref="AE657:AE674" si="1308">-((((R657-Q657)*$W657)+($X657*12))*((1+$Y657)^AE$1))</f>
        <v>#VALUE!</v>
      </c>
      <c r="AF657" s="204" t="e">
        <f t="shared" ref="AF657:AF674" si="1309">-((((S657-R657)*$W657)+($X657*12))*((1+$Y657)^AF$1))</f>
        <v>#VALUE!</v>
      </c>
      <c r="AG657" s="204" t="e">
        <f t="shared" ref="AG657:AG674" si="1310">-((((T657-S657)*$W657)+($X657*12))*((1+$Y657)^AG$1))</f>
        <v>#VALUE!</v>
      </c>
      <c r="AH657" s="204" t="e">
        <f t="shared" ref="AH657:AH674" si="1311">-((((U657-T657)*$W657)+($X657*12))*((1+$Y657)^AH$1))</f>
        <v>#VALUE!</v>
      </c>
      <c r="AI657" s="204" t="e">
        <f t="shared" ref="AI657:AI674" si="1312">-((((V657-U657)*$W657)+($X657*12))*((1+$Y657)^AI$1))</f>
        <v>#VALUE!</v>
      </c>
      <c r="AJ657" s="205">
        <f t="shared" si="1241"/>
        <v>-628989.72759499995</v>
      </c>
      <c r="AK657" s="204" t="e">
        <f t="shared" ref="AK657:AK674" si="1313">AC657*(1-$AA657)</f>
        <v>#VALUE!</v>
      </c>
      <c r="AL657" s="204" t="e">
        <f t="shared" ref="AL657:AL674" si="1314">AD657*(1-$AA657)</f>
        <v>#VALUE!</v>
      </c>
      <c r="AM657" s="204" t="e">
        <f t="shared" ref="AM657:AM674" si="1315">AE657*(1-$AA657)</f>
        <v>#VALUE!</v>
      </c>
      <c r="AN657" s="204" t="e">
        <f t="shared" ref="AN657:AN674" si="1316">AF657*(1-$AA657)</f>
        <v>#VALUE!</v>
      </c>
      <c r="AO657" s="204" t="e">
        <f t="shared" ref="AO657:AO674" si="1317">AG657*(1-$AA657)</f>
        <v>#VALUE!</v>
      </c>
      <c r="AP657" s="204" t="e">
        <f t="shared" ref="AP657:AP674" si="1318">AH657*(1-$AA657)</f>
        <v>#VALUE!</v>
      </c>
      <c r="AQ657" s="204" t="e">
        <f t="shared" ref="AQ657:AQ674" si="1319">AI657*(1-$AA657)</f>
        <v>#VALUE!</v>
      </c>
      <c r="AR657" s="206" t="e">
        <f t="shared" si="1243"/>
        <v>#VALUE!</v>
      </c>
      <c r="AS657" s="170" t="e">
        <f t="shared" ref="AS657:AS674" si="1320">SUM(AC657:AI657)</f>
        <v>#VALUE!</v>
      </c>
      <c r="AT657" s="170" t="e">
        <f t="shared" ref="AT657:AT674" si="1321">SUM(AK657:AQ657)</f>
        <v>#VALUE!</v>
      </c>
      <c r="AU657" s="207" t="e">
        <f t="shared" si="1244"/>
        <v>#VALUE!</v>
      </c>
      <c r="AV657" s="208" t="e">
        <f t="shared" si="1245"/>
        <v>#VALUE!</v>
      </c>
      <c r="AW657" s="201" t="str">
        <f t="shared" si="1246"/>
        <v>Fase de Vida Útil</v>
      </c>
      <c r="AX657" s="253" t="e">
        <f>VLOOKUP(D657,#REF!,5,FALSE)</f>
        <v>#REF!</v>
      </c>
      <c r="AY657" s="201"/>
      <c r="AZ657" s="273" t="s">
        <v>1224</v>
      </c>
      <c r="BB657">
        <f>IFERROR(VLOOKUP(Tabela1[[#This Row],[Denominação]],[10]Planilha1!$A:$B,2,FALSE),"")</f>
        <v>2542725.5399999903</v>
      </c>
      <c r="BC657" s="219"/>
      <c r="BD657" s="219"/>
      <c r="BE657" s="219"/>
      <c r="BF657" s="219"/>
      <c r="BG657" s="219"/>
      <c r="BH657" s="219"/>
      <c r="BI657" s="219"/>
      <c r="BJ657" s="219"/>
      <c r="BK657" s="219"/>
      <c r="BL657" s="219"/>
    </row>
    <row r="658" spans="1:64" hidden="1" x14ac:dyDescent="0.3">
      <c r="A658" s="253">
        <v>657</v>
      </c>
      <c r="B658" s="201" t="s">
        <v>1205</v>
      </c>
      <c r="C658" s="211" t="s">
        <v>1206</v>
      </c>
      <c r="D658" s="201">
        <v>10001262</v>
      </c>
      <c r="E658" s="253" t="s">
        <v>1278</v>
      </c>
      <c r="F658" s="253">
        <v>1074</v>
      </c>
      <c r="G658" s="201">
        <v>20388</v>
      </c>
      <c r="H658" s="201">
        <v>1999</v>
      </c>
      <c r="I658" s="216">
        <v>45063.79</v>
      </c>
      <c r="J658" s="214">
        <v>3572</v>
      </c>
      <c r="K658" s="170">
        <v>41149.329999999994</v>
      </c>
      <c r="L658" s="207">
        <v>0.81</v>
      </c>
      <c r="M658" s="212">
        <v>4116</v>
      </c>
      <c r="N658" s="212">
        <v>147062</v>
      </c>
      <c r="O658" s="171">
        <v>68</v>
      </c>
      <c r="P658" s="271" t="str">
        <f>IFERROR(VLOOKUP(Tabela1[[#This Row],[TAG]],#REF!,14,FALSE),"")</f>
        <v/>
      </c>
      <c r="Q658" s="204" t="e">
        <f t="shared" si="1300"/>
        <v>#VALUE!</v>
      </c>
      <c r="R658" s="204" t="e">
        <f t="shared" si="1301"/>
        <v>#VALUE!</v>
      </c>
      <c r="S658" s="204" t="e">
        <f t="shared" si="1302"/>
        <v>#VALUE!</v>
      </c>
      <c r="T658" s="204" t="e">
        <f t="shared" si="1303"/>
        <v>#VALUE!</v>
      </c>
      <c r="U658" s="204" t="e">
        <f t="shared" si="1304"/>
        <v>#VALUE!</v>
      </c>
      <c r="V658" s="204" t="e">
        <f t="shared" si="1305"/>
        <v>#VALUE!</v>
      </c>
      <c r="W658" s="218">
        <v>267.93</v>
      </c>
      <c r="X658" s="170">
        <v>324.0738888888888</v>
      </c>
      <c r="Y658" s="203">
        <v>0.1</v>
      </c>
      <c r="Z658" s="203">
        <f>IF(Tabela1[[#This Row],[Ano Aquisição]]=2023,0,IFERROR(VLOOKUP(H658,inflação!$F:$H,3,FALSE),""))</f>
        <v>1.5442</v>
      </c>
      <c r="AA658" s="203">
        <v>0.8</v>
      </c>
      <c r="AB658" s="202">
        <f t="shared" si="1239"/>
        <v>-45063.79</v>
      </c>
      <c r="AC658" s="204" t="e">
        <f t="shared" si="1306"/>
        <v>#VALUE!</v>
      </c>
      <c r="AD658" s="204" t="e">
        <f t="shared" si="1307"/>
        <v>#VALUE!</v>
      </c>
      <c r="AE658" s="204" t="e">
        <f t="shared" si="1308"/>
        <v>#VALUE!</v>
      </c>
      <c r="AF658" s="204" t="e">
        <f t="shared" si="1309"/>
        <v>#VALUE!</v>
      </c>
      <c r="AG658" s="204" t="e">
        <f t="shared" si="1310"/>
        <v>#VALUE!</v>
      </c>
      <c r="AH658" s="204" t="e">
        <f t="shared" si="1311"/>
        <v>#VALUE!</v>
      </c>
      <c r="AI658" s="204" t="e">
        <f t="shared" si="1312"/>
        <v>#VALUE!</v>
      </c>
      <c r="AJ658" s="205">
        <f t="shared" si="1241"/>
        <v>-114651.29451800001</v>
      </c>
      <c r="AK658" s="204" t="e">
        <f t="shared" si="1313"/>
        <v>#VALUE!</v>
      </c>
      <c r="AL658" s="204" t="e">
        <f t="shared" si="1314"/>
        <v>#VALUE!</v>
      </c>
      <c r="AM658" s="204" t="e">
        <f t="shared" si="1315"/>
        <v>#VALUE!</v>
      </c>
      <c r="AN658" s="204" t="e">
        <f t="shared" si="1316"/>
        <v>#VALUE!</v>
      </c>
      <c r="AO658" s="204" t="e">
        <f t="shared" si="1317"/>
        <v>#VALUE!</v>
      </c>
      <c r="AP658" s="204" t="e">
        <f t="shared" si="1318"/>
        <v>#VALUE!</v>
      </c>
      <c r="AQ658" s="204" t="e">
        <f t="shared" si="1319"/>
        <v>#VALUE!</v>
      </c>
      <c r="AR658" s="206" t="e">
        <f t="shared" si="1243"/>
        <v>#VALUE!</v>
      </c>
      <c r="AS658" s="170" t="e">
        <f t="shared" si="1320"/>
        <v>#VALUE!</v>
      </c>
      <c r="AT658" s="170" t="e">
        <f t="shared" si="1321"/>
        <v>#VALUE!</v>
      </c>
      <c r="AU658" s="207" t="e">
        <f t="shared" si="1244"/>
        <v>#VALUE!</v>
      </c>
      <c r="AV658" s="208" t="e">
        <f t="shared" si="1245"/>
        <v>#VALUE!</v>
      </c>
      <c r="AW658" s="201" t="str">
        <f t="shared" si="1246"/>
        <v>Confiabilidade em Crescimento</v>
      </c>
      <c r="AX658" s="253" t="e">
        <f>VLOOKUP(D658,#REF!,5,FALSE)</f>
        <v>#REF!</v>
      </c>
      <c r="AY658" s="201"/>
      <c r="AZ658" s="273" t="s">
        <v>1224</v>
      </c>
      <c r="BB658">
        <f>IFERROR(VLOOKUP(Tabela1[[#This Row],[Denominação]],[10]Planilha1!$A:$B,2,FALSE),"")</f>
        <v>41149.329999999994</v>
      </c>
      <c r="BC658" s="219"/>
      <c r="BD658" s="219"/>
      <c r="BE658" s="219"/>
      <c r="BF658" s="219"/>
      <c r="BG658" s="219"/>
      <c r="BH658" s="219"/>
      <c r="BI658" s="219"/>
      <c r="BJ658" s="219"/>
      <c r="BK658" s="219"/>
      <c r="BL658" s="219"/>
    </row>
    <row r="659" spans="1:64" hidden="1" x14ac:dyDescent="0.3">
      <c r="A659" s="268">
        <v>658</v>
      </c>
      <c r="B659" s="171" t="s">
        <v>402</v>
      </c>
      <c r="C659" s="209" t="s">
        <v>223</v>
      </c>
      <c r="D659" s="171">
        <v>10003178</v>
      </c>
      <c r="E659" s="253" t="s">
        <v>1545</v>
      </c>
      <c r="F659" s="210">
        <v>3350</v>
      </c>
      <c r="G659" s="171">
        <v>20566</v>
      </c>
      <c r="H659" s="171">
        <v>2003</v>
      </c>
      <c r="I659" s="213">
        <v>840125.41</v>
      </c>
      <c r="J659" s="213">
        <v>17732</v>
      </c>
      <c r="K659" s="170">
        <v>735110.06000000087</v>
      </c>
      <c r="L659" s="207">
        <v>2.11</v>
      </c>
      <c r="M659" s="212">
        <v>5334.3047999999999</v>
      </c>
      <c r="N659" s="212">
        <v>179409</v>
      </c>
      <c r="O659" s="171">
        <v>722</v>
      </c>
      <c r="P659" s="271" t="str">
        <f>IFERROR(VLOOKUP(Tabela1[[#This Row],[TAG]],#REF!,14,FALSE),"")</f>
        <v/>
      </c>
      <c r="Q659" s="204" t="e">
        <f t="shared" si="1300"/>
        <v>#VALUE!</v>
      </c>
      <c r="R659" s="204" t="e">
        <f t="shared" si="1301"/>
        <v>#VALUE!</v>
      </c>
      <c r="S659" s="204" t="e">
        <f t="shared" si="1302"/>
        <v>#VALUE!</v>
      </c>
      <c r="T659" s="204" t="e">
        <f t="shared" si="1303"/>
        <v>#VALUE!</v>
      </c>
      <c r="U659" s="204" t="e">
        <f t="shared" si="1304"/>
        <v>#VALUE!</v>
      </c>
      <c r="V659" s="204" t="e">
        <f t="shared" si="1305"/>
        <v>#VALUE!</v>
      </c>
      <c r="W659" s="218">
        <v>739.4</v>
      </c>
      <c r="X659" s="218">
        <v>4548.63</v>
      </c>
      <c r="Y659" s="203">
        <v>0.1</v>
      </c>
      <c r="Z659" s="203">
        <f>IF(Tabela1[[#This Row],[Ano Aquisição]]=2023,0,IFERROR(VLOOKUP(H659,inflação!$F:$H,3,FALSE),""))</f>
        <v>1.1931</v>
      </c>
      <c r="AA659" s="203">
        <v>0.8</v>
      </c>
      <c r="AB659" s="202">
        <f t="shared" si="1239"/>
        <v>-840125.41</v>
      </c>
      <c r="AC659" s="204" t="e">
        <f t="shared" si="1306"/>
        <v>#VALUE!</v>
      </c>
      <c r="AD659" s="204" t="e">
        <f t="shared" si="1307"/>
        <v>#VALUE!</v>
      </c>
      <c r="AE659" s="204" t="e">
        <f t="shared" si="1308"/>
        <v>#VALUE!</v>
      </c>
      <c r="AF659" s="204" t="e">
        <f t="shared" si="1309"/>
        <v>#VALUE!</v>
      </c>
      <c r="AG659" s="204" t="e">
        <f t="shared" si="1310"/>
        <v>#VALUE!</v>
      </c>
      <c r="AH659" s="204" t="e">
        <f t="shared" si="1311"/>
        <v>#VALUE!</v>
      </c>
      <c r="AI659" s="204" t="e">
        <f t="shared" si="1312"/>
        <v>#VALUE!</v>
      </c>
      <c r="AJ659" s="205">
        <f t="shared" si="1241"/>
        <v>-1842479.0366710003</v>
      </c>
      <c r="AK659" s="204" t="e">
        <f t="shared" si="1313"/>
        <v>#VALUE!</v>
      </c>
      <c r="AL659" s="204" t="e">
        <f t="shared" si="1314"/>
        <v>#VALUE!</v>
      </c>
      <c r="AM659" s="204" t="e">
        <f t="shared" si="1315"/>
        <v>#VALUE!</v>
      </c>
      <c r="AN659" s="204" t="e">
        <f t="shared" si="1316"/>
        <v>#VALUE!</v>
      </c>
      <c r="AO659" s="204" t="e">
        <f t="shared" si="1317"/>
        <v>#VALUE!</v>
      </c>
      <c r="AP659" s="204" t="e">
        <f t="shared" si="1318"/>
        <v>#VALUE!</v>
      </c>
      <c r="AQ659" s="204" t="e">
        <f t="shared" si="1319"/>
        <v>#VALUE!</v>
      </c>
      <c r="AR659" s="206" t="e">
        <f t="shared" si="1243"/>
        <v>#VALUE!</v>
      </c>
      <c r="AS659" s="170" t="e">
        <f t="shared" si="1320"/>
        <v>#VALUE!</v>
      </c>
      <c r="AT659" s="170" t="e">
        <f t="shared" si="1321"/>
        <v>#VALUE!</v>
      </c>
      <c r="AU659" s="207" t="e">
        <f t="shared" si="1244"/>
        <v>#VALUE!</v>
      </c>
      <c r="AV659" s="208" t="e">
        <f t="shared" si="1245"/>
        <v>#VALUE!</v>
      </c>
      <c r="AW659" s="201" t="str">
        <f t="shared" si="1246"/>
        <v>Fase de Degradação</v>
      </c>
      <c r="AX659" s="253" t="e">
        <f>VLOOKUP(D659,#REF!,5,FALSE)</f>
        <v>#REF!</v>
      </c>
      <c r="AY659" s="201"/>
      <c r="AZ659" s="273" t="s">
        <v>1224</v>
      </c>
      <c r="BB659">
        <f>IFERROR(VLOOKUP(Tabela1[[#This Row],[Denominação]],[10]Planilha1!$A:$B,2,FALSE),"")</f>
        <v>735110.06000000087</v>
      </c>
      <c r="BC659" s="219"/>
      <c r="BD659" s="219"/>
      <c r="BE659" s="219"/>
      <c r="BF659" s="219"/>
      <c r="BG659" s="219"/>
      <c r="BH659" s="219"/>
      <c r="BI659" s="219"/>
      <c r="BJ659" s="219"/>
      <c r="BK659" s="219"/>
      <c r="BL659" s="219"/>
    </row>
    <row r="660" spans="1:64" hidden="1" x14ac:dyDescent="0.3">
      <c r="A660" s="253">
        <v>659</v>
      </c>
      <c r="B660" s="171" t="s">
        <v>420</v>
      </c>
      <c r="C660" s="209" t="s">
        <v>738</v>
      </c>
      <c r="D660" s="171">
        <v>10004151</v>
      </c>
      <c r="E660" s="253" t="s">
        <v>1566</v>
      </c>
      <c r="F660" s="210">
        <v>2378</v>
      </c>
      <c r="G660" s="171">
        <v>33918</v>
      </c>
      <c r="H660" s="171">
        <v>2005</v>
      </c>
      <c r="I660" s="213">
        <v>453503.53</v>
      </c>
      <c r="J660" s="213">
        <v>117648</v>
      </c>
      <c r="K660" s="170">
        <v>638465.9799999994</v>
      </c>
      <c r="L660" s="215">
        <v>2.15</v>
      </c>
      <c r="M660" s="212">
        <v>4899.6480000000001</v>
      </c>
      <c r="N660" s="212">
        <v>149682</v>
      </c>
      <c r="O660" s="171">
        <v>778</v>
      </c>
      <c r="P660" s="271" t="str">
        <f>IFERROR(VLOOKUP(Tabela1[[#This Row],[TAG]],#REF!,14,FALSE),"")</f>
        <v/>
      </c>
      <c r="Q660" s="262" t="e">
        <f t="shared" si="1300"/>
        <v>#VALUE!</v>
      </c>
      <c r="R660" s="262" t="e">
        <f t="shared" si="1301"/>
        <v>#VALUE!</v>
      </c>
      <c r="S660" s="262" t="e">
        <f t="shared" si="1302"/>
        <v>#VALUE!</v>
      </c>
      <c r="T660" s="262" t="e">
        <f t="shared" si="1303"/>
        <v>#VALUE!</v>
      </c>
      <c r="U660" s="262" t="e">
        <f t="shared" si="1304"/>
        <v>#VALUE!</v>
      </c>
      <c r="V660" s="262" t="e">
        <f t="shared" si="1305"/>
        <v>#VALUE!</v>
      </c>
      <c r="W660" s="218">
        <v>481.54</v>
      </c>
      <c r="X660" s="218">
        <v>3024.43</v>
      </c>
      <c r="Y660" s="203">
        <v>0.1</v>
      </c>
      <c r="Z660" s="203">
        <f>IF(Tabela1[[#This Row],[Ano Aquisição]]=2023,0,IFERROR(VLOOKUP(H660,inflação!$F:$H,3,FALSE),""))</f>
        <v>1.0241</v>
      </c>
      <c r="AA660" s="203">
        <v>0.8</v>
      </c>
      <c r="AB660" s="202">
        <f t="shared" si="1239"/>
        <v>-453503.53</v>
      </c>
      <c r="AC660" s="204" t="e">
        <f t="shared" si="1306"/>
        <v>#VALUE!</v>
      </c>
      <c r="AD660" s="204" t="e">
        <f t="shared" si="1307"/>
        <v>#VALUE!</v>
      </c>
      <c r="AE660" s="204" t="e">
        <f t="shared" si="1308"/>
        <v>#VALUE!</v>
      </c>
      <c r="AF660" s="204" t="e">
        <f t="shared" si="1309"/>
        <v>#VALUE!</v>
      </c>
      <c r="AG660" s="204" t="e">
        <f t="shared" si="1310"/>
        <v>#VALUE!</v>
      </c>
      <c r="AH660" s="204" t="e">
        <f t="shared" si="1311"/>
        <v>#VALUE!</v>
      </c>
      <c r="AI660" s="204" t="e">
        <f t="shared" si="1312"/>
        <v>#VALUE!</v>
      </c>
      <c r="AJ660" s="205">
        <f t="shared" si="1241"/>
        <v>-917936.49507299997</v>
      </c>
      <c r="AK660" s="204" t="e">
        <f t="shared" si="1313"/>
        <v>#VALUE!</v>
      </c>
      <c r="AL660" s="204" t="e">
        <f t="shared" si="1314"/>
        <v>#VALUE!</v>
      </c>
      <c r="AM660" s="204" t="e">
        <f t="shared" si="1315"/>
        <v>#VALUE!</v>
      </c>
      <c r="AN660" s="204" t="e">
        <f t="shared" si="1316"/>
        <v>#VALUE!</v>
      </c>
      <c r="AO660" s="204" t="e">
        <f t="shared" si="1317"/>
        <v>#VALUE!</v>
      </c>
      <c r="AP660" s="204" t="e">
        <f t="shared" si="1318"/>
        <v>#VALUE!</v>
      </c>
      <c r="AQ660" s="204" t="e">
        <f t="shared" si="1319"/>
        <v>#VALUE!</v>
      </c>
      <c r="AR660" s="206" t="e">
        <f t="shared" si="1243"/>
        <v>#VALUE!</v>
      </c>
      <c r="AS660" s="170" t="e">
        <f t="shared" si="1320"/>
        <v>#VALUE!</v>
      </c>
      <c r="AT660" s="170" t="e">
        <f t="shared" si="1321"/>
        <v>#VALUE!</v>
      </c>
      <c r="AU660" s="207" t="e">
        <f t="shared" si="1244"/>
        <v>#VALUE!</v>
      </c>
      <c r="AV660" s="208" t="e">
        <f t="shared" si="1245"/>
        <v>#VALUE!</v>
      </c>
      <c r="AW660" s="201" t="str">
        <f t="shared" si="1246"/>
        <v>Fase de Degradação</v>
      </c>
      <c r="AX660" s="253" t="e">
        <f>VLOOKUP(D660,#REF!,5,FALSE)</f>
        <v>#REF!</v>
      </c>
      <c r="AY660" s="201"/>
      <c r="AZ660" s="273" t="s">
        <v>1224</v>
      </c>
      <c r="BB660">
        <f>IFERROR(VLOOKUP(Tabela1[[#This Row],[Denominação]],[10]Planilha1!$A:$B,2,FALSE),"")</f>
        <v>638465.9799999994</v>
      </c>
      <c r="BC660" s="219"/>
      <c r="BD660" s="219"/>
      <c r="BE660" s="219"/>
      <c r="BF660" s="219"/>
      <c r="BG660" s="219"/>
      <c r="BH660" s="219"/>
      <c r="BI660" s="219"/>
      <c r="BJ660" s="219"/>
      <c r="BK660" s="219"/>
      <c r="BL660" s="219"/>
    </row>
    <row r="661" spans="1:64" hidden="1" x14ac:dyDescent="0.3">
      <c r="A661" s="268">
        <v>660</v>
      </c>
      <c r="B661" s="171" t="s">
        <v>416</v>
      </c>
      <c r="C661" s="209" t="s">
        <v>237</v>
      </c>
      <c r="D661" s="171">
        <v>10004216</v>
      </c>
      <c r="E661" s="253" t="s">
        <v>1567</v>
      </c>
      <c r="F661" s="210">
        <v>4545</v>
      </c>
      <c r="G661" s="171">
        <v>34086</v>
      </c>
      <c r="H661" s="171">
        <v>2006</v>
      </c>
      <c r="I661" s="213">
        <v>518363.28</v>
      </c>
      <c r="J661" s="213">
        <v>0</v>
      </c>
      <c r="K661" s="170">
        <v>1043336.249999999</v>
      </c>
      <c r="L661" s="215">
        <v>1.38</v>
      </c>
      <c r="M661" s="212">
        <v>5276</v>
      </c>
      <c r="N661" s="212">
        <v>147439</v>
      </c>
      <c r="O661" s="171">
        <v>1146</v>
      </c>
      <c r="P661" s="271" t="str">
        <f>IFERROR(VLOOKUP(Tabela1[[#This Row],[TAG]],#REF!,14,FALSE),"")</f>
        <v/>
      </c>
      <c r="Q661" s="262" t="e">
        <f t="shared" si="1300"/>
        <v>#VALUE!</v>
      </c>
      <c r="R661" s="262" t="e">
        <f t="shared" si="1301"/>
        <v>#VALUE!</v>
      </c>
      <c r="S661" s="262" t="e">
        <f t="shared" si="1302"/>
        <v>#VALUE!</v>
      </c>
      <c r="T661" s="262" t="e">
        <f t="shared" si="1303"/>
        <v>#VALUE!</v>
      </c>
      <c r="U661" s="262" t="e">
        <f t="shared" si="1304"/>
        <v>#VALUE!</v>
      </c>
      <c r="V661" s="262" t="e">
        <f t="shared" si="1305"/>
        <v>#VALUE!</v>
      </c>
      <c r="W661" s="218">
        <v>811.35</v>
      </c>
      <c r="X661" s="218">
        <v>3559.09</v>
      </c>
      <c r="Y661" s="203">
        <v>0.1</v>
      </c>
      <c r="Z661" s="203">
        <f>IF(Tabela1[[#This Row],[Ano Aquisição]]=2023,0,IFERROR(VLOOKUP(H661,inflação!$F:$H,3,FALSE),""))</f>
        <v>0.96719999999999995</v>
      </c>
      <c r="AA661" s="203">
        <v>0.8</v>
      </c>
      <c r="AB661" s="202">
        <f t="shared" si="1239"/>
        <v>-518363.28</v>
      </c>
      <c r="AC661" s="204" t="e">
        <f t="shared" si="1306"/>
        <v>#VALUE!</v>
      </c>
      <c r="AD661" s="204" t="e">
        <f t="shared" si="1307"/>
        <v>#VALUE!</v>
      </c>
      <c r="AE661" s="204" t="e">
        <f t="shared" si="1308"/>
        <v>#VALUE!</v>
      </c>
      <c r="AF661" s="204" t="e">
        <f t="shared" si="1309"/>
        <v>#VALUE!</v>
      </c>
      <c r="AG661" s="204" t="e">
        <f t="shared" si="1310"/>
        <v>#VALUE!</v>
      </c>
      <c r="AH661" s="204" t="e">
        <f t="shared" si="1311"/>
        <v>#VALUE!</v>
      </c>
      <c r="AI661" s="204" t="e">
        <f t="shared" si="1312"/>
        <v>#VALUE!</v>
      </c>
      <c r="AJ661" s="205">
        <f t="shared" si="1241"/>
        <v>-1019724.2444160001</v>
      </c>
      <c r="AK661" s="204" t="e">
        <f t="shared" si="1313"/>
        <v>#VALUE!</v>
      </c>
      <c r="AL661" s="204" t="e">
        <f t="shared" si="1314"/>
        <v>#VALUE!</v>
      </c>
      <c r="AM661" s="204" t="e">
        <f t="shared" si="1315"/>
        <v>#VALUE!</v>
      </c>
      <c r="AN661" s="204" t="e">
        <f t="shared" si="1316"/>
        <v>#VALUE!</v>
      </c>
      <c r="AO661" s="204" t="e">
        <f t="shared" si="1317"/>
        <v>#VALUE!</v>
      </c>
      <c r="AP661" s="204" t="e">
        <f t="shared" si="1318"/>
        <v>#VALUE!</v>
      </c>
      <c r="AQ661" s="204" t="e">
        <f t="shared" si="1319"/>
        <v>#VALUE!</v>
      </c>
      <c r="AR661" s="206" t="e">
        <f t="shared" si="1243"/>
        <v>#VALUE!</v>
      </c>
      <c r="AS661" s="170" t="e">
        <f t="shared" si="1320"/>
        <v>#VALUE!</v>
      </c>
      <c r="AT661" s="170" t="e">
        <f t="shared" si="1321"/>
        <v>#VALUE!</v>
      </c>
      <c r="AU661" s="207" t="e">
        <f t="shared" si="1244"/>
        <v>#VALUE!</v>
      </c>
      <c r="AV661" s="208" t="e">
        <f t="shared" si="1245"/>
        <v>#VALUE!</v>
      </c>
      <c r="AW661" s="201" t="str">
        <f t="shared" si="1246"/>
        <v>Fase de Degradação</v>
      </c>
      <c r="AX661" s="253" t="e">
        <f>VLOOKUP(D661,#REF!,5,FALSE)</f>
        <v>#REF!</v>
      </c>
      <c r="AY661" s="201"/>
      <c r="AZ661" s="273" t="s">
        <v>1224</v>
      </c>
      <c r="BB661">
        <f>IFERROR(VLOOKUP(Tabela1[[#This Row],[Denominação]],[10]Planilha1!$A:$B,2,FALSE),"")</f>
        <v>1043336.249999999</v>
      </c>
      <c r="BC661" s="219"/>
      <c r="BD661" s="219"/>
      <c r="BE661" s="219"/>
      <c r="BF661" s="219"/>
      <c r="BG661" s="219"/>
      <c r="BH661" s="219"/>
      <c r="BI661" s="219"/>
      <c r="BJ661" s="219"/>
      <c r="BK661" s="219"/>
      <c r="BL661" s="219"/>
    </row>
    <row r="662" spans="1:64" hidden="1" x14ac:dyDescent="0.3">
      <c r="A662" s="253">
        <v>661</v>
      </c>
      <c r="B662" s="171" t="s">
        <v>621</v>
      </c>
      <c r="C662" s="209" t="s">
        <v>622</v>
      </c>
      <c r="D662" s="171">
        <v>10004629</v>
      </c>
      <c r="E662" s="253" t="s">
        <v>1548</v>
      </c>
      <c r="F662" s="210">
        <v>3327</v>
      </c>
      <c r="G662" s="171">
        <v>34462</v>
      </c>
      <c r="H662" s="171">
        <v>2006</v>
      </c>
      <c r="I662" s="213">
        <v>348331</v>
      </c>
      <c r="J662" s="213">
        <v>0</v>
      </c>
      <c r="K662" s="170">
        <v>536033.42999999912</v>
      </c>
      <c r="L662" s="207">
        <v>1.43</v>
      </c>
      <c r="M662" s="212">
        <v>5433.1535999999996</v>
      </c>
      <c r="N662" s="212">
        <v>144293</v>
      </c>
      <c r="O662" s="171">
        <v>472</v>
      </c>
      <c r="P662" s="271" t="str">
        <f>IFERROR(VLOOKUP(Tabela1[[#This Row],[TAG]],#REF!,14,FALSE),"")</f>
        <v/>
      </c>
      <c r="Q662" s="204" t="e">
        <f t="shared" si="1300"/>
        <v>#VALUE!</v>
      </c>
      <c r="R662" s="204" t="e">
        <f t="shared" si="1301"/>
        <v>#VALUE!</v>
      </c>
      <c r="S662" s="204" t="e">
        <f t="shared" si="1302"/>
        <v>#VALUE!</v>
      </c>
      <c r="T662" s="204" t="e">
        <f t="shared" si="1303"/>
        <v>#VALUE!</v>
      </c>
      <c r="U662" s="204" t="e">
        <f t="shared" si="1304"/>
        <v>#VALUE!</v>
      </c>
      <c r="V662" s="204" t="e">
        <f t="shared" si="1305"/>
        <v>#VALUE!</v>
      </c>
      <c r="W662" s="218">
        <v>794.35</v>
      </c>
      <c r="X662" s="218">
        <v>4438.03</v>
      </c>
      <c r="Y662" s="203">
        <v>0.1</v>
      </c>
      <c r="Z662" s="203">
        <f>IF(Tabela1[[#This Row],[Ano Aquisição]]=2023,0,IFERROR(VLOOKUP(H662,inflação!$F:$H,3,FALSE),""))</f>
        <v>0.96719999999999995</v>
      </c>
      <c r="AA662" s="203">
        <v>0.8</v>
      </c>
      <c r="AB662" s="202">
        <f t="shared" si="1239"/>
        <v>-348331</v>
      </c>
      <c r="AC662" s="204" t="e">
        <f t="shared" si="1306"/>
        <v>#VALUE!</v>
      </c>
      <c r="AD662" s="204" t="e">
        <f t="shared" si="1307"/>
        <v>#VALUE!</v>
      </c>
      <c r="AE662" s="204" t="e">
        <f t="shared" si="1308"/>
        <v>#VALUE!</v>
      </c>
      <c r="AF662" s="204" t="e">
        <f t="shared" si="1309"/>
        <v>#VALUE!</v>
      </c>
      <c r="AG662" s="204" t="e">
        <f t="shared" si="1310"/>
        <v>#VALUE!</v>
      </c>
      <c r="AH662" s="204" t="e">
        <f t="shared" si="1311"/>
        <v>#VALUE!</v>
      </c>
      <c r="AI662" s="204" t="e">
        <f t="shared" si="1312"/>
        <v>#VALUE!</v>
      </c>
      <c r="AJ662" s="205">
        <f t="shared" si="1241"/>
        <v>-685236.74320000003</v>
      </c>
      <c r="AK662" s="204" t="e">
        <f t="shared" si="1313"/>
        <v>#VALUE!</v>
      </c>
      <c r="AL662" s="204" t="e">
        <f t="shared" si="1314"/>
        <v>#VALUE!</v>
      </c>
      <c r="AM662" s="204" t="e">
        <f t="shared" si="1315"/>
        <v>#VALUE!</v>
      </c>
      <c r="AN662" s="204" t="e">
        <f t="shared" si="1316"/>
        <v>#VALUE!</v>
      </c>
      <c r="AO662" s="204" t="e">
        <f t="shared" si="1317"/>
        <v>#VALUE!</v>
      </c>
      <c r="AP662" s="204" t="e">
        <f t="shared" si="1318"/>
        <v>#VALUE!</v>
      </c>
      <c r="AQ662" s="204" t="e">
        <f t="shared" si="1319"/>
        <v>#VALUE!</v>
      </c>
      <c r="AR662" s="206" t="e">
        <f t="shared" si="1243"/>
        <v>#VALUE!</v>
      </c>
      <c r="AS662" s="170" t="e">
        <f t="shared" si="1320"/>
        <v>#VALUE!</v>
      </c>
      <c r="AT662" s="170" t="e">
        <f t="shared" si="1321"/>
        <v>#VALUE!</v>
      </c>
      <c r="AU662" s="207" t="e">
        <f t="shared" si="1244"/>
        <v>#VALUE!</v>
      </c>
      <c r="AV662" s="208" t="e">
        <f t="shared" si="1245"/>
        <v>#VALUE!</v>
      </c>
      <c r="AW662" s="201" t="str">
        <f t="shared" si="1246"/>
        <v>Fase de Degradação</v>
      </c>
      <c r="AX662" s="253" t="e">
        <f>VLOOKUP(D662,#REF!,5,FALSE)</f>
        <v>#REF!</v>
      </c>
      <c r="AY662" s="201"/>
      <c r="AZ662" s="273" t="s">
        <v>1224</v>
      </c>
      <c r="BB662">
        <f>IFERROR(VLOOKUP(Tabela1[[#This Row],[Denominação]],[10]Planilha1!$A:$B,2,FALSE),"")</f>
        <v>536033.42999999912</v>
      </c>
      <c r="BC662" s="219"/>
      <c r="BD662" s="219"/>
      <c r="BE662" s="219"/>
      <c r="BF662" s="219"/>
      <c r="BG662" s="219"/>
      <c r="BH662" s="219"/>
      <c r="BI662" s="219"/>
      <c r="BJ662" s="219"/>
      <c r="BK662" s="219"/>
      <c r="BL662" s="219"/>
    </row>
    <row r="663" spans="1:64" hidden="1" x14ac:dyDescent="0.3">
      <c r="A663" s="268">
        <v>662</v>
      </c>
      <c r="B663" s="171" t="s">
        <v>625</v>
      </c>
      <c r="C663" s="209" t="s">
        <v>626</v>
      </c>
      <c r="D663" s="171">
        <v>10005080</v>
      </c>
      <c r="E663" s="253" t="s">
        <v>1568</v>
      </c>
      <c r="F663" s="210">
        <v>2376</v>
      </c>
      <c r="G663" s="171">
        <v>34681</v>
      </c>
      <c r="H663" s="171">
        <v>2007</v>
      </c>
      <c r="I663" s="213">
        <v>260435.91</v>
      </c>
      <c r="J663" s="213">
        <v>0</v>
      </c>
      <c r="K663" s="170">
        <v>436417.84999999887</v>
      </c>
      <c r="L663" s="207">
        <v>1.94</v>
      </c>
      <c r="M663" s="212">
        <v>3854</v>
      </c>
      <c r="N663" s="212">
        <v>135308</v>
      </c>
      <c r="O663" s="171">
        <v>301</v>
      </c>
      <c r="P663" s="271" t="str">
        <f>IFERROR(VLOOKUP(Tabela1[[#This Row],[TAG]],#REF!,14,FALSE),"")</f>
        <v/>
      </c>
      <c r="Q663" s="204" t="e">
        <f>P663+P663</f>
        <v>#VALUE!</v>
      </c>
      <c r="R663" s="204" t="e">
        <f t="shared" si="1301"/>
        <v>#VALUE!</v>
      </c>
      <c r="S663" s="204" t="e">
        <f t="shared" si="1302"/>
        <v>#VALUE!</v>
      </c>
      <c r="T663" s="204" t="e">
        <f t="shared" si="1303"/>
        <v>#VALUE!</v>
      </c>
      <c r="U663" s="204" t="e">
        <f t="shared" si="1304"/>
        <v>#VALUE!</v>
      </c>
      <c r="V663" s="204" t="e">
        <f t="shared" si="1305"/>
        <v>#VALUE!</v>
      </c>
      <c r="W663" s="218">
        <v>645.55999999999995</v>
      </c>
      <c r="X663" s="218">
        <v>3013.55</v>
      </c>
      <c r="Y663" s="203">
        <v>0.1</v>
      </c>
      <c r="Z663" s="203">
        <f>IF(Tabela1[[#This Row],[Ano Aquisição]]=2023,0,IFERROR(VLOOKUP(H663,inflação!$F:$H,3,FALSE),""))</f>
        <v>0.93579999999999997</v>
      </c>
      <c r="AA663" s="203">
        <v>0.8</v>
      </c>
      <c r="AB663" s="202">
        <f t="shared" si="1239"/>
        <v>-260435.91</v>
      </c>
      <c r="AC663" s="204" t="e">
        <f t="shared" si="1306"/>
        <v>#VALUE!</v>
      </c>
      <c r="AD663" s="204" t="e">
        <f t="shared" si="1307"/>
        <v>#VALUE!</v>
      </c>
      <c r="AE663" s="204" t="e">
        <f t="shared" si="1308"/>
        <v>#VALUE!</v>
      </c>
      <c r="AF663" s="204" t="e">
        <f t="shared" si="1309"/>
        <v>#VALUE!</v>
      </c>
      <c r="AG663" s="204" t="e">
        <f t="shared" si="1310"/>
        <v>#VALUE!</v>
      </c>
      <c r="AH663" s="204" t="e">
        <f t="shared" si="1311"/>
        <v>#VALUE!</v>
      </c>
      <c r="AI663" s="204" t="e">
        <f t="shared" si="1312"/>
        <v>#VALUE!</v>
      </c>
      <c r="AJ663" s="205">
        <f t="shared" si="1241"/>
        <v>-504151.83457800001</v>
      </c>
      <c r="AK663" s="204" t="e">
        <f t="shared" si="1313"/>
        <v>#VALUE!</v>
      </c>
      <c r="AL663" s="204" t="e">
        <f t="shared" si="1314"/>
        <v>#VALUE!</v>
      </c>
      <c r="AM663" s="204" t="e">
        <f t="shared" si="1315"/>
        <v>#VALUE!</v>
      </c>
      <c r="AN663" s="204" t="e">
        <f t="shared" si="1316"/>
        <v>#VALUE!</v>
      </c>
      <c r="AO663" s="204" t="e">
        <f t="shared" si="1317"/>
        <v>#VALUE!</v>
      </c>
      <c r="AP663" s="204" t="e">
        <f t="shared" si="1318"/>
        <v>#VALUE!</v>
      </c>
      <c r="AQ663" s="204" t="e">
        <f t="shared" si="1319"/>
        <v>#VALUE!</v>
      </c>
      <c r="AR663" s="206" t="e">
        <f t="shared" si="1243"/>
        <v>#VALUE!</v>
      </c>
      <c r="AS663" s="170" t="e">
        <f t="shared" si="1320"/>
        <v>#VALUE!</v>
      </c>
      <c r="AT663" s="170" t="e">
        <f t="shared" si="1321"/>
        <v>#VALUE!</v>
      </c>
      <c r="AU663" s="207" t="e">
        <f t="shared" si="1244"/>
        <v>#VALUE!</v>
      </c>
      <c r="AV663" s="208" t="e">
        <f t="shared" si="1245"/>
        <v>#VALUE!</v>
      </c>
      <c r="AW663" s="201" t="str">
        <f t="shared" si="1246"/>
        <v>Fase de Degradação</v>
      </c>
      <c r="AX663" s="253" t="e">
        <f>VLOOKUP(D663,#REF!,5,FALSE)</f>
        <v>#REF!</v>
      </c>
      <c r="AY663" s="201"/>
      <c r="AZ663" s="273" t="s">
        <v>1224</v>
      </c>
      <c r="BB663">
        <f>IFERROR(VLOOKUP(Tabela1[[#This Row],[Denominação]],[10]Planilha1!$A:$B,2,FALSE),"")</f>
        <v>436417.84999999887</v>
      </c>
      <c r="BC663" s="219"/>
      <c r="BD663" s="219"/>
      <c r="BE663" s="219"/>
      <c r="BF663" s="219"/>
      <c r="BG663" s="219"/>
      <c r="BH663" s="219"/>
      <c r="BI663" s="219"/>
      <c r="BJ663" s="219"/>
      <c r="BK663" s="219"/>
      <c r="BL663" s="219"/>
    </row>
    <row r="664" spans="1:64" hidden="1" x14ac:dyDescent="0.3">
      <c r="A664" s="253">
        <v>663</v>
      </c>
      <c r="B664" s="171" t="s">
        <v>415</v>
      </c>
      <c r="C664" s="209" t="s">
        <v>236</v>
      </c>
      <c r="D664" s="171">
        <v>10005258</v>
      </c>
      <c r="E664" s="253" t="s">
        <v>1569</v>
      </c>
      <c r="F664" s="210">
        <v>4545</v>
      </c>
      <c r="G664" s="171">
        <v>35603</v>
      </c>
      <c r="H664" s="171">
        <v>2008</v>
      </c>
      <c r="I664" s="213">
        <v>472223.21</v>
      </c>
      <c r="J664" s="213">
        <v>0</v>
      </c>
      <c r="K664" s="170">
        <v>658724.86999999953</v>
      </c>
      <c r="L664" s="215">
        <v>1.35</v>
      </c>
      <c r="M664" s="212">
        <v>5970</v>
      </c>
      <c r="N664" s="212">
        <v>129535</v>
      </c>
      <c r="O664" s="171">
        <v>918</v>
      </c>
      <c r="P664" s="271" t="str">
        <f>IFERROR(VLOOKUP(Tabela1[[#This Row],[TAG]],#REF!,14,FALSE),"")</f>
        <v/>
      </c>
      <c r="Q664" s="262" t="e">
        <f t="shared" si="1300"/>
        <v>#VALUE!</v>
      </c>
      <c r="R664" s="262" t="e">
        <f t="shared" si="1301"/>
        <v>#VALUE!</v>
      </c>
      <c r="S664" s="262" t="e">
        <f t="shared" si="1302"/>
        <v>#VALUE!</v>
      </c>
      <c r="T664" s="262" t="e">
        <f t="shared" si="1303"/>
        <v>#VALUE!</v>
      </c>
      <c r="U664" s="262" t="e">
        <f t="shared" si="1304"/>
        <v>#VALUE!</v>
      </c>
      <c r="V664" s="262" t="e">
        <f t="shared" si="1305"/>
        <v>#VALUE!</v>
      </c>
      <c r="W664" s="218">
        <v>540.92322000000001</v>
      </c>
      <c r="X664" s="218">
        <v>3172.4</v>
      </c>
      <c r="Y664" s="203">
        <v>0.1</v>
      </c>
      <c r="Z664" s="203">
        <f>IF(Tabela1[[#This Row],[Ano Aquisição]]=2023,0,IFERROR(VLOOKUP(H664,inflação!$F:$H,3,FALSE),""))</f>
        <v>0.89119999999999999</v>
      </c>
      <c r="AA664" s="203">
        <v>0.8</v>
      </c>
      <c r="AB664" s="202">
        <f t="shared" si="1239"/>
        <v>-472223.21</v>
      </c>
      <c r="AC664" s="204" t="e">
        <f t="shared" si="1306"/>
        <v>#VALUE!</v>
      </c>
      <c r="AD664" s="204" t="e">
        <f t="shared" si="1307"/>
        <v>#VALUE!</v>
      </c>
      <c r="AE664" s="204" t="e">
        <f t="shared" si="1308"/>
        <v>#VALUE!</v>
      </c>
      <c r="AF664" s="204" t="e">
        <f t="shared" si="1309"/>
        <v>#VALUE!</v>
      </c>
      <c r="AG664" s="204" t="e">
        <f t="shared" si="1310"/>
        <v>#VALUE!</v>
      </c>
      <c r="AH664" s="204" t="e">
        <f t="shared" si="1311"/>
        <v>#VALUE!</v>
      </c>
      <c r="AI664" s="204" t="e">
        <f t="shared" si="1312"/>
        <v>#VALUE!</v>
      </c>
      <c r="AJ664" s="205">
        <f t="shared" si="1241"/>
        <v>-893068.53475200001</v>
      </c>
      <c r="AK664" s="204" t="e">
        <f t="shared" si="1313"/>
        <v>#VALUE!</v>
      </c>
      <c r="AL664" s="204" t="e">
        <f t="shared" si="1314"/>
        <v>#VALUE!</v>
      </c>
      <c r="AM664" s="204" t="e">
        <f t="shared" si="1315"/>
        <v>#VALUE!</v>
      </c>
      <c r="AN664" s="204" t="e">
        <f t="shared" si="1316"/>
        <v>#VALUE!</v>
      </c>
      <c r="AO664" s="204" t="e">
        <f t="shared" si="1317"/>
        <v>#VALUE!</v>
      </c>
      <c r="AP664" s="204" t="e">
        <f t="shared" si="1318"/>
        <v>#VALUE!</v>
      </c>
      <c r="AQ664" s="204" t="e">
        <f t="shared" si="1319"/>
        <v>#VALUE!</v>
      </c>
      <c r="AR664" s="206" t="e">
        <f t="shared" si="1243"/>
        <v>#VALUE!</v>
      </c>
      <c r="AS664" s="170" t="e">
        <f t="shared" si="1320"/>
        <v>#VALUE!</v>
      </c>
      <c r="AT664" s="170" t="e">
        <f t="shared" si="1321"/>
        <v>#VALUE!</v>
      </c>
      <c r="AU664" s="207" t="e">
        <f t="shared" si="1244"/>
        <v>#VALUE!</v>
      </c>
      <c r="AV664" s="208" t="e">
        <f t="shared" si="1245"/>
        <v>#VALUE!</v>
      </c>
      <c r="AW664" s="201" t="str">
        <f t="shared" si="1246"/>
        <v>Fase de Degradação</v>
      </c>
      <c r="AX664" s="253" t="e">
        <f>VLOOKUP(D664,#REF!,5,FALSE)</f>
        <v>#REF!</v>
      </c>
      <c r="AY664" s="201"/>
      <c r="AZ664" s="273" t="s">
        <v>1224</v>
      </c>
      <c r="BB664">
        <f>IFERROR(VLOOKUP(Tabela1[[#This Row],[Denominação]],[10]Planilha1!$A:$B,2,FALSE),"")</f>
        <v>658724.86999999953</v>
      </c>
      <c r="BC664" s="219"/>
      <c r="BD664" s="219"/>
      <c r="BE664" s="219"/>
      <c r="BF664" s="219"/>
      <c r="BG664" s="219"/>
      <c r="BH664" s="219"/>
      <c r="BI664" s="219"/>
      <c r="BJ664" s="219"/>
      <c r="BK664" s="219"/>
      <c r="BL664" s="219"/>
    </row>
    <row r="665" spans="1:64" hidden="1" x14ac:dyDescent="0.3">
      <c r="A665" s="268">
        <v>664</v>
      </c>
      <c r="B665" s="171" t="s">
        <v>613</v>
      </c>
      <c r="C665" s="209" t="s">
        <v>614</v>
      </c>
      <c r="D665" s="171">
        <v>10005284</v>
      </c>
      <c r="E665" s="253" t="s">
        <v>1570</v>
      </c>
      <c r="F665" s="210">
        <v>3327</v>
      </c>
      <c r="G665" s="171">
        <v>35240</v>
      </c>
      <c r="H665" s="171">
        <v>2008</v>
      </c>
      <c r="I665" s="213">
        <v>254213.94</v>
      </c>
      <c r="J665" s="213">
        <v>0</v>
      </c>
      <c r="K665" s="170">
        <v>388277.7699999992</v>
      </c>
      <c r="L665" s="207">
        <v>2.4500000000000002</v>
      </c>
      <c r="M665" s="212">
        <v>5260.3559999999998</v>
      </c>
      <c r="N665" s="212">
        <v>128025</v>
      </c>
      <c r="O665" s="171">
        <v>350</v>
      </c>
      <c r="P665" s="271" t="str">
        <f>IFERROR(VLOOKUP(Tabela1[[#This Row],[TAG]],#REF!,14,FALSE),"")</f>
        <v/>
      </c>
      <c r="Q665" s="204" t="e">
        <f t="shared" si="1300"/>
        <v>#VALUE!</v>
      </c>
      <c r="R665" s="204" t="e">
        <f t="shared" si="1301"/>
        <v>#VALUE!</v>
      </c>
      <c r="S665" s="204" t="e">
        <f t="shared" si="1302"/>
        <v>#VALUE!</v>
      </c>
      <c r="T665" s="204" t="e">
        <f t="shared" si="1303"/>
        <v>#VALUE!</v>
      </c>
      <c r="U665" s="204" t="e">
        <f t="shared" si="1304"/>
        <v>#VALUE!</v>
      </c>
      <c r="V665" s="204" t="e">
        <f t="shared" si="1305"/>
        <v>#VALUE!</v>
      </c>
      <c r="W665" s="218">
        <v>564.22</v>
      </c>
      <c r="X665" s="218">
        <v>3657.77</v>
      </c>
      <c r="Y665" s="203">
        <v>0.1</v>
      </c>
      <c r="Z665" s="203">
        <f>IF(Tabela1[[#This Row],[Ano Aquisição]]=2023,0,IFERROR(VLOOKUP(H665,inflação!$F:$H,3,FALSE),""))</f>
        <v>0.89119999999999999</v>
      </c>
      <c r="AA665" s="203">
        <v>0.8</v>
      </c>
      <c r="AB665" s="202">
        <f t="shared" si="1239"/>
        <v>-254213.94</v>
      </c>
      <c r="AC665" s="204" t="e">
        <f t="shared" si="1306"/>
        <v>#VALUE!</v>
      </c>
      <c r="AD665" s="204" t="e">
        <f t="shared" si="1307"/>
        <v>#VALUE!</v>
      </c>
      <c r="AE665" s="204" t="e">
        <f t="shared" si="1308"/>
        <v>#VALUE!</v>
      </c>
      <c r="AF665" s="204" t="e">
        <f t="shared" si="1309"/>
        <v>#VALUE!</v>
      </c>
      <c r="AG665" s="204" t="e">
        <f t="shared" si="1310"/>
        <v>#VALUE!</v>
      </c>
      <c r="AH665" s="204" t="e">
        <f t="shared" si="1311"/>
        <v>#VALUE!</v>
      </c>
      <c r="AI665" s="204" t="e">
        <f t="shared" si="1312"/>
        <v>#VALUE!</v>
      </c>
      <c r="AJ665" s="205">
        <f t="shared" si="1241"/>
        <v>-480769.40332799999</v>
      </c>
      <c r="AK665" s="204" t="e">
        <f t="shared" si="1313"/>
        <v>#VALUE!</v>
      </c>
      <c r="AL665" s="204" t="e">
        <f t="shared" si="1314"/>
        <v>#VALUE!</v>
      </c>
      <c r="AM665" s="204" t="e">
        <f t="shared" si="1315"/>
        <v>#VALUE!</v>
      </c>
      <c r="AN665" s="204" t="e">
        <f t="shared" si="1316"/>
        <v>#VALUE!</v>
      </c>
      <c r="AO665" s="204" t="e">
        <f t="shared" si="1317"/>
        <v>#VALUE!</v>
      </c>
      <c r="AP665" s="204" t="e">
        <f t="shared" si="1318"/>
        <v>#VALUE!</v>
      </c>
      <c r="AQ665" s="204" t="e">
        <f t="shared" si="1319"/>
        <v>#VALUE!</v>
      </c>
      <c r="AR665" s="206" t="e">
        <f t="shared" si="1243"/>
        <v>#VALUE!</v>
      </c>
      <c r="AS665" s="170" t="e">
        <f t="shared" si="1320"/>
        <v>#VALUE!</v>
      </c>
      <c r="AT665" s="170" t="e">
        <f t="shared" si="1321"/>
        <v>#VALUE!</v>
      </c>
      <c r="AU665" s="207" t="e">
        <f t="shared" si="1244"/>
        <v>#VALUE!</v>
      </c>
      <c r="AV665" s="208" t="e">
        <f t="shared" si="1245"/>
        <v>#VALUE!</v>
      </c>
      <c r="AW665" s="201" t="str">
        <f t="shared" si="1246"/>
        <v>Fase de Degradação</v>
      </c>
      <c r="AX665" s="253" t="e">
        <f>VLOOKUP(D665,#REF!,5,FALSE)</f>
        <v>#REF!</v>
      </c>
      <c r="AY665" s="201"/>
      <c r="AZ665" s="273" t="s">
        <v>1224</v>
      </c>
      <c r="BB665">
        <f>IFERROR(VLOOKUP(Tabela1[[#This Row],[Denominação]],[10]Planilha1!$A:$B,2,FALSE),"")</f>
        <v>388277.7699999992</v>
      </c>
      <c r="BC665" s="219"/>
      <c r="BD665" s="219"/>
      <c r="BE665" s="219"/>
      <c r="BF665" s="219"/>
      <c r="BG665" s="219"/>
      <c r="BH665" s="219"/>
      <c r="BI665" s="219"/>
      <c r="BJ665" s="219"/>
      <c r="BK665" s="219"/>
      <c r="BL665" s="219"/>
    </row>
    <row r="666" spans="1:64" hidden="1" x14ac:dyDescent="0.3">
      <c r="A666" s="253">
        <v>665</v>
      </c>
      <c r="B666" s="171" t="s">
        <v>394</v>
      </c>
      <c r="C666" s="209" t="s">
        <v>215</v>
      </c>
      <c r="D666" s="171">
        <v>10005296</v>
      </c>
      <c r="E666" s="253" t="s">
        <v>1571</v>
      </c>
      <c r="F666" s="210">
        <v>2376</v>
      </c>
      <c r="G666" s="171">
        <v>35608</v>
      </c>
      <c r="H666" s="171">
        <v>2008</v>
      </c>
      <c r="I666" s="213">
        <v>272975.06</v>
      </c>
      <c r="J666" s="213">
        <v>0</v>
      </c>
      <c r="K666" s="170">
        <v>461826.61999999947</v>
      </c>
      <c r="L666" s="215">
        <v>2.2200000000000002</v>
      </c>
      <c r="M666" s="212">
        <v>4896.8819999999996</v>
      </c>
      <c r="N666" s="212">
        <v>127790</v>
      </c>
      <c r="O666" s="171">
        <v>329</v>
      </c>
      <c r="P666" s="271" t="str">
        <f>IFERROR(VLOOKUP(Tabela1[[#This Row],[TAG]],#REF!,14,FALSE),"")</f>
        <v/>
      </c>
      <c r="Q666" s="262" t="e">
        <f t="shared" si="1300"/>
        <v>#VALUE!</v>
      </c>
      <c r="R666" s="262" t="e">
        <f t="shared" si="1301"/>
        <v>#VALUE!</v>
      </c>
      <c r="S666" s="262" t="e">
        <f t="shared" si="1302"/>
        <v>#VALUE!</v>
      </c>
      <c r="T666" s="262" t="e">
        <f t="shared" si="1303"/>
        <v>#VALUE!</v>
      </c>
      <c r="U666" s="262" t="e">
        <f t="shared" si="1304"/>
        <v>#VALUE!</v>
      </c>
      <c r="V666" s="262" t="e">
        <f t="shared" si="1305"/>
        <v>#VALUE!</v>
      </c>
      <c r="W666" s="218">
        <v>616.44000000000005</v>
      </c>
      <c r="X666" s="218">
        <v>1870.12</v>
      </c>
      <c r="Y666" s="203">
        <v>0.1</v>
      </c>
      <c r="Z666" s="203">
        <f>IF(Tabela1[[#This Row],[Ano Aquisição]]=2023,0,IFERROR(VLOOKUP(H666,inflação!$F:$H,3,FALSE),""))</f>
        <v>0.89119999999999999</v>
      </c>
      <c r="AA666" s="203">
        <v>0.8</v>
      </c>
      <c r="AB666" s="202">
        <f t="shared" si="1239"/>
        <v>-272975.06</v>
      </c>
      <c r="AC666" s="204" t="e">
        <f t="shared" si="1306"/>
        <v>#VALUE!</v>
      </c>
      <c r="AD666" s="204" t="e">
        <f t="shared" si="1307"/>
        <v>#VALUE!</v>
      </c>
      <c r="AE666" s="204" t="e">
        <f t="shared" si="1308"/>
        <v>#VALUE!</v>
      </c>
      <c r="AF666" s="204" t="e">
        <f t="shared" si="1309"/>
        <v>#VALUE!</v>
      </c>
      <c r="AG666" s="204" t="e">
        <f t="shared" si="1310"/>
        <v>#VALUE!</v>
      </c>
      <c r="AH666" s="204" t="e">
        <f t="shared" si="1311"/>
        <v>#VALUE!</v>
      </c>
      <c r="AI666" s="204" t="e">
        <f t="shared" si="1312"/>
        <v>#VALUE!</v>
      </c>
      <c r="AJ666" s="205">
        <f t="shared" si="1241"/>
        <v>-516250.433472</v>
      </c>
      <c r="AK666" s="204" t="e">
        <f t="shared" si="1313"/>
        <v>#VALUE!</v>
      </c>
      <c r="AL666" s="204" t="e">
        <f t="shared" si="1314"/>
        <v>#VALUE!</v>
      </c>
      <c r="AM666" s="204" t="e">
        <f t="shared" si="1315"/>
        <v>#VALUE!</v>
      </c>
      <c r="AN666" s="204" t="e">
        <f t="shared" si="1316"/>
        <v>#VALUE!</v>
      </c>
      <c r="AO666" s="204" t="e">
        <f t="shared" si="1317"/>
        <v>#VALUE!</v>
      </c>
      <c r="AP666" s="204" t="e">
        <f t="shared" si="1318"/>
        <v>#VALUE!</v>
      </c>
      <c r="AQ666" s="204" t="e">
        <f t="shared" si="1319"/>
        <v>#VALUE!</v>
      </c>
      <c r="AR666" s="206" t="e">
        <f t="shared" si="1243"/>
        <v>#VALUE!</v>
      </c>
      <c r="AS666" s="170" t="e">
        <f t="shared" si="1320"/>
        <v>#VALUE!</v>
      </c>
      <c r="AT666" s="170" t="e">
        <f t="shared" si="1321"/>
        <v>#VALUE!</v>
      </c>
      <c r="AU666" s="207" t="e">
        <f t="shared" si="1244"/>
        <v>#VALUE!</v>
      </c>
      <c r="AV666" s="208" t="e">
        <f t="shared" si="1245"/>
        <v>#VALUE!</v>
      </c>
      <c r="AW666" s="201" t="str">
        <f t="shared" si="1246"/>
        <v>Fase de Degradação</v>
      </c>
      <c r="AX666" s="253" t="e">
        <f>VLOOKUP(D666,#REF!,5,FALSE)</f>
        <v>#REF!</v>
      </c>
      <c r="AY666" s="201"/>
      <c r="AZ666" s="273" t="s">
        <v>1224</v>
      </c>
      <c r="BB666">
        <f>IFERROR(VLOOKUP(Tabela1[[#This Row],[Denominação]],[10]Planilha1!$A:$B,2,FALSE),"")</f>
        <v>461826.61999999947</v>
      </c>
      <c r="BC666" s="219"/>
      <c r="BD666" s="219"/>
      <c r="BE666" s="219"/>
      <c r="BF666" s="219"/>
      <c r="BG666" s="219"/>
      <c r="BH666" s="219"/>
      <c r="BI666" s="219"/>
      <c r="BJ666" s="219"/>
      <c r="BK666" s="219"/>
      <c r="BL666" s="219"/>
    </row>
    <row r="667" spans="1:64" hidden="1" x14ac:dyDescent="0.3">
      <c r="A667" s="268">
        <v>666</v>
      </c>
      <c r="B667" s="171" t="s">
        <v>422</v>
      </c>
      <c r="C667" s="209" t="s">
        <v>244</v>
      </c>
      <c r="D667" s="171">
        <v>10006223</v>
      </c>
      <c r="E667" s="253" t="s">
        <v>1572</v>
      </c>
      <c r="F667" s="210">
        <v>4545</v>
      </c>
      <c r="G667" s="171">
        <v>43168</v>
      </c>
      <c r="H667" s="171">
        <v>2013</v>
      </c>
      <c r="I667" s="213">
        <v>561285.89</v>
      </c>
      <c r="J667" s="213">
        <v>73114</v>
      </c>
      <c r="K667" s="170">
        <v>660481.54999999958</v>
      </c>
      <c r="L667" s="215">
        <v>1.58</v>
      </c>
      <c r="M667" s="212">
        <v>5012</v>
      </c>
      <c r="N667" s="212">
        <v>87829</v>
      </c>
      <c r="O667" s="171">
        <v>993</v>
      </c>
      <c r="P667" s="271" t="str">
        <f>IFERROR(VLOOKUP(Tabela1[[#This Row],[TAG]],#REF!,14,FALSE),"")</f>
        <v/>
      </c>
      <c r="Q667" s="262" t="e">
        <f t="shared" si="1300"/>
        <v>#VALUE!</v>
      </c>
      <c r="R667" s="262" t="e">
        <f t="shared" si="1301"/>
        <v>#VALUE!</v>
      </c>
      <c r="S667" s="262" t="e">
        <f t="shared" si="1302"/>
        <v>#VALUE!</v>
      </c>
      <c r="T667" s="262" t="e">
        <f t="shared" si="1303"/>
        <v>#VALUE!</v>
      </c>
      <c r="U667" s="262" t="e">
        <f t="shared" si="1304"/>
        <v>#VALUE!</v>
      </c>
      <c r="V667" s="262" t="e">
        <f t="shared" si="1305"/>
        <v>#VALUE!</v>
      </c>
      <c r="W667" s="218">
        <v>518.34</v>
      </c>
      <c r="X667" s="218">
        <v>5397.84</v>
      </c>
      <c r="Y667" s="203">
        <v>0.1</v>
      </c>
      <c r="Z667" s="203">
        <f>IF(Tabela1[[#This Row],[Ano Aquisição]]=2023,0,IFERROR(VLOOKUP(H667,inflação!$F:$H,3,FALSE),""))</f>
        <v>0.60660000000000003</v>
      </c>
      <c r="AA667" s="203">
        <v>0.8</v>
      </c>
      <c r="AB667" s="202">
        <f t="shared" si="1239"/>
        <v>-561285.89</v>
      </c>
      <c r="AC667" s="204" t="e">
        <f t="shared" si="1306"/>
        <v>#VALUE!</v>
      </c>
      <c r="AD667" s="204" t="e">
        <f t="shared" si="1307"/>
        <v>#VALUE!</v>
      </c>
      <c r="AE667" s="204" t="e">
        <f t="shared" si="1308"/>
        <v>#VALUE!</v>
      </c>
      <c r="AF667" s="204" t="e">
        <f t="shared" si="1309"/>
        <v>#VALUE!</v>
      </c>
      <c r="AG667" s="204" t="e">
        <f t="shared" si="1310"/>
        <v>#VALUE!</v>
      </c>
      <c r="AH667" s="204" t="e">
        <f t="shared" si="1311"/>
        <v>#VALUE!</v>
      </c>
      <c r="AI667" s="204" t="e">
        <f t="shared" si="1312"/>
        <v>#VALUE!</v>
      </c>
      <c r="AJ667" s="205">
        <f t="shared" si="1241"/>
        <v>-901761.91087400005</v>
      </c>
      <c r="AK667" s="204" t="e">
        <f t="shared" si="1313"/>
        <v>#VALUE!</v>
      </c>
      <c r="AL667" s="204" t="e">
        <f t="shared" si="1314"/>
        <v>#VALUE!</v>
      </c>
      <c r="AM667" s="204" t="e">
        <f t="shared" si="1315"/>
        <v>#VALUE!</v>
      </c>
      <c r="AN667" s="204" t="e">
        <f t="shared" si="1316"/>
        <v>#VALUE!</v>
      </c>
      <c r="AO667" s="204" t="e">
        <f t="shared" si="1317"/>
        <v>#VALUE!</v>
      </c>
      <c r="AP667" s="204" t="e">
        <f t="shared" si="1318"/>
        <v>#VALUE!</v>
      </c>
      <c r="AQ667" s="204" t="e">
        <f t="shared" si="1319"/>
        <v>#VALUE!</v>
      </c>
      <c r="AR667" s="206" t="e">
        <f t="shared" si="1243"/>
        <v>#VALUE!</v>
      </c>
      <c r="AS667" s="170" t="e">
        <f t="shared" si="1320"/>
        <v>#VALUE!</v>
      </c>
      <c r="AT667" s="170" t="e">
        <f t="shared" si="1321"/>
        <v>#VALUE!</v>
      </c>
      <c r="AU667" s="207" t="e">
        <f t="shared" si="1244"/>
        <v>#VALUE!</v>
      </c>
      <c r="AV667" s="208" t="e">
        <f t="shared" si="1245"/>
        <v>#VALUE!</v>
      </c>
      <c r="AW667" s="201" t="str">
        <f t="shared" si="1246"/>
        <v>Fase de Degradação</v>
      </c>
      <c r="AX667" s="253" t="e">
        <f>VLOOKUP(D667,#REF!,5,FALSE)</f>
        <v>#REF!</v>
      </c>
      <c r="AY667" s="201"/>
      <c r="AZ667" s="273" t="s">
        <v>1224</v>
      </c>
      <c r="BB667">
        <f>IFERROR(VLOOKUP(Tabela1[[#This Row],[Denominação]],[10]Planilha1!$A:$B,2,FALSE),"")</f>
        <v>660481.54999999958</v>
      </c>
      <c r="BC667" s="219"/>
      <c r="BD667" s="219"/>
      <c r="BE667" s="219"/>
      <c r="BF667" s="219"/>
      <c r="BG667" s="219"/>
      <c r="BH667" s="219"/>
      <c r="BI667" s="219"/>
      <c r="BJ667" s="219"/>
      <c r="BK667" s="219"/>
      <c r="BL667" s="219"/>
    </row>
    <row r="668" spans="1:64" hidden="1" x14ac:dyDescent="0.3">
      <c r="A668" s="253">
        <v>667</v>
      </c>
      <c r="B668" s="171" t="s">
        <v>399</v>
      </c>
      <c r="C668" s="209" t="s">
        <v>220</v>
      </c>
      <c r="D668" s="171">
        <v>10006265</v>
      </c>
      <c r="E668" s="253" t="s">
        <v>1573</v>
      </c>
      <c r="F668" s="210">
        <v>4545</v>
      </c>
      <c r="G668" s="171">
        <v>43871</v>
      </c>
      <c r="H668" s="171">
        <v>2013</v>
      </c>
      <c r="I668" s="213">
        <v>642874.85</v>
      </c>
      <c r="J668" s="213">
        <v>115195</v>
      </c>
      <c r="K668" s="170">
        <v>620665.9299999997</v>
      </c>
      <c r="L668" s="215">
        <v>1.83</v>
      </c>
      <c r="M668" s="212">
        <v>4845</v>
      </c>
      <c r="N668" s="212">
        <v>82873</v>
      </c>
      <c r="O668" s="171">
        <v>1155</v>
      </c>
      <c r="P668" s="271" t="str">
        <f>IFERROR(VLOOKUP(Tabela1[[#This Row],[TAG]],#REF!,14,FALSE),"")</f>
        <v/>
      </c>
      <c r="Q668" s="262" t="e">
        <f>P668+P668</f>
        <v>#VALUE!</v>
      </c>
      <c r="R668" s="262" t="e">
        <f t="shared" si="1301"/>
        <v>#VALUE!</v>
      </c>
      <c r="S668" s="262" t="e">
        <f t="shared" si="1302"/>
        <v>#VALUE!</v>
      </c>
      <c r="T668" s="262" t="e">
        <f t="shared" si="1303"/>
        <v>#VALUE!</v>
      </c>
      <c r="U668" s="262" t="e">
        <f t="shared" si="1304"/>
        <v>#VALUE!</v>
      </c>
      <c r="V668" s="262" t="e">
        <f t="shared" si="1305"/>
        <v>#VALUE!</v>
      </c>
      <c r="W668" s="218">
        <v>478.33</v>
      </c>
      <c r="X668" s="218">
        <v>6331.8</v>
      </c>
      <c r="Y668" s="203">
        <v>0.1</v>
      </c>
      <c r="Z668" s="203">
        <f>IF(Tabela1[[#This Row],[Ano Aquisição]]=2023,0,IFERROR(VLOOKUP(H668,inflação!$F:$H,3,FALSE),""))</f>
        <v>0.60660000000000003</v>
      </c>
      <c r="AA668" s="203">
        <v>0.8</v>
      </c>
      <c r="AB668" s="202">
        <f t="shared" si="1239"/>
        <v>-642874.85</v>
      </c>
      <c r="AC668" s="204" t="e">
        <f t="shared" si="1306"/>
        <v>#VALUE!</v>
      </c>
      <c r="AD668" s="204" t="e">
        <f t="shared" si="1307"/>
        <v>#VALUE!</v>
      </c>
      <c r="AE668" s="204" t="e">
        <f t="shared" si="1308"/>
        <v>#VALUE!</v>
      </c>
      <c r="AF668" s="204" t="e">
        <f t="shared" si="1309"/>
        <v>#VALUE!</v>
      </c>
      <c r="AG668" s="204" t="e">
        <f t="shared" si="1310"/>
        <v>#VALUE!</v>
      </c>
      <c r="AH668" s="204" t="e">
        <f t="shared" si="1311"/>
        <v>#VALUE!</v>
      </c>
      <c r="AI668" s="204" t="e">
        <f t="shared" si="1312"/>
        <v>#VALUE!</v>
      </c>
      <c r="AJ668" s="205">
        <f t="shared" si="1241"/>
        <v>-1032842.73401</v>
      </c>
      <c r="AK668" s="204" t="e">
        <f t="shared" si="1313"/>
        <v>#VALUE!</v>
      </c>
      <c r="AL668" s="204" t="e">
        <f t="shared" si="1314"/>
        <v>#VALUE!</v>
      </c>
      <c r="AM668" s="204" t="e">
        <f t="shared" si="1315"/>
        <v>#VALUE!</v>
      </c>
      <c r="AN668" s="204" t="e">
        <f t="shared" si="1316"/>
        <v>#VALUE!</v>
      </c>
      <c r="AO668" s="204" t="e">
        <f t="shared" si="1317"/>
        <v>#VALUE!</v>
      </c>
      <c r="AP668" s="204" t="e">
        <f t="shared" si="1318"/>
        <v>#VALUE!</v>
      </c>
      <c r="AQ668" s="204" t="e">
        <f t="shared" si="1319"/>
        <v>#VALUE!</v>
      </c>
      <c r="AR668" s="206" t="e">
        <f t="shared" si="1243"/>
        <v>#VALUE!</v>
      </c>
      <c r="AS668" s="170" t="e">
        <f t="shared" si="1320"/>
        <v>#VALUE!</v>
      </c>
      <c r="AT668" s="170" t="e">
        <f t="shared" si="1321"/>
        <v>#VALUE!</v>
      </c>
      <c r="AU668" s="207" t="e">
        <f t="shared" si="1244"/>
        <v>#VALUE!</v>
      </c>
      <c r="AV668" s="208" t="e">
        <f t="shared" si="1245"/>
        <v>#VALUE!</v>
      </c>
      <c r="AW668" s="201" t="str">
        <f t="shared" si="1246"/>
        <v>Fase de Degradação</v>
      </c>
      <c r="AX668" s="253" t="e">
        <f>VLOOKUP(D668,#REF!,5,FALSE)</f>
        <v>#REF!</v>
      </c>
      <c r="AY668" s="201"/>
      <c r="AZ668" s="273" t="s">
        <v>1224</v>
      </c>
      <c r="BB668">
        <f>IFERROR(VLOOKUP(Tabela1[[#This Row],[Denominação]],[10]Planilha1!$A:$B,2,FALSE),"")</f>
        <v>620665.9299999997</v>
      </c>
      <c r="BC668" s="219"/>
      <c r="BD668" s="219"/>
      <c r="BE668" s="219"/>
      <c r="BF668" s="219"/>
      <c r="BG668" s="219"/>
      <c r="BH668" s="219"/>
      <c r="BI668" s="219"/>
      <c r="BJ668" s="219"/>
      <c r="BK668" s="219"/>
      <c r="BL668" s="219"/>
    </row>
    <row r="669" spans="1:64" hidden="1" x14ac:dyDescent="0.3">
      <c r="A669" s="268">
        <v>668</v>
      </c>
      <c r="B669" s="171" t="s">
        <v>1603</v>
      </c>
      <c r="C669" s="209" t="s">
        <v>1600</v>
      </c>
      <c r="D669" s="171">
        <v>20004148</v>
      </c>
      <c r="E669" s="253" t="s">
        <v>1673</v>
      </c>
      <c r="F669" s="210">
        <v>3314</v>
      </c>
      <c r="G669" s="171">
        <v>54050</v>
      </c>
      <c r="H669" s="171">
        <v>2021</v>
      </c>
      <c r="I669" s="213">
        <v>1236392.94</v>
      </c>
      <c r="J669" s="213">
        <v>1048740</v>
      </c>
      <c r="K669" s="170">
        <v>56721.13</v>
      </c>
      <c r="L669" s="207">
        <v>0.66</v>
      </c>
      <c r="M669" s="212">
        <v>4805.9459999999999</v>
      </c>
      <c r="N669" s="212">
        <v>17215</v>
      </c>
      <c r="O669" s="171">
        <v>110</v>
      </c>
      <c r="P669" s="271" t="str">
        <f>IFERROR(VLOOKUP(Tabela1[[#This Row],[TAG]],#REF!,14,FALSE),"")</f>
        <v/>
      </c>
      <c r="Q669" s="204" t="e">
        <f t="shared" si="1300"/>
        <v>#VALUE!</v>
      </c>
      <c r="R669" s="204" t="e">
        <f t="shared" si="1301"/>
        <v>#VALUE!</v>
      </c>
      <c r="S669" s="204" t="e">
        <f t="shared" si="1302"/>
        <v>#VALUE!</v>
      </c>
      <c r="T669" s="204" t="e">
        <f t="shared" si="1303"/>
        <v>#VALUE!</v>
      </c>
      <c r="U669" s="204" t="e">
        <f t="shared" si="1304"/>
        <v>#VALUE!</v>
      </c>
      <c r="V669" s="204" t="e">
        <f t="shared" si="1305"/>
        <v>#VALUE!</v>
      </c>
      <c r="W669" s="218">
        <v>464.6</v>
      </c>
      <c r="X669" s="218">
        <v>2317.7199999999998</v>
      </c>
      <c r="Y669" s="203">
        <v>0.1</v>
      </c>
      <c r="Z669" s="203">
        <f>IF(Tabela1[[#This Row],[Ano Aquisição]]=2023,0,IFERROR(VLOOKUP(H669,inflação!$F:$H,3,FALSE),""))</f>
        <v>0.1585</v>
      </c>
      <c r="AA669" s="203">
        <v>0.8</v>
      </c>
      <c r="AB669" s="202">
        <f t="shared" si="1239"/>
        <v>-1236392.94</v>
      </c>
      <c r="AC669" s="204" t="e">
        <f t="shared" si="1306"/>
        <v>#VALUE!</v>
      </c>
      <c r="AD669" s="204" t="e">
        <f t="shared" si="1307"/>
        <v>#VALUE!</v>
      </c>
      <c r="AE669" s="204" t="e">
        <f t="shared" si="1308"/>
        <v>#VALUE!</v>
      </c>
      <c r="AF669" s="204" t="e">
        <f t="shared" si="1309"/>
        <v>#VALUE!</v>
      </c>
      <c r="AG669" s="204" t="e">
        <f t="shared" si="1310"/>
        <v>#VALUE!</v>
      </c>
      <c r="AH669" s="204" t="e">
        <f t="shared" si="1311"/>
        <v>#VALUE!</v>
      </c>
      <c r="AI669" s="204" t="e">
        <f t="shared" si="1312"/>
        <v>#VALUE!</v>
      </c>
      <c r="AJ669" s="205">
        <f t="shared" si="1241"/>
        <v>-1432361.2209900001</v>
      </c>
      <c r="AK669" s="204" t="e">
        <f t="shared" si="1313"/>
        <v>#VALUE!</v>
      </c>
      <c r="AL669" s="204" t="e">
        <f t="shared" si="1314"/>
        <v>#VALUE!</v>
      </c>
      <c r="AM669" s="204" t="e">
        <f t="shared" si="1315"/>
        <v>#VALUE!</v>
      </c>
      <c r="AN669" s="204" t="e">
        <f t="shared" si="1316"/>
        <v>#VALUE!</v>
      </c>
      <c r="AO669" s="204" t="e">
        <f t="shared" si="1317"/>
        <v>#VALUE!</v>
      </c>
      <c r="AP669" s="204" t="e">
        <f t="shared" si="1318"/>
        <v>#VALUE!</v>
      </c>
      <c r="AQ669" s="204" t="e">
        <f t="shared" si="1319"/>
        <v>#VALUE!</v>
      </c>
      <c r="AR669" s="206" t="e">
        <f t="shared" si="1243"/>
        <v>#VALUE!</v>
      </c>
      <c r="AS669" s="170" t="e">
        <f t="shared" si="1320"/>
        <v>#VALUE!</v>
      </c>
      <c r="AT669" s="170" t="e">
        <f t="shared" si="1321"/>
        <v>#VALUE!</v>
      </c>
      <c r="AU669" s="207" t="e">
        <f t="shared" si="1244"/>
        <v>#VALUE!</v>
      </c>
      <c r="AV669" s="208" t="e">
        <f t="shared" si="1245"/>
        <v>#VALUE!</v>
      </c>
      <c r="AW669" s="201" t="str">
        <f t="shared" si="1246"/>
        <v>Confiabilidade em Crescimento</v>
      </c>
      <c r="AX669" s="253" t="e">
        <f>VLOOKUP(D669,#REF!,5,FALSE)</f>
        <v>#REF!</v>
      </c>
      <c r="AY669" s="201"/>
      <c r="AZ669" s="273" t="s">
        <v>1224</v>
      </c>
      <c r="BB669">
        <f>IFERROR(VLOOKUP(Tabela1[[#This Row],[Denominação]],[10]Planilha1!$A:$B,2,FALSE),"")</f>
        <v>56721.13</v>
      </c>
      <c r="BC669" s="219"/>
      <c r="BD669" s="219"/>
      <c r="BE669" s="219"/>
      <c r="BF669" s="219"/>
      <c r="BG669" s="219"/>
      <c r="BH669" s="219"/>
      <c r="BI669" s="219"/>
      <c r="BJ669" s="219"/>
      <c r="BK669" s="219"/>
      <c r="BL669" s="219"/>
    </row>
    <row r="670" spans="1:64" hidden="1" x14ac:dyDescent="0.3">
      <c r="A670" s="253">
        <v>669</v>
      </c>
      <c r="B670" s="171" t="s">
        <v>1604</v>
      </c>
      <c r="C670" s="209" t="s">
        <v>1601</v>
      </c>
      <c r="D670" s="171">
        <v>10006681</v>
      </c>
      <c r="E670" s="253" t="s">
        <v>1674</v>
      </c>
      <c r="F670" s="210">
        <v>3314</v>
      </c>
      <c r="G670" s="171">
        <v>54741</v>
      </c>
      <c r="H670" s="171">
        <v>2021</v>
      </c>
      <c r="I670" s="213">
        <v>1358565.81</v>
      </c>
      <c r="J670" s="213">
        <v>1185092</v>
      </c>
      <c r="K670" s="170">
        <v>33914.35</v>
      </c>
      <c r="L670" s="207">
        <v>0.97</v>
      </c>
      <c r="M670" s="212">
        <v>5038.6391999999996</v>
      </c>
      <c r="N670" s="212">
        <v>13247</v>
      </c>
      <c r="O670" s="171">
        <v>36</v>
      </c>
      <c r="P670" s="271" t="str">
        <f>IFERROR(VLOOKUP(Tabela1[[#This Row],[TAG]],#REF!,14,FALSE),"")</f>
        <v/>
      </c>
      <c r="Q670" s="204" t="e">
        <f t="shared" si="1300"/>
        <v>#VALUE!</v>
      </c>
      <c r="R670" s="204" t="e">
        <f t="shared" si="1301"/>
        <v>#VALUE!</v>
      </c>
      <c r="S670" s="204" t="e">
        <f t="shared" si="1302"/>
        <v>#VALUE!</v>
      </c>
      <c r="T670" s="204" t="e">
        <f t="shared" si="1303"/>
        <v>#VALUE!</v>
      </c>
      <c r="U670" s="204" t="e">
        <f t="shared" si="1304"/>
        <v>#VALUE!</v>
      </c>
      <c r="V670" s="204" t="e">
        <f t="shared" si="1305"/>
        <v>#VALUE!</v>
      </c>
      <c r="W670" s="218">
        <v>768.95</v>
      </c>
      <c r="X670" s="218">
        <v>1515.77</v>
      </c>
      <c r="Y670" s="203">
        <v>0.1</v>
      </c>
      <c r="Z670" s="203">
        <f>IF(Tabela1[[#This Row],[Ano Aquisição]]=2023,0,IFERROR(VLOOKUP(H670,inflação!$F:$H,3,FALSE),""))</f>
        <v>0.1585</v>
      </c>
      <c r="AA670" s="203">
        <v>0.8</v>
      </c>
      <c r="AB670" s="202">
        <f t="shared" si="1239"/>
        <v>-1358565.81</v>
      </c>
      <c r="AC670" s="204" t="e">
        <f t="shared" si="1306"/>
        <v>#VALUE!</v>
      </c>
      <c r="AD670" s="204" t="e">
        <f t="shared" si="1307"/>
        <v>#VALUE!</v>
      </c>
      <c r="AE670" s="204" t="e">
        <f t="shared" si="1308"/>
        <v>#VALUE!</v>
      </c>
      <c r="AF670" s="204" t="e">
        <f t="shared" si="1309"/>
        <v>#VALUE!</v>
      </c>
      <c r="AG670" s="204" t="e">
        <f t="shared" si="1310"/>
        <v>#VALUE!</v>
      </c>
      <c r="AH670" s="204" t="e">
        <f t="shared" si="1311"/>
        <v>#VALUE!</v>
      </c>
      <c r="AI670" s="204" t="e">
        <f t="shared" si="1312"/>
        <v>#VALUE!</v>
      </c>
      <c r="AJ670" s="205">
        <f t="shared" si="1241"/>
        <v>-1573898.4908850002</v>
      </c>
      <c r="AK670" s="204" t="e">
        <f t="shared" si="1313"/>
        <v>#VALUE!</v>
      </c>
      <c r="AL670" s="204" t="e">
        <f t="shared" si="1314"/>
        <v>#VALUE!</v>
      </c>
      <c r="AM670" s="204" t="e">
        <f t="shared" si="1315"/>
        <v>#VALUE!</v>
      </c>
      <c r="AN670" s="204" t="e">
        <f t="shared" si="1316"/>
        <v>#VALUE!</v>
      </c>
      <c r="AO670" s="204" t="e">
        <f t="shared" si="1317"/>
        <v>#VALUE!</v>
      </c>
      <c r="AP670" s="204" t="e">
        <f t="shared" si="1318"/>
        <v>#VALUE!</v>
      </c>
      <c r="AQ670" s="204" t="e">
        <f t="shared" si="1319"/>
        <v>#VALUE!</v>
      </c>
      <c r="AR670" s="206" t="e">
        <f t="shared" si="1243"/>
        <v>#VALUE!</v>
      </c>
      <c r="AS670" s="170" t="e">
        <f t="shared" si="1320"/>
        <v>#VALUE!</v>
      </c>
      <c r="AT670" s="170" t="e">
        <f t="shared" si="1321"/>
        <v>#VALUE!</v>
      </c>
      <c r="AU670" s="207" t="e">
        <f t="shared" si="1244"/>
        <v>#VALUE!</v>
      </c>
      <c r="AV670" s="208" t="e">
        <f t="shared" si="1245"/>
        <v>#VALUE!</v>
      </c>
      <c r="AW670" s="201" t="str">
        <f t="shared" si="1246"/>
        <v>Confiabilidade em Crescimento</v>
      </c>
      <c r="AX670" s="253" t="e">
        <f>VLOOKUP(D670,#REF!,5,FALSE)</f>
        <v>#REF!</v>
      </c>
      <c r="AY670" s="201"/>
      <c r="AZ670" s="273" t="s">
        <v>1224</v>
      </c>
      <c r="BB670">
        <f>IFERROR(VLOOKUP(Tabela1[[#This Row],[Denominação]],[10]Planilha1!$A:$B,2,FALSE),"")</f>
        <v>33914.35</v>
      </c>
      <c r="BC670" s="219"/>
      <c r="BD670" s="219"/>
      <c r="BE670" s="219"/>
      <c r="BF670" s="219"/>
      <c r="BG670" s="219"/>
      <c r="BH670" s="219"/>
      <c r="BI670" s="219"/>
      <c r="BJ670" s="219"/>
      <c r="BK670" s="219"/>
      <c r="BL670" s="219"/>
    </row>
    <row r="671" spans="1:64" hidden="1" x14ac:dyDescent="0.3">
      <c r="A671" s="268">
        <v>670</v>
      </c>
      <c r="B671" s="201" t="s">
        <v>1207</v>
      </c>
      <c r="C671" s="211" t="s">
        <v>1208</v>
      </c>
      <c r="D671" s="201">
        <v>10006686</v>
      </c>
      <c r="E671" s="253" t="s">
        <v>1323</v>
      </c>
      <c r="F671" s="253">
        <v>1074</v>
      </c>
      <c r="G671" s="201">
        <v>54252</v>
      </c>
      <c r="H671" s="201">
        <v>2021</v>
      </c>
      <c r="I671" s="216">
        <v>68858.320000000007</v>
      </c>
      <c r="J671" s="214">
        <v>60519</v>
      </c>
      <c r="K671" s="170">
        <v>20012.7</v>
      </c>
      <c r="L671" s="207">
        <v>1.34</v>
      </c>
      <c r="M671" s="212">
        <v>4116</v>
      </c>
      <c r="N671" s="212">
        <v>7596</v>
      </c>
      <c r="O671" s="171">
        <v>9</v>
      </c>
      <c r="P671" s="271" t="str">
        <f>IFERROR(VLOOKUP(Tabela1[[#This Row],[TAG]],#REF!,14,FALSE),"")</f>
        <v/>
      </c>
      <c r="Q671" s="204" t="e">
        <f t="shared" si="1300"/>
        <v>#VALUE!</v>
      </c>
      <c r="R671" s="204" t="e">
        <f t="shared" si="1301"/>
        <v>#VALUE!</v>
      </c>
      <c r="S671" s="204" t="e">
        <f t="shared" si="1302"/>
        <v>#VALUE!</v>
      </c>
      <c r="T671" s="204" t="e">
        <f t="shared" si="1303"/>
        <v>#VALUE!</v>
      </c>
      <c r="U671" s="204" t="e">
        <f t="shared" si="1304"/>
        <v>#VALUE!</v>
      </c>
      <c r="V671" s="204" t="e">
        <f t="shared" si="1305"/>
        <v>#VALUE!</v>
      </c>
      <c r="W671" s="218">
        <v>613.89</v>
      </c>
      <c r="X671" s="170">
        <v>738.32</v>
      </c>
      <c r="Y671" s="203">
        <v>0.1</v>
      </c>
      <c r="Z671" s="203">
        <f>IF(Tabela1[[#This Row],[Ano Aquisição]]=2023,0,IFERROR(VLOOKUP(H671,inflação!$F:$H,3,FALSE),""))</f>
        <v>0.1585</v>
      </c>
      <c r="AA671" s="203">
        <v>0.8</v>
      </c>
      <c r="AB671" s="202">
        <f t="shared" si="1239"/>
        <v>-68858.320000000007</v>
      </c>
      <c r="AC671" s="204" t="e">
        <f t="shared" si="1306"/>
        <v>#VALUE!</v>
      </c>
      <c r="AD671" s="204" t="e">
        <f t="shared" si="1307"/>
        <v>#VALUE!</v>
      </c>
      <c r="AE671" s="204" t="e">
        <f t="shared" si="1308"/>
        <v>#VALUE!</v>
      </c>
      <c r="AF671" s="204" t="e">
        <f t="shared" si="1309"/>
        <v>#VALUE!</v>
      </c>
      <c r="AG671" s="204" t="e">
        <f t="shared" si="1310"/>
        <v>#VALUE!</v>
      </c>
      <c r="AH671" s="204" t="e">
        <f t="shared" si="1311"/>
        <v>#VALUE!</v>
      </c>
      <c r="AI671" s="204" t="e">
        <f t="shared" si="1312"/>
        <v>#VALUE!</v>
      </c>
      <c r="AJ671" s="205">
        <f t="shared" si="1241"/>
        <v>-79772.363720000008</v>
      </c>
      <c r="AK671" s="204" t="e">
        <f t="shared" si="1313"/>
        <v>#VALUE!</v>
      </c>
      <c r="AL671" s="204" t="e">
        <f t="shared" si="1314"/>
        <v>#VALUE!</v>
      </c>
      <c r="AM671" s="204" t="e">
        <f t="shared" si="1315"/>
        <v>#VALUE!</v>
      </c>
      <c r="AN671" s="204" t="e">
        <f t="shared" si="1316"/>
        <v>#VALUE!</v>
      </c>
      <c r="AO671" s="204" t="e">
        <f t="shared" si="1317"/>
        <v>#VALUE!</v>
      </c>
      <c r="AP671" s="204" t="e">
        <f t="shared" si="1318"/>
        <v>#VALUE!</v>
      </c>
      <c r="AQ671" s="204" t="e">
        <f t="shared" si="1319"/>
        <v>#VALUE!</v>
      </c>
      <c r="AR671" s="206" t="e">
        <f t="shared" si="1243"/>
        <v>#VALUE!</v>
      </c>
      <c r="AS671" s="170" t="e">
        <f t="shared" si="1320"/>
        <v>#VALUE!</v>
      </c>
      <c r="AT671" s="170" t="e">
        <f t="shared" si="1321"/>
        <v>#VALUE!</v>
      </c>
      <c r="AU671" s="207" t="e">
        <f t="shared" si="1244"/>
        <v>#VALUE!</v>
      </c>
      <c r="AV671" s="208" t="e">
        <f t="shared" si="1245"/>
        <v>#VALUE!</v>
      </c>
      <c r="AW671" s="201" t="str">
        <f t="shared" si="1246"/>
        <v>Fase de Degradação</v>
      </c>
      <c r="AX671" s="253" t="e">
        <f>VLOOKUP(D671,#REF!,5,FALSE)</f>
        <v>#REF!</v>
      </c>
      <c r="AY671" s="201"/>
      <c r="AZ671" s="273" t="s">
        <v>1224</v>
      </c>
      <c r="BB671">
        <f>IFERROR(VLOOKUP(Tabela1[[#This Row],[Denominação]],[10]Planilha1!$A:$B,2,FALSE),"")</f>
        <v>20012.7</v>
      </c>
      <c r="BC671" s="219"/>
      <c r="BD671" s="219"/>
      <c r="BE671" s="219"/>
      <c r="BF671" s="219"/>
      <c r="BG671" s="219"/>
      <c r="BH671" s="219"/>
      <c r="BI671" s="219"/>
      <c r="BJ671" s="219"/>
      <c r="BK671" s="219"/>
      <c r="BL671" s="219"/>
    </row>
    <row r="672" spans="1:64" hidden="1" x14ac:dyDescent="0.3">
      <c r="A672" s="253">
        <v>671</v>
      </c>
      <c r="B672" s="171" t="s">
        <v>1605</v>
      </c>
      <c r="C672" s="209" t="s">
        <v>1602</v>
      </c>
      <c r="D672" s="171">
        <v>10006740</v>
      </c>
      <c r="E672" s="253" t="s">
        <v>1675</v>
      </c>
      <c r="F672" s="210">
        <v>3350</v>
      </c>
      <c r="G672" s="171">
        <v>55785</v>
      </c>
      <c r="H672" s="171">
        <v>2021</v>
      </c>
      <c r="I672" s="213">
        <v>561032.65</v>
      </c>
      <c r="J672" s="213">
        <v>507570</v>
      </c>
      <c r="K672" s="170">
        <v>4924.3</v>
      </c>
      <c r="L672" s="207">
        <v>1.07</v>
      </c>
      <c r="M672" s="212">
        <v>4922</v>
      </c>
      <c r="N672" s="212">
        <v>8541</v>
      </c>
      <c r="O672" s="171">
        <v>13</v>
      </c>
      <c r="P672" s="271" t="str">
        <f>IFERROR(VLOOKUP(Tabela1[[#This Row],[TAG]],#REF!,14,FALSE),"")</f>
        <v/>
      </c>
      <c r="Q672" s="204" t="e">
        <f t="shared" si="1300"/>
        <v>#VALUE!</v>
      </c>
      <c r="R672" s="204" t="e">
        <f t="shared" si="1301"/>
        <v>#VALUE!</v>
      </c>
      <c r="S672" s="204" t="e">
        <f t="shared" si="1302"/>
        <v>#VALUE!</v>
      </c>
      <c r="T672" s="204" t="e">
        <f t="shared" si="1303"/>
        <v>#VALUE!</v>
      </c>
      <c r="U672" s="204" t="e">
        <f t="shared" si="1304"/>
        <v>#VALUE!</v>
      </c>
      <c r="V672" s="204" t="e">
        <f t="shared" si="1305"/>
        <v>#VALUE!</v>
      </c>
      <c r="W672" s="218">
        <v>424.21</v>
      </c>
      <c r="X672" s="218">
        <v>1612.2</v>
      </c>
      <c r="Y672" s="203">
        <v>0.1</v>
      </c>
      <c r="Z672" s="203">
        <f>IF(Tabela1[[#This Row],[Ano Aquisição]]=2023,0,IFERROR(VLOOKUP(H672,inflação!$F:$H,3,FALSE),""))</f>
        <v>0.1585</v>
      </c>
      <c r="AA672" s="203">
        <v>0.8</v>
      </c>
      <c r="AB672" s="202">
        <f t="shared" si="1239"/>
        <v>-561032.65</v>
      </c>
      <c r="AC672" s="204" t="e">
        <f t="shared" si="1306"/>
        <v>#VALUE!</v>
      </c>
      <c r="AD672" s="204" t="e">
        <f t="shared" si="1307"/>
        <v>#VALUE!</v>
      </c>
      <c r="AE672" s="204" t="e">
        <f t="shared" si="1308"/>
        <v>#VALUE!</v>
      </c>
      <c r="AF672" s="204" t="e">
        <f t="shared" si="1309"/>
        <v>#VALUE!</v>
      </c>
      <c r="AG672" s="204" t="e">
        <f t="shared" si="1310"/>
        <v>#VALUE!</v>
      </c>
      <c r="AH672" s="204" t="e">
        <f t="shared" si="1311"/>
        <v>#VALUE!</v>
      </c>
      <c r="AI672" s="204" t="e">
        <f t="shared" si="1312"/>
        <v>#VALUE!</v>
      </c>
      <c r="AJ672" s="205">
        <f t="shared" si="1241"/>
        <v>-649956.32502500003</v>
      </c>
      <c r="AK672" s="204" t="e">
        <f t="shared" si="1313"/>
        <v>#VALUE!</v>
      </c>
      <c r="AL672" s="204" t="e">
        <f t="shared" si="1314"/>
        <v>#VALUE!</v>
      </c>
      <c r="AM672" s="204" t="e">
        <f t="shared" si="1315"/>
        <v>#VALUE!</v>
      </c>
      <c r="AN672" s="204" t="e">
        <f t="shared" si="1316"/>
        <v>#VALUE!</v>
      </c>
      <c r="AO672" s="204" t="e">
        <f t="shared" si="1317"/>
        <v>#VALUE!</v>
      </c>
      <c r="AP672" s="204" t="e">
        <f t="shared" si="1318"/>
        <v>#VALUE!</v>
      </c>
      <c r="AQ672" s="204" t="e">
        <f t="shared" si="1319"/>
        <v>#VALUE!</v>
      </c>
      <c r="AR672" s="206" t="e">
        <f t="shared" si="1243"/>
        <v>#VALUE!</v>
      </c>
      <c r="AS672" s="170" t="e">
        <f t="shared" si="1320"/>
        <v>#VALUE!</v>
      </c>
      <c r="AT672" s="170" t="e">
        <f t="shared" si="1321"/>
        <v>#VALUE!</v>
      </c>
      <c r="AU672" s="207" t="e">
        <f t="shared" si="1244"/>
        <v>#VALUE!</v>
      </c>
      <c r="AV672" s="208" t="e">
        <f t="shared" si="1245"/>
        <v>#VALUE!</v>
      </c>
      <c r="AW672" s="201" t="str">
        <f t="shared" si="1246"/>
        <v>Fase de Vida Útil</v>
      </c>
      <c r="AX672" s="253" t="e">
        <f>VLOOKUP(D672,#REF!,5,FALSE)</f>
        <v>#REF!</v>
      </c>
      <c r="AY672" s="201"/>
      <c r="AZ672" s="273" t="s">
        <v>1224</v>
      </c>
      <c r="BB672">
        <f>IFERROR(VLOOKUP(Tabela1[[#This Row],[Denominação]],[10]Planilha1!$A:$B,2,FALSE),"")</f>
        <v>4924.3</v>
      </c>
      <c r="BC672" s="219"/>
      <c r="BD672" s="219"/>
      <c r="BE672" s="219"/>
      <c r="BF672" s="219"/>
      <c r="BG672" s="219"/>
      <c r="BH672" s="219"/>
      <c r="BI672" s="219"/>
      <c r="BJ672" s="219"/>
      <c r="BK672" s="219"/>
      <c r="BL672" s="219"/>
    </row>
    <row r="673" spans="1:64" hidden="1" x14ac:dyDescent="0.3">
      <c r="A673" s="268">
        <v>672</v>
      </c>
      <c r="B673" s="201" t="s">
        <v>1209</v>
      </c>
      <c r="C673" s="211" t="s">
        <v>1210</v>
      </c>
      <c r="D673" s="201">
        <v>10006761</v>
      </c>
      <c r="E673" s="253" t="s">
        <v>1574</v>
      </c>
      <c r="F673" s="253">
        <v>4547</v>
      </c>
      <c r="G673" s="201">
        <v>55765</v>
      </c>
      <c r="H673" s="201">
        <v>2021</v>
      </c>
      <c r="I673" s="216">
        <v>792058.28</v>
      </c>
      <c r="J673" s="214">
        <v>709982</v>
      </c>
      <c r="K673" s="170">
        <v>27331.979999999992</v>
      </c>
      <c r="L673" s="207">
        <v>0.75</v>
      </c>
      <c r="M673" s="212">
        <v>4619.2896000000001</v>
      </c>
      <c r="N673" s="212">
        <v>9879</v>
      </c>
      <c r="O673" s="171">
        <v>59</v>
      </c>
      <c r="P673" s="271" t="str">
        <f>IFERROR(VLOOKUP(Tabela1[[#This Row],[TAG]],#REF!,14,FALSE),"")</f>
        <v/>
      </c>
      <c r="Q673" s="204" t="e">
        <f t="shared" si="1300"/>
        <v>#VALUE!</v>
      </c>
      <c r="R673" s="204" t="e">
        <f t="shared" si="1301"/>
        <v>#VALUE!</v>
      </c>
      <c r="S673" s="204" t="e">
        <f t="shared" si="1302"/>
        <v>#VALUE!</v>
      </c>
      <c r="T673" s="204" t="e">
        <f t="shared" si="1303"/>
        <v>#VALUE!</v>
      </c>
      <c r="U673" s="204" t="e">
        <f t="shared" si="1304"/>
        <v>#VALUE!</v>
      </c>
      <c r="V673" s="204" t="e">
        <f t="shared" si="1305"/>
        <v>#VALUE!</v>
      </c>
      <c r="W673" s="218">
        <v>426.74</v>
      </c>
      <c r="X673" s="218">
        <v>1379.86</v>
      </c>
      <c r="Y673" s="203">
        <v>0.1</v>
      </c>
      <c r="Z673" s="203">
        <f>IF(Tabela1[[#This Row],[Ano Aquisição]]=2023,0,IFERROR(VLOOKUP(H673,inflação!$F:$H,3,FALSE),""))</f>
        <v>0.1585</v>
      </c>
      <c r="AA673" s="203">
        <v>0.8</v>
      </c>
      <c r="AB673" s="202">
        <f t="shared" si="1239"/>
        <v>-792058.28</v>
      </c>
      <c r="AC673" s="204" t="e">
        <f t="shared" si="1306"/>
        <v>#VALUE!</v>
      </c>
      <c r="AD673" s="204" t="e">
        <f t="shared" si="1307"/>
        <v>#VALUE!</v>
      </c>
      <c r="AE673" s="204" t="e">
        <f t="shared" si="1308"/>
        <v>#VALUE!</v>
      </c>
      <c r="AF673" s="204" t="e">
        <f t="shared" si="1309"/>
        <v>#VALUE!</v>
      </c>
      <c r="AG673" s="204" t="e">
        <f t="shared" si="1310"/>
        <v>#VALUE!</v>
      </c>
      <c r="AH673" s="204" t="e">
        <f t="shared" si="1311"/>
        <v>#VALUE!</v>
      </c>
      <c r="AI673" s="204" t="e">
        <f t="shared" si="1312"/>
        <v>#VALUE!</v>
      </c>
      <c r="AJ673" s="205">
        <f t="shared" si="1241"/>
        <v>-917599.51738000009</v>
      </c>
      <c r="AK673" s="204" t="e">
        <f t="shared" si="1313"/>
        <v>#VALUE!</v>
      </c>
      <c r="AL673" s="204" t="e">
        <f t="shared" si="1314"/>
        <v>#VALUE!</v>
      </c>
      <c r="AM673" s="204" t="e">
        <f t="shared" si="1315"/>
        <v>#VALUE!</v>
      </c>
      <c r="AN673" s="204" t="e">
        <f t="shared" si="1316"/>
        <v>#VALUE!</v>
      </c>
      <c r="AO673" s="204" t="e">
        <f t="shared" si="1317"/>
        <v>#VALUE!</v>
      </c>
      <c r="AP673" s="204" t="e">
        <f t="shared" si="1318"/>
        <v>#VALUE!</v>
      </c>
      <c r="AQ673" s="204" t="e">
        <f t="shared" si="1319"/>
        <v>#VALUE!</v>
      </c>
      <c r="AR673" s="206" t="e">
        <f t="shared" si="1243"/>
        <v>#VALUE!</v>
      </c>
      <c r="AS673" s="170" t="e">
        <f t="shared" si="1320"/>
        <v>#VALUE!</v>
      </c>
      <c r="AT673" s="170" t="e">
        <f t="shared" si="1321"/>
        <v>#VALUE!</v>
      </c>
      <c r="AU673" s="207" t="e">
        <f t="shared" si="1244"/>
        <v>#VALUE!</v>
      </c>
      <c r="AV673" s="208" t="e">
        <f t="shared" si="1245"/>
        <v>#VALUE!</v>
      </c>
      <c r="AW673" s="201" t="str">
        <f t="shared" si="1246"/>
        <v>Confiabilidade em Crescimento</v>
      </c>
      <c r="AX673" s="253" t="e">
        <f>VLOOKUP(D673,#REF!,5,FALSE)</f>
        <v>#REF!</v>
      </c>
      <c r="AY673" s="201"/>
      <c r="AZ673" s="273" t="s">
        <v>1224</v>
      </c>
      <c r="BB673">
        <f>IFERROR(VLOOKUP(Tabela1[[#This Row],[Denominação]],[10]Planilha1!$A:$B,2,FALSE),"")</f>
        <v>27331.979999999992</v>
      </c>
      <c r="BC673" s="219"/>
      <c r="BD673" s="219"/>
      <c r="BE673" s="219"/>
      <c r="BF673" s="219"/>
      <c r="BG673" s="219"/>
      <c r="BH673" s="219"/>
      <c r="BI673" s="219"/>
      <c r="BJ673" s="219"/>
      <c r="BK673" s="219"/>
      <c r="BL673" s="219"/>
    </row>
    <row r="674" spans="1:64" hidden="1" x14ac:dyDescent="0.3">
      <c r="A674" s="253">
        <v>673</v>
      </c>
      <c r="B674" s="201" t="s">
        <v>1211</v>
      </c>
      <c r="C674" s="211" t="s">
        <v>1212</v>
      </c>
      <c r="D674" s="201">
        <v>10006762</v>
      </c>
      <c r="E674" s="253" t="s">
        <v>1575</v>
      </c>
      <c r="F674" s="253">
        <v>4547</v>
      </c>
      <c r="G674" s="201">
        <v>56280</v>
      </c>
      <c r="H674" s="201">
        <v>2022</v>
      </c>
      <c r="I674" s="216">
        <v>773476.76</v>
      </c>
      <c r="J674" s="214">
        <v>705850</v>
      </c>
      <c r="K674" s="170">
        <v>40197.229999999989</v>
      </c>
      <c r="L674" s="207">
        <v>0.92</v>
      </c>
      <c r="M674" s="212">
        <v>4508.9639999999999</v>
      </c>
      <c r="N674" s="212">
        <v>9679</v>
      </c>
      <c r="O674" s="171">
        <v>75</v>
      </c>
      <c r="P674" s="271" t="str">
        <f>IFERROR(VLOOKUP(Tabela1[[#This Row],[TAG]],#REF!,14,FALSE),"")</f>
        <v/>
      </c>
      <c r="Q674" s="204" t="e">
        <f t="shared" si="1300"/>
        <v>#VALUE!</v>
      </c>
      <c r="R674" s="204" t="e">
        <f t="shared" si="1301"/>
        <v>#VALUE!</v>
      </c>
      <c r="S674" s="204" t="e">
        <f t="shared" si="1302"/>
        <v>#VALUE!</v>
      </c>
      <c r="T674" s="204" t="e">
        <f t="shared" si="1303"/>
        <v>#VALUE!</v>
      </c>
      <c r="U674" s="204" t="e">
        <f t="shared" si="1304"/>
        <v>#VALUE!</v>
      </c>
      <c r="V674" s="204" t="e">
        <f t="shared" si="1305"/>
        <v>#VALUE!</v>
      </c>
      <c r="W674" s="218">
        <v>622.16</v>
      </c>
      <c r="X674" s="218">
        <v>2355.06</v>
      </c>
      <c r="Y674" s="203">
        <v>0.1</v>
      </c>
      <c r="Z674" s="203">
        <f>IF(Tabela1[[#This Row],[Ano Aquisição]]=2023,0,IFERROR(VLOOKUP(H674,inflação!$F:$H,3,FALSE),""))</f>
        <v>5.79E-2</v>
      </c>
      <c r="AA674" s="203">
        <v>0.8</v>
      </c>
      <c r="AB674" s="202">
        <f t="shared" si="1239"/>
        <v>-773476.76</v>
      </c>
      <c r="AC674" s="204" t="e">
        <f t="shared" si="1306"/>
        <v>#VALUE!</v>
      </c>
      <c r="AD674" s="204" t="e">
        <f t="shared" si="1307"/>
        <v>#VALUE!</v>
      </c>
      <c r="AE674" s="204" t="e">
        <f t="shared" si="1308"/>
        <v>#VALUE!</v>
      </c>
      <c r="AF674" s="204" t="e">
        <f t="shared" si="1309"/>
        <v>#VALUE!</v>
      </c>
      <c r="AG674" s="204" t="e">
        <f t="shared" si="1310"/>
        <v>#VALUE!</v>
      </c>
      <c r="AH674" s="204" t="e">
        <f t="shared" si="1311"/>
        <v>#VALUE!</v>
      </c>
      <c r="AI674" s="204" t="e">
        <f t="shared" si="1312"/>
        <v>#VALUE!</v>
      </c>
      <c r="AJ674" s="205">
        <f t="shared" si="1241"/>
        <v>-818261.06440400006</v>
      </c>
      <c r="AK674" s="204" t="e">
        <f t="shared" si="1313"/>
        <v>#VALUE!</v>
      </c>
      <c r="AL674" s="204" t="e">
        <f t="shared" si="1314"/>
        <v>#VALUE!</v>
      </c>
      <c r="AM674" s="204" t="e">
        <f t="shared" si="1315"/>
        <v>#VALUE!</v>
      </c>
      <c r="AN674" s="204" t="e">
        <f t="shared" si="1316"/>
        <v>#VALUE!</v>
      </c>
      <c r="AO674" s="204" t="e">
        <f t="shared" si="1317"/>
        <v>#VALUE!</v>
      </c>
      <c r="AP674" s="204" t="e">
        <f t="shared" si="1318"/>
        <v>#VALUE!</v>
      </c>
      <c r="AQ674" s="204" t="e">
        <f t="shared" si="1319"/>
        <v>#VALUE!</v>
      </c>
      <c r="AR674" s="206" t="e">
        <f t="shared" si="1243"/>
        <v>#VALUE!</v>
      </c>
      <c r="AS674" s="170" t="e">
        <f t="shared" si="1320"/>
        <v>#VALUE!</v>
      </c>
      <c r="AT674" s="170" t="e">
        <f t="shared" si="1321"/>
        <v>#VALUE!</v>
      </c>
      <c r="AU674" s="207" t="e">
        <f t="shared" si="1244"/>
        <v>#VALUE!</v>
      </c>
      <c r="AV674" s="208" t="e">
        <f t="shared" si="1245"/>
        <v>#VALUE!</v>
      </c>
      <c r="AW674" s="201" t="str">
        <f t="shared" si="1246"/>
        <v>Confiabilidade em Crescimento</v>
      </c>
      <c r="AX674" s="253" t="e">
        <f>VLOOKUP(D674,#REF!,5,FALSE)</f>
        <v>#REF!</v>
      </c>
      <c r="AY674" s="201"/>
      <c r="AZ674" s="273" t="s">
        <v>1224</v>
      </c>
      <c r="BB674">
        <f>IFERROR(VLOOKUP(Tabela1[[#This Row],[Denominação]],[10]Planilha1!$A:$B,2,FALSE),"")</f>
        <v>40197.229999999989</v>
      </c>
      <c r="BC674" s="219"/>
      <c r="BD674" s="219"/>
      <c r="BE674" s="219"/>
      <c r="BF674" s="219"/>
      <c r="BG674" s="219"/>
      <c r="BH674" s="219"/>
      <c r="BI674" s="219"/>
      <c r="BJ674" s="219"/>
      <c r="BK674" s="219"/>
      <c r="BL674" s="219"/>
    </row>
    <row r="675" spans="1:64" hidden="1" x14ac:dyDescent="0.3">
      <c r="A675" s="268">
        <v>674</v>
      </c>
      <c r="B675" s="255" t="s">
        <v>1887</v>
      </c>
      <c r="C675" s="211" t="s">
        <v>1755</v>
      </c>
      <c r="D675" s="201">
        <v>10006830</v>
      </c>
      <c r="E675" s="253" t="s">
        <v>1798</v>
      </c>
      <c r="F675" s="253">
        <v>3327</v>
      </c>
      <c r="G675" s="201">
        <v>58788</v>
      </c>
      <c r="H675" s="201">
        <v>2022</v>
      </c>
      <c r="I675" s="216">
        <v>666052.27</v>
      </c>
      <c r="J675" s="214">
        <v>643849</v>
      </c>
      <c r="K675" s="170">
        <v>5052.2299999999996</v>
      </c>
      <c r="L675" s="207">
        <v>0.41</v>
      </c>
      <c r="M675" s="212">
        <v>4922</v>
      </c>
      <c r="N675" s="212">
        <v>848</v>
      </c>
      <c r="O675" s="171">
        <v>3</v>
      </c>
      <c r="P675" s="271" t="str">
        <f>IFERROR(VLOOKUP(Tabela1[[#This Row],[TAG]],#REF!,14,FALSE),"")</f>
        <v/>
      </c>
      <c r="Q675" s="204" t="e">
        <f t="shared" ref="Q675" si="1322">P675+P675</f>
        <v>#VALUE!</v>
      </c>
      <c r="R675" s="204" t="e">
        <f t="shared" ref="R675" si="1323">Q675+P675</f>
        <v>#VALUE!</v>
      </c>
      <c r="S675" s="204" t="e">
        <f t="shared" ref="S675" si="1324">R675+P675</f>
        <v>#VALUE!</v>
      </c>
      <c r="T675" s="204" t="e">
        <f t="shared" ref="T675" si="1325">S675+P675</f>
        <v>#VALUE!</v>
      </c>
      <c r="U675" s="204" t="e">
        <f t="shared" ref="U675" si="1326">T675+P675</f>
        <v>#VALUE!</v>
      </c>
      <c r="V675" s="204" t="e">
        <f t="shared" ref="V675" si="1327">U675+P675</f>
        <v>#VALUE!</v>
      </c>
      <c r="W675" s="218">
        <v>424.21</v>
      </c>
      <c r="X675" s="218">
        <v>1612.2</v>
      </c>
      <c r="Y675" s="203">
        <v>0.1</v>
      </c>
      <c r="Z675" s="203">
        <f>IF(Tabela1[[#This Row],[Ano Aquisição]]=2023,0,IFERROR(VLOOKUP(H675,inflação!$F:$H,3,FALSE),""))</f>
        <v>5.79E-2</v>
      </c>
      <c r="AA675" s="203">
        <v>0.8</v>
      </c>
      <c r="AB675" s="202">
        <f t="shared" si="1239"/>
        <v>-666052.27</v>
      </c>
      <c r="AC675" s="204" t="e">
        <f t="shared" ref="AC675" si="1328">-(((P675*$W675)+($X675*12))*((1+$Y675)^AC$1))</f>
        <v>#VALUE!</v>
      </c>
      <c r="AD675" s="204" t="e">
        <f t="shared" ref="AD675" si="1329">-((((Q675-P675)*$W675)+($X675*12))*((1+$Y675)^AD$1))</f>
        <v>#VALUE!</v>
      </c>
      <c r="AE675" s="204" t="e">
        <f t="shared" ref="AE675" si="1330">-((((R675-Q675)*$W675)+($X675*12))*((1+$Y675)^AE$1))</f>
        <v>#VALUE!</v>
      </c>
      <c r="AF675" s="204" t="e">
        <f t="shared" ref="AF675" si="1331">-((((S675-R675)*$W675)+($X675*12))*((1+$Y675)^AF$1))</f>
        <v>#VALUE!</v>
      </c>
      <c r="AG675" s="204" t="e">
        <f t="shared" ref="AG675" si="1332">-((((T675-S675)*$W675)+($X675*12))*((1+$Y675)^AG$1))</f>
        <v>#VALUE!</v>
      </c>
      <c r="AH675" s="204" t="e">
        <f t="shared" ref="AH675" si="1333">-((((U675-T675)*$W675)+($X675*12))*((1+$Y675)^AH$1))</f>
        <v>#VALUE!</v>
      </c>
      <c r="AI675" s="204" t="e">
        <f t="shared" ref="AI675" si="1334">-((((V675-U675)*$W675)+($X675*12))*((1+$Y675)^AI$1))</f>
        <v>#VALUE!</v>
      </c>
      <c r="AJ675" s="205">
        <f t="shared" si="1241"/>
        <v>-704616.69643300003</v>
      </c>
      <c r="AK675" s="204" t="e">
        <f t="shared" ref="AK675" si="1335">AC675*(1-$AA675)</f>
        <v>#VALUE!</v>
      </c>
      <c r="AL675" s="204" t="e">
        <f t="shared" ref="AL675" si="1336">AD675*(1-$AA675)</f>
        <v>#VALUE!</v>
      </c>
      <c r="AM675" s="204" t="e">
        <f t="shared" ref="AM675" si="1337">AE675*(1-$AA675)</f>
        <v>#VALUE!</v>
      </c>
      <c r="AN675" s="204" t="e">
        <f t="shared" ref="AN675" si="1338">AF675*(1-$AA675)</f>
        <v>#VALUE!</v>
      </c>
      <c r="AO675" s="204" t="e">
        <f t="shared" ref="AO675" si="1339">AG675*(1-$AA675)</f>
        <v>#VALUE!</v>
      </c>
      <c r="AP675" s="204" t="e">
        <f t="shared" ref="AP675" si="1340">AH675*(1-$AA675)</f>
        <v>#VALUE!</v>
      </c>
      <c r="AQ675" s="204" t="e">
        <f t="shared" ref="AQ675" si="1341">AI675*(1-$AA675)</f>
        <v>#VALUE!</v>
      </c>
      <c r="AR675" s="206" t="e">
        <f t="shared" si="1243"/>
        <v>#VALUE!</v>
      </c>
      <c r="AS675" s="170" t="e">
        <f t="shared" ref="AS675" si="1342">SUM(AC675:AI675)</f>
        <v>#VALUE!</v>
      </c>
      <c r="AT675" s="170" t="e">
        <f t="shared" ref="AT675" si="1343">SUM(AK675:AQ675)</f>
        <v>#VALUE!</v>
      </c>
      <c r="AU675" s="207" t="e">
        <f t="shared" si="1244"/>
        <v>#VALUE!</v>
      </c>
      <c r="AV675" s="208" t="e">
        <f t="shared" si="1245"/>
        <v>#VALUE!</v>
      </c>
      <c r="AW675" s="201" t="str">
        <f t="shared" si="1246"/>
        <v>Confiabilidade em Crescimento</v>
      </c>
      <c r="AX675" s="253" t="e">
        <f>VLOOKUP(D675,#REF!,5,FALSE)</f>
        <v>#REF!</v>
      </c>
      <c r="AY675" s="201"/>
      <c r="AZ675" s="273" t="s">
        <v>1224</v>
      </c>
      <c r="BB675">
        <f>IFERROR(VLOOKUP(Tabela1[[#This Row],[Denominação]],[10]Planilha1!$A:$B,2,FALSE),"")</f>
        <v>5052.2299999999996</v>
      </c>
      <c r="BC675" s="219"/>
      <c r="BD675" s="219"/>
      <c r="BE675" s="219"/>
      <c r="BF675" s="219"/>
      <c r="BG675" s="219"/>
      <c r="BH675" s="219"/>
      <c r="BI675" s="219"/>
      <c r="BJ675" s="219"/>
      <c r="BK675" s="219"/>
      <c r="BL675" s="219"/>
    </row>
    <row r="676" spans="1:64" hidden="1" x14ac:dyDescent="0.3">
      <c r="A676" s="253">
        <v>675</v>
      </c>
      <c r="B676" s="300" t="s">
        <v>1888</v>
      </c>
      <c r="C676" s="318" t="s">
        <v>1756</v>
      </c>
      <c r="D676" s="315">
        <v>10006940</v>
      </c>
      <c r="E676" s="299" t="s">
        <v>1799</v>
      </c>
      <c r="F676" s="299">
        <v>4545</v>
      </c>
      <c r="G676" s="331">
        <v>900000023372</v>
      </c>
      <c r="H676" s="315">
        <v>2023</v>
      </c>
      <c r="I676" s="329"/>
      <c r="J676" s="330"/>
      <c r="K676" s="326"/>
      <c r="L676" s="319"/>
      <c r="M676" s="320"/>
      <c r="N676" s="320"/>
      <c r="O676" s="321"/>
      <c r="P676" s="271" t="str">
        <f>IFERROR(VLOOKUP(Tabela1[[#This Row],[TAG]],#REF!,14,FALSE),"")</f>
        <v/>
      </c>
      <c r="Q676" s="323"/>
      <c r="R676" s="323"/>
      <c r="S676" s="323"/>
      <c r="T676" s="323"/>
      <c r="U676" s="323"/>
      <c r="V676" s="323"/>
      <c r="W676" s="304"/>
      <c r="X676" s="304"/>
      <c r="Y676" s="322"/>
      <c r="Z676" s="322">
        <f>IF(Tabela1[[#This Row],[Ano Aquisição]]=2023,0,IFERROR(VLOOKUP(H676,inflação!$F:$H,3,FALSE),""))</f>
        <v>0</v>
      </c>
      <c r="AA676" s="322"/>
      <c r="AB676" s="310"/>
      <c r="AC676" s="323"/>
      <c r="AD676" s="323"/>
      <c r="AE676" s="323"/>
      <c r="AF676" s="323"/>
      <c r="AG676" s="323"/>
      <c r="AH676" s="323"/>
      <c r="AI676" s="323"/>
      <c r="AJ676" s="324"/>
      <c r="AK676" s="323"/>
      <c r="AL676" s="323"/>
      <c r="AM676" s="323"/>
      <c r="AN676" s="323"/>
      <c r="AO676" s="323"/>
      <c r="AP676" s="323"/>
      <c r="AQ676" s="323"/>
      <c r="AR676" s="325"/>
      <c r="AS676" s="326"/>
      <c r="AT676" s="326"/>
      <c r="AU676" s="319"/>
      <c r="AV676" s="327"/>
      <c r="AW676" s="315"/>
      <c r="AX676" s="299" t="e">
        <f>VLOOKUP(D676,#REF!,5,FALSE)</f>
        <v>#REF!</v>
      </c>
      <c r="AY676" s="315"/>
      <c r="AZ676" s="316" t="s">
        <v>1224</v>
      </c>
      <c r="BB676" t="str">
        <f>IFERROR(VLOOKUP(Tabela1[[#This Row],[Denominação]],[10]Planilha1!$A:$B,2,FALSE),"")</f>
        <v/>
      </c>
      <c r="BC676" s="219"/>
      <c r="BD676" s="219"/>
      <c r="BE676" s="219"/>
      <c r="BF676" s="219"/>
      <c r="BG676" s="219"/>
      <c r="BH676" s="219"/>
      <c r="BI676" s="219"/>
      <c r="BJ676" s="219"/>
      <c r="BK676" s="219"/>
      <c r="BL676" s="219"/>
    </row>
    <row r="677" spans="1:64" hidden="1" x14ac:dyDescent="0.3">
      <c r="A677" s="268">
        <v>676</v>
      </c>
      <c r="B677" s="300" t="s">
        <v>1889</v>
      </c>
      <c r="C677" s="318" t="s">
        <v>1757</v>
      </c>
      <c r="D677" s="315">
        <v>10006941</v>
      </c>
      <c r="E677" s="299" t="s">
        <v>1800</v>
      </c>
      <c r="F677" s="299">
        <v>4545</v>
      </c>
      <c r="G677" s="331">
        <v>900000023663</v>
      </c>
      <c r="H677" s="315">
        <v>2023</v>
      </c>
      <c r="I677" s="329"/>
      <c r="J677" s="330"/>
      <c r="K677" s="326"/>
      <c r="L677" s="319"/>
      <c r="M677" s="320"/>
      <c r="N677" s="320"/>
      <c r="O677" s="321"/>
      <c r="P677" s="271" t="str">
        <f>IFERROR(VLOOKUP(Tabela1[[#This Row],[TAG]],#REF!,14,FALSE),"")</f>
        <v/>
      </c>
      <c r="Q677" s="323"/>
      <c r="R677" s="323"/>
      <c r="S677" s="323"/>
      <c r="T677" s="323"/>
      <c r="U677" s="323"/>
      <c r="V677" s="323"/>
      <c r="W677" s="304"/>
      <c r="X677" s="304"/>
      <c r="Y677" s="322"/>
      <c r="Z677" s="322">
        <f>IF(Tabela1[[#This Row],[Ano Aquisição]]=2023,0,IFERROR(VLOOKUP(H677,inflação!$F:$H,3,FALSE),""))</f>
        <v>0</v>
      </c>
      <c r="AA677" s="322"/>
      <c r="AB677" s="310"/>
      <c r="AC677" s="323"/>
      <c r="AD677" s="323"/>
      <c r="AE677" s="323"/>
      <c r="AF677" s="323"/>
      <c r="AG677" s="323"/>
      <c r="AH677" s="323"/>
      <c r="AI677" s="323"/>
      <c r="AJ677" s="324"/>
      <c r="AK677" s="323"/>
      <c r="AL677" s="323"/>
      <c r="AM677" s="323"/>
      <c r="AN677" s="323"/>
      <c r="AO677" s="323"/>
      <c r="AP677" s="323"/>
      <c r="AQ677" s="323"/>
      <c r="AR677" s="325"/>
      <c r="AS677" s="326"/>
      <c r="AT677" s="326"/>
      <c r="AU677" s="319"/>
      <c r="AV677" s="327"/>
      <c r="AW677" s="315"/>
      <c r="AX677" s="299" t="e">
        <f>VLOOKUP(D677,#REF!,5,FALSE)</f>
        <v>#REF!</v>
      </c>
      <c r="AY677" s="315"/>
      <c r="AZ677" s="316" t="s">
        <v>1224</v>
      </c>
      <c r="BB677" t="str">
        <f>IFERROR(VLOOKUP(Tabela1[[#This Row],[Denominação]],[10]Planilha1!$A:$B,2,FALSE),"")</f>
        <v/>
      </c>
      <c r="BC677" s="219"/>
      <c r="BD677" s="219"/>
      <c r="BE677" s="219"/>
      <c r="BF677" s="219"/>
      <c r="BG677" s="219"/>
      <c r="BH677" s="219"/>
      <c r="BI677" s="219"/>
      <c r="BJ677" s="219"/>
      <c r="BK677" s="219"/>
      <c r="BL677" s="219"/>
    </row>
    <row r="678" spans="1:64" hidden="1" x14ac:dyDescent="0.3">
      <c r="A678" s="253">
        <v>677</v>
      </c>
      <c r="B678" s="315" t="s">
        <v>1805</v>
      </c>
      <c r="C678" s="318" t="s">
        <v>1758</v>
      </c>
      <c r="D678" s="315">
        <v>10006939</v>
      </c>
      <c r="E678" s="299" t="s">
        <v>1801</v>
      </c>
      <c r="F678" s="299">
        <v>4547</v>
      </c>
      <c r="G678" s="331">
        <v>900000021749</v>
      </c>
      <c r="H678" s="315">
        <v>2022</v>
      </c>
      <c r="I678" s="329"/>
      <c r="J678" s="330"/>
      <c r="K678" s="326"/>
      <c r="L678" s="319"/>
      <c r="M678" s="320"/>
      <c r="N678" s="320"/>
      <c r="O678" s="321"/>
      <c r="P678" s="271" t="str">
        <f>IFERROR(VLOOKUP(Tabela1[[#This Row],[TAG]],#REF!,14,FALSE),"")</f>
        <v/>
      </c>
      <c r="Q678" s="323"/>
      <c r="R678" s="323"/>
      <c r="S678" s="323"/>
      <c r="T678" s="323"/>
      <c r="U678" s="323"/>
      <c r="V678" s="323"/>
      <c r="W678" s="304"/>
      <c r="X678" s="304"/>
      <c r="Y678" s="322"/>
      <c r="Z678" s="322">
        <f>IF(Tabela1[[#This Row],[Ano Aquisição]]=2023,0,IFERROR(VLOOKUP(H678,inflação!$F:$H,3,FALSE),""))</f>
        <v>5.79E-2</v>
      </c>
      <c r="AA678" s="322"/>
      <c r="AB678" s="310"/>
      <c r="AC678" s="323"/>
      <c r="AD678" s="323"/>
      <c r="AE678" s="323"/>
      <c r="AF678" s="323"/>
      <c r="AG678" s="323"/>
      <c r="AH678" s="323"/>
      <c r="AI678" s="323"/>
      <c r="AJ678" s="324"/>
      <c r="AK678" s="323"/>
      <c r="AL678" s="323"/>
      <c r="AM678" s="323"/>
      <c r="AN678" s="323"/>
      <c r="AO678" s="323"/>
      <c r="AP678" s="323"/>
      <c r="AQ678" s="323"/>
      <c r="AR678" s="325"/>
      <c r="AS678" s="326"/>
      <c r="AT678" s="326"/>
      <c r="AU678" s="319"/>
      <c r="AV678" s="327"/>
      <c r="AW678" s="315"/>
      <c r="AX678" s="299" t="e">
        <f>VLOOKUP(D678,#REF!,5,FALSE)</f>
        <v>#REF!</v>
      </c>
      <c r="AY678" s="315"/>
      <c r="AZ678" s="316" t="s">
        <v>1224</v>
      </c>
      <c r="BB678" t="str">
        <f>IFERROR(VLOOKUP(Tabela1[[#This Row],[Denominação]],[10]Planilha1!$A:$B,2,FALSE),"")</f>
        <v/>
      </c>
      <c r="BC678" s="219"/>
      <c r="BD678" s="219"/>
      <c r="BE678" s="219"/>
      <c r="BF678" s="219"/>
      <c r="BG678" s="219"/>
      <c r="BH678" s="219"/>
      <c r="BI678" s="219"/>
      <c r="BJ678" s="219"/>
      <c r="BK678" s="219"/>
      <c r="BL678" s="219"/>
    </row>
    <row r="679" spans="1:64" hidden="1" x14ac:dyDescent="0.3">
      <c r="A679" s="268">
        <v>678</v>
      </c>
      <c r="B679" s="201" t="s">
        <v>1213</v>
      </c>
      <c r="C679" s="211" t="s">
        <v>1214</v>
      </c>
      <c r="D679" s="201">
        <v>10000843</v>
      </c>
      <c r="E679" s="253" t="s">
        <v>1576</v>
      </c>
      <c r="F679" s="253">
        <v>2314</v>
      </c>
      <c r="G679" s="201">
        <v>20703</v>
      </c>
      <c r="H679" s="201">
        <v>2003</v>
      </c>
      <c r="I679" s="216">
        <v>24869.78</v>
      </c>
      <c r="J679" s="214">
        <v>0</v>
      </c>
      <c r="K679" s="170">
        <v>196045.69999999984</v>
      </c>
      <c r="L679" s="207">
        <v>0.91</v>
      </c>
      <c r="M679" s="212">
        <v>3854</v>
      </c>
      <c r="N679" s="212">
        <v>184103</v>
      </c>
      <c r="O679" s="171">
        <v>228</v>
      </c>
      <c r="P679" s="271" t="str">
        <f>IFERROR(VLOOKUP(Tabela1[[#This Row],[TAG]],#REF!,14,FALSE),"")</f>
        <v/>
      </c>
      <c r="Q679" s="204" t="e">
        <f t="shared" ref="Q679:Q684" si="1344">P679+P679</f>
        <v>#VALUE!</v>
      </c>
      <c r="R679" s="204" t="e">
        <f t="shared" ref="R679:R684" si="1345">Q679+P679</f>
        <v>#VALUE!</v>
      </c>
      <c r="S679" s="204" t="e">
        <f t="shared" ref="S679:S684" si="1346">R679+P679</f>
        <v>#VALUE!</v>
      </c>
      <c r="T679" s="204" t="e">
        <f t="shared" ref="T679:T684" si="1347">S679+P679</f>
        <v>#VALUE!</v>
      </c>
      <c r="U679" s="204" t="e">
        <f t="shared" ref="U679:U684" si="1348">T679+P679</f>
        <v>#VALUE!</v>
      </c>
      <c r="V679" s="204" t="e">
        <f t="shared" ref="V679:V684" si="1349">U679+P679</f>
        <v>#VALUE!</v>
      </c>
      <c r="W679" s="218">
        <v>685.99</v>
      </c>
      <c r="X679" s="218">
        <v>501.24</v>
      </c>
      <c r="Y679" s="203">
        <v>0.1</v>
      </c>
      <c r="Z679" s="203">
        <f>IF(Tabela1[[#This Row],[Ano Aquisição]]=2023,0,IFERROR(VLOOKUP(H679,inflação!$F:$H,3,FALSE),""))</f>
        <v>1.1931</v>
      </c>
      <c r="AA679" s="203">
        <v>0.8</v>
      </c>
      <c r="AB679" s="202">
        <f t="shared" ref="AB679:AB684" si="1350">I679*-1</f>
        <v>-24869.78</v>
      </c>
      <c r="AC679" s="204" t="e">
        <f t="shared" ref="AC679:AC684" si="1351">-(((P679*$W679)+($X679*12))*((1+$Y679)^AC$1))</f>
        <v>#VALUE!</v>
      </c>
      <c r="AD679" s="204" t="e">
        <f t="shared" ref="AD679:AI684" si="1352">-((((Q679-P679)*$W679)+($X679*12))*((1+$Y679)^AD$1))</f>
        <v>#VALUE!</v>
      </c>
      <c r="AE679" s="204" t="e">
        <f t="shared" si="1352"/>
        <v>#VALUE!</v>
      </c>
      <c r="AF679" s="204" t="e">
        <f t="shared" si="1352"/>
        <v>#VALUE!</v>
      </c>
      <c r="AG679" s="204" t="e">
        <f t="shared" si="1352"/>
        <v>#VALUE!</v>
      </c>
      <c r="AH679" s="204" t="e">
        <f t="shared" si="1352"/>
        <v>#VALUE!</v>
      </c>
      <c r="AI679" s="204" t="e">
        <f t="shared" si="1352"/>
        <v>#VALUE!</v>
      </c>
      <c r="AJ679" s="205">
        <f t="shared" ref="AJ679:AJ684" si="1353">-(I679*(1+Z679))</f>
        <v>-54541.914518000005</v>
      </c>
      <c r="AK679" s="204" t="e">
        <f t="shared" ref="AK679:AQ684" si="1354">AC679*(1-$AA679)</f>
        <v>#VALUE!</v>
      </c>
      <c r="AL679" s="204" t="e">
        <f t="shared" si="1354"/>
        <v>#VALUE!</v>
      </c>
      <c r="AM679" s="204" t="e">
        <f t="shared" si="1354"/>
        <v>#VALUE!</v>
      </c>
      <c r="AN679" s="204" t="e">
        <f t="shared" si="1354"/>
        <v>#VALUE!</v>
      </c>
      <c r="AO679" s="204" t="e">
        <f t="shared" si="1354"/>
        <v>#VALUE!</v>
      </c>
      <c r="AP679" s="204" t="e">
        <f t="shared" si="1354"/>
        <v>#VALUE!</v>
      </c>
      <c r="AQ679" s="204" t="e">
        <f t="shared" si="1354"/>
        <v>#VALUE!</v>
      </c>
      <c r="AR679" s="206" t="e">
        <f t="shared" ref="AR679:AR684" si="1355">(NPV(Y679,AK679,AL679,AM679,AN679,AO679,AP679,AQ679)+(SUM(AJ679,(J679*-1))))-(NPV(Y679,AC679,AD679,AE679,AF679,AG679,AH679,AI679))</f>
        <v>#VALUE!</v>
      </c>
      <c r="AS679" s="170" t="e">
        <f t="shared" ref="AS679:AS684" si="1356">SUM(AC679:AI679)</f>
        <v>#VALUE!</v>
      </c>
      <c r="AT679" s="170" t="e">
        <f t="shared" ref="AT679:AT684" si="1357">SUM(AK679:AQ679)</f>
        <v>#VALUE!</v>
      </c>
      <c r="AU679" s="207" t="e">
        <f t="shared" ref="AU679:AU684" si="1358">(((AVERAGE(AC679:AI679)/1000)-(AVERAGE(AK679:AQ679)/1000))+(((AJ679/1000)*-1)/7)+((J679/1000)/7))*-1</f>
        <v>#VALUE!</v>
      </c>
      <c r="AV679" s="208" t="e">
        <f t="shared" ref="AV679:AV684" si="1359">AU679/(((J679/1000)+((AJ679*-1)/1000)))</f>
        <v>#VALUE!</v>
      </c>
      <c r="AW679" s="201" t="str">
        <f t="shared" ref="AW679:AW684" si="1360">IF(L679&gt;1.1,"Fase de Degradação",IF(L679&lt;1,"Confiabilidade em Crescimento","Fase de Vida Útil"))</f>
        <v>Confiabilidade em Crescimento</v>
      </c>
      <c r="AX679" s="253" t="e">
        <f>VLOOKUP(D679,#REF!,5,FALSE)</f>
        <v>#REF!</v>
      </c>
      <c r="AY679" s="201"/>
      <c r="AZ679" s="273" t="s">
        <v>1224</v>
      </c>
      <c r="BB679">
        <f>IFERROR(VLOOKUP(Tabela1[[#This Row],[Denominação]],[10]Planilha1!$A:$B,2,FALSE),"")</f>
        <v>196045.69999999984</v>
      </c>
      <c r="BC679" s="219"/>
      <c r="BD679" s="219"/>
      <c r="BE679" s="219"/>
      <c r="BF679" s="219"/>
      <c r="BG679" s="219"/>
      <c r="BH679" s="219"/>
      <c r="BI679" s="219"/>
      <c r="BJ679" s="219"/>
      <c r="BK679" s="219"/>
      <c r="BL679" s="219"/>
    </row>
    <row r="680" spans="1:64" hidden="1" x14ac:dyDescent="0.3">
      <c r="A680" s="253">
        <v>679</v>
      </c>
      <c r="B680" s="201" t="s">
        <v>1215</v>
      </c>
      <c r="C680" s="211" t="s">
        <v>1216</v>
      </c>
      <c r="D680" s="201">
        <v>10000845</v>
      </c>
      <c r="E680" s="253" t="s">
        <v>1577</v>
      </c>
      <c r="F680" s="253">
        <v>2314</v>
      </c>
      <c r="G680" s="201">
        <v>6800100300</v>
      </c>
      <c r="H680" s="201">
        <v>1986</v>
      </c>
      <c r="I680" s="216">
        <v>40076.620000000003</v>
      </c>
      <c r="J680" s="214">
        <v>4860</v>
      </c>
      <c r="K680" s="170">
        <v>143379.6999999999</v>
      </c>
      <c r="L680" s="207">
        <v>1.37</v>
      </c>
      <c r="M680" s="212">
        <v>3854</v>
      </c>
      <c r="N680" s="212">
        <v>188743</v>
      </c>
      <c r="O680" s="171">
        <v>138</v>
      </c>
      <c r="P680" s="271" t="str">
        <f>IFERROR(VLOOKUP(Tabela1[[#This Row],[TAG]],#REF!,14,FALSE),"")</f>
        <v/>
      </c>
      <c r="Q680" s="204" t="e">
        <f t="shared" si="1344"/>
        <v>#VALUE!</v>
      </c>
      <c r="R680" s="204" t="e">
        <f t="shared" si="1345"/>
        <v>#VALUE!</v>
      </c>
      <c r="S680" s="204" t="e">
        <f t="shared" si="1346"/>
        <v>#VALUE!</v>
      </c>
      <c r="T680" s="204" t="e">
        <f t="shared" si="1347"/>
        <v>#VALUE!</v>
      </c>
      <c r="U680" s="204" t="e">
        <f t="shared" si="1348"/>
        <v>#VALUE!</v>
      </c>
      <c r="V680" s="204" t="e">
        <f t="shared" si="1349"/>
        <v>#VALUE!</v>
      </c>
      <c r="W680" s="218">
        <v>1020.59</v>
      </c>
      <c r="X680" s="218">
        <v>1052.2638888888894</v>
      </c>
      <c r="Y680" s="203">
        <v>0.1</v>
      </c>
      <c r="Z680" s="203">
        <f>IF(Tabela1[[#This Row],[Ano Aquisição]]=2023,0,IFERROR(VLOOKUP(H680,inflação!$F:$H,3,FALSE),""))</f>
        <v>2.3433461538461549</v>
      </c>
      <c r="AA680" s="203">
        <v>0.8</v>
      </c>
      <c r="AB680" s="202">
        <f t="shared" si="1350"/>
        <v>-40076.620000000003</v>
      </c>
      <c r="AC680" s="204" t="e">
        <f t="shared" si="1351"/>
        <v>#VALUE!</v>
      </c>
      <c r="AD680" s="204" t="e">
        <f t="shared" si="1352"/>
        <v>#VALUE!</v>
      </c>
      <c r="AE680" s="204" t="e">
        <f t="shared" si="1352"/>
        <v>#VALUE!</v>
      </c>
      <c r="AF680" s="204" t="e">
        <f t="shared" si="1352"/>
        <v>#VALUE!</v>
      </c>
      <c r="AG680" s="204" t="e">
        <f t="shared" si="1352"/>
        <v>#VALUE!</v>
      </c>
      <c r="AH680" s="204" t="e">
        <f t="shared" si="1352"/>
        <v>#VALUE!</v>
      </c>
      <c r="AI680" s="204" t="e">
        <f t="shared" si="1352"/>
        <v>#VALUE!</v>
      </c>
      <c r="AJ680" s="205">
        <f t="shared" si="1353"/>
        <v>-133990.0133361539</v>
      </c>
      <c r="AK680" s="204" t="e">
        <f t="shared" si="1354"/>
        <v>#VALUE!</v>
      </c>
      <c r="AL680" s="204" t="e">
        <f t="shared" si="1354"/>
        <v>#VALUE!</v>
      </c>
      <c r="AM680" s="204" t="e">
        <f t="shared" si="1354"/>
        <v>#VALUE!</v>
      </c>
      <c r="AN680" s="204" t="e">
        <f t="shared" si="1354"/>
        <v>#VALUE!</v>
      </c>
      <c r="AO680" s="204" t="e">
        <f t="shared" si="1354"/>
        <v>#VALUE!</v>
      </c>
      <c r="AP680" s="204" t="e">
        <f t="shared" si="1354"/>
        <v>#VALUE!</v>
      </c>
      <c r="AQ680" s="204" t="e">
        <f t="shared" si="1354"/>
        <v>#VALUE!</v>
      </c>
      <c r="AR680" s="206" t="e">
        <f t="shared" si="1355"/>
        <v>#VALUE!</v>
      </c>
      <c r="AS680" s="170" t="e">
        <f t="shared" si="1356"/>
        <v>#VALUE!</v>
      </c>
      <c r="AT680" s="170" t="e">
        <f t="shared" si="1357"/>
        <v>#VALUE!</v>
      </c>
      <c r="AU680" s="207" t="e">
        <f t="shared" si="1358"/>
        <v>#VALUE!</v>
      </c>
      <c r="AV680" s="208" t="e">
        <f t="shared" si="1359"/>
        <v>#VALUE!</v>
      </c>
      <c r="AW680" s="201" t="str">
        <f t="shared" si="1360"/>
        <v>Fase de Degradação</v>
      </c>
      <c r="AX680" s="253" t="e">
        <f>VLOOKUP(D680,#REF!,5,FALSE)</f>
        <v>#REF!</v>
      </c>
      <c r="AY680" s="201"/>
      <c r="AZ680" s="273" t="s">
        <v>1224</v>
      </c>
      <c r="BB680">
        <f>IFERROR(VLOOKUP(Tabela1[[#This Row],[Denominação]],[10]Planilha1!$A:$B,2,FALSE),"")</f>
        <v>143379.6999999999</v>
      </c>
      <c r="BC680" s="219"/>
      <c r="BD680" s="219"/>
      <c r="BE680" s="219"/>
      <c r="BF680" s="219"/>
      <c r="BG680" s="219"/>
      <c r="BH680" s="219"/>
      <c r="BI680" s="219"/>
      <c r="BJ680" s="219"/>
      <c r="BK680" s="219"/>
      <c r="BL680" s="219"/>
    </row>
    <row r="681" spans="1:64" hidden="1" x14ac:dyDescent="0.3">
      <c r="A681" s="268">
        <v>680</v>
      </c>
      <c r="B681" s="201" t="s">
        <v>1217</v>
      </c>
      <c r="C681" s="211" t="s">
        <v>1218</v>
      </c>
      <c r="D681" s="201">
        <v>10000847</v>
      </c>
      <c r="E681" s="253" t="s">
        <v>1578</v>
      </c>
      <c r="F681" s="253">
        <v>2314</v>
      </c>
      <c r="G681" s="201">
        <v>6800100200</v>
      </c>
      <c r="H681" s="201">
        <v>1980</v>
      </c>
      <c r="I681" s="216">
        <v>33792.29</v>
      </c>
      <c r="J681" s="214">
        <v>0</v>
      </c>
      <c r="K681" s="170">
        <v>123450.30999999995</v>
      </c>
      <c r="L681" s="207">
        <v>1.32</v>
      </c>
      <c r="M681" s="212">
        <v>3854</v>
      </c>
      <c r="N681" s="212">
        <v>198086</v>
      </c>
      <c r="O681" s="171">
        <v>113</v>
      </c>
      <c r="P681" s="271" t="str">
        <f>IFERROR(VLOOKUP(Tabela1[[#This Row],[TAG]],#REF!,14,FALSE),"")</f>
        <v/>
      </c>
      <c r="Q681" s="204" t="e">
        <f t="shared" si="1344"/>
        <v>#VALUE!</v>
      </c>
      <c r="R681" s="204" t="e">
        <f t="shared" si="1345"/>
        <v>#VALUE!</v>
      </c>
      <c r="S681" s="204" t="e">
        <f t="shared" si="1346"/>
        <v>#VALUE!</v>
      </c>
      <c r="T681" s="204" t="e">
        <f t="shared" si="1347"/>
        <v>#VALUE!</v>
      </c>
      <c r="U681" s="204" t="e">
        <f t="shared" si="1348"/>
        <v>#VALUE!</v>
      </c>
      <c r="V681" s="204" t="e">
        <f t="shared" si="1349"/>
        <v>#VALUE!</v>
      </c>
      <c r="W681" s="218">
        <v>562.35</v>
      </c>
      <c r="X681" s="218">
        <v>343</v>
      </c>
      <c r="Y681" s="203">
        <v>0.1</v>
      </c>
      <c r="Z681" s="203">
        <f>IF(Tabela1[[#This Row],[Ano Aquisição]]=2023,0,IFERROR(VLOOKUP(H681,inflação!$F:$H,3,FALSE),""))</f>
        <v>2.7242538461538484</v>
      </c>
      <c r="AA681" s="203">
        <v>0.8</v>
      </c>
      <c r="AB681" s="202">
        <f t="shared" si="1350"/>
        <v>-33792.29</v>
      </c>
      <c r="AC681" s="204" t="e">
        <f t="shared" si="1351"/>
        <v>#VALUE!</v>
      </c>
      <c r="AD681" s="204" t="e">
        <f t="shared" si="1352"/>
        <v>#VALUE!</v>
      </c>
      <c r="AE681" s="204" t="e">
        <f t="shared" si="1352"/>
        <v>#VALUE!</v>
      </c>
      <c r="AF681" s="204" t="e">
        <f t="shared" si="1352"/>
        <v>#VALUE!</v>
      </c>
      <c r="AG681" s="204" t="e">
        <f t="shared" si="1352"/>
        <v>#VALUE!</v>
      </c>
      <c r="AH681" s="204" t="e">
        <f t="shared" si="1352"/>
        <v>#VALUE!</v>
      </c>
      <c r="AI681" s="204" t="e">
        <f t="shared" si="1352"/>
        <v>#VALUE!</v>
      </c>
      <c r="AJ681" s="205">
        <f t="shared" si="1353"/>
        <v>-125851.06600284623</v>
      </c>
      <c r="AK681" s="204" t="e">
        <f t="shared" si="1354"/>
        <v>#VALUE!</v>
      </c>
      <c r="AL681" s="204" t="e">
        <f t="shared" si="1354"/>
        <v>#VALUE!</v>
      </c>
      <c r="AM681" s="204" t="e">
        <f t="shared" si="1354"/>
        <v>#VALUE!</v>
      </c>
      <c r="AN681" s="204" t="e">
        <f t="shared" si="1354"/>
        <v>#VALUE!</v>
      </c>
      <c r="AO681" s="204" t="e">
        <f t="shared" si="1354"/>
        <v>#VALUE!</v>
      </c>
      <c r="AP681" s="204" t="e">
        <f t="shared" si="1354"/>
        <v>#VALUE!</v>
      </c>
      <c r="AQ681" s="204" t="e">
        <f t="shared" si="1354"/>
        <v>#VALUE!</v>
      </c>
      <c r="AR681" s="206" t="e">
        <f t="shared" si="1355"/>
        <v>#VALUE!</v>
      </c>
      <c r="AS681" s="170" t="e">
        <f t="shared" si="1356"/>
        <v>#VALUE!</v>
      </c>
      <c r="AT681" s="170" t="e">
        <f t="shared" si="1357"/>
        <v>#VALUE!</v>
      </c>
      <c r="AU681" s="207" t="e">
        <f t="shared" si="1358"/>
        <v>#VALUE!</v>
      </c>
      <c r="AV681" s="208" t="e">
        <f t="shared" si="1359"/>
        <v>#VALUE!</v>
      </c>
      <c r="AW681" s="201" t="str">
        <f t="shared" si="1360"/>
        <v>Fase de Degradação</v>
      </c>
      <c r="AX681" s="253" t="e">
        <f>VLOOKUP(D681,#REF!,5,FALSE)</f>
        <v>#REF!</v>
      </c>
      <c r="AY681" s="201"/>
      <c r="AZ681" s="273" t="s">
        <v>1224</v>
      </c>
      <c r="BB681">
        <f>IFERROR(VLOOKUP(Tabela1[[#This Row],[Denominação]],[10]Planilha1!$A:$B,2,FALSE),"")</f>
        <v>123450.30999999995</v>
      </c>
      <c r="BC681" s="219"/>
      <c r="BD681" s="219"/>
      <c r="BE681" s="219"/>
      <c r="BF681" s="219"/>
      <c r="BG681" s="219"/>
      <c r="BH681" s="219"/>
      <c r="BI681" s="219"/>
      <c r="BJ681" s="219"/>
      <c r="BK681" s="219"/>
      <c r="BL681" s="219"/>
    </row>
    <row r="682" spans="1:64" hidden="1" x14ac:dyDescent="0.3">
      <c r="A682" s="253">
        <v>681</v>
      </c>
      <c r="B682" s="201" t="s">
        <v>1219</v>
      </c>
      <c r="C682" s="211" t="s">
        <v>1220</v>
      </c>
      <c r="D682" s="201">
        <v>10000849</v>
      </c>
      <c r="E682" s="253" t="s">
        <v>1579</v>
      </c>
      <c r="F682" s="253">
        <v>2314</v>
      </c>
      <c r="G682" s="201">
        <v>6800100100</v>
      </c>
      <c r="H682" s="201">
        <v>1977</v>
      </c>
      <c r="I682" s="216">
        <v>60868.93</v>
      </c>
      <c r="J682" s="214">
        <v>4860</v>
      </c>
      <c r="K682" s="170">
        <v>131271.49999999991</v>
      </c>
      <c r="L682" s="207">
        <v>0.93</v>
      </c>
      <c r="M682" s="212">
        <v>3854</v>
      </c>
      <c r="N682" s="212">
        <v>174028</v>
      </c>
      <c r="O682" s="171">
        <v>147</v>
      </c>
      <c r="P682" s="271" t="str">
        <f>IFERROR(VLOOKUP(Tabela1[[#This Row],[TAG]],#REF!,14,FALSE),"")</f>
        <v/>
      </c>
      <c r="Q682" s="204" t="e">
        <f t="shared" si="1344"/>
        <v>#VALUE!</v>
      </c>
      <c r="R682" s="204" t="e">
        <f t="shared" si="1345"/>
        <v>#VALUE!</v>
      </c>
      <c r="S682" s="204" t="e">
        <f t="shared" si="1346"/>
        <v>#VALUE!</v>
      </c>
      <c r="T682" s="204" t="e">
        <f t="shared" si="1347"/>
        <v>#VALUE!</v>
      </c>
      <c r="U682" s="204" t="e">
        <f t="shared" si="1348"/>
        <v>#VALUE!</v>
      </c>
      <c r="V682" s="204" t="e">
        <f t="shared" si="1349"/>
        <v>#VALUE!</v>
      </c>
      <c r="W682" s="218">
        <v>655.48</v>
      </c>
      <c r="X682" s="218">
        <v>785.42</v>
      </c>
      <c r="Y682" s="203">
        <v>0.1</v>
      </c>
      <c r="Z682" s="203">
        <f>IF(Tabela1[[#This Row],[Ano Aquisição]]=2023,0,IFERROR(VLOOKUP(H682,inflação!$F:$H,3,FALSE),""))</f>
        <v>2.9147076923076951</v>
      </c>
      <c r="AA682" s="203">
        <v>0.8</v>
      </c>
      <c r="AB682" s="202">
        <f t="shared" si="1350"/>
        <v>-60868.93</v>
      </c>
      <c r="AC682" s="204" t="e">
        <f t="shared" si="1351"/>
        <v>#VALUE!</v>
      </c>
      <c r="AD682" s="204" t="e">
        <f t="shared" si="1352"/>
        <v>#VALUE!</v>
      </c>
      <c r="AE682" s="204" t="e">
        <f t="shared" si="1352"/>
        <v>#VALUE!</v>
      </c>
      <c r="AF682" s="204" t="e">
        <f t="shared" si="1352"/>
        <v>#VALUE!</v>
      </c>
      <c r="AG682" s="204" t="e">
        <f t="shared" si="1352"/>
        <v>#VALUE!</v>
      </c>
      <c r="AH682" s="204" t="e">
        <f t="shared" si="1352"/>
        <v>#VALUE!</v>
      </c>
      <c r="AI682" s="204" t="e">
        <f t="shared" si="1352"/>
        <v>#VALUE!</v>
      </c>
      <c r="AJ682" s="205">
        <f t="shared" si="1353"/>
        <v>-238284.06849353862</v>
      </c>
      <c r="AK682" s="204" t="e">
        <f t="shared" si="1354"/>
        <v>#VALUE!</v>
      </c>
      <c r="AL682" s="204" t="e">
        <f t="shared" si="1354"/>
        <v>#VALUE!</v>
      </c>
      <c r="AM682" s="204" t="e">
        <f t="shared" si="1354"/>
        <v>#VALUE!</v>
      </c>
      <c r="AN682" s="204" t="e">
        <f t="shared" si="1354"/>
        <v>#VALUE!</v>
      </c>
      <c r="AO682" s="204" t="e">
        <f t="shared" si="1354"/>
        <v>#VALUE!</v>
      </c>
      <c r="AP682" s="204" t="e">
        <f t="shared" si="1354"/>
        <v>#VALUE!</v>
      </c>
      <c r="AQ682" s="204" t="e">
        <f t="shared" si="1354"/>
        <v>#VALUE!</v>
      </c>
      <c r="AR682" s="206" t="e">
        <f t="shared" si="1355"/>
        <v>#VALUE!</v>
      </c>
      <c r="AS682" s="170" t="e">
        <f t="shared" si="1356"/>
        <v>#VALUE!</v>
      </c>
      <c r="AT682" s="170" t="e">
        <f t="shared" si="1357"/>
        <v>#VALUE!</v>
      </c>
      <c r="AU682" s="207" t="e">
        <f t="shared" si="1358"/>
        <v>#VALUE!</v>
      </c>
      <c r="AV682" s="208" t="e">
        <f t="shared" si="1359"/>
        <v>#VALUE!</v>
      </c>
      <c r="AW682" s="201" t="str">
        <f t="shared" si="1360"/>
        <v>Confiabilidade em Crescimento</v>
      </c>
      <c r="AX682" s="253" t="e">
        <f>VLOOKUP(D682,#REF!,5,FALSE)</f>
        <v>#REF!</v>
      </c>
      <c r="AY682" s="201"/>
      <c r="AZ682" s="273" t="s">
        <v>1224</v>
      </c>
      <c r="BB682">
        <f>IFERROR(VLOOKUP(Tabela1[[#This Row],[Denominação]],[10]Planilha1!$A:$B,2,FALSE),"")</f>
        <v>131271.49999999991</v>
      </c>
      <c r="BC682" s="219"/>
      <c r="BD682" s="219"/>
      <c r="BE682" s="219"/>
      <c r="BF682" s="219"/>
      <c r="BG682" s="219"/>
      <c r="BH682" s="219"/>
      <c r="BI682" s="219"/>
      <c r="BJ682" s="219"/>
      <c r="BK682" s="219"/>
      <c r="BL682" s="219"/>
    </row>
    <row r="683" spans="1:64" hidden="1" x14ac:dyDescent="0.3">
      <c r="A683" s="268">
        <v>682</v>
      </c>
      <c r="B683" s="171" t="s">
        <v>582</v>
      </c>
      <c r="C683" s="209" t="s">
        <v>583</v>
      </c>
      <c r="D683" s="171">
        <v>10003004</v>
      </c>
      <c r="E683" s="253" t="s">
        <v>1580</v>
      </c>
      <c r="F683" s="210">
        <v>3348</v>
      </c>
      <c r="G683" s="171">
        <v>20527</v>
      </c>
      <c r="H683" s="171">
        <v>2002</v>
      </c>
      <c r="I683" s="213">
        <v>31266.82</v>
      </c>
      <c r="J683" s="213">
        <v>0</v>
      </c>
      <c r="K683" s="170">
        <v>894391.49999999953</v>
      </c>
      <c r="L683" s="207">
        <v>1.73</v>
      </c>
      <c r="M683" s="212">
        <v>4392</v>
      </c>
      <c r="N683" s="212">
        <v>181843</v>
      </c>
      <c r="O683" s="171">
        <v>616</v>
      </c>
      <c r="P683" s="271" t="str">
        <f>IFERROR(VLOOKUP(Tabela1[[#This Row],[TAG]],#REF!,14,FALSE),"")</f>
        <v/>
      </c>
      <c r="Q683" s="204" t="e">
        <f t="shared" si="1344"/>
        <v>#VALUE!</v>
      </c>
      <c r="R683" s="204" t="e">
        <f t="shared" si="1345"/>
        <v>#VALUE!</v>
      </c>
      <c r="S683" s="204" t="e">
        <f t="shared" si="1346"/>
        <v>#VALUE!</v>
      </c>
      <c r="T683" s="204" t="e">
        <f t="shared" si="1347"/>
        <v>#VALUE!</v>
      </c>
      <c r="U683" s="204" t="e">
        <f t="shared" si="1348"/>
        <v>#VALUE!</v>
      </c>
      <c r="V683" s="204" t="e">
        <f t="shared" si="1349"/>
        <v>#VALUE!</v>
      </c>
      <c r="W683" s="218">
        <v>852.6</v>
      </c>
      <c r="X683" s="218">
        <v>3338.29</v>
      </c>
      <c r="Y683" s="203">
        <v>0.1</v>
      </c>
      <c r="Z683" s="203">
        <f>IF(Tabela1[[#This Row],[Ano Aquisição]]=2023,0,IFERROR(VLOOKUP(H683,inflação!$F:$H,3,FALSE),""))</f>
        <v>1.3184</v>
      </c>
      <c r="AA683" s="203">
        <v>0.8</v>
      </c>
      <c r="AB683" s="202">
        <f t="shared" si="1350"/>
        <v>-31266.82</v>
      </c>
      <c r="AC683" s="204" t="e">
        <f t="shared" si="1351"/>
        <v>#VALUE!</v>
      </c>
      <c r="AD683" s="204" t="e">
        <f t="shared" si="1352"/>
        <v>#VALUE!</v>
      </c>
      <c r="AE683" s="204" t="e">
        <f t="shared" si="1352"/>
        <v>#VALUE!</v>
      </c>
      <c r="AF683" s="204" t="e">
        <f t="shared" si="1352"/>
        <v>#VALUE!</v>
      </c>
      <c r="AG683" s="204" t="e">
        <f t="shared" si="1352"/>
        <v>#VALUE!</v>
      </c>
      <c r="AH683" s="204" t="e">
        <f t="shared" si="1352"/>
        <v>#VALUE!</v>
      </c>
      <c r="AI683" s="204" t="e">
        <f t="shared" si="1352"/>
        <v>#VALUE!</v>
      </c>
      <c r="AJ683" s="205">
        <f t="shared" si="1353"/>
        <v>-72488.995488</v>
      </c>
      <c r="AK683" s="204" t="e">
        <f t="shared" si="1354"/>
        <v>#VALUE!</v>
      </c>
      <c r="AL683" s="204" t="e">
        <f t="shared" si="1354"/>
        <v>#VALUE!</v>
      </c>
      <c r="AM683" s="204" t="e">
        <f t="shared" si="1354"/>
        <v>#VALUE!</v>
      </c>
      <c r="AN683" s="204" t="e">
        <f t="shared" si="1354"/>
        <v>#VALUE!</v>
      </c>
      <c r="AO683" s="204" t="e">
        <f t="shared" si="1354"/>
        <v>#VALUE!</v>
      </c>
      <c r="AP683" s="204" t="e">
        <f t="shared" si="1354"/>
        <v>#VALUE!</v>
      </c>
      <c r="AQ683" s="204" t="e">
        <f t="shared" si="1354"/>
        <v>#VALUE!</v>
      </c>
      <c r="AR683" s="206" t="e">
        <f t="shared" si="1355"/>
        <v>#VALUE!</v>
      </c>
      <c r="AS683" s="170" t="e">
        <f t="shared" si="1356"/>
        <v>#VALUE!</v>
      </c>
      <c r="AT683" s="170" t="e">
        <f t="shared" si="1357"/>
        <v>#VALUE!</v>
      </c>
      <c r="AU683" s="207" t="e">
        <f t="shared" si="1358"/>
        <v>#VALUE!</v>
      </c>
      <c r="AV683" s="208" t="e">
        <f t="shared" si="1359"/>
        <v>#VALUE!</v>
      </c>
      <c r="AW683" s="201" t="str">
        <f t="shared" si="1360"/>
        <v>Fase de Degradação</v>
      </c>
      <c r="AX683" s="253" t="e">
        <f>VLOOKUP(D683,#REF!,5,FALSE)</f>
        <v>#REF!</v>
      </c>
      <c r="AY683" s="201"/>
      <c r="AZ683" s="273" t="s">
        <v>1224</v>
      </c>
      <c r="BB683">
        <f>IFERROR(VLOOKUP(Tabela1[[#This Row],[Denominação]],[10]Planilha1!$A:$B,2,FALSE),"")</f>
        <v>894391.49999999953</v>
      </c>
      <c r="BC683" s="219"/>
      <c r="BD683" s="219"/>
      <c r="BE683" s="219"/>
      <c r="BF683" s="219"/>
      <c r="BG683" s="219"/>
      <c r="BH683" s="219"/>
      <c r="BI683" s="219"/>
      <c r="BJ683" s="219"/>
      <c r="BK683" s="219"/>
      <c r="BL683" s="219"/>
    </row>
    <row r="684" spans="1:64" hidden="1" x14ac:dyDescent="0.3">
      <c r="A684" s="253">
        <v>683</v>
      </c>
      <c r="B684" s="280" t="s">
        <v>1221</v>
      </c>
      <c r="C684" s="298" t="s">
        <v>1222</v>
      </c>
      <c r="D684" s="280">
        <v>20001034</v>
      </c>
      <c r="E684" s="253" t="s">
        <v>1581</v>
      </c>
      <c r="F684" s="279">
        <v>2537</v>
      </c>
      <c r="G684" s="280">
        <v>42616</v>
      </c>
      <c r="H684" s="280">
        <v>2012</v>
      </c>
      <c r="I684" s="281">
        <v>181684.85</v>
      </c>
      <c r="J684" s="282">
        <v>75742</v>
      </c>
      <c r="K684" s="283">
        <v>217158.55000000008</v>
      </c>
      <c r="L684" s="284">
        <v>0.87</v>
      </c>
      <c r="M684" s="320">
        <v>5512</v>
      </c>
      <c r="N684" s="285">
        <v>86557</v>
      </c>
      <c r="O684" s="286">
        <v>170</v>
      </c>
      <c r="P684" s="271" t="str">
        <f>IFERROR(VLOOKUP(Tabela1[[#This Row],[TAG]],#REF!,14,FALSE),"")</f>
        <v/>
      </c>
      <c r="Q684" s="289" t="e">
        <f t="shared" si="1344"/>
        <v>#VALUE!</v>
      </c>
      <c r="R684" s="289" t="e">
        <f t="shared" si="1345"/>
        <v>#VALUE!</v>
      </c>
      <c r="S684" s="289" t="e">
        <f t="shared" si="1346"/>
        <v>#VALUE!</v>
      </c>
      <c r="T684" s="289" t="e">
        <f t="shared" si="1347"/>
        <v>#VALUE!</v>
      </c>
      <c r="U684" s="289" t="e">
        <f t="shared" si="1348"/>
        <v>#VALUE!</v>
      </c>
      <c r="V684" s="289" t="e">
        <f t="shared" si="1349"/>
        <v>#VALUE!</v>
      </c>
      <c r="W684" s="335">
        <v>503.22</v>
      </c>
      <c r="X684" s="335">
        <v>1130.71</v>
      </c>
      <c r="Y684" s="287">
        <v>0.1</v>
      </c>
      <c r="Z684" s="287">
        <f>IF(Tabela1[[#This Row],[Ano Aquisição]]=2023,0,IFERROR(VLOOKUP(H684,inflação!$F:$H,3,FALSE),""))</f>
        <v>0.66500000000000004</v>
      </c>
      <c r="AA684" s="287">
        <v>0.8</v>
      </c>
      <c r="AB684" s="288">
        <f t="shared" si="1350"/>
        <v>-181684.85</v>
      </c>
      <c r="AC684" s="289" t="e">
        <f t="shared" si="1351"/>
        <v>#VALUE!</v>
      </c>
      <c r="AD684" s="289" t="e">
        <f t="shared" si="1352"/>
        <v>#VALUE!</v>
      </c>
      <c r="AE684" s="289" t="e">
        <f t="shared" si="1352"/>
        <v>#VALUE!</v>
      </c>
      <c r="AF684" s="289" t="e">
        <f t="shared" si="1352"/>
        <v>#VALUE!</v>
      </c>
      <c r="AG684" s="289" t="e">
        <f t="shared" si="1352"/>
        <v>#VALUE!</v>
      </c>
      <c r="AH684" s="289" t="e">
        <f t="shared" si="1352"/>
        <v>#VALUE!</v>
      </c>
      <c r="AI684" s="289" t="e">
        <f t="shared" si="1352"/>
        <v>#VALUE!</v>
      </c>
      <c r="AJ684" s="290">
        <f t="shared" si="1353"/>
        <v>-302505.27525000001</v>
      </c>
      <c r="AK684" s="289" t="e">
        <f t="shared" si="1354"/>
        <v>#VALUE!</v>
      </c>
      <c r="AL684" s="289" t="e">
        <f t="shared" si="1354"/>
        <v>#VALUE!</v>
      </c>
      <c r="AM684" s="289" t="e">
        <f t="shared" si="1354"/>
        <v>#VALUE!</v>
      </c>
      <c r="AN684" s="289" t="e">
        <f t="shared" si="1354"/>
        <v>#VALUE!</v>
      </c>
      <c r="AO684" s="289" t="e">
        <f t="shared" si="1354"/>
        <v>#VALUE!</v>
      </c>
      <c r="AP684" s="289" t="e">
        <f t="shared" si="1354"/>
        <v>#VALUE!</v>
      </c>
      <c r="AQ684" s="289" t="e">
        <f t="shared" si="1354"/>
        <v>#VALUE!</v>
      </c>
      <c r="AR684" s="291" t="e">
        <f t="shared" si="1355"/>
        <v>#VALUE!</v>
      </c>
      <c r="AS684" s="283" t="e">
        <f t="shared" si="1356"/>
        <v>#VALUE!</v>
      </c>
      <c r="AT684" s="283" t="e">
        <f t="shared" si="1357"/>
        <v>#VALUE!</v>
      </c>
      <c r="AU684" s="284" t="e">
        <f t="shared" si="1358"/>
        <v>#VALUE!</v>
      </c>
      <c r="AV684" s="292" t="e">
        <f t="shared" si="1359"/>
        <v>#VALUE!</v>
      </c>
      <c r="AW684" s="280" t="str">
        <f t="shared" si="1360"/>
        <v>Confiabilidade em Crescimento</v>
      </c>
      <c r="AX684" s="279" t="e">
        <f>VLOOKUP(D684,#REF!,5,FALSE)</f>
        <v>#REF!</v>
      </c>
      <c r="AY684" s="201"/>
      <c r="AZ684" s="273" t="s">
        <v>1224</v>
      </c>
      <c r="BB684">
        <f>IFERROR(VLOOKUP(Tabela1[[#This Row],[Denominação]],[10]Planilha1!$A:$B,2,FALSE),"")</f>
        <v>217158.55000000008</v>
      </c>
      <c r="BC684" s="219"/>
      <c r="BD684" s="219"/>
      <c r="BE684" s="219"/>
      <c r="BF684" s="219"/>
      <c r="BG684" s="219"/>
      <c r="BH684" s="219"/>
      <c r="BI684" s="219"/>
      <c r="BJ684" s="219"/>
      <c r="BK684" s="219"/>
      <c r="BL684" s="219"/>
    </row>
    <row r="685" spans="1:64" x14ac:dyDescent="0.3">
      <c r="J685" s="241"/>
      <c r="BB685" t="str">
        <f>IFERROR(VLOOKUP(Tabela1[[#This Row],[Denominação]],[10]Planilha1!$A:$B,2,FALSE),"")</f>
        <v/>
      </c>
      <c r="BC685" s="219"/>
      <c r="BD685" s="219"/>
      <c r="BE685" s="219"/>
      <c r="BF685" s="219"/>
      <c r="BG685" s="219"/>
      <c r="BH685" s="219"/>
      <c r="BI685" s="219"/>
      <c r="BJ685" s="219"/>
      <c r="BK685" s="219"/>
      <c r="BL685" s="219"/>
    </row>
    <row r="686" spans="1:64" x14ac:dyDescent="0.3">
      <c r="B686" s="240" t="s">
        <v>1803</v>
      </c>
      <c r="C686" s="180">
        <v>685</v>
      </c>
      <c r="D686" s="238"/>
      <c r="E686" s="238"/>
      <c r="J686" s="241"/>
      <c r="P686" s="365"/>
      <c r="Q686" s="365"/>
      <c r="R686" s="365"/>
      <c r="S686" s="365"/>
      <c r="T686" s="365"/>
      <c r="U686" s="365"/>
      <c r="V686" s="365"/>
      <c r="BB686" t="str">
        <f>IFERROR(VLOOKUP(Tabela1[[#This Row],[Denominação]],[10]Planilha1!$A:$B,2,FALSE),"")</f>
        <v/>
      </c>
      <c r="BC686" s="219"/>
      <c r="BD686" s="219"/>
      <c r="BE686" s="219"/>
      <c r="BF686" s="219"/>
      <c r="BG686" s="219"/>
      <c r="BH686" s="219"/>
      <c r="BI686" s="219"/>
      <c r="BJ686" s="219"/>
      <c r="BK686" s="219"/>
      <c r="BL686" s="219"/>
    </row>
    <row r="687" spans="1:64" x14ac:dyDescent="0.3">
      <c r="B687" s="240">
        <v>2022</v>
      </c>
      <c r="C687" s="180">
        <v>536</v>
      </c>
      <c r="E687" s="240"/>
      <c r="G687" s="239"/>
      <c r="H687" s="239"/>
      <c r="I687" s="239"/>
      <c r="J687" s="242"/>
      <c r="P687" s="365"/>
      <c r="Q687" s="365"/>
      <c r="R687" s="365"/>
      <c r="S687" s="365"/>
      <c r="T687" s="365"/>
      <c r="U687" s="365"/>
      <c r="V687" s="365"/>
      <c r="BB687" s="219"/>
      <c r="BC687" s="219"/>
      <c r="BD687" s="219"/>
      <c r="BE687" s="219"/>
      <c r="BF687" s="219"/>
      <c r="BG687" s="219"/>
      <c r="BH687" s="219"/>
      <c r="BI687" s="219"/>
      <c r="BJ687" s="219"/>
      <c r="BK687" s="219"/>
      <c r="BL687" s="219"/>
    </row>
    <row r="688" spans="1:64" x14ac:dyDescent="0.3">
      <c r="B688" s="240" t="s">
        <v>1804</v>
      </c>
      <c r="C688" s="180">
        <f>C686-C687</f>
        <v>149</v>
      </c>
      <c r="E688" s="240"/>
      <c r="G688" s="239"/>
      <c r="H688" s="239"/>
      <c r="I688" s="239"/>
      <c r="J688" s="238"/>
      <c r="P688" s="365"/>
      <c r="Q688" s="365"/>
      <c r="R688" s="365"/>
      <c r="S688" s="365"/>
      <c r="T688" s="365"/>
      <c r="U688" s="365"/>
      <c r="V688" s="365"/>
      <c r="BB688" s="219"/>
      <c r="BC688" s="219"/>
      <c r="BD688" s="219"/>
      <c r="BE688" s="219"/>
      <c r="BF688" s="219"/>
      <c r="BG688" s="219"/>
      <c r="BH688" s="219"/>
      <c r="BI688" s="219"/>
      <c r="BJ688" s="219"/>
      <c r="BK688" s="219"/>
      <c r="BL688" s="219"/>
    </row>
    <row r="689" spans="2:22" x14ac:dyDescent="0.3">
      <c r="B689" s="240" t="s">
        <v>1639</v>
      </c>
      <c r="C689" s="272">
        <f>C686/C687-1</f>
        <v>0.27798507462686572</v>
      </c>
      <c r="E689" s="240"/>
      <c r="G689" s="239"/>
      <c r="H689" s="239"/>
      <c r="I689" s="239"/>
      <c r="J689" s="238"/>
      <c r="P689" s="365"/>
      <c r="Q689" s="365"/>
      <c r="R689" s="365"/>
      <c r="S689" s="365"/>
      <c r="T689" s="365"/>
      <c r="U689" s="365"/>
      <c r="V689" s="365"/>
    </row>
    <row r="690" spans="2:22" x14ac:dyDescent="0.3">
      <c r="B690" s="240"/>
      <c r="E690" s="240"/>
      <c r="G690" s="239"/>
      <c r="H690" s="239"/>
      <c r="I690" s="239"/>
      <c r="J690" s="238"/>
      <c r="P690" s="365"/>
      <c r="Q690" s="365"/>
      <c r="R690" s="365"/>
      <c r="S690" s="365"/>
      <c r="T690" s="365"/>
      <c r="U690" s="365"/>
      <c r="V690" s="365"/>
    </row>
    <row r="691" spans="2:22" x14ac:dyDescent="0.3">
      <c r="B691" s="240"/>
      <c r="E691" s="240"/>
      <c r="G691" s="239"/>
      <c r="H691" s="239"/>
      <c r="I691" s="239"/>
      <c r="J691" s="238"/>
      <c r="P691" s="365"/>
      <c r="Q691" s="365"/>
      <c r="R691" s="365"/>
      <c r="S691" s="365"/>
      <c r="T691" s="365"/>
      <c r="U691" s="365"/>
      <c r="V691" s="365"/>
    </row>
    <row r="692" spans="2:22" x14ac:dyDescent="0.3">
      <c r="B692" s="240"/>
      <c r="E692" s="240"/>
      <c r="G692" s="239"/>
      <c r="H692" s="239"/>
      <c r="I692" s="239"/>
      <c r="J692" s="238"/>
    </row>
    <row r="693" spans="2:22" x14ac:dyDescent="0.3">
      <c r="B693" s="240"/>
      <c r="E693" s="240"/>
      <c r="G693" s="239"/>
      <c r="H693" s="239"/>
      <c r="I693" s="239"/>
      <c r="J693" s="238"/>
    </row>
    <row r="694" spans="2:22" x14ac:dyDescent="0.3">
      <c r="B694" s="240"/>
      <c r="E694" s="240"/>
      <c r="G694" s="239"/>
      <c r="H694" s="239"/>
      <c r="I694" s="239"/>
      <c r="J694" s="238"/>
      <c r="P694" s="365"/>
      <c r="Q694" s="365"/>
      <c r="R694" s="365"/>
      <c r="S694" s="365"/>
      <c r="T694" s="365"/>
      <c r="U694" s="365"/>
      <c r="V694" s="365"/>
    </row>
    <row r="695" spans="2:22" x14ac:dyDescent="0.3">
      <c r="B695" s="240"/>
      <c r="E695" s="240"/>
      <c r="G695" s="239"/>
      <c r="H695" s="239"/>
      <c r="I695" s="239"/>
      <c r="J695" s="238"/>
      <c r="P695" s="365"/>
      <c r="Q695" s="365"/>
      <c r="R695" s="365"/>
      <c r="S695" s="365"/>
      <c r="T695" s="365"/>
      <c r="U695" s="365"/>
      <c r="V695" s="365"/>
    </row>
    <row r="696" spans="2:22" x14ac:dyDescent="0.3">
      <c r="B696" s="240"/>
      <c r="E696" s="240"/>
      <c r="I696" s="239"/>
      <c r="J696" s="238"/>
    </row>
    <row r="697" spans="2:22" x14ac:dyDescent="0.3">
      <c r="B697" s="240"/>
      <c r="E697" s="240"/>
      <c r="I697" s="239"/>
      <c r="J697" s="238"/>
    </row>
    <row r="698" spans="2:22" x14ac:dyDescent="0.3">
      <c r="B698" s="240"/>
      <c r="E698" s="240"/>
      <c r="G698" s="239"/>
      <c r="H698" s="239"/>
      <c r="I698" s="239"/>
      <c r="J698" s="238"/>
    </row>
    <row r="699" spans="2:22" x14ac:dyDescent="0.3">
      <c r="B699" s="240"/>
      <c r="E699" s="240"/>
      <c r="G699" s="239"/>
      <c r="H699" s="239"/>
      <c r="J699" s="238"/>
    </row>
    <row r="700" spans="2:22" x14ac:dyDescent="0.3">
      <c r="B700" s="240"/>
      <c r="E700" s="240"/>
      <c r="G700" s="239"/>
      <c r="H700" s="239"/>
      <c r="I700" s="239"/>
      <c r="J700" s="238"/>
      <c r="P700" s="365"/>
      <c r="Q700" s="365"/>
      <c r="R700" s="365"/>
      <c r="S700" s="365"/>
      <c r="T700" s="365"/>
      <c r="U700" s="365"/>
      <c r="V700" s="365"/>
    </row>
    <row r="701" spans="2:22" x14ac:dyDescent="0.3">
      <c r="B701" s="240"/>
      <c r="E701" s="240"/>
      <c r="G701" s="239"/>
      <c r="H701" s="239"/>
      <c r="J701" s="238"/>
    </row>
    <row r="702" spans="2:22" x14ac:dyDescent="0.3">
      <c r="B702" s="240"/>
      <c r="E702" s="240"/>
      <c r="G702" s="239"/>
      <c r="H702" s="239"/>
      <c r="J702" s="238"/>
    </row>
    <row r="703" spans="2:22" x14ac:dyDescent="0.3">
      <c r="B703" s="240"/>
      <c r="E703" s="240"/>
      <c r="G703" s="239"/>
      <c r="H703" s="239"/>
      <c r="J703" s="238"/>
    </row>
    <row r="704" spans="2:22" x14ac:dyDescent="0.3">
      <c r="B704" s="240"/>
      <c r="E704" s="240"/>
      <c r="G704" s="239"/>
      <c r="H704" s="239"/>
      <c r="J704" s="238"/>
    </row>
    <row r="705" spans="2:10" x14ac:dyDescent="0.3">
      <c r="B705" s="240"/>
      <c r="J705" s="238"/>
    </row>
    <row r="706" spans="2:10" x14ac:dyDescent="0.3">
      <c r="B706" s="240"/>
      <c r="J706" s="238"/>
    </row>
    <row r="707" spans="2:10" x14ac:dyDescent="0.3">
      <c r="B707" s="240"/>
      <c r="J707" s="238"/>
    </row>
    <row r="708" spans="2:10" x14ac:dyDescent="0.3">
      <c r="B708" s="240"/>
      <c r="J708" s="238"/>
    </row>
    <row r="709" spans="2:10" x14ac:dyDescent="0.3">
      <c r="B709" s="240"/>
      <c r="J709" s="238"/>
    </row>
    <row r="710" spans="2:10" x14ac:dyDescent="0.3">
      <c r="B710" s="240"/>
      <c r="J710" s="238"/>
    </row>
    <row r="711" spans="2:10" x14ac:dyDescent="0.3">
      <c r="B711" s="240"/>
      <c r="J711" s="238"/>
    </row>
    <row r="712" spans="2:10" x14ac:dyDescent="0.3">
      <c r="B712" s="240"/>
      <c r="J712" s="238"/>
    </row>
    <row r="713" spans="2:10" x14ac:dyDescent="0.3">
      <c r="B713" s="240"/>
      <c r="J713" s="238"/>
    </row>
    <row r="714" spans="2:10" x14ac:dyDescent="0.3">
      <c r="B714" s="240"/>
      <c r="J714" s="238"/>
    </row>
    <row r="715" spans="2:10" x14ac:dyDescent="0.3">
      <c r="B715" s="240"/>
      <c r="J715" s="238"/>
    </row>
    <row r="716" spans="2:10" x14ac:dyDescent="0.3">
      <c r="B716" s="240"/>
      <c r="J716" s="238"/>
    </row>
    <row r="717" spans="2:10" x14ac:dyDescent="0.3">
      <c r="B717" s="240"/>
      <c r="J717" s="238"/>
    </row>
    <row r="718" spans="2:10" x14ac:dyDescent="0.3">
      <c r="B718" s="240"/>
      <c r="J718" s="238"/>
    </row>
    <row r="719" spans="2:10" x14ac:dyDescent="0.3">
      <c r="B719" s="240"/>
      <c r="J719" s="238"/>
    </row>
    <row r="720" spans="2:10" x14ac:dyDescent="0.3">
      <c r="B720" s="240"/>
      <c r="J720" s="238"/>
    </row>
    <row r="721" spans="2:2" x14ac:dyDescent="0.3">
      <c r="B721" s="240"/>
    </row>
    <row r="722" spans="2:2" x14ac:dyDescent="0.3">
      <c r="B722" s="240"/>
    </row>
    <row r="723" spans="2:2" x14ac:dyDescent="0.3">
      <c r="B723" s="240"/>
    </row>
    <row r="724" spans="2:2" x14ac:dyDescent="0.3">
      <c r="B724" s="240"/>
    </row>
    <row r="725" spans="2:2" x14ac:dyDescent="0.3">
      <c r="B725" s="240"/>
    </row>
    <row r="726" spans="2:2" x14ac:dyDescent="0.3">
      <c r="B726" s="240"/>
    </row>
    <row r="727" spans="2:2" x14ac:dyDescent="0.3">
      <c r="B727" s="240"/>
    </row>
    <row r="728" spans="2:2" x14ac:dyDescent="0.3">
      <c r="B728" s="240"/>
    </row>
    <row r="729" spans="2:2" x14ac:dyDescent="0.3">
      <c r="B729" s="240"/>
    </row>
    <row r="730" spans="2:2" x14ac:dyDescent="0.3">
      <c r="B730" s="240"/>
    </row>
    <row r="731" spans="2:2" x14ac:dyDescent="0.3">
      <c r="B731" s="240"/>
    </row>
    <row r="732" spans="2:2" x14ac:dyDescent="0.3">
      <c r="B732" s="240"/>
    </row>
    <row r="733" spans="2:2" x14ac:dyDescent="0.3">
      <c r="B733" s="240"/>
    </row>
    <row r="734" spans="2:2" x14ac:dyDescent="0.3">
      <c r="B734" s="240"/>
    </row>
    <row r="735" spans="2:2" x14ac:dyDescent="0.3">
      <c r="B735" s="240"/>
    </row>
    <row r="736" spans="2:2" x14ac:dyDescent="0.3">
      <c r="B736" s="240"/>
    </row>
    <row r="737" spans="2:10" x14ac:dyDescent="0.3">
      <c r="B737" s="240"/>
    </row>
    <row r="738" spans="2:10" x14ac:dyDescent="0.3">
      <c r="B738" s="240"/>
      <c r="J738" s="238"/>
    </row>
    <row r="739" spans="2:10" x14ac:dyDescent="0.3">
      <c r="B739" s="240"/>
      <c r="J739" s="238"/>
    </row>
    <row r="740" spans="2:10" x14ac:dyDescent="0.3">
      <c r="B740" s="240"/>
    </row>
    <row r="741" spans="2:10" x14ac:dyDescent="0.3">
      <c r="B741" s="240"/>
    </row>
    <row r="742" spans="2:10" x14ac:dyDescent="0.3">
      <c r="B742" s="240"/>
    </row>
    <row r="743" spans="2:10" x14ac:dyDescent="0.3">
      <c r="B743" s="240"/>
    </row>
  </sheetData>
  <conditionalFormatting sqref="B169">
    <cfRule type="duplicateValues" dxfId="20" priority="18"/>
  </conditionalFormatting>
  <conditionalFormatting sqref="B170:B182 B184:B217 B1:B168 B219:B1048576">
    <cfRule type="duplicateValues" dxfId="19" priority="24"/>
  </conditionalFormatting>
  <conditionalFormatting sqref="B183">
    <cfRule type="duplicateValues" dxfId="18" priority="23"/>
  </conditionalFormatting>
  <conditionalFormatting sqref="B218">
    <cfRule type="duplicateValues" dxfId="17" priority="13"/>
  </conditionalFormatting>
  <conditionalFormatting sqref="B664:B1048576">
    <cfRule type="duplicateValues" dxfId="16" priority="453"/>
  </conditionalFormatting>
  <conditionalFormatting sqref="C183">
    <cfRule type="duplicateValues" dxfId="15" priority="1707"/>
  </conditionalFormatting>
  <conditionalFormatting sqref="D60">
    <cfRule type="duplicateValues" dxfId="14" priority="20"/>
  </conditionalFormatting>
  <conditionalFormatting sqref="D169">
    <cfRule type="duplicateValues" dxfId="13" priority="19"/>
  </conditionalFormatting>
  <conditionalFormatting sqref="D184:D217 D2:D59 D61:D168 D170:D182 D219:D663">
    <cfRule type="duplicateValues" dxfId="12" priority="1940"/>
  </conditionalFormatting>
  <conditionalFormatting sqref="D218">
    <cfRule type="duplicateValues" dxfId="11" priority="12"/>
  </conditionalFormatting>
  <conditionalFormatting sqref="G98:G130">
    <cfRule type="duplicateValues" dxfId="10" priority="1963"/>
  </conditionalFormatting>
  <conditionalFormatting sqref="G218">
    <cfRule type="duplicateValues" dxfId="9" priority="16"/>
  </conditionalFormatting>
  <conditionalFormatting sqref="G343">
    <cfRule type="duplicateValues" dxfId="8" priority="3"/>
    <cfRule type="duplicateValues" dxfId="7" priority="4"/>
  </conditionalFormatting>
  <conditionalFormatting sqref="G344:G1048576 G1:G69 G71:G342">
    <cfRule type="duplicateValues" dxfId="6" priority="7"/>
  </conditionalFormatting>
  <conditionalFormatting sqref="G723:G1048576 D668:D677 G664 D665 D685:E722 D684">
    <cfRule type="duplicateValues" dxfId="5" priority="555"/>
  </conditionalFormatting>
  <conditionalFormatting sqref="G723:G1048576 D679 G350:G353 D665:D677 D685:E722 G362:G469 D684 G344:G348 G219:G342 G1:G69 G471:G664 G71:G217">
    <cfRule type="duplicateValues" dxfId="4" priority="564"/>
  </conditionalFormatting>
  <conditionalFormatting sqref="I70">
    <cfRule type="duplicateValues" dxfId="3" priority="1"/>
    <cfRule type="duplicateValues" dxfId="2" priority="2"/>
  </conditionalFormatting>
  <conditionalFormatting sqref="BC697:BC707 BE688:BG690 BA688:BA705 BD698:BG705 BA706:BB707 BD706:BF707 BA708:BF709 BC690:BD690 BD697:BE697 BG691:BG697">
    <cfRule type="duplicateValues" dxfId="1" priority="1849"/>
  </conditionalFormatting>
  <conditionalFormatting sqref="BC697:BC708 BB706:BB709 BC690">
    <cfRule type="duplicateValues" dxfId="0" priority="1890"/>
  </conditionalFormatting>
  <pageMargins left="0.511811024" right="0.511811024" top="0.78740157499999996" bottom="0.78740157499999996" header="0.31496062000000002" footer="0.31496062000000002"/>
  <pageSetup paperSize="9" scale="15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6"/>
  <dimension ref="A1:AQ693"/>
  <sheetViews>
    <sheetView showGridLines="0" topLeftCell="J1" zoomScaleNormal="100" workbookViewId="0">
      <selection activeCell="X2" sqref="X2"/>
    </sheetView>
  </sheetViews>
  <sheetFormatPr defaultColWidth="8.75" defaultRowHeight="16" x14ac:dyDescent="0.45"/>
  <cols>
    <col min="1" max="1" width="28.4140625" style="3" bestFit="1" customWidth="1"/>
    <col min="2" max="2" width="15.5" style="3" bestFit="1" customWidth="1"/>
    <col min="3" max="3" width="20.33203125" style="3" bestFit="1" customWidth="1"/>
    <col min="4" max="4" width="25.08203125" style="3" bestFit="1" customWidth="1"/>
    <col min="5" max="5" width="30.08203125" style="3" bestFit="1" customWidth="1"/>
    <col min="6" max="6" width="34.6640625" style="3" bestFit="1" customWidth="1"/>
    <col min="7" max="7" width="40.08203125" style="3" bestFit="1" customWidth="1"/>
    <col min="8" max="8" width="47.4140625" style="3" bestFit="1" customWidth="1"/>
    <col min="9" max="9" width="52.58203125" style="3" bestFit="1" customWidth="1"/>
    <col min="10" max="10" width="11.25" style="3" bestFit="1" customWidth="1"/>
    <col min="11" max="11" width="12.08203125" style="3" bestFit="1" customWidth="1"/>
    <col min="12" max="12" width="30.08203125" style="3" customWidth="1"/>
    <col min="13" max="13" width="5.75" style="3" bestFit="1" customWidth="1"/>
    <col min="14" max="14" width="17.58203125" style="3" bestFit="1" customWidth="1"/>
    <col min="15" max="15" width="11.25" style="3" bestFit="1" customWidth="1"/>
    <col min="16" max="16" width="9.33203125" style="3" bestFit="1" customWidth="1"/>
    <col min="17" max="17" width="11.83203125" style="3" bestFit="1" customWidth="1"/>
    <col min="18" max="18" width="14.75" style="3" bestFit="1" customWidth="1"/>
    <col min="19" max="19" width="12.75" style="3" bestFit="1" customWidth="1"/>
    <col min="20" max="23" width="9.58203125" style="3" customWidth="1"/>
    <col min="24" max="24" width="8.83203125" style="3" customWidth="1"/>
    <col min="25" max="25" width="11.08203125" style="71" bestFit="1" customWidth="1"/>
    <col min="26" max="26" width="21" style="4" bestFit="1" customWidth="1"/>
    <col min="27" max="27" width="8.75" style="3"/>
    <col min="28" max="28" width="13.25" style="3" bestFit="1" customWidth="1"/>
    <col min="29" max="32" width="8.75" style="3"/>
    <col min="33" max="33" width="8.83203125" style="3" bestFit="1" customWidth="1"/>
    <col min="34" max="34" width="8.75" style="3"/>
    <col min="35" max="35" width="8.83203125" style="3" bestFit="1" customWidth="1"/>
    <col min="36" max="36" width="10.08203125" style="3" bestFit="1" customWidth="1"/>
    <col min="37" max="37" width="8.83203125" style="3" bestFit="1" customWidth="1"/>
    <col min="38" max="38" width="13" style="3" bestFit="1" customWidth="1"/>
    <col min="39" max="39" width="9" style="3" bestFit="1" customWidth="1"/>
    <col min="40" max="16384" width="8.75" style="3"/>
  </cols>
  <sheetData>
    <row r="1" spans="1:43" ht="40.5" thickTop="1" x14ac:dyDescent="0.45">
      <c r="A1" s="220" t="s">
        <v>46</v>
      </c>
      <c r="B1" s="220" t="s">
        <v>49</v>
      </c>
      <c r="C1" s="220" t="s">
        <v>0</v>
      </c>
      <c r="D1" s="220" t="s">
        <v>2034</v>
      </c>
      <c r="E1" s="220" t="s">
        <v>47</v>
      </c>
      <c r="F1" s="220" t="s">
        <v>48</v>
      </c>
      <c r="G1" s="220" t="s">
        <v>50</v>
      </c>
      <c r="H1" s="220" t="s">
        <v>508</v>
      </c>
      <c r="I1" s="220" t="s">
        <v>509</v>
      </c>
      <c r="J1" s="220" t="s">
        <v>519</v>
      </c>
      <c r="K1" s="220" t="s">
        <v>517</v>
      </c>
      <c r="L1" s="220" t="s">
        <v>879</v>
      </c>
      <c r="M1" s="220" t="s">
        <v>518</v>
      </c>
      <c r="N1" s="220" t="s">
        <v>867</v>
      </c>
      <c r="O1" s="220" t="s">
        <v>868</v>
      </c>
      <c r="P1" s="220" t="s">
        <v>869</v>
      </c>
      <c r="Q1" s="220" t="s">
        <v>870</v>
      </c>
      <c r="R1" s="220" t="s">
        <v>871</v>
      </c>
      <c r="S1" s="220" t="s">
        <v>872</v>
      </c>
      <c r="T1" s="220" t="s">
        <v>873</v>
      </c>
      <c r="U1" s="220" t="s">
        <v>874</v>
      </c>
      <c r="V1" s="220" t="s">
        <v>430</v>
      </c>
      <c r="W1" s="220" t="s">
        <v>431</v>
      </c>
      <c r="X1" s="220" t="s">
        <v>21</v>
      </c>
      <c r="Y1" s="220" t="s">
        <v>717</v>
      </c>
      <c r="Z1" s="220" t="s">
        <v>718</v>
      </c>
      <c r="AA1" s="4"/>
      <c r="AE1" s="66"/>
      <c r="AF1" s="67"/>
      <c r="AG1" s="67"/>
      <c r="AH1" s="68"/>
      <c r="AI1" s="67"/>
      <c r="AJ1" s="68"/>
      <c r="AK1" s="69"/>
      <c r="AL1" s="70"/>
      <c r="AM1" s="69"/>
    </row>
    <row r="2" spans="1:43" ht="21.75" customHeight="1" x14ac:dyDescent="0.45">
      <c r="A2" s="220" t="str">
        <f>IFERROR((INDEX(Dados!$B:$Y,MATCH(Bruta!AA6,Dados!$A:$A,0),MATCH(Bruta!A1,Bruta!$A$1:$X$1,0))),0)</f>
        <v>LAS001</v>
      </c>
      <c r="B2" s="220" t="str">
        <f>IFERROR((INDEX(Dados!$B:$Y,MATCH(Bruta!AA6,Dados!$A:$A,0),MATCH(Bruta!B1,Bruta!$A$1:$X$1,0))),0)</f>
        <v>LAS001-MÁQUINA LASER DE CORTE E SOLDA</v>
      </c>
      <c r="C2" s="220">
        <f>IFERROR((INDEX(Dados!$B:$Y,MATCH(Bruta!AA6,Dados!$A:$A,0),MATCH(Bruta!C1,Bruta!$A$1:$X$1,0))),0)</f>
        <v>10000510</v>
      </c>
      <c r="D2" s="220" t="str">
        <f>IFERROR((INDEX(Dados!$B:$Y,MATCH(Bruta!AA6,Dados!$A:$A,0),MATCH(Bruta!D1,Bruta!$A$1:$X$1,0))),0)</f>
        <v>BR01-MOT-SAB-LASERS-LAS001</v>
      </c>
      <c r="E2" s="220">
        <f>IFERROR((INDEX(Dados!$B:$Y,MATCH(Bruta!AA6,Dados!$A:$A,0),MATCH(Bruta!E1,Bruta!$A$1:$X$1,0))),0)</f>
        <v>2513</v>
      </c>
      <c r="F2" s="220">
        <f>IFERROR((INDEX(Dados!$B:$Y,MATCH(Bruta!AA6,Dados!$A:$A,0),MATCH(Bruta!F1,Bruta!$A$1:$X$1,0))),0)</f>
        <v>20089</v>
      </c>
      <c r="G2" s="220">
        <f>IFERROR((INDEX(Dados!$B:$Y,MATCH(Bruta!AA6,Dados!$A:$A,0),MATCH(Bruta!G1,Bruta!$A$1:$X$1,0))),0)</f>
        <v>1996</v>
      </c>
      <c r="H2" s="220">
        <f>IFERROR((INDEX(Dados!$B:$Y,MATCH(Bruta!AA6,Dados!$A:$A,0),MATCH(Bruta!H1,Bruta!$A$1:$X$1,0))),0)</f>
        <v>1728354.38</v>
      </c>
      <c r="I2" s="220">
        <f>IFERROR((INDEX(Dados!$B:$Y,MATCH(Bruta!AA6,Dados!$A:$A,0),MATCH(Bruta!I1,Bruta!$A$1:$X$1,0))),0)</f>
        <v>73495</v>
      </c>
      <c r="J2" s="220">
        <f>IFERROR((INDEX(Dados!$B:$Y,MATCH(Bruta!AA6,Dados!$A:$A,0),MATCH(Bruta!J1,Bruta!$A$1:$X$1,0))),0)</f>
        <v>6433089</v>
      </c>
      <c r="K2" s="220">
        <f>IFERROR((INDEX(Dados!$B:$Y,MATCH(Bruta!AA6,Dados!$A:$A,0),MATCH(Bruta!K1,Bruta!$A$1:$X$1,0))),0)</f>
        <v>1.1200000000000001</v>
      </c>
      <c r="L2" s="220">
        <f>IFERROR((INDEX(Dados!$B:$Y,MATCH(Bruta!AA6,Dados!$A:$A,0),MATCH(Bruta!L1,Bruta!$A$1:$X$1,0))),0)</f>
        <v>6300</v>
      </c>
      <c r="M2" s="220">
        <f>IFERROR((INDEX(Dados!$B:$Y,MATCH(Bruta!AA6,Dados!$A:$A,0),MATCH(Bruta!M1,Bruta!$A$1:$X$1,0))),0)</f>
        <v>227089</v>
      </c>
      <c r="N2" s="220">
        <f>IFERROR((INDEX(Dados!$B:$Y,MATCH(Bruta!AA6,Dados!$A:$A,0),MATCH(Bruta!N1,Bruta!$A$1:$X$1,0))),0)</f>
        <v>3875</v>
      </c>
      <c r="O2" s="220">
        <f>ROUNDUP(IFERROR((INDEX(Dados!$B:$W,MATCH(Bruta!AA6,Dados!$A:$A,0),MATCH(Bruta!O1,Bruta!$A$1:$X$1,0))),0),0)</f>
        <v>120</v>
      </c>
      <c r="P2" s="220">
        <f>ROUNDUP(IFERROR((INDEX(Dados!$B:$Y,MATCH(Bruta!AA6,Dados!$A:$A,0),MATCH(Bruta!P1,Bruta!$A$1:$X$1,0))),0),0)</f>
        <v>240</v>
      </c>
      <c r="Q2" s="220">
        <f>ROUNDUP(IFERROR((INDEX(Dados!$B:$Y,MATCH(Bruta!AA6,Dados!$A:$A,0),MATCH(Bruta!Q1,Bruta!$A$1:$X$1,0))),0),0)</f>
        <v>360</v>
      </c>
      <c r="R2" s="220">
        <f>ROUNDUP(IFERROR((INDEX(Dados!$B:$Y,MATCH(Bruta!AA6,Dados!$A:$A,0),MATCH(Bruta!R1,Bruta!$A$1:$X$1,0))),0),0)</f>
        <v>480</v>
      </c>
      <c r="S2" s="220">
        <f>ROUNDUP(IFERROR((INDEX(Dados!$B:$Y,MATCH(Bruta!AA6,Dados!$A:$A,0),MATCH(Bruta!S1,Bruta!$A$1:$X$1,0))),0),0)</f>
        <v>600</v>
      </c>
      <c r="T2" s="220">
        <f>ROUNDUP(IFERROR((INDEX(Dados!$B:$Y,MATCH(Bruta!AA6,Dados!$A:$A,0),MATCH(Bruta!T1,Bruta!$A$1:$X$1,0))),0),0)</f>
        <v>720</v>
      </c>
      <c r="U2" s="220">
        <f>ROUNDUP(IFERROR((INDEX(Dados!$B:$Y,MATCH(Bruta!AA6,Dados!$A:$A,0),MATCH(Bruta!U1,Bruta!$A$1:$X$1,0))),0),0)</f>
        <v>840</v>
      </c>
      <c r="V2" s="220">
        <f>IFERROR((INDEX(Dados!$B:$Y,MATCH(Bruta!AA6,Dados!$A:$A,0),MATCH(Bruta!V1,Bruta!$A$1:$X$1,0))),0)</f>
        <v>905.15</v>
      </c>
      <c r="W2" s="220">
        <f>IFERROR((INDEX(Dados!$B:$Y,MATCH(Bruta!AA6,Dados!$A:$A,0),MATCH(Bruta!W1,Bruta!$A$1:$X$1,0))),0)</f>
        <v>1428.09</v>
      </c>
      <c r="X2" s="237">
        <f>IFERROR((INDEX(Dados!$B:$Y,MATCH(Bruta!AA6,Dados!$A:$A,0),MATCH(Bruta!X1,Bruta!$A$1:$X$1,0))),0)</f>
        <v>0.1</v>
      </c>
      <c r="Y2" s="237">
        <f>IFERROR((INDEX(Dados!$B:$AA,MATCH(Bruta!AA6,Dados!$A:$A,0),MATCH(Bruta!Y1,Bruta!$A$1:$Y$1,0))),0)</f>
        <v>1.7084999999999999</v>
      </c>
      <c r="Z2" s="237">
        <f>IFERROR((INDEX(Dados!$B:$AA,MATCH(Bruta!AA6,Dados!$A:$A,0),MATCH(Bruta!Z1,Bruta!$A$1:$Z$1,0))),0)</f>
        <v>0.8</v>
      </c>
      <c r="AA2" s="4"/>
      <c r="AE2" s="72" t="s">
        <v>54</v>
      </c>
      <c r="AF2" s="73"/>
      <c r="AG2" s="73"/>
      <c r="AH2" s="74"/>
      <c r="AI2" s="73"/>
      <c r="AJ2" s="75"/>
      <c r="AK2" s="76"/>
      <c r="AL2" s="479"/>
      <c r="AM2" s="480"/>
    </row>
    <row r="3" spans="1:43" ht="16.5" thickBot="1" x14ac:dyDescent="0.5">
      <c r="AE3" s="77"/>
      <c r="AF3" s="78"/>
      <c r="AG3" s="78"/>
      <c r="AH3" s="79"/>
      <c r="AI3" s="78"/>
      <c r="AJ3" s="79"/>
      <c r="AK3" s="80"/>
      <c r="AL3" s="79"/>
      <c r="AM3" s="80"/>
    </row>
    <row r="4" spans="1:43" ht="16.5" thickTop="1" x14ac:dyDescent="0.45">
      <c r="AE4" s="81"/>
      <c r="AF4" s="82"/>
      <c r="AG4" s="82"/>
      <c r="AH4" s="83"/>
      <c r="AI4" s="82"/>
      <c r="AJ4" s="83"/>
      <c r="AK4" s="82"/>
      <c r="AL4" s="83"/>
      <c r="AM4" s="84"/>
    </row>
    <row r="5" spans="1:43" x14ac:dyDescent="0.45">
      <c r="Y5"/>
      <c r="Z5" s="172" t="s">
        <v>711</v>
      </c>
      <c r="AA5" t="s">
        <v>713</v>
      </c>
      <c r="AE5" s="63" t="s">
        <v>55</v>
      </c>
      <c r="AF5" s="82"/>
      <c r="AG5" s="82"/>
      <c r="AH5" s="83"/>
      <c r="AI5" s="82"/>
      <c r="AJ5" s="83"/>
      <c r="AK5" s="82"/>
      <c r="AL5" s="83" t="s">
        <v>56</v>
      </c>
      <c r="AM5" s="85">
        <v>43670</v>
      </c>
    </row>
    <row r="6" spans="1:43" ht="16.5" thickBot="1" x14ac:dyDescent="0.5">
      <c r="L6" s="86" t="s">
        <v>436</v>
      </c>
      <c r="M6" s="86"/>
      <c r="N6" s="86"/>
      <c r="Y6"/>
      <c r="Z6" s="173" t="s">
        <v>38</v>
      </c>
      <c r="AA6">
        <v>417</v>
      </c>
      <c r="AE6" s="481" t="s">
        <v>2154</v>
      </c>
      <c r="AF6" s="482"/>
      <c r="AG6" s="482"/>
      <c r="AH6" s="482"/>
      <c r="AI6" s="482"/>
      <c r="AJ6" s="482"/>
      <c r="AK6" s="482"/>
      <c r="AL6" s="482"/>
      <c r="AM6" s="483"/>
    </row>
    <row r="7" spans="1:43" ht="16.5" thickBot="1" x14ac:dyDescent="0.5">
      <c r="A7" s="404" t="s">
        <v>22</v>
      </c>
      <c r="B7" s="36">
        <v>2023</v>
      </c>
      <c r="C7" s="36">
        <f t="shared" ref="C7:I7" si="0">$B$7+C8</f>
        <v>2024</v>
      </c>
      <c r="D7" s="36">
        <f t="shared" si="0"/>
        <v>2025</v>
      </c>
      <c r="E7" s="36">
        <f t="shared" si="0"/>
        <v>2026</v>
      </c>
      <c r="F7" s="36">
        <f t="shared" si="0"/>
        <v>2027</v>
      </c>
      <c r="G7" s="36">
        <f t="shared" si="0"/>
        <v>2028</v>
      </c>
      <c r="H7" s="36">
        <f t="shared" si="0"/>
        <v>2029</v>
      </c>
      <c r="I7" s="37">
        <f t="shared" si="0"/>
        <v>2030</v>
      </c>
      <c r="K7" s="22" t="s">
        <v>437</v>
      </c>
      <c r="L7" s="4"/>
      <c r="M7" s="4"/>
      <c r="N7" s="4"/>
      <c r="Y7"/>
      <c r="Z7" s="173" t="s">
        <v>712</v>
      </c>
      <c r="AA7">
        <v>417</v>
      </c>
      <c r="AE7" s="484"/>
      <c r="AF7" s="485"/>
      <c r="AG7" s="485"/>
      <c r="AH7" s="485"/>
      <c r="AI7" s="485"/>
      <c r="AJ7" s="485"/>
      <c r="AK7" s="485"/>
      <c r="AL7" s="485"/>
      <c r="AM7" s="486"/>
    </row>
    <row r="8" spans="1:43" ht="16.5" thickBot="1" x14ac:dyDescent="0.5">
      <c r="A8" s="405" t="s">
        <v>435</v>
      </c>
      <c r="B8" s="38">
        <v>0</v>
      </c>
      <c r="C8" s="38">
        <v>1</v>
      </c>
      <c r="D8" s="38">
        <v>2</v>
      </c>
      <c r="E8" s="38">
        <v>3</v>
      </c>
      <c r="F8" s="38">
        <v>4</v>
      </c>
      <c r="G8" s="38">
        <v>5</v>
      </c>
      <c r="H8" s="38">
        <v>6</v>
      </c>
      <c r="I8" s="39">
        <v>7</v>
      </c>
      <c r="K8" s="22"/>
      <c r="L8" s="46" t="s">
        <v>438</v>
      </c>
      <c r="M8" s="4"/>
      <c r="N8" s="9">
        <f>H2</f>
        <v>1728354.38</v>
      </c>
      <c r="Y8"/>
      <c r="Z8"/>
      <c r="AA8"/>
      <c r="AE8" s="81"/>
      <c r="AF8" s="82"/>
      <c r="AG8" s="82"/>
      <c r="AH8" s="83"/>
      <c r="AI8" s="82"/>
      <c r="AJ8" s="83"/>
      <c r="AK8" s="87"/>
      <c r="AL8" s="88" t="s">
        <v>57</v>
      </c>
      <c r="AM8" s="89" t="s">
        <v>57</v>
      </c>
    </row>
    <row r="9" spans="1:43" x14ac:dyDescent="0.45">
      <c r="A9" s="406" t="s">
        <v>23</v>
      </c>
      <c r="B9" s="29">
        <f>N8*-1</f>
        <v>-1728354.38</v>
      </c>
      <c r="C9" s="29"/>
      <c r="D9" s="29"/>
      <c r="E9" s="29"/>
      <c r="F9" s="29"/>
      <c r="G9" s="29"/>
      <c r="H9" s="29"/>
      <c r="I9" s="30"/>
      <c r="K9" s="22"/>
      <c r="L9" s="46" t="s">
        <v>439</v>
      </c>
      <c r="M9" s="4"/>
      <c r="N9" s="9">
        <f>I2</f>
        <v>73495</v>
      </c>
      <c r="Y9"/>
      <c r="Z9"/>
      <c r="AA9"/>
      <c r="AE9" s="48" t="s">
        <v>58</v>
      </c>
      <c r="AF9" s="49" t="s">
        <v>59</v>
      </c>
      <c r="AG9" s="49"/>
      <c r="AH9" s="90"/>
      <c r="AI9" s="91"/>
      <c r="AJ9" s="90"/>
      <c r="AK9" s="92"/>
      <c r="AL9" s="93" t="s">
        <v>60</v>
      </c>
      <c r="AM9" s="94" t="s">
        <v>61</v>
      </c>
    </row>
    <row r="10" spans="1:43" x14ac:dyDescent="0.45">
      <c r="A10" s="407" t="s">
        <v>432</v>
      </c>
      <c r="B10" s="12">
        <f>J2*-1</f>
        <v>-6433089</v>
      </c>
      <c r="C10" s="12">
        <f>-(((O2*$V$2)+($W$2*12))*((1+$X$2)^C8))</f>
        <v>-138330.58800000002</v>
      </c>
      <c r="D10" s="12">
        <f t="shared" ref="D10:I10" si="1">-((((P2-O2)*$V$2)+($W$2*12))*((1+$X$2)^D8))</f>
        <v>-152163.64680000002</v>
      </c>
      <c r="E10" s="12">
        <f t="shared" si="1"/>
        <v>-167380.01148000004</v>
      </c>
      <c r="F10" s="12">
        <f t="shared" si="1"/>
        <v>-184118.01262800005</v>
      </c>
      <c r="G10" s="12">
        <f t="shared" si="1"/>
        <v>-202529.81389080008</v>
      </c>
      <c r="H10" s="12">
        <f t="shared" si="1"/>
        <v>-222782.79527988011</v>
      </c>
      <c r="I10" s="31">
        <f t="shared" si="1"/>
        <v>-245061.07480786816</v>
      </c>
      <c r="K10" s="23"/>
      <c r="L10" s="46" t="s">
        <v>450</v>
      </c>
      <c r="M10" s="4"/>
      <c r="N10" s="9">
        <f>J2+N8+N9</f>
        <v>8234938.3799999999</v>
      </c>
      <c r="Y10"/>
      <c r="Z10"/>
      <c r="AA10"/>
      <c r="AE10" s="81"/>
      <c r="AF10" s="82" t="s">
        <v>62</v>
      </c>
      <c r="AG10" s="82"/>
      <c r="AH10" s="83"/>
      <c r="AI10" s="82"/>
      <c r="AJ10" s="95"/>
      <c r="AK10" s="96"/>
      <c r="AL10" s="97"/>
      <c r="AM10" s="84"/>
    </row>
    <row r="11" spans="1:43" x14ac:dyDescent="0.45">
      <c r="A11" s="407" t="s">
        <v>714</v>
      </c>
      <c r="B11" s="12"/>
      <c r="C11" s="12"/>
      <c r="D11" s="12"/>
      <c r="E11" s="12"/>
      <c r="F11" s="12"/>
      <c r="G11" s="12"/>
      <c r="H11" s="12"/>
      <c r="I11" s="31"/>
      <c r="K11" s="22"/>
      <c r="L11" s="46"/>
      <c r="M11" s="4"/>
      <c r="N11" s="4"/>
      <c r="Y11"/>
      <c r="Z11"/>
      <c r="AA11"/>
      <c r="AE11" s="81"/>
      <c r="AF11" s="82" t="s">
        <v>63</v>
      </c>
      <c r="AG11" s="82"/>
      <c r="AH11" s="83"/>
      <c r="AI11" s="82"/>
      <c r="AJ11" s="83"/>
      <c r="AK11" s="65"/>
      <c r="AL11" s="192">
        <f>N13/1000</f>
        <v>4681.2478382299996</v>
      </c>
      <c r="AM11" s="98"/>
    </row>
    <row r="12" spans="1:43" ht="16.5" thickBot="1" x14ac:dyDescent="0.5">
      <c r="A12" s="407"/>
      <c r="B12" s="12"/>
      <c r="C12" s="12"/>
      <c r="D12" s="12"/>
      <c r="E12" s="12"/>
      <c r="F12" s="12"/>
      <c r="G12" s="12"/>
      <c r="H12" s="12"/>
      <c r="I12" s="31"/>
      <c r="K12" s="22" t="s">
        <v>440</v>
      </c>
      <c r="L12" s="46"/>
      <c r="M12" s="4"/>
      <c r="N12" s="12">
        <f>N7*(1+N17)</f>
        <v>0</v>
      </c>
      <c r="Y12"/>
      <c r="Z12"/>
      <c r="AA12"/>
      <c r="AE12" s="81"/>
      <c r="AF12" s="82" t="s">
        <v>2155</v>
      </c>
      <c r="AG12" s="82"/>
      <c r="AH12" s="99"/>
      <c r="AI12" s="82"/>
      <c r="AJ12" s="83"/>
      <c r="AK12" s="100"/>
      <c r="AL12" s="83"/>
      <c r="AM12" s="98"/>
    </row>
    <row r="13" spans="1:43" x14ac:dyDescent="0.45">
      <c r="A13" s="40" t="s">
        <v>53</v>
      </c>
      <c r="B13" s="400">
        <f>SUM(B9:B12)</f>
        <v>-8161443.3799999999</v>
      </c>
      <c r="C13" s="41">
        <f>SUM(C9:C12)</f>
        <v>-138330.58800000002</v>
      </c>
      <c r="D13" s="41">
        <f t="shared" ref="D13:I13" si="2">SUM(D9:D12)</f>
        <v>-152163.64680000002</v>
      </c>
      <c r="E13" s="41">
        <f t="shared" si="2"/>
        <v>-167380.01148000004</v>
      </c>
      <c r="F13" s="41">
        <f t="shared" si="2"/>
        <v>-184118.01262800005</v>
      </c>
      <c r="G13" s="41">
        <f t="shared" si="2"/>
        <v>-202529.81389080008</v>
      </c>
      <c r="H13" s="41">
        <f t="shared" si="2"/>
        <v>-222782.79527988011</v>
      </c>
      <c r="I13" s="42">
        <f t="shared" si="2"/>
        <v>-245061.07480786816</v>
      </c>
      <c r="K13" s="22"/>
      <c r="L13" s="46" t="s">
        <v>438</v>
      </c>
      <c r="M13" s="4"/>
      <c r="N13" s="12">
        <f>N8*(1+N18)</f>
        <v>4681247.8382299999</v>
      </c>
      <c r="O13" s="3" t="s">
        <v>2159</v>
      </c>
      <c r="P13" s="162"/>
      <c r="Y13"/>
      <c r="Z13"/>
      <c r="AA13"/>
      <c r="AE13" s="81"/>
      <c r="AF13" s="82" t="s">
        <v>64</v>
      </c>
      <c r="AG13" s="82"/>
      <c r="AH13" s="99"/>
      <c r="AI13" s="82"/>
      <c r="AJ13" s="83"/>
      <c r="AK13" s="100"/>
      <c r="AL13" s="83"/>
      <c r="AM13" s="98"/>
    </row>
    <row r="14" spans="1:43" x14ac:dyDescent="0.45">
      <c r="A14" s="34" t="s">
        <v>26</v>
      </c>
      <c r="B14" s="401"/>
      <c r="C14" s="28">
        <f>NPV($N$17,C13)</f>
        <v>-125755.08</v>
      </c>
      <c r="D14" s="28">
        <f>NPV($N$17,C13,D13)</f>
        <v>-251510.16</v>
      </c>
      <c r="E14" s="28">
        <f>NPV($N$17,C13,D13,E13)</f>
        <v>-377265.24000000005</v>
      </c>
      <c r="F14" s="28">
        <f>NPV($N$17,C13,D13,E13,F13)</f>
        <v>-503020.32</v>
      </c>
      <c r="G14" s="28">
        <f>NPV($N$17,C13,D13,E13,F13,G13)</f>
        <v>-628775.4</v>
      </c>
      <c r="H14" s="28">
        <f>NPV($N$17,C13,D13,E13,F13,G13,H13)</f>
        <v>-754530.48</v>
      </c>
      <c r="I14" s="32">
        <f>NPV($N$17,C13,D13,E13,F13,G13,H13,I13)</f>
        <v>-880285.55999999994</v>
      </c>
      <c r="K14" s="20"/>
      <c r="L14" s="46" t="s">
        <v>442</v>
      </c>
      <c r="M14" s="4"/>
      <c r="N14" s="45" t="str">
        <f>AL55</f>
        <v>Sem Retorno</v>
      </c>
      <c r="R14" s="169"/>
      <c r="S14" s="169"/>
      <c r="Y14"/>
      <c r="Z14"/>
      <c r="AA14"/>
      <c r="AE14" s="81"/>
      <c r="AF14" s="82" t="s">
        <v>65</v>
      </c>
      <c r="AG14" s="82"/>
      <c r="AH14" s="83"/>
      <c r="AI14" s="82"/>
      <c r="AJ14" s="83"/>
      <c r="AK14" s="100"/>
      <c r="AL14" s="83"/>
      <c r="AM14" s="98"/>
    </row>
    <row r="15" spans="1:43" ht="16.5" thickBot="1" x14ac:dyDescent="0.5">
      <c r="A15" s="35" t="s">
        <v>434</v>
      </c>
      <c r="B15" s="402"/>
      <c r="C15" s="33">
        <f>C14*((((1+$N$17)^C8)*$N$17)/(((1+$N$17)^C8)-1))</f>
        <v>-138330.5879999999</v>
      </c>
      <c r="D15" s="33">
        <f t="shared" ref="D15:I15" si="3">D14*((((1+$N$17)^D8)*$N$17)/(((1+$N$17)^D8)-1))</f>
        <v>-144917.75885714276</v>
      </c>
      <c r="E15" s="33">
        <f t="shared" si="3"/>
        <v>-151703.93789728088</v>
      </c>
      <c r="F15" s="33">
        <f t="shared" si="3"/>
        <v>-158688.22463089842</v>
      </c>
      <c r="G15" s="33">
        <f t="shared" si="3"/>
        <v>-165869.36650570825</v>
      </c>
      <c r="H15" s="33">
        <f t="shared" si="3"/>
        <v>-173245.76691658588</v>
      </c>
      <c r="I15" s="398">
        <f t="shared" si="3"/>
        <v>-180815.49533101858</v>
      </c>
      <c r="K15" s="22"/>
      <c r="L15" s="46"/>
      <c r="M15" s="4"/>
      <c r="N15" s="4"/>
      <c r="R15" s="463"/>
      <c r="T15" s="165"/>
      <c r="Y15"/>
      <c r="Z15"/>
      <c r="AA15"/>
      <c r="AE15" s="81"/>
      <c r="AF15" s="82" t="s">
        <v>66</v>
      </c>
      <c r="AG15" s="82"/>
      <c r="AH15" s="83"/>
      <c r="AI15" s="82"/>
      <c r="AJ15" s="83"/>
      <c r="AK15" s="100"/>
      <c r="AL15" s="83"/>
      <c r="AM15" s="98"/>
    </row>
    <row r="16" spans="1:43" ht="16.5" thickBot="1" x14ac:dyDescent="0.5">
      <c r="A16" s="408"/>
      <c r="B16" s="4"/>
      <c r="C16" s="4"/>
      <c r="D16" s="4"/>
      <c r="E16" s="4"/>
      <c r="F16" s="4"/>
      <c r="G16" s="4"/>
      <c r="H16" s="4"/>
      <c r="I16" s="101"/>
      <c r="K16" s="22" t="s">
        <v>448</v>
      </c>
      <c r="L16" s="19"/>
      <c r="M16" s="4"/>
      <c r="N16" s="4"/>
      <c r="T16" s="165"/>
      <c r="Y16"/>
      <c r="Z16" s="9">
        <v>1236392.94</v>
      </c>
      <c r="AA16"/>
      <c r="AE16" s="81"/>
      <c r="AF16" s="82" t="s">
        <v>67</v>
      </c>
      <c r="AG16" s="82"/>
      <c r="AH16" s="83"/>
      <c r="AI16" s="82"/>
      <c r="AJ16" s="83"/>
      <c r="AK16" s="65"/>
      <c r="AL16" s="83"/>
      <c r="AM16" s="98"/>
      <c r="AQ16" s="3">
        <v>1432.36122099</v>
      </c>
    </row>
    <row r="17" spans="1:43" x14ac:dyDescent="0.45">
      <c r="A17" s="406" t="s">
        <v>23</v>
      </c>
      <c r="B17" s="29">
        <f>N13*-1</f>
        <v>-4681247.8382299999</v>
      </c>
      <c r="C17" s="29"/>
      <c r="D17" s="29"/>
      <c r="E17" s="29"/>
      <c r="F17" s="29"/>
      <c r="G17" s="29"/>
      <c r="H17" s="29"/>
      <c r="I17" s="30"/>
      <c r="K17" s="20"/>
      <c r="L17" s="46" t="s">
        <v>449</v>
      </c>
      <c r="M17" s="4"/>
      <c r="N17" s="11">
        <f>X2</f>
        <v>0.1</v>
      </c>
      <c r="Y17"/>
      <c r="Z17" s="366">
        <v>0.1585</v>
      </c>
      <c r="AA17"/>
      <c r="AE17" s="81"/>
      <c r="AF17" s="82" t="s">
        <v>68</v>
      </c>
      <c r="AG17" s="82"/>
      <c r="AH17" s="83"/>
      <c r="AI17" s="82"/>
      <c r="AJ17" s="83"/>
      <c r="AK17" s="65"/>
      <c r="AL17" s="83"/>
      <c r="AM17" s="98"/>
    </row>
    <row r="18" spans="1:43" x14ac:dyDescent="0.45">
      <c r="A18" s="407" t="s">
        <v>24</v>
      </c>
      <c r="B18" s="12"/>
      <c r="C18" s="12">
        <f>C10*(1-$N$19)</f>
        <v>-27666.117599999998</v>
      </c>
      <c r="D18" s="12">
        <f t="shared" ref="D18:I18" si="4">D10*(1-$N$19)</f>
        <v>-30432.729359999998</v>
      </c>
      <c r="E18" s="12">
        <f t="shared" si="4"/>
        <v>-33476.002295999999</v>
      </c>
      <c r="F18" s="12">
        <f t="shared" si="4"/>
        <v>-36823.602525599999</v>
      </c>
      <c r="G18" s="12">
        <f t="shared" si="4"/>
        <v>-40505.962778160007</v>
      </c>
      <c r="H18" s="12">
        <f t="shared" si="4"/>
        <v>-44556.559055976009</v>
      </c>
      <c r="I18" s="31">
        <f t="shared" si="4"/>
        <v>-49012.21496157362</v>
      </c>
      <c r="K18" s="22"/>
      <c r="L18" s="46" t="s">
        <v>446</v>
      </c>
      <c r="M18" s="4"/>
      <c r="N18" s="11">
        <f>Y2</f>
        <v>1.7084999999999999</v>
      </c>
      <c r="R18" s="169"/>
      <c r="S18" s="169"/>
      <c r="Y18"/>
      <c r="Z18"/>
      <c r="AA18"/>
      <c r="AE18" s="81"/>
      <c r="AF18" s="82" t="s">
        <v>69</v>
      </c>
      <c r="AG18" s="82"/>
      <c r="AH18" s="83"/>
      <c r="AI18" s="82"/>
      <c r="AJ18" s="83"/>
      <c r="AK18" s="65"/>
      <c r="AL18" s="192">
        <f>N9/1000</f>
        <v>73.495000000000005</v>
      </c>
      <c r="AM18" s="98"/>
    </row>
    <row r="19" spans="1:43" x14ac:dyDescent="0.45">
      <c r="A19" s="407" t="s">
        <v>714</v>
      </c>
      <c r="I19" s="399"/>
      <c r="K19" s="22"/>
      <c r="L19" s="46" t="s">
        <v>447</v>
      </c>
      <c r="M19" s="4"/>
      <c r="N19" s="11">
        <f>Z2</f>
        <v>0.8</v>
      </c>
      <c r="P19" s="162"/>
      <c r="R19" s="102"/>
      <c r="Y19"/>
      <c r="Z19" s="9">
        <f>Z16*(1+Z17)</f>
        <v>1432361.2209900001</v>
      </c>
      <c r="AA19"/>
      <c r="AE19" s="81"/>
      <c r="AF19" s="82" t="s">
        <v>70</v>
      </c>
      <c r="AG19" s="82"/>
      <c r="AH19" s="83"/>
      <c r="AI19" s="82"/>
      <c r="AJ19" s="83"/>
      <c r="AK19" s="65"/>
      <c r="AL19" s="103"/>
      <c r="AM19" s="104"/>
    </row>
    <row r="20" spans="1:43" ht="16.5" thickBot="1" x14ac:dyDescent="0.5">
      <c r="A20" s="409" t="s">
        <v>433</v>
      </c>
      <c r="B20" s="403">
        <f>I2*-1</f>
        <v>-73495</v>
      </c>
      <c r="C20" s="12"/>
      <c r="D20" s="12"/>
      <c r="E20" s="12"/>
      <c r="F20" s="12"/>
      <c r="G20" s="12"/>
      <c r="H20" s="12"/>
      <c r="I20" s="31"/>
      <c r="K20" s="22"/>
      <c r="L20" s="46"/>
      <c r="M20" s="4"/>
      <c r="N20" s="4"/>
      <c r="Y20"/>
      <c r="Z20"/>
      <c r="AA20"/>
      <c r="AE20" s="81"/>
      <c r="AF20" s="82" t="s">
        <v>71</v>
      </c>
      <c r="AG20" s="82"/>
      <c r="AH20" s="83"/>
      <c r="AI20" s="82"/>
      <c r="AJ20" s="105"/>
      <c r="AK20" s="100"/>
      <c r="AL20" s="106">
        <f>SUM(AL11:AL19)-SUM(AM11:AM19)</f>
        <v>4754.7428382299995</v>
      </c>
      <c r="AM20" s="104"/>
      <c r="AQ20" s="3">
        <f>AL18/7</f>
        <v>10.499285714285715</v>
      </c>
    </row>
    <row r="21" spans="1:43" x14ac:dyDescent="0.45">
      <c r="A21" s="40" t="s">
        <v>25</v>
      </c>
      <c r="B21" s="400">
        <f t="shared" ref="B21:I21" si="5">SUM(B17:B20)</f>
        <v>-4754742.8382299999</v>
      </c>
      <c r="C21" s="41">
        <f t="shared" si="5"/>
        <v>-27666.117599999998</v>
      </c>
      <c r="D21" s="41">
        <f t="shared" si="5"/>
        <v>-30432.729359999998</v>
      </c>
      <c r="E21" s="41">
        <f t="shared" si="5"/>
        <v>-33476.002295999999</v>
      </c>
      <c r="F21" s="41">
        <f t="shared" si="5"/>
        <v>-36823.602525599999</v>
      </c>
      <c r="G21" s="41">
        <f t="shared" si="5"/>
        <v>-40505.962778160007</v>
      </c>
      <c r="H21" s="41">
        <f t="shared" si="5"/>
        <v>-44556.559055976009</v>
      </c>
      <c r="I21" s="42">
        <f t="shared" si="5"/>
        <v>-49012.21496157362</v>
      </c>
      <c r="K21" s="20" t="s">
        <v>441</v>
      </c>
      <c r="L21" s="46"/>
      <c r="M21" s="4"/>
      <c r="N21" s="4"/>
      <c r="Y21"/>
      <c r="Z21"/>
      <c r="AA21"/>
      <c r="AE21" s="107"/>
      <c r="AF21" s="108"/>
      <c r="AG21" s="108"/>
      <c r="AH21" s="103"/>
      <c r="AI21" s="108"/>
      <c r="AJ21" s="103"/>
      <c r="AK21" s="109"/>
      <c r="AL21" s="103"/>
      <c r="AM21" s="110"/>
    </row>
    <row r="22" spans="1:43" x14ac:dyDescent="0.45">
      <c r="A22" s="34" t="s">
        <v>26</v>
      </c>
      <c r="B22" s="401"/>
      <c r="C22" s="28">
        <f>NPV($N$17,C21)+B21</f>
        <v>-4779893.8542299997</v>
      </c>
      <c r="D22" s="28">
        <f>NPV($N$17,C21,D21)+B21</f>
        <v>-4805044.8702299995</v>
      </c>
      <c r="E22" s="28">
        <f>NPV($N$17,C21,D21,E21)+B21</f>
        <v>-4830195.8862300003</v>
      </c>
      <c r="F22" s="28">
        <f>NPV($N$17,C21,D21,E21,F21)+B21</f>
        <v>-4855346.9022300001</v>
      </c>
      <c r="G22" s="28">
        <f>NPV($N$17,C21,D21,E21,F21,G21)+B21</f>
        <v>-4880497.91823</v>
      </c>
      <c r="H22" s="28">
        <f>NPV($N$17,C21,D21,E21,F21,G21,H21)+B21</f>
        <v>-4905648.9342299998</v>
      </c>
      <c r="I22" s="32">
        <f>NPV($N$17,C21,D21,E21,F21,G21,H21,I21)+B21</f>
        <v>-4930799.9502299996</v>
      </c>
      <c r="K22" s="22"/>
      <c r="L22" s="46" t="s">
        <v>443</v>
      </c>
      <c r="M22" s="4"/>
      <c r="N22" s="56">
        <f>L30*-1</f>
        <v>4050514.3902299996</v>
      </c>
      <c r="Y22"/>
      <c r="Z22">
        <v>1428.09</v>
      </c>
      <c r="AA22"/>
      <c r="AE22" s="50" t="s">
        <v>72</v>
      </c>
      <c r="AF22" s="51" t="s">
        <v>73</v>
      </c>
      <c r="AG22" s="111"/>
      <c r="AH22" s="52" t="s">
        <v>60</v>
      </c>
      <c r="AI22" s="112"/>
      <c r="AJ22" s="52" t="s">
        <v>61</v>
      </c>
      <c r="AK22" s="112"/>
      <c r="AL22" s="52" t="s">
        <v>74</v>
      </c>
      <c r="AM22" s="113"/>
    </row>
    <row r="23" spans="1:43" ht="16.5" thickBot="1" x14ac:dyDescent="0.5">
      <c r="A23" s="35" t="s">
        <v>434</v>
      </c>
      <c r="B23" s="402"/>
      <c r="C23" s="33">
        <f>C22*((((1+$N$17)^C8)*$N$17)/(((1+$N$17)^C8)-1))</f>
        <v>-5257883.239652996</v>
      </c>
      <c r="D23" s="33">
        <f t="shared" ref="D23:I23" si="6">D22*((((1+$N$17)^D8)*$N$17)/(((1+$N$17)^D8)-1))</f>
        <v>-2768621.0918944264</v>
      </c>
      <c r="E23" s="33">
        <f t="shared" si="6"/>
        <v>-1942293.2702634819</v>
      </c>
      <c r="F23" s="33">
        <f t="shared" si="6"/>
        <v>-1531720.1895184095</v>
      </c>
      <c r="G23" s="33">
        <f t="shared" si="6"/>
        <v>-1287463.0558530726</v>
      </c>
      <c r="H23" s="33">
        <f t="shared" si="6"/>
        <v>-1126373.2007674607</v>
      </c>
      <c r="I23" s="398">
        <f t="shared" si="6"/>
        <v>-1012813.4277006648</v>
      </c>
      <c r="K23" s="24"/>
      <c r="L23" s="46" t="s">
        <v>444</v>
      </c>
      <c r="M23" s="4"/>
      <c r="N23" s="4"/>
      <c r="Y23"/>
      <c r="Z23"/>
      <c r="AA23"/>
      <c r="AE23" s="48" t="s">
        <v>75</v>
      </c>
      <c r="AF23" s="49" t="s">
        <v>76</v>
      </c>
      <c r="AG23" s="53"/>
      <c r="AH23" s="114" t="s">
        <v>57</v>
      </c>
      <c r="AI23" s="115"/>
      <c r="AJ23" s="114" t="s">
        <v>57</v>
      </c>
      <c r="AK23" s="116"/>
      <c r="AL23" s="114" t="s">
        <v>57</v>
      </c>
      <c r="AM23" s="54"/>
    </row>
    <row r="24" spans="1:43" x14ac:dyDescent="0.45">
      <c r="K24" s="22"/>
      <c r="L24" s="46" t="s">
        <v>445</v>
      </c>
      <c r="M24" s="4"/>
      <c r="N24" s="10">
        <f>I22-I14</f>
        <v>-4050514.3902299996</v>
      </c>
      <c r="Q24" s="188"/>
      <c r="Y24"/>
      <c r="Z24"/>
      <c r="AA24"/>
      <c r="AE24" s="81"/>
      <c r="AF24" s="82" t="s">
        <v>77</v>
      </c>
      <c r="AG24" s="87"/>
      <c r="AH24" s="83"/>
      <c r="AI24" s="87"/>
      <c r="AJ24" s="83"/>
      <c r="AK24" s="87"/>
      <c r="AL24" s="83"/>
      <c r="AM24" s="89"/>
    </row>
    <row r="25" spans="1:43" x14ac:dyDescent="0.45">
      <c r="J25" s="102"/>
      <c r="L25" s="3" t="s">
        <v>520</v>
      </c>
      <c r="N25" s="56">
        <f>N10/M2</f>
        <v>36.263043916702259</v>
      </c>
      <c r="Y25"/>
      <c r="Z25"/>
      <c r="AA25"/>
      <c r="AE25" s="81"/>
      <c r="AF25" s="82" t="s">
        <v>78</v>
      </c>
      <c r="AG25" s="87"/>
      <c r="AH25" s="192">
        <f>-AVERAGE(C18:I18)/1000</f>
        <v>37.496169796758515</v>
      </c>
      <c r="AI25" s="87"/>
      <c r="AJ25" s="192">
        <f>-AVERAGE(C10:I10)/1000</f>
        <v>187.48084898379261</v>
      </c>
      <c r="AK25" s="87"/>
      <c r="AL25" s="191">
        <f>AH25-AJ25</f>
        <v>-149.98467918703409</v>
      </c>
      <c r="AM25" s="117"/>
    </row>
    <row r="26" spans="1:43" x14ac:dyDescent="0.45">
      <c r="Y26"/>
      <c r="Z26"/>
      <c r="AA26"/>
      <c r="AE26" s="81"/>
      <c r="AF26" s="82"/>
      <c r="AG26" s="87"/>
      <c r="AH26" s="83"/>
      <c r="AI26" s="118"/>
      <c r="AJ26" s="83"/>
      <c r="AK26" s="118"/>
      <c r="AL26" s="83"/>
      <c r="AM26" s="119"/>
    </row>
    <row r="27" spans="1:43" x14ac:dyDescent="0.45">
      <c r="Q27" s="162"/>
      <c r="Y27"/>
      <c r="Z27"/>
      <c r="AA27"/>
      <c r="AE27" s="81"/>
      <c r="AF27" s="82"/>
      <c r="AG27" s="87"/>
      <c r="AH27" s="83"/>
      <c r="AI27" s="87"/>
      <c r="AJ27" s="83"/>
      <c r="AK27" s="87"/>
      <c r="AL27" s="83"/>
      <c r="AM27" s="120"/>
    </row>
    <row r="28" spans="1:43" x14ac:dyDescent="0.45">
      <c r="A28" s="3" t="s">
        <v>516</v>
      </c>
      <c r="Y28"/>
      <c r="Z28"/>
      <c r="AA28"/>
      <c r="AE28" s="81"/>
      <c r="AF28" s="82"/>
      <c r="AG28" s="87"/>
      <c r="AH28" s="83"/>
      <c r="AI28" s="87"/>
      <c r="AJ28" s="83"/>
      <c r="AK28" s="87"/>
      <c r="AL28" s="83"/>
      <c r="AM28" s="84"/>
    </row>
    <row r="29" spans="1:43" x14ac:dyDescent="0.45">
      <c r="A29" s="3" t="s">
        <v>514</v>
      </c>
      <c r="B29" s="102"/>
      <c r="C29" s="166">
        <f>C13*-1</f>
        <v>138330.58800000002</v>
      </c>
      <c r="D29" s="166">
        <f>SUM(C13:D13)*-1</f>
        <v>290494.23480000003</v>
      </c>
      <c r="E29" s="166">
        <f>SUM(C13:E13)*-1</f>
        <v>457874.24628000008</v>
      </c>
      <c r="F29" s="166">
        <f>SUM(C13:F13)*-1</f>
        <v>641992.25890800008</v>
      </c>
      <c r="G29" s="166">
        <f>SUM(C13:G13)*-1</f>
        <v>844522.07279880019</v>
      </c>
      <c r="H29" s="166">
        <f>SUM(C13:H13)*-1</f>
        <v>1067304.8680786802</v>
      </c>
      <c r="I29" s="166">
        <f>SUM(C13:I13)*-1</f>
        <v>1312365.9428865483</v>
      </c>
      <c r="L29" s="4" t="s">
        <v>736</v>
      </c>
      <c r="Y29"/>
      <c r="Z29"/>
      <c r="AA29"/>
      <c r="AE29" s="107"/>
      <c r="AF29" s="108"/>
      <c r="AG29" s="109"/>
      <c r="AH29" s="103"/>
      <c r="AI29" s="109"/>
      <c r="AJ29" s="103"/>
      <c r="AK29" s="109"/>
      <c r="AL29" s="103"/>
      <c r="AM29" s="110"/>
    </row>
    <row r="30" spans="1:43" x14ac:dyDescent="0.45">
      <c r="A30" s="3" t="s">
        <v>515</v>
      </c>
      <c r="B30" s="102"/>
      <c r="C30" s="166">
        <f>C21*-1</f>
        <v>27666.117599999998</v>
      </c>
      <c r="D30" s="166">
        <f>SUM(C21:D21)*-1</f>
        <v>58098.846959999995</v>
      </c>
      <c r="E30" s="166">
        <f>SUM(C21:E21)*-1</f>
        <v>91574.849255999987</v>
      </c>
      <c r="F30" s="166">
        <f>SUM(C21:F21)*-1</f>
        <v>128398.45178159999</v>
      </c>
      <c r="G30" s="166">
        <f>SUM(C21:G21)*-1</f>
        <v>168904.41455975999</v>
      </c>
      <c r="H30" s="166">
        <f>SUM(C21:H21)*-1</f>
        <v>213460.973615736</v>
      </c>
      <c r="I30" s="166">
        <f>SUM(C21:I21)*-1</f>
        <v>262473.1885773096</v>
      </c>
      <c r="L30" s="47">
        <f>(NPV($N$17,C21,D21,E21,F21,G21,H21,I21)+B21)-(NPV($N$17,C13,D13,E13,F13,G13,H13,I13))</f>
        <v>-4050514.3902299996</v>
      </c>
      <c r="O30" s="164"/>
      <c r="Y30"/>
      <c r="Z30"/>
      <c r="AA30"/>
      <c r="AE30" s="121"/>
      <c r="AF30" s="122" t="s">
        <v>79</v>
      </c>
      <c r="AG30" s="123"/>
      <c r="AH30" s="193">
        <f>SUM(AH25:AH29)</f>
        <v>37.496169796758515</v>
      </c>
      <c r="AI30" s="194"/>
      <c r="AJ30" s="193">
        <f>SUM(AJ25:AJ28)</f>
        <v>187.48084898379261</v>
      </c>
      <c r="AK30" s="194"/>
      <c r="AL30" s="193">
        <f>AH30-AJ30</f>
        <v>-149.98467918703409</v>
      </c>
      <c r="AM30" s="124"/>
    </row>
    <row r="31" spans="1:43" x14ac:dyDescent="0.45">
      <c r="L31" s="56"/>
      <c r="Y31"/>
      <c r="Z31"/>
      <c r="AA31"/>
      <c r="AE31" s="125"/>
      <c r="AF31" s="91"/>
      <c r="AG31" s="92"/>
      <c r="AH31" s="90"/>
      <c r="AI31" s="92"/>
      <c r="AJ31" s="90"/>
      <c r="AK31" s="92"/>
      <c r="AL31" s="90"/>
      <c r="AM31" s="54"/>
    </row>
    <row r="32" spans="1:43" x14ac:dyDescent="0.45">
      <c r="A32" s="3" t="s">
        <v>521</v>
      </c>
      <c r="B32" s="102"/>
      <c r="C32" s="166">
        <f t="shared" ref="C32:I32" si="7">C15*-1</f>
        <v>138330.5879999999</v>
      </c>
      <c r="D32" s="166">
        <f t="shared" si="7"/>
        <v>144917.75885714276</v>
      </c>
      <c r="E32" s="166">
        <f t="shared" si="7"/>
        <v>151703.93789728088</v>
      </c>
      <c r="F32" s="166">
        <f t="shared" si="7"/>
        <v>158688.22463089842</v>
      </c>
      <c r="G32" s="166">
        <f t="shared" si="7"/>
        <v>165869.36650570825</v>
      </c>
      <c r="H32" s="166">
        <f t="shared" si="7"/>
        <v>173245.76691658588</v>
      </c>
      <c r="I32" s="166">
        <f t="shared" si="7"/>
        <v>180815.49533101858</v>
      </c>
      <c r="L32" s="4"/>
      <c r="Y32"/>
      <c r="Z32"/>
      <c r="AA32"/>
      <c r="AE32" s="81"/>
      <c r="AF32" s="82" t="s">
        <v>80</v>
      </c>
      <c r="AG32" s="87"/>
      <c r="AH32" s="83"/>
      <c r="AI32" s="87"/>
      <c r="AJ32" s="83"/>
      <c r="AK32" s="87"/>
      <c r="AL32" s="83"/>
      <c r="AM32" s="84"/>
      <c r="AO32" s="196">
        <f>AL30+AL38</f>
        <v>529.26429770296591</v>
      </c>
      <c r="AP32" s="178"/>
    </row>
    <row r="33" spans="1:43" x14ac:dyDescent="0.45">
      <c r="A33" s="3" t="s">
        <v>522</v>
      </c>
      <c r="B33" s="102"/>
      <c r="C33" s="166">
        <f t="shared" ref="C33:I33" si="8">C23*-1</f>
        <v>5257883.239652996</v>
      </c>
      <c r="D33" s="166">
        <f t="shared" si="8"/>
        <v>2768621.0918944264</v>
      </c>
      <c r="E33" s="166">
        <f t="shared" si="8"/>
        <v>1942293.2702634819</v>
      </c>
      <c r="F33" s="166">
        <f t="shared" si="8"/>
        <v>1531720.1895184095</v>
      </c>
      <c r="G33" s="166">
        <f t="shared" si="8"/>
        <v>1287463.0558530726</v>
      </c>
      <c r="H33" s="166">
        <f t="shared" si="8"/>
        <v>1126373.2007674607</v>
      </c>
      <c r="I33" s="166">
        <f t="shared" si="8"/>
        <v>1012813.4277006648</v>
      </c>
      <c r="L33" s="163"/>
      <c r="Y33"/>
      <c r="Z33"/>
      <c r="AA33"/>
      <c r="AE33" s="81"/>
      <c r="AF33" s="82" t="s">
        <v>81</v>
      </c>
      <c r="AG33" s="87"/>
      <c r="AH33" s="83">
        <f>AL11/7</f>
        <v>668.74969117571425</v>
      </c>
      <c r="AI33" s="87"/>
      <c r="AJ33" s="83">
        <f>AM12/7</f>
        <v>0</v>
      </c>
      <c r="AK33" s="87"/>
      <c r="AL33" s="126">
        <f>AH33-AJ33</f>
        <v>668.74969117571425</v>
      </c>
      <c r="AM33" s="84"/>
    </row>
    <row r="34" spans="1:43" x14ac:dyDescent="0.45">
      <c r="C34" s="3">
        <f>C32/C33</f>
        <v>2.6309178369873669E-2</v>
      </c>
      <c r="D34" s="3">
        <f t="shared" ref="D34:I34" si="9">D32/D33</f>
        <v>5.2342936807572654E-2</v>
      </c>
      <c r="E34" s="3">
        <f t="shared" si="9"/>
        <v>7.8105577679678351E-2</v>
      </c>
      <c r="F34" s="3">
        <f t="shared" si="9"/>
        <v>0.10360131420660573</v>
      </c>
      <c r="G34" s="3">
        <f t="shared" si="9"/>
        <v>0.1288342727596197</v>
      </c>
      <c r="H34" s="3">
        <f t="shared" si="9"/>
        <v>0.15380849508719127</v>
      </c>
      <c r="I34" s="3">
        <f t="shared" si="9"/>
        <v>0.17852794047321643</v>
      </c>
      <c r="L34" s="167"/>
      <c r="Y34"/>
      <c r="Z34"/>
      <c r="AA34"/>
      <c r="AE34" s="81"/>
      <c r="AF34" s="82" t="s">
        <v>82</v>
      </c>
      <c r="AG34" s="87" t="s">
        <v>83</v>
      </c>
      <c r="AH34" s="83">
        <v>0</v>
      </c>
      <c r="AI34" s="87"/>
      <c r="AJ34" s="83">
        <v>0</v>
      </c>
      <c r="AK34" s="87"/>
      <c r="AL34" s="126">
        <f>AH34-AJ34</f>
        <v>0</v>
      </c>
      <c r="AM34" s="84"/>
    </row>
    <row r="35" spans="1:43" x14ac:dyDescent="0.45">
      <c r="E35" s="4"/>
      <c r="F35" s="4"/>
      <c r="Y35"/>
      <c r="Z35"/>
      <c r="AA35"/>
      <c r="AE35" s="81"/>
      <c r="AF35" s="82" t="s">
        <v>84</v>
      </c>
      <c r="AG35" s="87" t="s">
        <v>85</v>
      </c>
      <c r="AH35" s="83">
        <v>0</v>
      </c>
      <c r="AI35" s="87"/>
      <c r="AJ35" s="83">
        <v>0</v>
      </c>
      <c r="AK35" s="87"/>
      <c r="AL35" s="126">
        <f>AH35-AJ35</f>
        <v>0</v>
      </c>
      <c r="AM35" s="84"/>
    </row>
    <row r="36" spans="1:43" x14ac:dyDescent="0.45">
      <c r="E36" s="4"/>
      <c r="F36" s="4"/>
      <c r="L36" s="102"/>
      <c r="Y36"/>
      <c r="Z36"/>
      <c r="AA36"/>
      <c r="AE36" s="81"/>
      <c r="AF36" s="82" t="s">
        <v>86</v>
      </c>
      <c r="AG36" s="87"/>
      <c r="AH36" s="83">
        <f>(AL17+AL18)/7</f>
        <v>10.499285714285715</v>
      </c>
      <c r="AI36" s="87"/>
      <c r="AJ36" s="83">
        <v>0</v>
      </c>
      <c r="AK36" s="87"/>
      <c r="AL36" s="126">
        <f>AH36-AJ36</f>
        <v>10.499285714285715</v>
      </c>
      <c r="AM36" s="84"/>
    </row>
    <row r="37" spans="1:43" x14ac:dyDescent="0.45">
      <c r="E37" s="4"/>
      <c r="F37" s="4"/>
      <c r="L37" s="163"/>
      <c r="Y37"/>
      <c r="Z37"/>
      <c r="AA37"/>
      <c r="AE37" s="81"/>
      <c r="AF37" s="82"/>
      <c r="AG37" s="87"/>
      <c r="AH37" s="83"/>
      <c r="AI37" s="87"/>
      <c r="AJ37" s="83"/>
      <c r="AK37" s="87"/>
      <c r="AL37" s="83"/>
      <c r="AM37" s="84"/>
    </row>
    <row r="38" spans="1:43" x14ac:dyDescent="0.45">
      <c r="E38" s="4"/>
      <c r="F38" s="4"/>
      <c r="Y38"/>
      <c r="Z38"/>
      <c r="AA38"/>
      <c r="AE38" s="127"/>
      <c r="AF38" s="128" t="s">
        <v>87</v>
      </c>
      <c r="AG38" s="129"/>
      <c r="AH38" s="57">
        <f>SUM(AH33:AH37)</f>
        <v>679.24897688999999</v>
      </c>
      <c r="AI38" s="60"/>
      <c r="AJ38" s="57">
        <f>SUM(AJ33:AJ36)</f>
        <v>0</v>
      </c>
      <c r="AK38" s="60"/>
      <c r="AL38" s="195">
        <f>AH38-AJ38</f>
        <v>679.24897688999999</v>
      </c>
      <c r="AM38" s="130"/>
      <c r="AP38" s="178"/>
    </row>
    <row r="39" spans="1:43" x14ac:dyDescent="0.45">
      <c r="A39" s="470" t="s">
        <v>2164</v>
      </c>
      <c r="B39" s="466">
        <f>AVERAGE(B65,D65:I65)</f>
        <v>-90150.82785300877</v>
      </c>
      <c r="C39" s="466">
        <v>50000</v>
      </c>
      <c r="E39" s="4"/>
      <c r="F39" s="4"/>
      <c r="L39" s="163"/>
      <c r="Y39"/>
      <c r="Z39"/>
      <c r="AA39"/>
      <c r="AE39" s="121"/>
      <c r="AF39" s="122" t="s">
        <v>88</v>
      </c>
      <c r="AG39" s="123"/>
      <c r="AH39" s="55">
        <f>AH38+AH30</f>
        <v>716.74514668675852</v>
      </c>
      <c r="AI39" s="61"/>
      <c r="AJ39" s="55">
        <f>AJ38+AJ30</f>
        <v>187.48084898379261</v>
      </c>
      <c r="AK39" s="61"/>
      <c r="AL39" s="55">
        <f>AH39-AJ39</f>
        <v>529.26429770296591</v>
      </c>
      <c r="AM39" s="124"/>
    </row>
    <row r="40" spans="1:43" x14ac:dyDescent="0.45">
      <c r="A40" s="3" t="s">
        <v>435</v>
      </c>
      <c r="B40" s="71">
        <v>0</v>
      </c>
      <c r="C40" s="71">
        <v>1</v>
      </c>
      <c r="D40" s="71">
        <v>2</v>
      </c>
      <c r="E40" s="4">
        <v>3</v>
      </c>
      <c r="F40" s="4">
        <v>4</v>
      </c>
      <c r="G40" s="71">
        <v>5</v>
      </c>
      <c r="H40" s="71">
        <v>6</v>
      </c>
      <c r="I40" s="71">
        <v>7</v>
      </c>
      <c r="R40" s="168"/>
      <c r="Y40"/>
      <c r="Z40"/>
      <c r="AA40"/>
      <c r="AE40" s="81"/>
      <c r="AF40" s="82"/>
      <c r="AG40" s="87"/>
      <c r="AH40" s="83"/>
      <c r="AI40" s="87"/>
      <c r="AJ40" s="83"/>
      <c r="AK40" s="87"/>
      <c r="AL40" s="83"/>
      <c r="AM40" s="84"/>
    </row>
    <row r="41" spans="1:43" x14ac:dyDescent="0.45">
      <c r="B41" s="71"/>
      <c r="C41" s="71"/>
      <c r="D41" s="71"/>
      <c r="E41" s="4"/>
      <c r="F41" s="4"/>
      <c r="G41" s="71"/>
      <c r="H41" s="71"/>
      <c r="I41" s="71"/>
      <c r="R41" s="168"/>
      <c r="Y41"/>
      <c r="Z41"/>
      <c r="AA41"/>
      <c r="AE41" s="81"/>
      <c r="AF41" s="82" t="s">
        <v>89</v>
      </c>
      <c r="AG41" s="87"/>
      <c r="AH41" s="131" t="str">
        <f>IF(AG22&gt;0,AH30*1000/AG22," ")</f>
        <v xml:space="preserve"> </v>
      </c>
      <c r="AI41" s="87"/>
      <c r="AJ41" s="131" t="str">
        <f>IF(AG22&gt;0,AJ30*1000/AG22," ")</f>
        <v xml:space="preserve"> </v>
      </c>
      <c r="AK41" s="87"/>
      <c r="AL41" s="83"/>
      <c r="AM41" s="84"/>
      <c r="AQ41" s="190"/>
    </row>
    <row r="42" spans="1:43" x14ac:dyDescent="0.45">
      <c r="A42" s="465" t="s">
        <v>432</v>
      </c>
      <c r="B42" s="12">
        <f>B10</f>
        <v>-6433089</v>
      </c>
      <c r="C42" s="12">
        <f t="shared" ref="C42:I42" si="10">C10</f>
        <v>-138330.58800000002</v>
      </c>
      <c r="D42" s="12">
        <f t="shared" si="10"/>
        <v>-152163.64680000002</v>
      </c>
      <c r="E42" s="12">
        <f t="shared" si="10"/>
        <v>-167380.01148000004</v>
      </c>
      <c r="F42" s="12">
        <f t="shared" si="10"/>
        <v>-184118.01262800005</v>
      </c>
      <c r="G42" s="12">
        <f t="shared" si="10"/>
        <v>-202529.81389080008</v>
      </c>
      <c r="H42" s="12">
        <f t="shared" si="10"/>
        <v>-222782.79527988011</v>
      </c>
      <c r="I42" s="12">
        <f t="shared" si="10"/>
        <v>-245061.07480786816</v>
      </c>
      <c r="Y42"/>
      <c r="Z42"/>
      <c r="AA42"/>
      <c r="AE42" s="81"/>
      <c r="AF42" s="82" t="s">
        <v>90</v>
      </c>
      <c r="AG42" s="87"/>
      <c r="AH42" s="131" t="str">
        <f>IF(AG22&gt;0,AH38*1000/AG22," ")</f>
        <v xml:space="preserve"> </v>
      </c>
      <c r="AI42" s="87"/>
      <c r="AJ42" s="131" t="str">
        <f>IF(AG22&gt;0,AJ31*1000/AG22," ")</f>
        <v xml:space="preserve"> </v>
      </c>
      <c r="AK42" s="87"/>
      <c r="AL42" s="83"/>
      <c r="AM42" s="84"/>
    </row>
    <row r="43" spans="1:43" x14ac:dyDescent="0.45">
      <c r="B43" s="71"/>
      <c r="C43" s="71"/>
      <c r="D43" s="71"/>
      <c r="E43" s="4"/>
      <c r="F43" s="4"/>
      <c r="G43" s="71"/>
      <c r="H43" s="71"/>
      <c r="I43" s="71"/>
      <c r="Y43"/>
      <c r="Z43"/>
      <c r="AA43"/>
      <c r="AE43" s="81"/>
      <c r="AF43" s="82"/>
      <c r="AG43" s="87"/>
      <c r="AH43" s="83"/>
      <c r="AI43" s="87"/>
      <c r="AJ43" s="83"/>
      <c r="AK43" s="87"/>
      <c r="AL43" s="83"/>
      <c r="AM43" s="84"/>
    </row>
    <row r="44" spans="1:43" x14ac:dyDescent="0.45">
      <c r="A44" s="465" t="s">
        <v>958</v>
      </c>
      <c r="B44" s="466">
        <v>-89138.650000000009</v>
      </c>
      <c r="C44" s="466">
        <v>-76969.293500000014</v>
      </c>
      <c r="D44" s="466">
        <v>-124331.29940000003</v>
      </c>
      <c r="E44" s="466">
        <v>-93132.84513500004</v>
      </c>
      <c r="F44" s="466">
        <v>-102446.12964850003</v>
      </c>
      <c r="G44" s="466">
        <v>-112690.74261335006</v>
      </c>
      <c r="H44" s="466">
        <v>-123959.81687468507</v>
      </c>
      <c r="I44" s="466">
        <v>-136355.79856215359</v>
      </c>
      <c r="Y44"/>
      <c r="Z44"/>
      <c r="AA44"/>
      <c r="AE44" s="58" t="s">
        <v>91</v>
      </c>
      <c r="AF44" s="59" t="s">
        <v>92</v>
      </c>
      <c r="AG44" s="60"/>
      <c r="AH44" s="132"/>
      <c r="AI44" s="129"/>
      <c r="AJ44" s="132"/>
      <c r="AK44" s="129"/>
      <c r="AL44" s="132"/>
      <c r="AM44" s="130"/>
    </row>
    <row r="45" spans="1:43" x14ac:dyDescent="0.45">
      <c r="A45" s="465" t="s">
        <v>960</v>
      </c>
      <c r="B45" s="467">
        <v>-136190.71</v>
      </c>
      <c r="C45" s="467">
        <v>-67251.849499999997</v>
      </c>
      <c r="D45" s="467">
        <v>-73977.034450000006</v>
      </c>
      <c r="E45" s="464">
        <v>-81374.737895000027</v>
      </c>
      <c r="F45" s="464">
        <v>-89512.211684500027</v>
      </c>
      <c r="G45" s="467">
        <v>-98463.432852950034</v>
      </c>
      <c r="H45" s="467">
        <v>-108309.77613824504</v>
      </c>
      <c r="I45" s="467">
        <v>-119140.75375206958</v>
      </c>
      <c r="Y45"/>
      <c r="Z45"/>
      <c r="AA45"/>
      <c r="AE45" s="50" t="s">
        <v>93</v>
      </c>
      <c r="AF45" s="51" t="s">
        <v>94</v>
      </c>
      <c r="AG45" s="61"/>
      <c r="AH45" s="133" t="str">
        <f>IF(AH44&gt;0,AH44*AG22/1000," ")</f>
        <v xml:space="preserve"> </v>
      </c>
      <c r="AI45" s="123"/>
      <c r="AJ45" s="133" t="str">
        <f>IF(AJ44&gt;0,AJ44*AG22/1000," ")</f>
        <v xml:space="preserve"> </v>
      </c>
      <c r="AK45" s="123"/>
      <c r="AL45" s="133"/>
      <c r="AM45" s="124"/>
    </row>
    <row r="46" spans="1:43" x14ac:dyDescent="0.45">
      <c r="A46" s="465" t="s">
        <v>962</v>
      </c>
      <c r="B46" s="467">
        <v>-100522.27</v>
      </c>
      <c r="C46" s="467">
        <v>-72580.97</v>
      </c>
      <c r="D46" s="467">
        <v>-79839.06700000001</v>
      </c>
      <c r="E46" s="464">
        <v>-87822.973700000017</v>
      </c>
      <c r="F46" s="464">
        <v>-96605.271070000017</v>
      </c>
      <c r="G46" s="467">
        <v>-106265.79817700003</v>
      </c>
      <c r="H46" s="467">
        <v>-116892.37799470004</v>
      </c>
      <c r="I46" s="467">
        <v>-128581.61579417008</v>
      </c>
      <c r="Y46"/>
      <c r="Z46"/>
      <c r="AA46"/>
      <c r="AE46" s="50" t="s">
        <v>95</v>
      </c>
      <c r="AF46" s="62" t="s">
        <v>96</v>
      </c>
      <c r="AG46" s="61"/>
      <c r="AH46" s="133" t="str">
        <f>IF(AH44&gt;0,AH45-AH39," ")</f>
        <v xml:space="preserve"> </v>
      </c>
      <c r="AI46" s="123"/>
      <c r="AJ46" s="133" t="str">
        <f>IF(AJ44&gt;0,AJ45-AJ39," ")</f>
        <v xml:space="preserve"> </v>
      </c>
      <c r="AK46" s="123"/>
      <c r="AL46" s="133">
        <f>AL45-AL39</f>
        <v>-529.26429770296591</v>
      </c>
      <c r="AM46" s="124"/>
    </row>
    <row r="47" spans="1:43" x14ac:dyDescent="0.45">
      <c r="A47" s="465" t="s">
        <v>964</v>
      </c>
      <c r="B47" s="467">
        <v>-136113.20000000001</v>
      </c>
      <c r="C47" s="467">
        <v>-83930.968000000008</v>
      </c>
      <c r="D47" s="467">
        <v>-92324.064800000022</v>
      </c>
      <c r="E47" s="464">
        <v>-101556.47128000004</v>
      </c>
      <c r="F47" s="464">
        <v>-111712.11840800004</v>
      </c>
      <c r="G47" s="467">
        <v>-122883.33024880005</v>
      </c>
      <c r="H47" s="467">
        <v>-135171.66327368008</v>
      </c>
      <c r="I47" s="467">
        <v>-148688.82960104811</v>
      </c>
      <c r="Y47"/>
      <c r="Z47"/>
      <c r="AA47"/>
      <c r="AE47" s="63" t="s">
        <v>97</v>
      </c>
      <c r="AF47" s="64" t="s">
        <v>98</v>
      </c>
      <c r="AG47" s="65"/>
      <c r="AH47" s="83"/>
      <c r="AI47" s="82"/>
      <c r="AJ47" s="83"/>
      <c r="AK47" s="87"/>
      <c r="AL47" s="83"/>
      <c r="AM47" s="84"/>
    </row>
    <row r="48" spans="1:43" x14ac:dyDescent="0.45">
      <c r="A48" s="465" t="s">
        <v>966</v>
      </c>
      <c r="B48" s="467">
        <v>-106586.18999999997</v>
      </c>
      <c r="C48" s="467">
        <v>-75317.352000000014</v>
      </c>
      <c r="D48" s="467">
        <v>-82849.087200000024</v>
      </c>
      <c r="E48" s="464">
        <v>-91133.99592000003</v>
      </c>
      <c r="F48" s="464">
        <v>-100247.39551200003</v>
      </c>
      <c r="G48" s="467">
        <v>-110272.13506320005</v>
      </c>
      <c r="H48" s="467">
        <v>-121299.34856952007</v>
      </c>
      <c r="I48" s="467">
        <v>-133429.2834264721</v>
      </c>
      <c r="Y48"/>
      <c r="Z48"/>
      <c r="AA48"/>
      <c r="AE48" s="81"/>
      <c r="AF48" s="134" t="s">
        <v>99</v>
      </c>
      <c r="AG48" s="87"/>
      <c r="AH48" s="83"/>
      <c r="AI48" s="82"/>
      <c r="AJ48" s="83"/>
      <c r="AK48" s="87"/>
      <c r="AL48" s="83">
        <f>AL46</f>
        <v>-529.26429770296591</v>
      </c>
      <c r="AM48" s="84"/>
    </row>
    <row r="49" spans="1:39" x14ac:dyDescent="0.45">
      <c r="A49" s="465" t="s">
        <v>968</v>
      </c>
      <c r="B49" s="467">
        <v>-50594.80000000001</v>
      </c>
      <c r="C49" s="467">
        <v>-68937.2255</v>
      </c>
      <c r="D49" s="467">
        <v>-75830.948050000021</v>
      </c>
      <c r="E49" s="464">
        <v>-83414.042855000022</v>
      </c>
      <c r="F49" s="464">
        <v>-91755.447140500022</v>
      </c>
      <c r="G49" s="467">
        <v>-100930.99185455004</v>
      </c>
      <c r="H49" s="467">
        <v>-111024.09104000505</v>
      </c>
      <c r="I49" s="467">
        <v>-122126.50014400558</v>
      </c>
      <c r="Y49"/>
      <c r="Z49"/>
      <c r="AA49"/>
      <c r="AE49" s="81"/>
      <c r="AF49" s="82" t="s">
        <v>100</v>
      </c>
      <c r="AG49" s="87"/>
      <c r="AH49" s="83"/>
      <c r="AI49" s="82"/>
      <c r="AJ49" s="83"/>
      <c r="AK49" s="87"/>
      <c r="AL49" s="83">
        <f>AH33+AH34+AH35+AH36-(AJ33+AJ34+AJ35+AJ36)</f>
        <v>679.24897688999999</v>
      </c>
      <c r="AM49" s="84"/>
    </row>
    <row r="50" spans="1:39" x14ac:dyDescent="0.45">
      <c r="A50" s="465" t="s">
        <v>970</v>
      </c>
      <c r="B50" s="467">
        <v>-613224.92000000027</v>
      </c>
      <c r="C50" s="467">
        <v>-44708.873000000007</v>
      </c>
      <c r="D50" s="467">
        <v>-48657.1008</v>
      </c>
      <c r="E50" s="464">
        <v>-54097.736330000014</v>
      </c>
      <c r="F50" s="464">
        <v>-58875.091968000008</v>
      </c>
      <c r="G50" s="467">
        <v>-65458.260959300023</v>
      </c>
      <c r="H50" s="467">
        <v>-71238.861281280027</v>
      </c>
      <c r="I50" s="467">
        <v>-79204.495760753052</v>
      </c>
      <c r="Y50"/>
      <c r="Z50"/>
      <c r="AA50"/>
      <c r="AE50" s="81"/>
      <c r="AF50" s="82" t="s">
        <v>101</v>
      </c>
      <c r="AG50" s="87"/>
      <c r="AH50" s="83"/>
      <c r="AI50" s="82"/>
      <c r="AJ50" s="83"/>
      <c r="AK50" s="87"/>
      <c r="AL50" s="83"/>
      <c r="AM50" s="84"/>
    </row>
    <row r="51" spans="1:39" x14ac:dyDescent="0.45">
      <c r="A51" s="465" t="s">
        <v>972</v>
      </c>
      <c r="B51" s="467">
        <v>-98617.58</v>
      </c>
      <c r="C51" s="467">
        <v>-134904.242</v>
      </c>
      <c r="D51" s="467">
        <v>-148394.66620000004</v>
      </c>
      <c r="E51" s="464">
        <v>-163234.13282000006</v>
      </c>
      <c r="F51" s="464">
        <v>-179557.54610200005</v>
      </c>
      <c r="G51" s="467">
        <v>-197513.30071220006</v>
      </c>
      <c r="H51" s="467">
        <v>-217264.63078342011</v>
      </c>
      <c r="I51" s="467">
        <v>-238991.09386176214</v>
      </c>
      <c r="Y51"/>
      <c r="Z51"/>
      <c r="AA51"/>
      <c r="AE51" s="107"/>
      <c r="AF51" s="108" t="s">
        <v>102</v>
      </c>
      <c r="AG51" s="109"/>
      <c r="AH51" s="103"/>
      <c r="AI51" s="108"/>
      <c r="AJ51" s="103"/>
      <c r="AK51" s="109"/>
      <c r="AL51" s="103">
        <f>SUM(AL48:AL50)</f>
        <v>149.98467918703409</v>
      </c>
      <c r="AM51" s="110"/>
    </row>
    <row r="52" spans="1:39" x14ac:dyDescent="0.45">
      <c r="A52" s="465" t="s">
        <v>974</v>
      </c>
      <c r="B52" s="467">
        <v>-146864.24000000002</v>
      </c>
      <c r="C52" s="467">
        <v>-48065.588999999993</v>
      </c>
      <c r="D52" s="467">
        <v>-52872.147899999996</v>
      </c>
      <c r="E52" s="467">
        <v>-58159.362690000002</v>
      </c>
      <c r="F52" s="467">
        <v>-63975.298959000007</v>
      </c>
      <c r="G52" s="467">
        <v>-70372.828854900014</v>
      </c>
      <c r="H52" s="467">
        <v>-77410.111740390013</v>
      </c>
      <c r="I52" s="467">
        <v>-85151.122914429041</v>
      </c>
      <c r="Y52"/>
      <c r="Z52"/>
      <c r="AA52"/>
      <c r="AE52" s="48" t="s">
        <v>103</v>
      </c>
      <c r="AF52" s="49" t="s">
        <v>104</v>
      </c>
      <c r="AG52" s="53"/>
      <c r="AH52" s="90"/>
      <c r="AI52" s="91"/>
      <c r="AJ52" s="90"/>
      <c r="AK52" s="92"/>
      <c r="AL52" s="90"/>
      <c r="AM52" s="54"/>
    </row>
    <row r="53" spans="1:39" x14ac:dyDescent="0.45">
      <c r="A53" s="465" t="s">
        <v>976</v>
      </c>
      <c r="B53" s="467">
        <v>-23958.459999999988</v>
      </c>
      <c r="C53" s="467">
        <v>-33284.702000000005</v>
      </c>
      <c r="D53" s="467">
        <v>-36613.172200000008</v>
      </c>
      <c r="E53" s="467">
        <v>-40274.489420000013</v>
      </c>
      <c r="F53" s="467">
        <v>-44301.938362000015</v>
      </c>
      <c r="G53" s="467">
        <v>-48732.132198200015</v>
      </c>
      <c r="H53" s="467">
        <v>-53605.345418020028</v>
      </c>
      <c r="I53" s="467">
        <v>-58965.879959822036</v>
      </c>
      <c r="Y53"/>
      <c r="Z53"/>
      <c r="AA53"/>
      <c r="AE53" s="107"/>
      <c r="AF53" s="108" t="s">
        <v>105</v>
      </c>
      <c r="AG53" s="109"/>
      <c r="AH53" s="103"/>
      <c r="AI53" s="108"/>
      <c r="AJ53" s="103"/>
      <c r="AK53" s="109"/>
      <c r="AL53" s="135">
        <f>(AL20/AL51)</f>
        <v>31.701523542286168</v>
      </c>
      <c r="AM53" s="110"/>
    </row>
    <row r="54" spans="1:39" x14ac:dyDescent="0.45">
      <c r="A54" s="465" t="s">
        <v>978</v>
      </c>
      <c r="B54" s="467">
        <v>-52906.73</v>
      </c>
      <c r="C54" s="467">
        <v>-72847.94</v>
      </c>
      <c r="D54" s="467">
        <v>-80132.734000000011</v>
      </c>
      <c r="E54" s="467">
        <v>-88146.007400000017</v>
      </c>
      <c r="F54" s="467">
        <v>-96960.608140000011</v>
      </c>
      <c r="G54" s="467">
        <v>-106656.66895400002</v>
      </c>
      <c r="H54" s="467">
        <v>-117322.33584940004</v>
      </c>
      <c r="I54" s="467">
        <v>-129054.56943434007</v>
      </c>
      <c r="Y54"/>
      <c r="Z54"/>
      <c r="AA54"/>
      <c r="AE54" s="63" t="s">
        <v>106</v>
      </c>
      <c r="AF54" s="64" t="s">
        <v>107</v>
      </c>
      <c r="AG54" s="65"/>
      <c r="AH54" s="83"/>
      <c r="AI54" s="82"/>
      <c r="AJ54" s="83"/>
      <c r="AK54" s="87"/>
      <c r="AL54" s="83"/>
      <c r="AM54" s="84"/>
    </row>
    <row r="55" spans="1:39" x14ac:dyDescent="0.45">
      <c r="A55" s="465" t="s">
        <v>980</v>
      </c>
      <c r="B55" s="467">
        <v>-8842.619999999999</v>
      </c>
      <c r="C55" s="467">
        <v>-12951.026000000002</v>
      </c>
      <c r="D55" s="467">
        <v>-13941.813600000001</v>
      </c>
      <c r="E55" s="467">
        <v>-15670.741460000005</v>
      </c>
      <c r="F55" s="467">
        <v>-16869.594456000006</v>
      </c>
      <c r="G55" s="467">
        <v>-18961.597166600008</v>
      </c>
      <c r="H55" s="467">
        <v>-20412.209291760009</v>
      </c>
      <c r="I55" s="467">
        <v>-22943.532571586013</v>
      </c>
      <c r="Y55"/>
      <c r="Z55"/>
      <c r="AA55"/>
      <c r="AE55" s="81"/>
      <c r="AF55" s="82" t="s">
        <v>108</v>
      </c>
      <c r="AG55" s="87"/>
      <c r="AH55" s="83"/>
      <c r="AI55" s="82"/>
      <c r="AJ55" s="83"/>
      <c r="AK55" s="87"/>
      <c r="AL55" s="136" t="str">
        <f>IF($AL$46&gt;0,$AL$46/$AL$20,"Sem Retorno")</f>
        <v>Sem Retorno</v>
      </c>
      <c r="AM55" s="84"/>
    </row>
    <row r="56" spans="1:39" ht="16.5" thickBot="1" x14ac:dyDescent="0.5">
      <c r="A56" s="465" t="s">
        <v>982</v>
      </c>
      <c r="B56" s="467">
        <v>-23168.38</v>
      </c>
      <c r="C56" s="467">
        <v>-39738.996000000006</v>
      </c>
      <c r="D56" s="467">
        <v>-42961.667100000006</v>
      </c>
      <c r="E56" s="467">
        <v>-48084.185160000015</v>
      </c>
      <c r="F56" s="467">
        <v>-51983.617191000019</v>
      </c>
      <c r="G56" s="467">
        <v>-58181.864043600021</v>
      </c>
      <c r="H56" s="467">
        <v>-62900.176801110036</v>
      </c>
      <c r="I56" s="467">
        <v>-70400.055492756044</v>
      </c>
      <c r="Y56"/>
      <c r="Z56"/>
      <c r="AA56"/>
      <c r="AE56" s="77"/>
      <c r="AF56" s="78"/>
      <c r="AG56" s="137"/>
      <c r="AH56" s="79"/>
      <c r="AI56" s="78"/>
      <c r="AJ56" s="79"/>
      <c r="AK56" s="137"/>
      <c r="AL56" s="79"/>
      <c r="AM56" s="80"/>
    </row>
    <row r="57" spans="1:39" ht="17" thickTop="1" thickBot="1" x14ac:dyDescent="0.5">
      <c r="A57" s="465" t="s">
        <v>984</v>
      </c>
      <c r="B57" s="467">
        <v>-33992.410000000003</v>
      </c>
      <c r="C57" s="467">
        <v>-43818.686999999998</v>
      </c>
      <c r="D57" s="467">
        <v>-47545.885200000004</v>
      </c>
      <c r="E57" s="467">
        <v>-53020.611270000016</v>
      </c>
      <c r="F57" s="467">
        <v>-57530.52109200001</v>
      </c>
      <c r="G57" s="467">
        <v>-64154.939636700023</v>
      </c>
      <c r="H57" s="467">
        <v>-69611.930521320028</v>
      </c>
      <c r="I57" s="467">
        <v>-77627.476960407046</v>
      </c>
      <c r="Y57"/>
      <c r="Z57"/>
      <c r="AA57"/>
      <c r="AE57" s="82"/>
      <c r="AF57" s="82"/>
      <c r="AG57" s="82"/>
      <c r="AH57" s="83"/>
      <c r="AI57" s="82"/>
      <c r="AJ57" s="83"/>
      <c r="AK57" s="82"/>
      <c r="AL57" s="138" t="s">
        <v>109</v>
      </c>
      <c r="AM57" s="139"/>
    </row>
    <row r="58" spans="1:39" ht="16.5" thickTop="1" x14ac:dyDescent="0.45">
      <c r="A58" s="465" t="s">
        <v>986</v>
      </c>
      <c r="B58" s="467">
        <v>-17679.82</v>
      </c>
      <c r="C58" s="467">
        <v>-37366.736000000004</v>
      </c>
      <c r="D58" s="467">
        <v>-41103.409600000006</v>
      </c>
      <c r="E58" s="467">
        <v>-45213.750560000015</v>
      </c>
      <c r="F58" s="467">
        <v>-49735.125616000019</v>
      </c>
      <c r="G58" s="467">
        <v>-54708.63817760002</v>
      </c>
      <c r="H58" s="467">
        <v>-60179.501995360035</v>
      </c>
      <c r="I58" s="467">
        <v>-66197.452194896046</v>
      </c>
      <c r="Y58"/>
      <c r="Z58"/>
      <c r="AA58"/>
      <c r="AE58" s="82"/>
      <c r="AF58" s="82"/>
      <c r="AG58" s="82"/>
      <c r="AH58" s="83"/>
      <c r="AI58" s="82"/>
      <c r="AJ58" s="83"/>
      <c r="AK58" s="82"/>
      <c r="AL58" s="83"/>
      <c r="AM58" s="82"/>
    </row>
    <row r="59" spans="1:39" x14ac:dyDescent="0.45">
      <c r="A59" s="465" t="s">
        <v>988</v>
      </c>
      <c r="B59" s="467">
        <v>-33569.80000000001</v>
      </c>
      <c r="C59" s="467">
        <v>-67472.702000000019</v>
      </c>
      <c r="D59" s="467">
        <v>-74219.972200000018</v>
      </c>
      <c r="E59" s="467">
        <v>-81641.969420000038</v>
      </c>
      <c r="F59" s="467">
        <v>-89806.166362000033</v>
      </c>
      <c r="G59" s="467">
        <v>-98786.78299820004</v>
      </c>
      <c r="H59" s="467">
        <v>-108665.46129802006</v>
      </c>
      <c r="I59" s="467">
        <v>-119532.00742782209</v>
      </c>
      <c r="Y59"/>
      <c r="Z59"/>
      <c r="AA59"/>
    </row>
    <row r="60" spans="1:39" x14ac:dyDescent="0.45">
      <c r="A60" s="465" t="s">
        <v>990</v>
      </c>
      <c r="B60" s="467">
        <v>-40689.32</v>
      </c>
      <c r="C60" s="467">
        <v>-78371.304000000004</v>
      </c>
      <c r="D60" s="467">
        <v>-86208.434400000013</v>
      </c>
      <c r="E60" s="467">
        <v>-94829.277840000024</v>
      </c>
      <c r="F60" s="467">
        <v>-104312.20562400002</v>
      </c>
      <c r="G60" s="467">
        <v>-114743.42618640004</v>
      </c>
      <c r="H60" s="467">
        <v>-126217.76880504006</v>
      </c>
      <c r="I60" s="467">
        <v>-138839.54568554409</v>
      </c>
      <c r="Y60"/>
      <c r="Z60"/>
      <c r="AA60"/>
    </row>
    <row r="61" spans="1:39" x14ac:dyDescent="0.45">
      <c r="Y61"/>
      <c r="Z61"/>
      <c r="AA61"/>
    </row>
    <row r="62" spans="1:39" x14ac:dyDescent="0.45">
      <c r="A62" s="465" t="s">
        <v>2160</v>
      </c>
      <c r="B62" s="467">
        <f>LARGE(B44:B60,1)</f>
        <v>-8842.619999999999</v>
      </c>
      <c r="C62" s="467">
        <f t="shared" ref="C62:I62" si="11">LARGE(C44:C60,1)</f>
        <v>-12951.026000000002</v>
      </c>
      <c r="D62" s="467">
        <f t="shared" si="11"/>
        <v>-13941.813600000001</v>
      </c>
      <c r="E62" s="467">
        <f t="shared" si="11"/>
        <v>-15670.741460000005</v>
      </c>
      <c r="F62" s="467">
        <f t="shared" si="11"/>
        <v>-16869.594456000006</v>
      </c>
      <c r="G62" s="467">
        <f t="shared" si="11"/>
        <v>-18961.597166600008</v>
      </c>
      <c r="H62" s="467">
        <f t="shared" si="11"/>
        <v>-20412.209291760009</v>
      </c>
      <c r="I62" s="467">
        <f t="shared" si="11"/>
        <v>-22943.532571586013</v>
      </c>
      <c r="J62" s="71"/>
      <c r="Y62"/>
      <c r="Z62"/>
      <c r="AA62"/>
    </row>
    <row r="63" spans="1:39" x14ac:dyDescent="0.45">
      <c r="A63" s="465" t="s">
        <v>2163</v>
      </c>
      <c r="B63" s="467">
        <f>SMALL(B44:B60,1)</f>
        <v>-613224.92000000027</v>
      </c>
      <c r="C63" s="467">
        <f t="shared" ref="C63:I63" si="12">SMALL(C44:C60,1)</f>
        <v>-134904.242</v>
      </c>
      <c r="D63" s="467">
        <f t="shared" si="12"/>
        <v>-148394.66620000004</v>
      </c>
      <c r="E63" s="467">
        <f t="shared" si="12"/>
        <v>-163234.13282000006</v>
      </c>
      <c r="F63" s="467">
        <f t="shared" si="12"/>
        <v>-179557.54610200005</v>
      </c>
      <c r="G63" s="467">
        <f t="shared" si="12"/>
        <v>-197513.30071220006</v>
      </c>
      <c r="H63" s="467">
        <f t="shared" si="12"/>
        <v>-217264.63078342011</v>
      </c>
      <c r="I63" s="467">
        <f t="shared" si="12"/>
        <v>-238991.09386176214</v>
      </c>
      <c r="J63" s="71"/>
      <c r="Y63"/>
      <c r="Z63"/>
      <c r="AA63"/>
    </row>
    <row r="64" spans="1:39" x14ac:dyDescent="0.45">
      <c r="A64" s="465" t="s">
        <v>2162</v>
      </c>
      <c r="B64" s="467">
        <f>B62-B63</f>
        <v>604382.30000000028</v>
      </c>
      <c r="C64" s="467">
        <f t="shared" ref="C64:I64" si="13">C62-C63</f>
        <v>121953.216</v>
      </c>
      <c r="D64" s="467">
        <f t="shared" si="13"/>
        <v>134452.85260000004</v>
      </c>
      <c r="E64" s="467">
        <f t="shared" si="13"/>
        <v>147563.39136000007</v>
      </c>
      <c r="F64" s="467">
        <f t="shared" si="13"/>
        <v>162687.95164600003</v>
      </c>
      <c r="G64" s="467">
        <f t="shared" si="13"/>
        <v>178551.70354560006</v>
      </c>
      <c r="H64" s="467">
        <f t="shared" si="13"/>
        <v>196852.42149166012</v>
      </c>
      <c r="I64" s="467">
        <f t="shared" si="13"/>
        <v>216047.56129017612</v>
      </c>
      <c r="J64" s="71"/>
      <c r="Y64"/>
      <c r="Z64"/>
      <c r="AA64"/>
    </row>
    <row r="65" spans="1:27" x14ac:dyDescent="0.45">
      <c r="A65" s="468" t="s">
        <v>2161</v>
      </c>
      <c r="B65" s="469">
        <f>AVERAGE(B44:B60)</f>
        <v>-100744.71176470591</v>
      </c>
      <c r="C65" s="469">
        <f t="shared" ref="C65:I65" si="14">AVERAGE(C44:C60)</f>
        <v>-62265.791500000007</v>
      </c>
      <c r="D65" s="469">
        <f t="shared" si="14"/>
        <v>-70694.264947058837</v>
      </c>
      <c r="E65" s="469">
        <f t="shared" si="14"/>
        <v>-75341.607715000035</v>
      </c>
      <c r="F65" s="469">
        <f t="shared" si="14"/>
        <v>-82716.840431500008</v>
      </c>
      <c r="G65" s="469">
        <f t="shared" si="14"/>
        <v>-91163.345335150021</v>
      </c>
      <c r="H65" s="469">
        <f t="shared" si="14"/>
        <v>-100087.37692211506</v>
      </c>
      <c r="I65" s="469">
        <f t="shared" si="14"/>
        <v>-110307.64785553157</v>
      </c>
      <c r="Y65"/>
      <c r="Z65"/>
      <c r="AA65"/>
    </row>
    <row r="66" spans="1:27" x14ac:dyDescent="0.45">
      <c r="B66" s="467"/>
      <c r="C66" s="467"/>
      <c r="D66" s="467"/>
      <c r="E66" s="467"/>
      <c r="F66" s="467"/>
      <c r="G66" s="467"/>
      <c r="H66" s="467"/>
      <c r="I66" s="467"/>
      <c r="Y66"/>
      <c r="Z66"/>
      <c r="AA66"/>
    </row>
    <row r="67" spans="1:27" x14ac:dyDescent="0.45">
      <c r="B67" s="467"/>
      <c r="C67" s="472">
        <f>AVERAGE(B65:C65)</f>
        <v>-81505.251632352956</v>
      </c>
      <c r="D67" s="467"/>
      <c r="E67" s="467"/>
      <c r="F67" s="467"/>
      <c r="G67" s="467"/>
      <c r="H67" s="467"/>
      <c r="I67" s="467"/>
      <c r="Y67"/>
      <c r="Z67"/>
      <c r="AA67"/>
    </row>
    <row r="68" spans="1:27" x14ac:dyDescent="0.45">
      <c r="Y68"/>
      <c r="Z68"/>
      <c r="AA68"/>
    </row>
    <row r="69" spans="1:27" x14ac:dyDescent="0.45">
      <c r="A69" s="470" t="s">
        <v>2165</v>
      </c>
      <c r="B69" s="466">
        <f>AVERAGE(C99:I99)</f>
        <v>-193966.42688942471</v>
      </c>
      <c r="C69" s="466"/>
      <c r="E69" s="4"/>
      <c r="F69" s="4"/>
      <c r="Y69"/>
      <c r="Z69"/>
      <c r="AA69"/>
    </row>
    <row r="70" spans="1:27" x14ac:dyDescent="0.45">
      <c r="A70" s="3" t="s">
        <v>435</v>
      </c>
      <c r="B70" s="71">
        <v>0</v>
      </c>
      <c r="C70" s="71">
        <v>1</v>
      </c>
      <c r="D70" s="71">
        <v>2</v>
      </c>
      <c r="E70" s="4">
        <v>3</v>
      </c>
      <c r="F70" s="4">
        <v>4</v>
      </c>
      <c r="G70" s="71">
        <v>5</v>
      </c>
      <c r="H70" s="71">
        <v>6</v>
      </c>
      <c r="I70" s="71">
        <v>7</v>
      </c>
      <c r="Y70"/>
      <c r="Z70"/>
      <c r="AA70"/>
    </row>
    <row r="71" spans="1:27" x14ac:dyDescent="0.45">
      <c r="Y71"/>
      <c r="Z71"/>
      <c r="AA71"/>
    </row>
    <row r="72" spans="1:27" x14ac:dyDescent="0.45">
      <c r="Y72"/>
      <c r="Z72"/>
      <c r="AA72"/>
    </row>
    <row r="73" spans="1:27" x14ac:dyDescent="0.45">
      <c r="A73" s="465" t="s">
        <v>432</v>
      </c>
      <c r="B73" s="12">
        <f>B42</f>
        <v>-6433089</v>
      </c>
      <c r="C73" s="12">
        <f t="shared" ref="C73:I73" si="15">C42</f>
        <v>-138330.58800000002</v>
      </c>
      <c r="D73" s="12">
        <f t="shared" si="15"/>
        <v>-152163.64680000002</v>
      </c>
      <c r="E73" s="12">
        <f t="shared" si="15"/>
        <v>-167380.01148000004</v>
      </c>
      <c r="F73" s="12">
        <f t="shared" si="15"/>
        <v>-184118.01262800005</v>
      </c>
      <c r="G73" s="12">
        <f t="shared" si="15"/>
        <v>-202529.81389080008</v>
      </c>
      <c r="H73" s="12">
        <f t="shared" si="15"/>
        <v>-222782.79527988011</v>
      </c>
      <c r="I73" s="12">
        <f t="shared" si="15"/>
        <v>-245061.07480786816</v>
      </c>
      <c r="Y73"/>
      <c r="Z73"/>
      <c r="AA73"/>
    </row>
    <row r="74" spans="1:27" x14ac:dyDescent="0.45">
      <c r="Y74"/>
      <c r="Z74"/>
      <c r="AA74"/>
    </row>
    <row r="75" spans="1:27" x14ac:dyDescent="0.45">
      <c r="A75" s="465" t="s">
        <v>29</v>
      </c>
      <c r="B75" s="466">
        <v>-2457667.320000011</v>
      </c>
      <c r="C75" s="466">
        <v>-173310.43400000001</v>
      </c>
      <c r="D75" s="466">
        <v>-190641.47740000003</v>
      </c>
      <c r="E75" s="466">
        <v>-209705.62514000008</v>
      </c>
      <c r="F75" s="466">
        <v>-230676.18765400007</v>
      </c>
      <c r="G75" s="466">
        <v>-253743.80641940009</v>
      </c>
      <c r="H75" s="466">
        <v>-279118.18706134014</v>
      </c>
      <c r="I75" s="466">
        <v>-307030.00576747418</v>
      </c>
      <c r="Y75"/>
      <c r="Z75"/>
      <c r="AA75"/>
    </row>
    <row r="76" spans="1:27" x14ac:dyDescent="0.45">
      <c r="A76" s="465" t="s">
        <v>30</v>
      </c>
      <c r="B76" s="466">
        <v>-2469972.8100000122</v>
      </c>
      <c r="C76" s="466">
        <v>-150727.19200000001</v>
      </c>
      <c r="D76" s="466">
        <v>-165799.91120000003</v>
      </c>
      <c r="E76" s="466">
        <v>-182379.90232000005</v>
      </c>
      <c r="F76" s="466">
        <v>-200617.89255200006</v>
      </c>
      <c r="G76" s="466">
        <v>-220679.68180720008</v>
      </c>
      <c r="H76" s="466">
        <v>-242747.64998792013</v>
      </c>
      <c r="I76" s="466">
        <v>-267022.41498671216</v>
      </c>
      <c r="Y76"/>
      <c r="Z76"/>
      <c r="AA76"/>
    </row>
    <row r="77" spans="1:27" x14ac:dyDescent="0.45">
      <c r="A77" s="465" t="s">
        <v>365</v>
      </c>
      <c r="B77" s="466">
        <v>-2170090.7500000158</v>
      </c>
      <c r="C77" s="466">
        <v>-155258.92799999999</v>
      </c>
      <c r="D77" s="466">
        <v>-170784.82080000002</v>
      </c>
      <c r="E77" s="466">
        <v>-187863.30288000003</v>
      </c>
      <c r="F77" s="466">
        <v>-206649.63316800003</v>
      </c>
      <c r="G77" s="466">
        <v>-227314.59648480004</v>
      </c>
      <c r="H77" s="466">
        <v>-250046.05613328007</v>
      </c>
      <c r="I77" s="466">
        <v>-275050.66174660815</v>
      </c>
      <c r="Y77"/>
      <c r="Z77"/>
      <c r="AA77"/>
    </row>
    <row r="78" spans="1:27" x14ac:dyDescent="0.45">
      <c r="A78" s="465" t="s">
        <v>383</v>
      </c>
      <c r="B78" s="466">
        <v>-1910536.0500000038</v>
      </c>
      <c r="C78" s="466">
        <v>-101070.72800000002</v>
      </c>
      <c r="D78" s="466">
        <v>-111177.80080000003</v>
      </c>
      <c r="E78" s="466">
        <v>-122295.58088000005</v>
      </c>
      <c r="F78" s="466">
        <v>-134525.13896800004</v>
      </c>
      <c r="G78" s="466">
        <v>-147977.65286480007</v>
      </c>
      <c r="H78" s="466">
        <v>-162775.41815128009</v>
      </c>
      <c r="I78" s="466">
        <v>-179052.95996640812</v>
      </c>
      <c r="Y78"/>
      <c r="Z78"/>
      <c r="AA78"/>
    </row>
    <row r="79" spans="1:27" x14ac:dyDescent="0.45">
      <c r="A79" s="465" t="s">
        <v>31</v>
      </c>
      <c r="B79" s="466">
        <v>-1818989.0900000036</v>
      </c>
      <c r="C79" s="466">
        <v>-121303.99991160001</v>
      </c>
      <c r="D79" s="466">
        <v>-133434.39990276002</v>
      </c>
      <c r="E79" s="466">
        <v>-146777.83989303603</v>
      </c>
      <c r="F79" s="466">
        <v>-161455.62388233963</v>
      </c>
      <c r="G79" s="466">
        <v>-177601.18627057361</v>
      </c>
      <c r="H79" s="466">
        <v>-195361.30489763099</v>
      </c>
      <c r="I79" s="466">
        <v>-214897.43538739413</v>
      </c>
      <c r="Y79"/>
      <c r="Z79"/>
      <c r="AA79"/>
    </row>
    <row r="80" spans="1:27" x14ac:dyDescent="0.45">
      <c r="A80" s="465" t="s">
        <v>362</v>
      </c>
      <c r="B80" s="466">
        <v>-1879770.1399999976</v>
      </c>
      <c r="C80" s="466">
        <v>-124980.32800000002</v>
      </c>
      <c r="D80" s="466">
        <v>-137478.36080000002</v>
      </c>
      <c r="E80" s="466">
        <v>-151226.19688000006</v>
      </c>
      <c r="F80" s="466">
        <v>-166348.81656800007</v>
      </c>
      <c r="G80" s="466">
        <v>-182983.69822480009</v>
      </c>
      <c r="H80" s="466">
        <v>-201282.0680472801</v>
      </c>
      <c r="I80" s="466">
        <v>-221410.27485200815</v>
      </c>
      <c r="Y80"/>
      <c r="Z80"/>
      <c r="AA80"/>
    </row>
    <row r="81" spans="1:27" x14ac:dyDescent="0.45">
      <c r="A81" s="465" t="s">
        <v>337</v>
      </c>
      <c r="B81" s="466">
        <v>-2099308.7900000028</v>
      </c>
      <c r="C81" s="466">
        <v>-174687.64500000002</v>
      </c>
      <c r="D81" s="466">
        <v>-192156.40950000004</v>
      </c>
      <c r="E81" s="466">
        <v>-211372.05045000007</v>
      </c>
      <c r="F81" s="466">
        <v>-232509.25549500008</v>
      </c>
      <c r="G81" s="466">
        <v>-255760.18104450012</v>
      </c>
      <c r="H81" s="466">
        <v>-281336.19914895017</v>
      </c>
      <c r="I81" s="466">
        <v>-309469.81906384521</v>
      </c>
      <c r="Y81"/>
      <c r="Z81"/>
      <c r="AA81"/>
    </row>
    <row r="82" spans="1:27" x14ac:dyDescent="0.45">
      <c r="A82" s="465" t="s">
        <v>356</v>
      </c>
      <c r="B82" s="466">
        <v>-2315501.7700000023</v>
      </c>
      <c r="C82" s="466">
        <v>-167271.45600000003</v>
      </c>
      <c r="D82" s="466">
        <v>-183998.60160000005</v>
      </c>
      <c r="E82" s="466">
        <v>-202398.46176000009</v>
      </c>
      <c r="F82" s="466">
        <v>-222638.30793600008</v>
      </c>
      <c r="G82" s="466">
        <v>-244902.13872960012</v>
      </c>
      <c r="H82" s="466">
        <v>-269392.35260256019</v>
      </c>
      <c r="I82" s="466">
        <v>-296331.58786281623</v>
      </c>
      <c r="Y82"/>
      <c r="Z82"/>
      <c r="AA82"/>
    </row>
    <row r="83" spans="1:27" x14ac:dyDescent="0.45">
      <c r="A83" s="465" t="s">
        <v>330</v>
      </c>
      <c r="B83" s="466">
        <v>-1825612.85</v>
      </c>
      <c r="C83" s="466">
        <v>-126681.04900000001</v>
      </c>
      <c r="D83" s="466">
        <v>-139349.1539</v>
      </c>
      <c r="E83" s="466">
        <v>-153284.06929000004</v>
      </c>
      <c r="F83" s="466">
        <v>-168612.47621900003</v>
      </c>
      <c r="G83" s="466">
        <v>-185473.72384090006</v>
      </c>
      <c r="H83" s="466">
        <v>-204021.09622499009</v>
      </c>
      <c r="I83" s="466">
        <v>-224423.20584748912</v>
      </c>
      <c r="Y83"/>
      <c r="Z83"/>
      <c r="AA83"/>
    </row>
    <row r="84" spans="1:27" x14ac:dyDescent="0.45">
      <c r="A84" s="465" t="s">
        <v>368</v>
      </c>
      <c r="B84" s="466">
        <v>-1955630.9499999983</v>
      </c>
      <c r="C84" s="466">
        <v>-149038.71400000001</v>
      </c>
      <c r="D84" s="466">
        <v>-163942.58540000001</v>
      </c>
      <c r="E84" s="466">
        <v>-180336.84394000005</v>
      </c>
      <c r="F84" s="466">
        <v>-198370.52833400003</v>
      </c>
      <c r="G84" s="466">
        <v>-218207.58116740006</v>
      </c>
      <c r="H84" s="466">
        <v>-240028.33928414009</v>
      </c>
      <c r="I84" s="466">
        <v>-264031.17321255413</v>
      </c>
      <c r="Y84"/>
      <c r="Z84"/>
      <c r="AA84"/>
    </row>
    <row r="85" spans="1:27" x14ac:dyDescent="0.45">
      <c r="A85" s="465" t="s">
        <v>369</v>
      </c>
      <c r="B85" s="466">
        <v>-1761772.3799999985</v>
      </c>
      <c r="C85" s="466">
        <v>-100379.82900000001</v>
      </c>
      <c r="D85" s="466">
        <v>-110417.81190000002</v>
      </c>
      <c r="E85" s="466">
        <v>-121459.59309000004</v>
      </c>
      <c r="F85" s="466">
        <v>-133605.55239900004</v>
      </c>
      <c r="G85" s="466">
        <v>-146966.10763890005</v>
      </c>
      <c r="H85" s="466">
        <v>-161662.71840279008</v>
      </c>
      <c r="I85" s="466">
        <v>-177828.9902430691</v>
      </c>
      <c r="Y85"/>
      <c r="Z85"/>
      <c r="AA85"/>
    </row>
    <row r="86" spans="1:27" x14ac:dyDescent="0.45">
      <c r="A86" s="465" t="s">
        <v>371</v>
      </c>
      <c r="B86" s="466">
        <v>-2007905.3599999959</v>
      </c>
      <c r="C86" s="466">
        <v>-160436.62800000003</v>
      </c>
      <c r="D86" s="466">
        <v>-176480.29080000005</v>
      </c>
      <c r="E86" s="466">
        <v>-193302.88692000008</v>
      </c>
      <c r="F86" s="466">
        <v>-213541.15186800007</v>
      </c>
      <c r="G86" s="466">
        <v>-233896.49317320008</v>
      </c>
      <c r="H86" s="466">
        <v>-258384.79376028015</v>
      </c>
      <c r="I86" s="466">
        <v>-284223.27313630818</v>
      </c>
      <c r="Y86"/>
      <c r="Z86"/>
      <c r="AA86"/>
    </row>
    <row r="87" spans="1:27" x14ac:dyDescent="0.45">
      <c r="A87" s="465" t="s">
        <v>348</v>
      </c>
      <c r="B87" s="466">
        <v>-2237052.7299999981</v>
      </c>
      <c r="C87" s="466">
        <v>-164877.592</v>
      </c>
      <c r="D87" s="466">
        <v>-181365.35120000003</v>
      </c>
      <c r="E87" s="466">
        <v>-199501.88632000005</v>
      </c>
      <c r="F87" s="466">
        <v>-219452.07495200005</v>
      </c>
      <c r="G87" s="466">
        <v>-241397.28244720009</v>
      </c>
      <c r="H87" s="466">
        <v>-265537.01069192012</v>
      </c>
      <c r="I87" s="466">
        <v>-292090.71176111221</v>
      </c>
      <c r="Y87"/>
      <c r="Z87"/>
      <c r="AA87"/>
    </row>
    <row r="88" spans="1:27" x14ac:dyDescent="0.45">
      <c r="A88" s="465" t="s">
        <v>376</v>
      </c>
      <c r="B88" s="466">
        <v>-1765004.5300000026</v>
      </c>
      <c r="C88" s="466">
        <v>-168160.74000000002</v>
      </c>
      <c r="D88" s="466">
        <v>-184976.81400000001</v>
      </c>
      <c r="E88" s="466">
        <v>-202793.07664000007</v>
      </c>
      <c r="F88" s="466">
        <v>-223821.94494000004</v>
      </c>
      <c r="G88" s="466">
        <v>-245379.62273440009</v>
      </c>
      <c r="H88" s="466">
        <v>-270824.55337740009</v>
      </c>
      <c r="I88" s="466">
        <v>-296909.34350862418</v>
      </c>
      <c r="Y88"/>
      <c r="Z88"/>
      <c r="AA88"/>
    </row>
    <row r="89" spans="1:27" x14ac:dyDescent="0.45">
      <c r="A89" s="465" t="s">
        <v>355</v>
      </c>
      <c r="B89" s="466">
        <v>-1526171.36</v>
      </c>
      <c r="C89" s="466">
        <v>-123919.224</v>
      </c>
      <c r="D89" s="466">
        <v>-136311.14640000003</v>
      </c>
      <c r="E89" s="466">
        <v>-149942.26104000004</v>
      </c>
      <c r="F89" s="466">
        <v>-164936.48714400004</v>
      </c>
      <c r="G89" s="466">
        <v>-181430.13585840006</v>
      </c>
      <c r="H89" s="466">
        <v>-199573.14944424009</v>
      </c>
      <c r="I89" s="466">
        <v>-219530.46438866414</v>
      </c>
      <c r="Y89"/>
      <c r="Z89"/>
      <c r="AA89"/>
    </row>
    <row r="90" spans="1:27" x14ac:dyDescent="0.45">
      <c r="A90" s="465" t="s">
        <v>364</v>
      </c>
      <c r="B90" s="466">
        <v>-2148000.6199999982</v>
      </c>
      <c r="C90" s="466">
        <v>-158746.20300000004</v>
      </c>
      <c r="D90" s="466">
        <v>-174620.82330000005</v>
      </c>
      <c r="E90" s="466">
        <v>-192082.90563000008</v>
      </c>
      <c r="F90" s="466">
        <v>-211291.19619300007</v>
      </c>
      <c r="G90" s="466">
        <v>-232420.3158123001</v>
      </c>
      <c r="H90" s="466">
        <v>-255662.34739353013</v>
      </c>
      <c r="I90" s="466">
        <v>-281228.5821328832</v>
      </c>
      <c r="Y90"/>
      <c r="Z90"/>
      <c r="AA90"/>
    </row>
    <row r="91" spans="1:27" x14ac:dyDescent="0.45">
      <c r="A91" s="465" t="s">
        <v>375</v>
      </c>
      <c r="B91" s="466">
        <v>-2017860.7900000024</v>
      </c>
      <c r="C91" s="466">
        <v>-149220.962</v>
      </c>
      <c r="D91" s="466">
        <v>-164143.0582</v>
      </c>
      <c r="E91" s="466">
        <v>-180557.36402000004</v>
      </c>
      <c r="F91" s="466">
        <v>-198613.10042200002</v>
      </c>
      <c r="G91" s="466">
        <v>-218474.41046420005</v>
      </c>
      <c r="H91" s="466">
        <v>-240321.85151062009</v>
      </c>
      <c r="I91" s="466">
        <v>-264354.03666168213</v>
      </c>
      <c r="Y91"/>
      <c r="Z91"/>
      <c r="AA91"/>
    </row>
    <row r="92" spans="1:27" x14ac:dyDescent="0.45">
      <c r="A92" s="465" t="s">
        <v>360</v>
      </c>
      <c r="B92" s="466">
        <v>-1408269.6500000013</v>
      </c>
      <c r="C92" s="466">
        <v>-119835.61700000001</v>
      </c>
      <c r="D92" s="466">
        <v>-131819.17870000002</v>
      </c>
      <c r="E92" s="466">
        <v>-145001.09657000005</v>
      </c>
      <c r="F92" s="466">
        <v>-159501.20622700005</v>
      </c>
      <c r="G92" s="466">
        <v>-175451.32684970007</v>
      </c>
      <c r="H92" s="466">
        <v>-192996.45953467008</v>
      </c>
      <c r="I92" s="466">
        <v>-212296.10548813714</v>
      </c>
      <c r="Y92"/>
      <c r="Z92"/>
      <c r="AA92"/>
    </row>
    <row r="93" spans="1:27" x14ac:dyDescent="0.45">
      <c r="A93" s="465" t="s">
        <v>385</v>
      </c>
      <c r="B93" s="466">
        <v>-1667086.5099999993</v>
      </c>
      <c r="C93" s="466">
        <v>-136465.65900000001</v>
      </c>
      <c r="D93" s="466">
        <v>-150112.22490000003</v>
      </c>
      <c r="E93" s="466">
        <v>-165123.44739000004</v>
      </c>
      <c r="F93" s="466">
        <v>-181635.79212900007</v>
      </c>
      <c r="G93" s="466">
        <v>-199799.37134190009</v>
      </c>
      <c r="H93" s="466">
        <v>-219779.30847609011</v>
      </c>
      <c r="I93" s="466">
        <v>-241757.23932369915</v>
      </c>
      <c r="Y93"/>
      <c r="Z93"/>
      <c r="AA93"/>
    </row>
    <row r="94" spans="1:27" x14ac:dyDescent="0.45">
      <c r="A94" s="465" t="s">
        <v>358</v>
      </c>
      <c r="B94" s="466">
        <v>-2012994.9999999974</v>
      </c>
      <c r="C94" s="466">
        <v>-136401.18800000002</v>
      </c>
      <c r="D94" s="466">
        <v>-150041.30680000002</v>
      </c>
      <c r="E94" s="466">
        <v>-165045.43748000005</v>
      </c>
      <c r="F94" s="466">
        <v>-181549.98122800005</v>
      </c>
      <c r="G94" s="466">
        <v>-199704.97935080007</v>
      </c>
      <c r="H94" s="466">
        <v>-219675.4772858801</v>
      </c>
      <c r="I94" s="466">
        <v>-241643.02501446815</v>
      </c>
      <c r="Y94"/>
      <c r="Z94"/>
      <c r="AA94"/>
    </row>
    <row r="95" spans="1:27" x14ac:dyDescent="0.45">
      <c r="A95" s="465"/>
      <c r="Y95"/>
      <c r="Z95"/>
      <c r="AA95"/>
    </row>
    <row r="96" spans="1:27" x14ac:dyDescent="0.45">
      <c r="A96" s="465" t="s">
        <v>2160</v>
      </c>
      <c r="B96" s="467">
        <f>LARGE(B75:B94,1)</f>
        <v>-1408269.6500000013</v>
      </c>
      <c r="C96" s="467">
        <f t="shared" ref="C96:I96" si="16">LARGE(C75:C94,1)</f>
        <v>-100379.82900000001</v>
      </c>
      <c r="D96" s="467">
        <f t="shared" si="16"/>
        <v>-110417.81190000002</v>
      </c>
      <c r="E96" s="467">
        <f t="shared" si="16"/>
        <v>-121459.59309000004</v>
      </c>
      <c r="F96" s="467">
        <f t="shared" si="16"/>
        <v>-133605.55239900004</v>
      </c>
      <c r="G96" s="467">
        <f t="shared" si="16"/>
        <v>-146966.10763890005</v>
      </c>
      <c r="H96" s="467">
        <f t="shared" si="16"/>
        <v>-161662.71840279008</v>
      </c>
      <c r="I96" s="467">
        <f t="shared" si="16"/>
        <v>-177828.9902430691</v>
      </c>
      <c r="Y96"/>
      <c r="Z96"/>
      <c r="AA96"/>
    </row>
    <row r="97" spans="1:27" x14ac:dyDescent="0.45">
      <c r="A97" s="465" t="s">
        <v>2163</v>
      </c>
      <c r="B97" s="467">
        <f>SMALL(B75:B94,1)</f>
        <v>-2469972.8100000122</v>
      </c>
      <c r="C97" s="467">
        <f t="shared" ref="C97:I97" si="17">SMALL(C75:C94,1)</f>
        <v>-174687.64500000002</v>
      </c>
      <c r="D97" s="467">
        <f t="shared" si="17"/>
        <v>-192156.40950000004</v>
      </c>
      <c r="E97" s="467">
        <f t="shared" si="17"/>
        <v>-211372.05045000007</v>
      </c>
      <c r="F97" s="467">
        <f t="shared" si="17"/>
        <v>-232509.25549500008</v>
      </c>
      <c r="G97" s="467">
        <f t="shared" si="17"/>
        <v>-255760.18104450012</v>
      </c>
      <c r="H97" s="467">
        <f t="shared" si="17"/>
        <v>-281336.19914895017</v>
      </c>
      <c r="I97" s="467">
        <f t="shared" si="17"/>
        <v>-309469.81906384521</v>
      </c>
      <c r="Y97"/>
      <c r="Z97"/>
      <c r="AA97"/>
    </row>
    <row r="98" spans="1:27" x14ac:dyDescent="0.45">
      <c r="A98" s="465" t="s">
        <v>2162</v>
      </c>
      <c r="B98" s="467">
        <f>B96-B97</f>
        <v>1061703.1600000109</v>
      </c>
      <c r="C98" s="467">
        <f t="shared" ref="C98:I98" si="18">C96-C97</f>
        <v>74307.816000000006</v>
      </c>
      <c r="D98" s="467">
        <f t="shared" si="18"/>
        <v>81738.597600000023</v>
      </c>
      <c r="E98" s="467">
        <f t="shared" si="18"/>
        <v>89912.457360000029</v>
      </c>
      <c r="F98" s="467">
        <f t="shared" si="18"/>
        <v>98903.703096000041</v>
      </c>
      <c r="G98" s="467">
        <f t="shared" si="18"/>
        <v>108794.07340560007</v>
      </c>
      <c r="H98" s="467">
        <f t="shared" si="18"/>
        <v>119673.48074616009</v>
      </c>
      <c r="I98" s="467">
        <f t="shared" si="18"/>
        <v>131640.82882077611</v>
      </c>
      <c r="Y98"/>
      <c r="Z98"/>
      <c r="AA98"/>
    </row>
    <row r="99" spans="1:27" x14ac:dyDescent="0.45">
      <c r="A99" s="468" t="s">
        <v>2161</v>
      </c>
      <c r="B99" s="469">
        <f>AVERAGE(B75:B94)</f>
        <v>-1972759.9725000015</v>
      </c>
      <c r="C99" s="469">
        <f t="shared" ref="C99:I99" si="19">AVERAGE(C75:C94)</f>
        <v>-143138.70579558</v>
      </c>
      <c r="D99" s="469">
        <f t="shared" si="19"/>
        <v>-157452.57637513799</v>
      </c>
      <c r="E99" s="469">
        <f t="shared" si="19"/>
        <v>-173122.49142665186</v>
      </c>
      <c r="F99" s="469">
        <f t="shared" si="19"/>
        <v>-190517.61741391703</v>
      </c>
      <c r="G99" s="469">
        <f t="shared" si="19"/>
        <v>-209478.21462624875</v>
      </c>
      <c r="H99" s="469">
        <f t="shared" si="19"/>
        <v>-230526.31707083964</v>
      </c>
      <c r="I99" s="469">
        <f t="shared" si="19"/>
        <v>-253529.06551759789</v>
      </c>
      <c r="Y99"/>
      <c r="Z99"/>
      <c r="AA99"/>
    </row>
    <row r="100" spans="1:27" x14ac:dyDescent="0.45">
      <c r="Y100"/>
      <c r="Z100"/>
      <c r="AA100"/>
    </row>
    <row r="101" spans="1:27" x14ac:dyDescent="0.45">
      <c r="C101" s="471">
        <f>AVERAGE(C99:D99)</f>
        <v>-150295.64108535898</v>
      </c>
      <c r="Y101"/>
      <c r="Z101"/>
      <c r="AA101"/>
    </row>
    <row r="102" spans="1:27" x14ac:dyDescent="0.45">
      <c r="Y102"/>
      <c r="Z102"/>
      <c r="AA102"/>
    </row>
    <row r="103" spans="1:27" x14ac:dyDescent="0.45">
      <c r="Y103"/>
      <c r="Z103"/>
      <c r="AA103"/>
    </row>
    <row r="104" spans="1:27" x14ac:dyDescent="0.45">
      <c r="Y104"/>
      <c r="Z104"/>
      <c r="AA104"/>
    </row>
    <row r="105" spans="1:27" x14ac:dyDescent="0.45">
      <c r="Y105"/>
      <c r="Z105"/>
      <c r="AA105"/>
    </row>
    <row r="106" spans="1:27" x14ac:dyDescent="0.45">
      <c r="Y106"/>
      <c r="Z106"/>
      <c r="AA106"/>
    </row>
    <row r="107" spans="1:27" x14ac:dyDescent="0.45">
      <c r="Y107"/>
      <c r="Z107"/>
      <c r="AA107"/>
    </row>
    <row r="108" spans="1:27" x14ac:dyDescent="0.45">
      <c r="Y108"/>
      <c r="Z108"/>
      <c r="AA108"/>
    </row>
    <row r="109" spans="1:27" x14ac:dyDescent="0.45">
      <c r="Y109"/>
      <c r="Z109"/>
      <c r="AA109"/>
    </row>
    <row r="110" spans="1:27" x14ac:dyDescent="0.45">
      <c r="Y110"/>
      <c r="Z110"/>
      <c r="AA110"/>
    </row>
    <row r="111" spans="1:27" x14ac:dyDescent="0.45">
      <c r="Y111"/>
      <c r="Z111"/>
      <c r="AA111"/>
    </row>
    <row r="112" spans="1:27" x14ac:dyDescent="0.45">
      <c r="Y112"/>
      <c r="Z112"/>
      <c r="AA112"/>
    </row>
    <row r="113" spans="25:27" x14ac:dyDescent="0.45">
      <c r="Y113"/>
      <c r="Z113"/>
      <c r="AA113"/>
    </row>
    <row r="114" spans="25:27" x14ac:dyDescent="0.45">
      <c r="Y114"/>
      <c r="Z114"/>
      <c r="AA114"/>
    </row>
    <row r="115" spans="25:27" x14ac:dyDescent="0.45">
      <c r="Y115"/>
      <c r="Z115"/>
      <c r="AA115"/>
    </row>
    <row r="116" spans="25:27" x14ac:dyDescent="0.45">
      <c r="Y116"/>
      <c r="Z116"/>
      <c r="AA116"/>
    </row>
    <row r="117" spans="25:27" x14ac:dyDescent="0.45">
      <c r="Y117"/>
      <c r="Z117"/>
      <c r="AA117"/>
    </row>
    <row r="118" spans="25:27" x14ac:dyDescent="0.45">
      <c r="Y118"/>
      <c r="Z118"/>
      <c r="AA118"/>
    </row>
    <row r="119" spans="25:27" x14ac:dyDescent="0.45">
      <c r="Y119"/>
      <c r="Z119"/>
      <c r="AA119"/>
    </row>
    <row r="120" spans="25:27" x14ac:dyDescent="0.45">
      <c r="Y120"/>
      <c r="Z120"/>
      <c r="AA120"/>
    </row>
    <row r="121" spans="25:27" x14ac:dyDescent="0.45">
      <c r="Y121"/>
      <c r="Z121"/>
      <c r="AA121"/>
    </row>
    <row r="122" spans="25:27" x14ac:dyDescent="0.45">
      <c r="Y122"/>
      <c r="Z122"/>
      <c r="AA122"/>
    </row>
    <row r="123" spans="25:27" x14ac:dyDescent="0.45">
      <c r="Y123"/>
      <c r="Z123"/>
      <c r="AA123"/>
    </row>
    <row r="124" spans="25:27" x14ac:dyDescent="0.45">
      <c r="Y124"/>
      <c r="Z124"/>
      <c r="AA124"/>
    </row>
    <row r="125" spans="25:27" x14ac:dyDescent="0.45">
      <c r="Y125"/>
      <c r="Z125"/>
      <c r="AA125"/>
    </row>
    <row r="126" spans="25:27" x14ac:dyDescent="0.45">
      <c r="Y126"/>
      <c r="Z126"/>
      <c r="AA126"/>
    </row>
    <row r="127" spans="25:27" x14ac:dyDescent="0.45">
      <c r="Y127"/>
      <c r="Z127"/>
      <c r="AA127"/>
    </row>
    <row r="128" spans="25:27" x14ac:dyDescent="0.45">
      <c r="Y128"/>
      <c r="Z128"/>
      <c r="AA128"/>
    </row>
    <row r="129" spans="25:27" x14ac:dyDescent="0.45">
      <c r="Y129"/>
      <c r="Z129"/>
      <c r="AA129"/>
    </row>
    <row r="130" spans="25:27" x14ac:dyDescent="0.45">
      <c r="Y130"/>
      <c r="Z130"/>
      <c r="AA130"/>
    </row>
    <row r="131" spans="25:27" x14ac:dyDescent="0.45">
      <c r="Y131"/>
      <c r="Z131"/>
      <c r="AA131"/>
    </row>
    <row r="132" spans="25:27" x14ac:dyDescent="0.45">
      <c r="Y132"/>
      <c r="Z132"/>
      <c r="AA132"/>
    </row>
    <row r="133" spans="25:27" x14ac:dyDescent="0.45">
      <c r="Y133"/>
      <c r="Z133"/>
      <c r="AA133"/>
    </row>
    <row r="134" spans="25:27" x14ac:dyDescent="0.45">
      <c r="Y134"/>
      <c r="Z134"/>
      <c r="AA134"/>
    </row>
    <row r="135" spans="25:27" x14ac:dyDescent="0.45">
      <c r="Y135"/>
      <c r="Z135"/>
      <c r="AA135"/>
    </row>
    <row r="136" spans="25:27" x14ac:dyDescent="0.45">
      <c r="Y136"/>
      <c r="Z136"/>
      <c r="AA136"/>
    </row>
    <row r="137" spans="25:27" x14ac:dyDescent="0.45">
      <c r="Y137"/>
      <c r="Z137"/>
      <c r="AA137"/>
    </row>
    <row r="138" spans="25:27" x14ac:dyDescent="0.45">
      <c r="Y138"/>
      <c r="Z138"/>
      <c r="AA138"/>
    </row>
    <row r="139" spans="25:27" x14ac:dyDescent="0.45">
      <c r="Y139"/>
      <c r="Z139"/>
      <c r="AA139"/>
    </row>
    <row r="140" spans="25:27" x14ac:dyDescent="0.45">
      <c r="Y140"/>
      <c r="Z140"/>
      <c r="AA140"/>
    </row>
    <row r="141" spans="25:27" x14ac:dyDescent="0.45">
      <c r="Y141"/>
      <c r="Z141"/>
      <c r="AA141"/>
    </row>
    <row r="142" spans="25:27" x14ac:dyDescent="0.45">
      <c r="Y142"/>
      <c r="Z142"/>
      <c r="AA142"/>
    </row>
    <row r="143" spans="25:27" x14ac:dyDescent="0.45">
      <c r="Y143"/>
      <c r="Z143"/>
      <c r="AA143"/>
    </row>
    <row r="144" spans="25:27" x14ac:dyDescent="0.45">
      <c r="Y144"/>
      <c r="Z144"/>
      <c r="AA144"/>
    </row>
    <row r="145" spans="25:27" x14ac:dyDescent="0.45">
      <c r="Y145"/>
      <c r="Z145"/>
      <c r="AA145"/>
    </row>
    <row r="146" spans="25:27" x14ac:dyDescent="0.45">
      <c r="Y146"/>
      <c r="Z146"/>
      <c r="AA146"/>
    </row>
    <row r="147" spans="25:27" x14ac:dyDescent="0.45">
      <c r="Y147"/>
      <c r="Z147"/>
      <c r="AA147"/>
    </row>
    <row r="148" spans="25:27" x14ac:dyDescent="0.45">
      <c r="Y148"/>
      <c r="Z148"/>
      <c r="AA148"/>
    </row>
    <row r="149" spans="25:27" x14ac:dyDescent="0.45">
      <c r="Y149"/>
      <c r="Z149"/>
      <c r="AA149"/>
    </row>
    <row r="150" spans="25:27" x14ac:dyDescent="0.45">
      <c r="Y150"/>
      <c r="Z150"/>
      <c r="AA150"/>
    </row>
    <row r="151" spans="25:27" x14ac:dyDescent="0.45">
      <c r="Y151"/>
      <c r="Z151"/>
      <c r="AA151"/>
    </row>
    <row r="152" spans="25:27" x14ac:dyDescent="0.45">
      <c r="Y152"/>
      <c r="Z152"/>
      <c r="AA152"/>
    </row>
    <row r="153" spans="25:27" x14ac:dyDescent="0.45">
      <c r="Y153"/>
      <c r="Z153"/>
      <c r="AA153"/>
    </row>
    <row r="154" spans="25:27" x14ac:dyDescent="0.45">
      <c r="Y154"/>
      <c r="Z154"/>
      <c r="AA154"/>
    </row>
    <row r="155" spans="25:27" x14ac:dyDescent="0.45">
      <c r="Y155"/>
      <c r="Z155"/>
      <c r="AA155"/>
    </row>
    <row r="156" spans="25:27" x14ac:dyDescent="0.45">
      <c r="Y156"/>
      <c r="Z156"/>
      <c r="AA156"/>
    </row>
    <row r="157" spans="25:27" x14ac:dyDescent="0.45">
      <c r="Y157"/>
      <c r="Z157"/>
      <c r="AA157"/>
    </row>
    <row r="158" spans="25:27" x14ac:dyDescent="0.45">
      <c r="Y158"/>
      <c r="Z158"/>
      <c r="AA158"/>
    </row>
    <row r="159" spans="25:27" x14ac:dyDescent="0.45">
      <c r="Y159"/>
      <c r="Z159"/>
      <c r="AA159"/>
    </row>
    <row r="160" spans="25:27" x14ac:dyDescent="0.45">
      <c r="Y160"/>
      <c r="Z160"/>
      <c r="AA160"/>
    </row>
    <row r="161" spans="25:27" x14ac:dyDescent="0.45">
      <c r="Y161"/>
      <c r="Z161"/>
      <c r="AA161"/>
    </row>
    <row r="162" spans="25:27" x14ac:dyDescent="0.45">
      <c r="Y162"/>
      <c r="Z162"/>
      <c r="AA162"/>
    </row>
    <row r="163" spans="25:27" x14ac:dyDescent="0.45">
      <c r="Y163"/>
      <c r="Z163"/>
      <c r="AA163"/>
    </row>
    <row r="164" spans="25:27" x14ac:dyDescent="0.45">
      <c r="Y164"/>
      <c r="Z164"/>
      <c r="AA164"/>
    </row>
    <row r="165" spans="25:27" x14ac:dyDescent="0.45">
      <c r="Y165"/>
      <c r="Z165"/>
      <c r="AA165"/>
    </row>
    <row r="166" spans="25:27" x14ac:dyDescent="0.45">
      <c r="Y166"/>
      <c r="Z166"/>
      <c r="AA166"/>
    </row>
    <row r="167" spans="25:27" x14ac:dyDescent="0.45">
      <c r="Y167"/>
      <c r="Z167"/>
      <c r="AA167"/>
    </row>
    <row r="168" spans="25:27" x14ac:dyDescent="0.45">
      <c r="Y168"/>
      <c r="Z168"/>
      <c r="AA168"/>
    </row>
    <row r="169" spans="25:27" x14ac:dyDescent="0.45">
      <c r="Y169"/>
      <c r="Z169"/>
      <c r="AA169"/>
    </row>
    <row r="170" spans="25:27" x14ac:dyDescent="0.45">
      <c r="Y170"/>
      <c r="Z170"/>
      <c r="AA170"/>
    </row>
    <row r="171" spans="25:27" x14ac:dyDescent="0.45">
      <c r="Y171"/>
      <c r="Z171"/>
      <c r="AA171"/>
    </row>
    <row r="172" spans="25:27" x14ac:dyDescent="0.45">
      <c r="Y172"/>
      <c r="Z172"/>
      <c r="AA172"/>
    </row>
    <row r="173" spans="25:27" x14ac:dyDescent="0.45">
      <c r="Y173"/>
      <c r="Z173"/>
      <c r="AA173"/>
    </row>
    <row r="174" spans="25:27" x14ac:dyDescent="0.45">
      <c r="Y174"/>
      <c r="Z174"/>
      <c r="AA174"/>
    </row>
    <row r="175" spans="25:27" x14ac:dyDescent="0.45">
      <c r="Y175"/>
      <c r="Z175"/>
      <c r="AA175"/>
    </row>
    <row r="176" spans="25:27" x14ac:dyDescent="0.45">
      <c r="Y176"/>
      <c r="Z176"/>
      <c r="AA176"/>
    </row>
    <row r="177" spans="25:27" x14ac:dyDescent="0.45">
      <c r="Y177"/>
      <c r="Z177"/>
      <c r="AA177"/>
    </row>
    <row r="178" spans="25:27" x14ac:dyDescent="0.45">
      <c r="Y178"/>
      <c r="Z178"/>
      <c r="AA178"/>
    </row>
    <row r="179" spans="25:27" x14ac:dyDescent="0.45">
      <c r="Y179"/>
      <c r="Z179"/>
      <c r="AA179"/>
    </row>
    <row r="180" spans="25:27" x14ac:dyDescent="0.45">
      <c r="Y180"/>
      <c r="Z180"/>
      <c r="AA180"/>
    </row>
    <row r="181" spans="25:27" x14ac:dyDescent="0.45">
      <c r="Y181"/>
      <c r="Z181"/>
      <c r="AA181"/>
    </row>
    <row r="182" spans="25:27" x14ac:dyDescent="0.45">
      <c r="Y182"/>
      <c r="Z182"/>
      <c r="AA182"/>
    </row>
    <row r="183" spans="25:27" x14ac:dyDescent="0.45">
      <c r="Y183"/>
      <c r="Z183"/>
      <c r="AA183"/>
    </row>
    <row r="184" spans="25:27" x14ac:dyDescent="0.45">
      <c r="Y184"/>
      <c r="Z184"/>
      <c r="AA184"/>
    </row>
    <row r="185" spans="25:27" x14ac:dyDescent="0.45">
      <c r="Y185"/>
      <c r="Z185"/>
      <c r="AA185"/>
    </row>
    <row r="186" spans="25:27" x14ac:dyDescent="0.45">
      <c r="Y186"/>
      <c r="Z186"/>
      <c r="AA186"/>
    </row>
    <row r="187" spans="25:27" x14ac:dyDescent="0.45">
      <c r="Y187"/>
      <c r="Z187"/>
      <c r="AA187"/>
    </row>
    <row r="188" spans="25:27" x14ac:dyDescent="0.45">
      <c r="Y188"/>
      <c r="Z188"/>
      <c r="AA188"/>
    </row>
    <row r="189" spans="25:27" x14ac:dyDescent="0.45">
      <c r="Y189"/>
      <c r="Z189"/>
      <c r="AA189"/>
    </row>
    <row r="190" spans="25:27" x14ac:dyDescent="0.45">
      <c r="Y190"/>
      <c r="Z190"/>
      <c r="AA190"/>
    </row>
    <row r="191" spans="25:27" x14ac:dyDescent="0.45">
      <c r="Y191"/>
      <c r="Z191"/>
      <c r="AA191"/>
    </row>
    <row r="192" spans="25:27" x14ac:dyDescent="0.45">
      <c r="Y192"/>
      <c r="Z192"/>
      <c r="AA192"/>
    </row>
    <row r="193" spans="25:27" x14ac:dyDescent="0.45">
      <c r="Y193"/>
      <c r="Z193"/>
      <c r="AA193"/>
    </row>
    <row r="194" spans="25:27" x14ac:dyDescent="0.45">
      <c r="Y194"/>
      <c r="Z194"/>
      <c r="AA194"/>
    </row>
    <row r="195" spans="25:27" x14ac:dyDescent="0.45">
      <c r="Y195"/>
      <c r="Z195"/>
      <c r="AA195"/>
    </row>
    <row r="196" spans="25:27" x14ac:dyDescent="0.45">
      <c r="Y196"/>
      <c r="Z196"/>
      <c r="AA196"/>
    </row>
    <row r="197" spans="25:27" x14ac:dyDescent="0.45">
      <c r="Y197"/>
      <c r="Z197"/>
      <c r="AA197"/>
    </row>
    <row r="198" spans="25:27" x14ac:dyDescent="0.45">
      <c r="Y198"/>
      <c r="Z198"/>
      <c r="AA198"/>
    </row>
    <row r="199" spans="25:27" x14ac:dyDescent="0.45">
      <c r="Y199"/>
      <c r="Z199"/>
      <c r="AA199"/>
    </row>
    <row r="200" spans="25:27" x14ac:dyDescent="0.45">
      <c r="Y200"/>
      <c r="Z200"/>
      <c r="AA200"/>
    </row>
    <row r="201" spans="25:27" x14ac:dyDescent="0.45">
      <c r="Y201"/>
      <c r="Z201"/>
      <c r="AA201"/>
    </row>
    <row r="202" spans="25:27" x14ac:dyDescent="0.45">
      <c r="Y202"/>
      <c r="Z202"/>
      <c r="AA202"/>
    </row>
    <row r="203" spans="25:27" x14ac:dyDescent="0.45">
      <c r="Y203"/>
      <c r="Z203"/>
      <c r="AA203"/>
    </row>
    <row r="204" spans="25:27" x14ac:dyDescent="0.45">
      <c r="Y204"/>
      <c r="Z204"/>
      <c r="AA204"/>
    </row>
    <row r="205" spans="25:27" x14ac:dyDescent="0.45">
      <c r="Y205"/>
      <c r="Z205"/>
      <c r="AA205"/>
    </row>
    <row r="206" spans="25:27" x14ac:dyDescent="0.45">
      <c r="Y206"/>
      <c r="Z206"/>
      <c r="AA206"/>
    </row>
    <row r="207" spans="25:27" x14ac:dyDescent="0.45">
      <c r="Y207"/>
      <c r="Z207"/>
      <c r="AA207"/>
    </row>
    <row r="208" spans="25:27" x14ac:dyDescent="0.45">
      <c r="Y208"/>
      <c r="Z208"/>
      <c r="AA208"/>
    </row>
    <row r="209" spans="25:27" x14ac:dyDescent="0.45">
      <c r="Y209"/>
      <c r="Z209"/>
      <c r="AA209"/>
    </row>
    <row r="210" spans="25:27" x14ac:dyDescent="0.45">
      <c r="Y210"/>
      <c r="Z210"/>
      <c r="AA210"/>
    </row>
    <row r="211" spans="25:27" x14ac:dyDescent="0.45">
      <c r="Y211"/>
      <c r="Z211"/>
      <c r="AA211"/>
    </row>
    <row r="212" spans="25:27" x14ac:dyDescent="0.45">
      <c r="Y212"/>
      <c r="Z212"/>
      <c r="AA212"/>
    </row>
    <row r="213" spans="25:27" x14ac:dyDescent="0.45">
      <c r="Y213"/>
      <c r="Z213"/>
      <c r="AA213"/>
    </row>
    <row r="214" spans="25:27" x14ac:dyDescent="0.45">
      <c r="Y214"/>
      <c r="Z214"/>
      <c r="AA214"/>
    </row>
    <row r="215" spans="25:27" x14ac:dyDescent="0.45">
      <c r="Y215"/>
      <c r="Z215"/>
      <c r="AA215"/>
    </row>
    <row r="216" spans="25:27" x14ac:dyDescent="0.45">
      <c r="Y216"/>
      <c r="Z216"/>
      <c r="AA216"/>
    </row>
    <row r="217" spans="25:27" x14ac:dyDescent="0.45">
      <c r="Y217"/>
      <c r="Z217"/>
      <c r="AA217"/>
    </row>
    <row r="218" spans="25:27" x14ac:dyDescent="0.45">
      <c r="Y218"/>
      <c r="Z218"/>
      <c r="AA218"/>
    </row>
    <row r="219" spans="25:27" x14ac:dyDescent="0.45">
      <c r="Y219"/>
      <c r="Z219"/>
      <c r="AA219"/>
    </row>
    <row r="220" spans="25:27" x14ac:dyDescent="0.45">
      <c r="Y220"/>
      <c r="Z220"/>
      <c r="AA220"/>
    </row>
    <row r="221" spans="25:27" x14ac:dyDescent="0.45">
      <c r="Y221"/>
      <c r="Z221"/>
      <c r="AA221"/>
    </row>
    <row r="222" spans="25:27" x14ac:dyDescent="0.45">
      <c r="Y222"/>
      <c r="Z222"/>
      <c r="AA222"/>
    </row>
    <row r="223" spans="25:27" x14ac:dyDescent="0.45">
      <c r="Y223"/>
      <c r="Z223"/>
      <c r="AA223"/>
    </row>
    <row r="224" spans="25:27" x14ac:dyDescent="0.45">
      <c r="Y224"/>
      <c r="Z224"/>
      <c r="AA224"/>
    </row>
    <row r="225" spans="25:27" x14ac:dyDescent="0.45">
      <c r="Y225"/>
      <c r="Z225"/>
      <c r="AA225"/>
    </row>
    <row r="226" spans="25:27" x14ac:dyDescent="0.45">
      <c r="Y226"/>
      <c r="Z226"/>
      <c r="AA226"/>
    </row>
    <row r="227" spans="25:27" x14ac:dyDescent="0.45">
      <c r="Y227"/>
      <c r="Z227"/>
      <c r="AA227"/>
    </row>
    <row r="228" spans="25:27" x14ac:dyDescent="0.45">
      <c r="Y228"/>
      <c r="Z228"/>
      <c r="AA228"/>
    </row>
    <row r="229" spans="25:27" x14ac:dyDescent="0.45">
      <c r="Y229"/>
      <c r="Z229"/>
      <c r="AA229"/>
    </row>
    <row r="230" spans="25:27" x14ac:dyDescent="0.45">
      <c r="Y230"/>
      <c r="Z230"/>
      <c r="AA230"/>
    </row>
    <row r="231" spans="25:27" x14ac:dyDescent="0.45">
      <c r="Y231"/>
      <c r="Z231"/>
      <c r="AA231"/>
    </row>
    <row r="232" spans="25:27" x14ac:dyDescent="0.45">
      <c r="Y232"/>
      <c r="Z232"/>
      <c r="AA232"/>
    </row>
    <row r="233" spans="25:27" x14ac:dyDescent="0.45">
      <c r="Y233"/>
      <c r="Z233"/>
      <c r="AA233"/>
    </row>
    <row r="234" spans="25:27" x14ac:dyDescent="0.45">
      <c r="Y234"/>
      <c r="Z234"/>
      <c r="AA234"/>
    </row>
    <row r="235" spans="25:27" x14ac:dyDescent="0.45">
      <c r="Y235"/>
      <c r="Z235"/>
      <c r="AA235"/>
    </row>
    <row r="236" spans="25:27" x14ac:dyDescent="0.45">
      <c r="Y236"/>
      <c r="Z236"/>
      <c r="AA236"/>
    </row>
    <row r="237" spans="25:27" x14ac:dyDescent="0.45">
      <c r="Y237"/>
      <c r="Z237"/>
      <c r="AA237"/>
    </row>
    <row r="238" spans="25:27" x14ac:dyDescent="0.45">
      <c r="Y238"/>
      <c r="Z238"/>
      <c r="AA238"/>
    </row>
    <row r="239" spans="25:27" x14ac:dyDescent="0.45">
      <c r="Y239"/>
      <c r="Z239"/>
      <c r="AA239"/>
    </row>
    <row r="240" spans="25:27" x14ac:dyDescent="0.45">
      <c r="Y240"/>
      <c r="Z240"/>
      <c r="AA240"/>
    </row>
    <row r="241" spans="25:27" x14ac:dyDescent="0.45">
      <c r="Y241"/>
      <c r="Z241"/>
      <c r="AA241"/>
    </row>
    <row r="242" spans="25:27" x14ac:dyDescent="0.45">
      <c r="Y242"/>
      <c r="Z242"/>
      <c r="AA242"/>
    </row>
    <row r="243" spans="25:27" x14ac:dyDescent="0.45">
      <c r="Y243"/>
      <c r="Z243"/>
      <c r="AA243"/>
    </row>
    <row r="244" spans="25:27" x14ac:dyDescent="0.45">
      <c r="Y244"/>
      <c r="Z244"/>
      <c r="AA244"/>
    </row>
    <row r="245" spans="25:27" x14ac:dyDescent="0.45">
      <c r="Y245"/>
      <c r="Z245"/>
      <c r="AA245"/>
    </row>
    <row r="246" spans="25:27" x14ac:dyDescent="0.45">
      <c r="Y246"/>
      <c r="Z246"/>
      <c r="AA246"/>
    </row>
    <row r="247" spans="25:27" x14ac:dyDescent="0.45">
      <c r="Y247"/>
      <c r="Z247"/>
      <c r="AA247"/>
    </row>
    <row r="248" spans="25:27" x14ac:dyDescent="0.45">
      <c r="Y248"/>
      <c r="Z248"/>
      <c r="AA248"/>
    </row>
    <row r="249" spans="25:27" x14ac:dyDescent="0.45">
      <c r="Y249"/>
      <c r="Z249"/>
      <c r="AA249"/>
    </row>
    <row r="250" spans="25:27" x14ac:dyDescent="0.45">
      <c r="Y250"/>
      <c r="Z250"/>
      <c r="AA250"/>
    </row>
    <row r="251" spans="25:27" x14ac:dyDescent="0.45">
      <c r="Y251"/>
      <c r="Z251"/>
      <c r="AA251"/>
    </row>
    <row r="252" spans="25:27" x14ac:dyDescent="0.45">
      <c r="Y252"/>
      <c r="Z252"/>
      <c r="AA252"/>
    </row>
    <row r="253" spans="25:27" x14ac:dyDescent="0.45">
      <c r="Y253"/>
      <c r="Z253"/>
      <c r="AA253"/>
    </row>
    <row r="254" spans="25:27" x14ac:dyDescent="0.45">
      <c r="Y254"/>
      <c r="Z254"/>
      <c r="AA254"/>
    </row>
    <row r="255" spans="25:27" x14ac:dyDescent="0.45">
      <c r="Y255"/>
      <c r="Z255"/>
      <c r="AA255"/>
    </row>
    <row r="256" spans="25:27" x14ac:dyDescent="0.45">
      <c r="Y256"/>
      <c r="Z256"/>
      <c r="AA256"/>
    </row>
    <row r="257" spans="25:27" x14ac:dyDescent="0.45">
      <c r="Y257"/>
      <c r="Z257"/>
      <c r="AA257"/>
    </row>
    <row r="258" spans="25:27" x14ac:dyDescent="0.45">
      <c r="Y258"/>
      <c r="Z258"/>
      <c r="AA258"/>
    </row>
    <row r="259" spans="25:27" x14ac:dyDescent="0.45">
      <c r="Y259"/>
      <c r="Z259"/>
      <c r="AA259"/>
    </row>
    <row r="260" spans="25:27" x14ac:dyDescent="0.45">
      <c r="Y260"/>
      <c r="Z260"/>
      <c r="AA260"/>
    </row>
    <row r="261" spans="25:27" x14ac:dyDescent="0.45">
      <c r="Y261"/>
      <c r="Z261"/>
      <c r="AA261"/>
    </row>
    <row r="262" spans="25:27" x14ac:dyDescent="0.45">
      <c r="Y262"/>
      <c r="Z262"/>
      <c r="AA262"/>
    </row>
    <row r="263" spans="25:27" x14ac:dyDescent="0.45">
      <c r="Y263"/>
      <c r="Z263"/>
      <c r="AA263"/>
    </row>
    <row r="264" spans="25:27" x14ac:dyDescent="0.45">
      <c r="Y264"/>
      <c r="Z264"/>
      <c r="AA264"/>
    </row>
    <row r="265" spans="25:27" x14ac:dyDescent="0.45">
      <c r="Y265"/>
      <c r="Z265"/>
      <c r="AA265"/>
    </row>
    <row r="266" spans="25:27" x14ac:dyDescent="0.45">
      <c r="Y266"/>
      <c r="Z266"/>
      <c r="AA266"/>
    </row>
    <row r="267" spans="25:27" x14ac:dyDescent="0.45">
      <c r="Y267"/>
      <c r="Z267"/>
      <c r="AA267"/>
    </row>
    <row r="268" spans="25:27" x14ac:dyDescent="0.45">
      <c r="Y268"/>
      <c r="Z268"/>
      <c r="AA268"/>
    </row>
    <row r="269" spans="25:27" x14ac:dyDescent="0.45">
      <c r="Y269"/>
      <c r="Z269"/>
      <c r="AA269"/>
    </row>
    <row r="270" spans="25:27" x14ac:dyDescent="0.45">
      <c r="Y270"/>
      <c r="Z270"/>
      <c r="AA270"/>
    </row>
    <row r="271" spans="25:27" x14ac:dyDescent="0.45">
      <c r="Y271"/>
      <c r="Z271"/>
      <c r="AA271"/>
    </row>
    <row r="272" spans="25:27" x14ac:dyDescent="0.45">
      <c r="Y272"/>
      <c r="Z272"/>
      <c r="AA272"/>
    </row>
    <row r="273" spans="25:27" x14ac:dyDescent="0.45">
      <c r="Y273"/>
      <c r="Z273"/>
      <c r="AA273"/>
    </row>
    <row r="274" spans="25:27" x14ac:dyDescent="0.45">
      <c r="Y274"/>
      <c r="Z274"/>
      <c r="AA274"/>
    </row>
    <row r="275" spans="25:27" x14ac:dyDescent="0.45">
      <c r="Y275"/>
      <c r="Z275"/>
      <c r="AA275"/>
    </row>
    <row r="276" spans="25:27" x14ac:dyDescent="0.45">
      <c r="Y276"/>
      <c r="Z276"/>
      <c r="AA276"/>
    </row>
    <row r="277" spans="25:27" x14ac:dyDescent="0.45">
      <c r="Y277"/>
      <c r="Z277"/>
      <c r="AA277"/>
    </row>
    <row r="278" spans="25:27" x14ac:dyDescent="0.45">
      <c r="Y278"/>
      <c r="Z278"/>
      <c r="AA278"/>
    </row>
    <row r="279" spans="25:27" x14ac:dyDescent="0.45">
      <c r="Y279"/>
      <c r="Z279"/>
      <c r="AA279"/>
    </row>
    <row r="280" spans="25:27" x14ac:dyDescent="0.45">
      <c r="Y280"/>
      <c r="Z280"/>
      <c r="AA280"/>
    </row>
    <row r="281" spans="25:27" x14ac:dyDescent="0.45">
      <c r="Y281"/>
      <c r="Z281"/>
      <c r="AA281"/>
    </row>
    <row r="282" spans="25:27" x14ac:dyDescent="0.45">
      <c r="Y282"/>
      <c r="Z282"/>
      <c r="AA282"/>
    </row>
    <row r="283" spans="25:27" x14ac:dyDescent="0.45">
      <c r="Y283"/>
      <c r="Z283"/>
      <c r="AA283"/>
    </row>
    <row r="284" spans="25:27" x14ac:dyDescent="0.45">
      <c r="Y284"/>
      <c r="Z284"/>
      <c r="AA284"/>
    </row>
    <row r="285" spans="25:27" x14ac:dyDescent="0.45">
      <c r="Y285"/>
      <c r="Z285"/>
      <c r="AA285"/>
    </row>
    <row r="286" spans="25:27" x14ac:dyDescent="0.45">
      <c r="Y286"/>
      <c r="Z286"/>
      <c r="AA286"/>
    </row>
    <row r="287" spans="25:27" x14ac:dyDescent="0.45">
      <c r="Y287"/>
      <c r="Z287"/>
      <c r="AA287"/>
    </row>
    <row r="288" spans="25:27" x14ac:dyDescent="0.45">
      <c r="Y288"/>
      <c r="Z288"/>
      <c r="AA288"/>
    </row>
    <row r="289" spans="25:27" x14ac:dyDescent="0.45">
      <c r="Y289"/>
      <c r="Z289"/>
      <c r="AA289"/>
    </row>
    <row r="290" spans="25:27" x14ac:dyDescent="0.45">
      <c r="Y290"/>
      <c r="Z290"/>
      <c r="AA290"/>
    </row>
    <row r="291" spans="25:27" x14ac:dyDescent="0.45">
      <c r="Y291"/>
      <c r="Z291"/>
      <c r="AA291"/>
    </row>
    <row r="292" spans="25:27" x14ac:dyDescent="0.45">
      <c r="Y292"/>
      <c r="Z292"/>
      <c r="AA292"/>
    </row>
    <row r="293" spans="25:27" x14ac:dyDescent="0.45">
      <c r="Y293"/>
      <c r="Z293"/>
      <c r="AA293"/>
    </row>
    <row r="294" spans="25:27" x14ac:dyDescent="0.45">
      <c r="Y294"/>
      <c r="Z294"/>
      <c r="AA294"/>
    </row>
    <row r="295" spans="25:27" x14ac:dyDescent="0.45">
      <c r="Y295"/>
      <c r="Z295"/>
      <c r="AA295"/>
    </row>
    <row r="296" spans="25:27" x14ac:dyDescent="0.45">
      <c r="Y296"/>
      <c r="Z296"/>
      <c r="AA296"/>
    </row>
    <row r="297" spans="25:27" x14ac:dyDescent="0.45">
      <c r="Y297"/>
      <c r="Z297"/>
      <c r="AA297"/>
    </row>
    <row r="298" spans="25:27" x14ac:dyDescent="0.45">
      <c r="Y298"/>
      <c r="Z298"/>
      <c r="AA298"/>
    </row>
    <row r="299" spans="25:27" x14ac:dyDescent="0.45">
      <c r="Y299"/>
      <c r="Z299"/>
      <c r="AA299"/>
    </row>
    <row r="300" spans="25:27" x14ac:dyDescent="0.45">
      <c r="Y300"/>
      <c r="Z300"/>
      <c r="AA300"/>
    </row>
    <row r="301" spans="25:27" x14ac:dyDescent="0.45">
      <c r="Y301"/>
      <c r="Z301"/>
      <c r="AA301"/>
    </row>
    <row r="302" spans="25:27" x14ac:dyDescent="0.45">
      <c r="Y302"/>
      <c r="Z302"/>
      <c r="AA302"/>
    </row>
    <row r="303" spans="25:27" x14ac:dyDescent="0.45">
      <c r="Y303"/>
      <c r="Z303"/>
      <c r="AA303"/>
    </row>
    <row r="304" spans="25:27" x14ac:dyDescent="0.45">
      <c r="Y304"/>
      <c r="Z304"/>
      <c r="AA304"/>
    </row>
    <row r="305" spans="25:27" x14ac:dyDescent="0.45">
      <c r="Y305"/>
      <c r="Z305"/>
      <c r="AA305"/>
    </row>
    <row r="306" spans="25:27" x14ac:dyDescent="0.45">
      <c r="Y306"/>
      <c r="Z306"/>
      <c r="AA306"/>
    </row>
    <row r="307" spans="25:27" x14ac:dyDescent="0.45">
      <c r="Y307"/>
      <c r="Z307"/>
      <c r="AA307"/>
    </row>
    <row r="308" spans="25:27" x14ac:dyDescent="0.45">
      <c r="Y308"/>
      <c r="Z308"/>
      <c r="AA308"/>
    </row>
    <row r="309" spans="25:27" x14ac:dyDescent="0.45">
      <c r="Y309"/>
      <c r="Z309"/>
      <c r="AA309"/>
    </row>
    <row r="310" spans="25:27" x14ac:dyDescent="0.45">
      <c r="Y310"/>
      <c r="Z310"/>
      <c r="AA310"/>
    </row>
    <row r="311" spans="25:27" x14ac:dyDescent="0.45">
      <c r="Y311"/>
      <c r="Z311"/>
      <c r="AA311"/>
    </row>
    <row r="312" spans="25:27" x14ac:dyDescent="0.45">
      <c r="Y312"/>
      <c r="Z312"/>
      <c r="AA312"/>
    </row>
    <row r="313" spans="25:27" x14ac:dyDescent="0.45">
      <c r="Y313"/>
      <c r="Z313"/>
      <c r="AA313"/>
    </row>
    <row r="314" spans="25:27" x14ac:dyDescent="0.45">
      <c r="Y314"/>
      <c r="Z314"/>
      <c r="AA314"/>
    </row>
    <row r="315" spans="25:27" x14ac:dyDescent="0.45">
      <c r="Y315"/>
      <c r="Z315"/>
      <c r="AA315"/>
    </row>
    <row r="316" spans="25:27" x14ac:dyDescent="0.45">
      <c r="Y316"/>
      <c r="Z316"/>
      <c r="AA316"/>
    </row>
    <row r="317" spans="25:27" x14ac:dyDescent="0.45">
      <c r="Y317"/>
      <c r="Z317"/>
      <c r="AA317"/>
    </row>
    <row r="318" spans="25:27" x14ac:dyDescent="0.45">
      <c r="Y318"/>
      <c r="Z318"/>
      <c r="AA318"/>
    </row>
    <row r="319" spans="25:27" x14ac:dyDescent="0.45">
      <c r="Y319"/>
      <c r="Z319"/>
      <c r="AA319"/>
    </row>
    <row r="320" spans="25:27" x14ac:dyDescent="0.45">
      <c r="Y320"/>
      <c r="Z320"/>
      <c r="AA320"/>
    </row>
    <row r="321" spans="25:27" x14ac:dyDescent="0.45">
      <c r="Y321"/>
      <c r="Z321"/>
      <c r="AA321"/>
    </row>
    <row r="322" spans="25:27" x14ac:dyDescent="0.45">
      <c r="Y322"/>
      <c r="Z322"/>
      <c r="AA322"/>
    </row>
    <row r="323" spans="25:27" x14ac:dyDescent="0.45">
      <c r="Y323"/>
      <c r="Z323"/>
      <c r="AA323"/>
    </row>
    <row r="324" spans="25:27" x14ac:dyDescent="0.45">
      <c r="Y324"/>
      <c r="Z324"/>
      <c r="AA324"/>
    </row>
    <row r="325" spans="25:27" x14ac:dyDescent="0.45">
      <c r="Y325"/>
      <c r="Z325"/>
      <c r="AA325"/>
    </row>
    <row r="326" spans="25:27" x14ac:dyDescent="0.45">
      <c r="Y326"/>
      <c r="Z326"/>
      <c r="AA326"/>
    </row>
    <row r="327" spans="25:27" x14ac:dyDescent="0.45">
      <c r="Y327"/>
      <c r="Z327"/>
      <c r="AA327"/>
    </row>
    <row r="328" spans="25:27" x14ac:dyDescent="0.45">
      <c r="Y328"/>
      <c r="Z328"/>
      <c r="AA328"/>
    </row>
    <row r="329" spans="25:27" x14ac:dyDescent="0.45">
      <c r="Y329"/>
      <c r="Z329"/>
      <c r="AA329"/>
    </row>
    <row r="330" spans="25:27" x14ac:dyDescent="0.45">
      <c r="Y330"/>
      <c r="Z330"/>
      <c r="AA330"/>
    </row>
    <row r="331" spans="25:27" x14ac:dyDescent="0.45">
      <c r="Y331"/>
      <c r="Z331"/>
      <c r="AA331"/>
    </row>
    <row r="332" spans="25:27" x14ac:dyDescent="0.45">
      <c r="Y332"/>
      <c r="Z332"/>
      <c r="AA332"/>
    </row>
    <row r="333" spans="25:27" x14ac:dyDescent="0.45">
      <c r="Y333"/>
      <c r="Z333"/>
      <c r="AA333"/>
    </row>
    <row r="334" spans="25:27" x14ac:dyDescent="0.45">
      <c r="Y334"/>
      <c r="Z334"/>
      <c r="AA334"/>
    </row>
    <row r="335" spans="25:27" x14ac:dyDescent="0.45">
      <c r="Y335"/>
      <c r="Z335"/>
      <c r="AA335"/>
    </row>
    <row r="336" spans="25:27" x14ac:dyDescent="0.45">
      <c r="Y336"/>
      <c r="Z336"/>
      <c r="AA336"/>
    </row>
    <row r="337" spans="25:27" x14ac:dyDescent="0.45">
      <c r="Y337"/>
      <c r="Z337"/>
      <c r="AA337"/>
    </row>
    <row r="338" spans="25:27" x14ac:dyDescent="0.45">
      <c r="Y338"/>
      <c r="Z338"/>
      <c r="AA338"/>
    </row>
    <row r="339" spans="25:27" x14ac:dyDescent="0.45">
      <c r="Y339"/>
      <c r="Z339"/>
      <c r="AA339"/>
    </row>
    <row r="340" spans="25:27" x14ac:dyDescent="0.45">
      <c r="Y340"/>
      <c r="Z340"/>
      <c r="AA340"/>
    </row>
    <row r="341" spans="25:27" x14ac:dyDescent="0.45">
      <c r="Y341"/>
      <c r="Z341"/>
      <c r="AA341"/>
    </row>
    <row r="342" spans="25:27" x14ac:dyDescent="0.45">
      <c r="Y342"/>
      <c r="Z342"/>
      <c r="AA342"/>
    </row>
    <row r="343" spans="25:27" x14ac:dyDescent="0.45">
      <c r="Y343"/>
      <c r="Z343"/>
      <c r="AA343"/>
    </row>
    <row r="344" spans="25:27" x14ac:dyDescent="0.45">
      <c r="Y344"/>
      <c r="Z344"/>
      <c r="AA344"/>
    </row>
    <row r="345" spans="25:27" x14ac:dyDescent="0.45">
      <c r="Y345"/>
      <c r="Z345"/>
      <c r="AA345"/>
    </row>
    <row r="346" spans="25:27" x14ac:dyDescent="0.45">
      <c r="Y346"/>
      <c r="Z346"/>
      <c r="AA346"/>
    </row>
    <row r="347" spans="25:27" x14ac:dyDescent="0.45">
      <c r="Y347"/>
      <c r="Z347"/>
      <c r="AA347"/>
    </row>
    <row r="348" spans="25:27" x14ac:dyDescent="0.45">
      <c r="Y348"/>
      <c r="Z348"/>
      <c r="AA348"/>
    </row>
    <row r="349" spans="25:27" x14ac:dyDescent="0.45">
      <c r="Y349"/>
      <c r="Z349"/>
      <c r="AA349"/>
    </row>
    <row r="350" spans="25:27" x14ac:dyDescent="0.45">
      <c r="Y350"/>
      <c r="Z350"/>
      <c r="AA350"/>
    </row>
    <row r="351" spans="25:27" x14ac:dyDescent="0.45">
      <c r="Y351"/>
      <c r="Z351"/>
      <c r="AA351"/>
    </row>
    <row r="352" spans="25:27" x14ac:dyDescent="0.45">
      <c r="Y352"/>
      <c r="Z352"/>
      <c r="AA352"/>
    </row>
    <row r="353" spans="25:27" x14ac:dyDescent="0.45">
      <c r="Y353"/>
      <c r="Z353"/>
      <c r="AA353"/>
    </row>
    <row r="354" spans="25:27" x14ac:dyDescent="0.45">
      <c r="Y354"/>
      <c r="Z354"/>
      <c r="AA354"/>
    </row>
    <row r="355" spans="25:27" x14ac:dyDescent="0.45">
      <c r="Y355"/>
      <c r="Z355"/>
      <c r="AA355"/>
    </row>
    <row r="356" spans="25:27" x14ac:dyDescent="0.45">
      <c r="Y356"/>
      <c r="Z356"/>
      <c r="AA356"/>
    </row>
    <row r="357" spans="25:27" x14ac:dyDescent="0.45">
      <c r="Y357"/>
      <c r="Z357"/>
      <c r="AA357"/>
    </row>
    <row r="358" spans="25:27" x14ac:dyDescent="0.45">
      <c r="Y358"/>
      <c r="Z358"/>
      <c r="AA358"/>
    </row>
    <row r="359" spans="25:27" x14ac:dyDescent="0.45">
      <c r="Y359"/>
      <c r="Z359"/>
      <c r="AA359"/>
    </row>
    <row r="360" spans="25:27" x14ac:dyDescent="0.45">
      <c r="Y360"/>
      <c r="Z360"/>
      <c r="AA360"/>
    </row>
    <row r="361" spans="25:27" x14ac:dyDescent="0.45">
      <c r="Y361"/>
      <c r="Z361"/>
      <c r="AA361"/>
    </row>
    <row r="362" spans="25:27" x14ac:dyDescent="0.45">
      <c r="Y362"/>
      <c r="Z362"/>
      <c r="AA362"/>
    </row>
    <row r="363" spans="25:27" x14ac:dyDescent="0.45">
      <c r="Y363"/>
      <c r="Z363"/>
      <c r="AA363"/>
    </row>
    <row r="364" spans="25:27" x14ac:dyDescent="0.45">
      <c r="Y364"/>
      <c r="Z364"/>
      <c r="AA364"/>
    </row>
    <row r="365" spans="25:27" x14ac:dyDescent="0.45">
      <c r="Y365"/>
      <c r="Z365"/>
      <c r="AA365"/>
    </row>
    <row r="366" spans="25:27" x14ac:dyDescent="0.45">
      <c r="Y366"/>
      <c r="Z366"/>
      <c r="AA366"/>
    </row>
    <row r="367" spans="25:27" x14ac:dyDescent="0.45">
      <c r="Y367"/>
      <c r="Z367"/>
      <c r="AA367"/>
    </row>
    <row r="368" spans="25:27" x14ac:dyDescent="0.45">
      <c r="Y368"/>
      <c r="Z368"/>
      <c r="AA368"/>
    </row>
    <row r="369" spans="25:27" x14ac:dyDescent="0.45">
      <c r="Y369"/>
      <c r="Z369"/>
      <c r="AA369"/>
    </row>
    <row r="370" spans="25:27" x14ac:dyDescent="0.45">
      <c r="Y370"/>
      <c r="Z370"/>
      <c r="AA370"/>
    </row>
    <row r="371" spans="25:27" x14ac:dyDescent="0.45">
      <c r="Y371"/>
      <c r="Z371"/>
      <c r="AA371"/>
    </row>
    <row r="372" spans="25:27" x14ac:dyDescent="0.45">
      <c r="Y372"/>
      <c r="Z372"/>
      <c r="AA372"/>
    </row>
    <row r="373" spans="25:27" x14ac:dyDescent="0.45">
      <c r="Y373"/>
      <c r="Z373"/>
      <c r="AA373"/>
    </row>
    <row r="374" spans="25:27" x14ac:dyDescent="0.45">
      <c r="Y374"/>
      <c r="Z374"/>
      <c r="AA374"/>
    </row>
    <row r="375" spans="25:27" x14ac:dyDescent="0.45">
      <c r="Y375"/>
      <c r="Z375"/>
      <c r="AA375"/>
    </row>
    <row r="376" spans="25:27" x14ac:dyDescent="0.45">
      <c r="Y376"/>
      <c r="Z376"/>
      <c r="AA376"/>
    </row>
    <row r="377" spans="25:27" x14ac:dyDescent="0.45">
      <c r="Y377"/>
      <c r="Z377"/>
      <c r="AA377"/>
    </row>
    <row r="378" spans="25:27" x14ac:dyDescent="0.45">
      <c r="Y378"/>
      <c r="Z378"/>
      <c r="AA378"/>
    </row>
    <row r="379" spans="25:27" x14ac:dyDescent="0.45">
      <c r="Y379"/>
      <c r="Z379"/>
      <c r="AA379"/>
    </row>
    <row r="380" spans="25:27" x14ac:dyDescent="0.45">
      <c r="Y380"/>
      <c r="Z380"/>
      <c r="AA380"/>
    </row>
    <row r="381" spans="25:27" x14ac:dyDescent="0.45">
      <c r="Y381"/>
      <c r="Z381"/>
      <c r="AA381"/>
    </row>
    <row r="382" spans="25:27" x14ac:dyDescent="0.45">
      <c r="Y382"/>
      <c r="Z382"/>
      <c r="AA382"/>
    </row>
    <row r="383" spans="25:27" x14ac:dyDescent="0.45">
      <c r="Y383"/>
      <c r="Z383"/>
      <c r="AA383"/>
    </row>
    <row r="384" spans="25:27" x14ac:dyDescent="0.45">
      <c r="Y384"/>
      <c r="Z384"/>
      <c r="AA384"/>
    </row>
    <row r="385" spans="25:27" x14ac:dyDescent="0.45">
      <c r="Y385"/>
      <c r="Z385"/>
      <c r="AA385"/>
    </row>
    <row r="386" spans="25:27" x14ac:dyDescent="0.45">
      <c r="Y386"/>
      <c r="Z386"/>
      <c r="AA386"/>
    </row>
    <row r="387" spans="25:27" x14ac:dyDescent="0.45">
      <c r="Y387"/>
      <c r="Z387"/>
      <c r="AA387"/>
    </row>
    <row r="388" spans="25:27" x14ac:dyDescent="0.45">
      <c r="Y388"/>
      <c r="Z388"/>
      <c r="AA388"/>
    </row>
    <row r="389" spans="25:27" x14ac:dyDescent="0.45">
      <c r="Y389"/>
      <c r="Z389"/>
      <c r="AA389"/>
    </row>
    <row r="390" spans="25:27" x14ac:dyDescent="0.45">
      <c r="Y390"/>
      <c r="Z390"/>
      <c r="AA390"/>
    </row>
    <row r="391" spans="25:27" x14ac:dyDescent="0.45">
      <c r="Y391"/>
      <c r="Z391"/>
      <c r="AA391"/>
    </row>
    <row r="392" spans="25:27" x14ac:dyDescent="0.45">
      <c r="Y392"/>
      <c r="Z392"/>
      <c r="AA392"/>
    </row>
    <row r="393" spans="25:27" x14ac:dyDescent="0.45">
      <c r="Y393"/>
      <c r="Z393"/>
      <c r="AA393"/>
    </row>
    <row r="394" spans="25:27" x14ac:dyDescent="0.45">
      <c r="Y394"/>
      <c r="Z394"/>
      <c r="AA394"/>
    </row>
    <row r="395" spans="25:27" x14ac:dyDescent="0.45">
      <c r="Y395"/>
      <c r="Z395"/>
      <c r="AA395"/>
    </row>
    <row r="396" spans="25:27" x14ac:dyDescent="0.45">
      <c r="Y396"/>
      <c r="Z396"/>
      <c r="AA396"/>
    </row>
    <row r="397" spans="25:27" x14ac:dyDescent="0.45">
      <c r="Y397"/>
      <c r="Z397"/>
      <c r="AA397"/>
    </row>
    <row r="398" spans="25:27" x14ac:dyDescent="0.45">
      <c r="Y398"/>
      <c r="Z398"/>
      <c r="AA398"/>
    </row>
    <row r="399" spans="25:27" x14ac:dyDescent="0.45">
      <c r="Y399"/>
      <c r="Z399"/>
      <c r="AA399"/>
    </row>
    <row r="400" spans="25:27" x14ac:dyDescent="0.45">
      <c r="Y400"/>
      <c r="Z400"/>
      <c r="AA400"/>
    </row>
    <row r="401" spans="25:27" x14ac:dyDescent="0.45">
      <c r="Y401"/>
      <c r="Z401"/>
      <c r="AA401"/>
    </row>
    <row r="402" spans="25:27" x14ac:dyDescent="0.45">
      <c r="Y402"/>
      <c r="Z402"/>
      <c r="AA402"/>
    </row>
    <row r="403" spans="25:27" x14ac:dyDescent="0.45">
      <c r="Y403"/>
      <c r="Z403"/>
      <c r="AA403"/>
    </row>
    <row r="404" spans="25:27" x14ac:dyDescent="0.45">
      <c r="Y404"/>
      <c r="Z404"/>
      <c r="AA404"/>
    </row>
    <row r="405" spans="25:27" x14ac:dyDescent="0.45">
      <c r="Y405"/>
      <c r="Z405"/>
      <c r="AA405"/>
    </row>
    <row r="406" spans="25:27" x14ac:dyDescent="0.45">
      <c r="Y406"/>
      <c r="Z406"/>
      <c r="AA406"/>
    </row>
    <row r="407" spans="25:27" x14ac:dyDescent="0.45">
      <c r="Y407"/>
      <c r="Z407"/>
      <c r="AA407"/>
    </row>
    <row r="408" spans="25:27" x14ac:dyDescent="0.45">
      <c r="Y408"/>
      <c r="Z408"/>
      <c r="AA408"/>
    </row>
    <row r="409" spans="25:27" x14ac:dyDescent="0.45">
      <c r="Y409"/>
      <c r="Z409"/>
      <c r="AA409"/>
    </row>
    <row r="410" spans="25:27" x14ac:dyDescent="0.45">
      <c r="Y410"/>
      <c r="Z410"/>
      <c r="AA410"/>
    </row>
    <row r="411" spans="25:27" x14ac:dyDescent="0.45">
      <c r="Y411"/>
      <c r="Z411"/>
      <c r="AA411"/>
    </row>
    <row r="412" spans="25:27" x14ac:dyDescent="0.45">
      <c r="Y412"/>
      <c r="Z412"/>
      <c r="AA412"/>
    </row>
    <row r="413" spans="25:27" x14ac:dyDescent="0.45">
      <c r="Y413"/>
      <c r="Z413"/>
      <c r="AA413"/>
    </row>
    <row r="414" spans="25:27" x14ac:dyDescent="0.45">
      <c r="Y414"/>
      <c r="Z414"/>
      <c r="AA414"/>
    </row>
    <row r="415" spans="25:27" x14ac:dyDescent="0.45">
      <c r="Y415"/>
      <c r="Z415"/>
      <c r="AA415"/>
    </row>
    <row r="416" spans="25:27" x14ac:dyDescent="0.45">
      <c r="Y416"/>
      <c r="Z416"/>
      <c r="AA416"/>
    </row>
    <row r="417" spans="25:27" x14ac:dyDescent="0.45">
      <c r="Y417"/>
      <c r="Z417"/>
      <c r="AA417"/>
    </row>
    <row r="418" spans="25:27" x14ac:dyDescent="0.45">
      <c r="Y418"/>
      <c r="Z418"/>
      <c r="AA418"/>
    </row>
    <row r="419" spans="25:27" x14ac:dyDescent="0.45">
      <c r="Y419"/>
      <c r="Z419"/>
      <c r="AA419"/>
    </row>
    <row r="420" spans="25:27" x14ac:dyDescent="0.45">
      <c r="Y420"/>
      <c r="Z420"/>
      <c r="AA420"/>
    </row>
    <row r="421" spans="25:27" x14ac:dyDescent="0.45">
      <c r="Y421"/>
      <c r="Z421"/>
      <c r="AA421"/>
    </row>
    <row r="422" spans="25:27" x14ac:dyDescent="0.45">
      <c r="Y422"/>
      <c r="Z422"/>
      <c r="AA422"/>
    </row>
    <row r="423" spans="25:27" x14ac:dyDescent="0.45">
      <c r="Y423"/>
      <c r="Z423"/>
      <c r="AA423"/>
    </row>
    <row r="424" spans="25:27" x14ac:dyDescent="0.45">
      <c r="Y424"/>
      <c r="Z424"/>
      <c r="AA424"/>
    </row>
    <row r="425" spans="25:27" x14ac:dyDescent="0.45">
      <c r="Y425"/>
      <c r="Z425"/>
      <c r="AA425"/>
    </row>
    <row r="426" spans="25:27" x14ac:dyDescent="0.45">
      <c r="Y426"/>
      <c r="Z426"/>
      <c r="AA426"/>
    </row>
    <row r="427" spans="25:27" x14ac:dyDescent="0.45">
      <c r="Y427"/>
      <c r="Z427"/>
      <c r="AA427"/>
    </row>
    <row r="428" spans="25:27" x14ac:dyDescent="0.45">
      <c r="Y428"/>
      <c r="Z428"/>
      <c r="AA428"/>
    </row>
    <row r="429" spans="25:27" x14ac:dyDescent="0.45">
      <c r="Y429"/>
      <c r="Z429"/>
      <c r="AA429"/>
    </row>
    <row r="430" spans="25:27" x14ac:dyDescent="0.45">
      <c r="Y430"/>
      <c r="Z430"/>
      <c r="AA430"/>
    </row>
    <row r="431" spans="25:27" x14ac:dyDescent="0.45">
      <c r="Y431"/>
      <c r="Z431"/>
      <c r="AA431"/>
    </row>
    <row r="432" spans="25:27" x14ac:dyDescent="0.45">
      <c r="Y432"/>
      <c r="Z432"/>
      <c r="AA432"/>
    </row>
    <row r="433" spans="25:27" x14ac:dyDescent="0.45">
      <c r="Y433"/>
      <c r="Z433"/>
      <c r="AA433"/>
    </row>
    <row r="434" spans="25:27" x14ac:dyDescent="0.45">
      <c r="Y434"/>
      <c r="Z434"/>
      <c r="AA434"/>
    </row>
    <row r="435" spans="25:27" x14ac:dyDescent="0.45">
      <c r="Y435"/>
      <c r="Z435"/>
      <c r="AA435"/>
    </row>
    <row r="436" spans="25:27" x14ac:dyDescent="0.45">
      <c r="Y436"/>
      <c r="Z436"/>
      <c r="AA436"/>
    </row>
    <row r="437" spans="25:27" x14ac:dyDescent="0.45">
      <c r="Y437"/>
      <c r="Z437"/>
      <c r="AA437"/>
    </row>
    <row r="438" spans="25:27" x14ac:dyDescent="0.45">
      <c r="Y438"/>
      <c r="Z438"/>
      <c r="AA438"/>
    </row>
    <row r="439" spans="25:27" x14ac:dyDescent="0.45">
      <c r="Y439"/>
      <c r="Z439"/>
      <c r="AA439"/>
    </row>
    <row r="440" spans="25:27" x14ac:dyDescent="0.45">
      <c r="Y440"/>
      <c r="Z440"/>
      <c r="AA440"/>
    </row>
    <row r="441" spans="25:27" x14ac:dyDescent="0.45">
      <c r="Y441"/>
      <c r="Z441"/>
      <c r="AA441"/>
    </row>
    <row r="442" spans="25:27" x14ac:dyDescent="0.45">
      <c r="Y442"/>
      <c r="Z442"/>
      <c r="AA442"/>
    </row>
    <row r="443" spans="25:27" x14ac:dyDescent="0.45">
      <c r="Y443"/>
      <c r="Z443"/>
      <c r="AA443"/>
    </row>
    <row r="444" spans="25:27" x14ac:dyDescent="0.45">
      <c r="Y444"/>
      <c r="Z444"/>
      <c r="AA444"/>
    </row>
    <row r="445" spans="25:27" x14ac:dyDescent="0.45">
      <c r="Y445"/>
      <c r="Z445"/>
      <c r="AA445"/>
    </row>
    <row r="446" spans="25:27" x14ac:dyDescent="0.45">
      <c r="Y446"/>
      <c r="Z446"/>
      <c r="AA446"/>
    </row>
    <row r="447" spans="25:27" x14ac:dyDescent="0.45">
      <c r="Y447"/>
      <c r="Z447"/>
      <c r="AA447"/>
    </row>
    <row r="448" spans="25:27" x14ac:dyDescent="0.45">
      <c r="Y448"/>
      <c r="Z448"/>
      <c r="AA448"/>
    </row>
    <row r="449" spans="25:27" x14ac:dyDescent="0.45">
      <c r="Y449"/>
      <c r="Z449"/>
      <c r="AA449"/>
    </row>
    <row r="450" spans="25:27" x14ac:dyDescent="0.45">
      <c r="Y450"/>
      <c r="Z450"/>
      <c r="AA450"/>
    </row>
    <row r="451" spans="25:27" x14ac:dyDescent="0.45">
      <c r="Y451"/>
      <c r="Z451"/>
      <c r="AA451"/>
    </row>
    <row r="452" spans="25:27" x14ac:dyDescent="0.45">
      <c r="Y452"/>
      <c r="Z452"/>
      <c r="AA452"/>
    </row>
    <row r="453" spans="25:27" x14ac:dyDescent="0.45">
      <c r="Y453"/>
      <c r="Z453"/>
      <c r="AA453"/>
    </row>
    <row r="454" spans="25:27" x14ac:dyDescent="0.45">
      <c r="Y454"/>
      <c r="Z454"/>
      <c r="AA454"/>
    </row>
    <row r="455" spans="25:27" x14ac:dyDescent="0.45">
      <c r="Y455"/>
      <c r="Z455"/>
      <c r="AA455"/>
    </row>
    <row r="456" spans="25:27" x14ac:dyDescent="0.45">
      <c r="Y456"/>
      <c r="Z456"/>
      <c r="AA456"/>
    </row>
    <row r="457" spans="25:27" x14ac:dyDescent="0.45">
      <c r="Y457"/>
      <c r="Z457"/>
      <c r="AA457"/>
    </row>
    <row r="458" spans="25:27" x14ac:dyDescent="0.45">
      <c r="Y458"/>
      <c r="Z458"/>
      <c r="AA458"/>
    </row>
    <row r="459" spans="25:27" x14ac:dyDescent="0.45">
      <c r="Y459"/>
      <c r="Z459"/>
      <c r="AA459"/>
    </row>
    <row r="460" spans="25:27" x14ac:dyDescent="0.45">
      <c r="Y460"/>
      <c r="Z460"/>
      <c r="AA460"/>
    </row>
    <row r="461" spans="25:27" x14ac:dyDescent="0.45">
      <c r="Y461"/>
      <c r="Z461"/>
      <c r="AA461"/>
    </row>
    <row r="462" spans="25:27" x14ac:dyDescent="0.45">
      <c r="Y462"/>
      <c r="Z462"/>
      <c r="AA462"/>
    </row>
    <row r="463" spans="25:27" x14ac:dyDescent="0.45">
      <c r="Y463"/>
      <c r="Z463"/>
      <c r="AA463"/>
    </row>
    <row r="464" spans="25:27" x14ac:dyDescent="0.45">
      <c r="Y464"/>
      <c r="Z464"/>
      <c r="AA464"/>
    </row>
    <row r="465" spans="25:27" x14ac:dyDescent="0.45">
      <c r="Y465"/>
      <c r="Z465"/>
      <c r="AA465"/>
    </row>
    <row r="466" spans="25:27" x14ac:dyDescent="0.45">
      <c r="Y466"/>
      <c r="Z466"/>
      <c r="AA466"/>
    </row>
    <row r="467" spans="25:27" x14ac:dyDescent="0.45">
      <c r="Y467"/>
      <c r="Z467"/>
      <c r="AA467"/>
    </row>
    <row r="468" spans="25:27" x14ac:dyDescent="0.45">
      <c r="Y468"/>
      <c r="Z468"/>
      <c r="AA468"/>
    </row>
    <row r="469" spans="25:27" x14ac:dyDescent="0.45">
      <c r="Y469"/>
      <c r="Z469"/>
      <c r="AA469"/>
    </row>
    <row r="470" spans="25:27" x14ac:dyDescent="0.45">
      <c r="Y470"/>
      <c r="Z470"/>
      <c r="AA470"/>
    </row>
    <row r="471" spans="25:27" x14ac:dyDescent="0.45">
      <c r="Y471"/>
      <c r="Z471"/>
      <c r="AA471"/>
    </row>
    <row r="472" spans="25:27" x14ac:dyDescent="0.45">
      <c r="Y472"/>
      <c r="Z472"/>
      <c r="AA472"/>
    </row>
    <row r="473" spans="25:27" x14ac:dyDescent="0.45">
      <c r="Y473"/>
      <c r="Z473"/>
      <c r="AA473"/>
    </row>
    <row r="474" spans="25:27" x14ac:dyDescent="0.45">
      <c r="Y474"/>
      <c r="Z474"/>
      <c r="AA474"/>
    </row>
    <row r="475" spans="25:27" x14ac:dyDescent="0.45">
      <c r="Y475"/>
      <c r="Z475"/>
      <c r="AA475"/>
    </row>
    <row r="476" spans="25:27" x14ac:dyDescent="0.45">
      <c r="Y476"/>
      <c r="Z476"/>
      <c r="AA476"/>
    </row>
    <row r="477" spans="25:27" x14ac:dyDescent="0.45">
      <c r="Y477"/>
      <c r="Z477"/>
      <c r="AA477"/>
    </row>
    <row r="478" spans="25:27" x14ac:dyDescent="0.45">
      <c r="Y478"/>
      <c r="Z478"/>
      <c r="AA478"/>
    </row>
    <row r="479" spans="25:27" x14ac:dyDescent="0.45">
      <c r="Y479"/>
      <c r="Z479"/>
      <c r="AA479"/>
    </row>
    <row r="480" spans="25:27" x14ac:dyDescent="0.45">
      <c r="Y480"/>
      <c r="Z480"/>
      <c r="AA480"/>
    </row>
    <row r="481" spans="25:27" x14ac:dyDescent="0.45">
      <c r="Y481"/>
      <c r="Z481"/>
      <c r="AA481"/>
    </row>
    <row r="482" spans="25:27" x14ac:dyDescent="0.45">
      <c r="Y482"/>
      <c r="Z482"/>
      <c r="AA482"/>
    </row>
    <row r="483" spans="25:27" x14ac:dyDescent="0.45">
      <c r="Y483"/>
      <c r="Z483"/>
      <c r="AA483"/>
    </row>
    <row r="484" spans="25:27" x14ac:dyDescent="0.45">
      <c r="Y484"/>
      <c r="Z484"/>
      <c r="AA484"/>
    </row>
    <row r="485" spans="25:27" x14ac:dyDescent="0.45">
      <c r="Y485"/>
      <c r="Z485"/>
      <c r="AA485"/>
    </row>
    <row r="486" spans="25:27" x14ac:dyDescent="0.45">
      <c r="Y486"/>
      <c r="Z486"/>
      <c r="AA486"/>
    </row>
    <row r="487" spans="25:27" x14ac:dyDescent="0.45">
      <c r="Y487"/>
      <c r="Z487"/>
      <c r="AA487"/>
    </row>
    <row r="488" spans="25:27" x14ac:dyDescent="0.45">
      <c r="Y488"/>
      <c r="Z488"/>
      <c r="AA488"/>
    </row>
    <row r="489" spans="25:27" x14ac:dyDescent="0.45">
      <c r="Y489"/>
      <c r="Z489"/>
      <c r="AA489"/>
    </row>
    <row r="490" spans="25:27" x14ac:dyDescent="0.45">
      <c r="Y490"/>
      <c r="Z490"/>
      <c r="AA490"/>
    </row>
    <row r="491" spans="25:27" x14ac:dyDescent="0.45">
      <c r="Y491"/>
      <c r="Z491"/>
      <c r="AA491"/>
    </row>
    <row r="492" spans="25:27" x14ac:dyDescent="0.45">
      <c r="Y492"/>
      <c r="Z492"/>
      <c r="AA492"/>
    </row>
    <row r="493" spans="25:27" x14ac:dyDescent="0.45">
      <c r="Y493"/>
      <c r="Z493"/>
      <c r="AA493"/>
    </row>
    <row r="494" spans="25:27" x14ac:dyDescent="0.45">
      <c r="Y494"/>
      <c r="Z494"/>
      <c r="AA494"/>
    </row>
    <row r="495" spans="25:27" x14ac:dyDescent="0.45">
      <c r="Y495"/>
      <c r="Z495"/>
      <c r="AA495"/>
    </row>
    <row r="496" spans="25:27" x14ac:dyDescent="0.45">
      <c r="Y496"/>
      <c r="Z496"/>
      <c r="AA496"/>
    </row>
    <row r="497" spans="25:27" x14ac:dyDescent="0.45">
      <c r="Y497"/>
      <c r="Z497"/>
      <c r="AA497"/>
    </row>
    <row r="498" spans="25:27" x14ac:dyDescent="0.45">
      <c r="Y498"/>
      <c r="Z498"/>
      <c r="AA498"/>
    </row>
    <row r="499" spans="25:27" x14ac:dyDescent="0.45">
      <c r="Y499"/>
      <c r="Z499"/>
      <c r="AA499"/>
    </row>
    <row r="500" spans="25:27" x14ac:dyDescent="0.45">
      <c r="Y500"/>
      <c r="Z500"/>
      <c r="AA500"/>
    </row>
    <row r="501" spans="25:27" x14ac:dyDescent="0.45">
      <c r="Y501"/>
      <c r="Z501"/>
      <c r="AA501"/>
    </row>
    <row r="502" spans="25:27" x14ac:dyDescent="0.45">
      <c r="Y502"/>
      <c r="Z502"/>
      <c r="AA502"/>
    </row>
    <row r="503" spans="25:27" x14ac:dyDescent="0.45">
      <c r="Y503"/>
      <c r="Z503"/>
      <c r="AA503"/>
    </row>
    <row r="504" spans="25:27" x14ac:dyDescent="0.45">
      <c r="Y504"/>
      <c r="Z504"/>
      <c r="AA504"/>
    </row>
    <row r="505" spans="25:27" x14ac:dyDescent="0.45">
      <c r="Y505"/>
      <c r="Z505"/>
      <c r="AA505"/>
    </row>
    <row r="506" spans="25:27" x14ac:dyDescent="0.45">
      <c r="Y506"/>
      <c r="Z506"/>
      <c r="AA506"/>
    </row>
    <row r="507" spans="25:27" x14ac:dyDescent="0.45">
      <c r="Y507"/>
      <c r="Z507"/>
      <c r="AA507"/>
    </row>
    <row r="508" spans="25:27" x14ac:dyDescent="0.45">
      <c r="Y508"/>
      <c r="Z508"/>
      <c r="AA508"/>
    </row>
    <row r="509" spans="25:27" x14ac:dyDescent="0.45">
      <c r="Y509"/>
      <c r="Z509"/>
      <c r="AA509"/>
    </row>
    <row r="510" spans="25:27" x14ac:dyDescent="0.45">
      <c r="Y510"/>
      <c r="Z510"/>
      <c r="AA510"/>
    </row>
    <row r="511" spans="25:27" x14ac:dyDescent="0.45">
      <c r="Y511"/>
      <c r="Z511"/>
      <c r="AA511"/>
    </row>
    <row r="512" spans="25:27" x14ac:dyDescent="0.45">
      <c r="Y512"/>
      <c r="Z512"/>
      <c r="AA512"/>
    </row>
    <row r="513" spans="25:27" x14ac:dyDescent="0.45">
      <c r="Y513"/>
      <c r="Z513"/>
      <c r="AA513"/>
    </row>
    <row r="514" spans="25:27" x14ac:dyDescent="0.45">
      <c r="Y514"/>
      <c r="Z514"/>
      <c r="AA514"/>
    </row>
    <row r="515" spans="25:27" x14ac:dyDescent="0.45">
      <c r="Y515"/>
      <c r="Z515"/>
      <c r="AA515"/>
    </row>
    <row r="516" spans="25:27" x14ac:dyDescent="0.45">
      <c r="Y516"/>
      <c r="Z516"/>
      <c r="AA516"/>
    </row>
    <row r="517" spans="25:27" x14ac:dyDescent="0.45">
      <c r="Y517"/>
      <c r="Z517"/>
      <c r="AA517"/>
    </row>
    <row r="518" spans="25:27" x14ac:dyDescent="0.45">
      <c r="Y518"/>
      <c r="Z518"/>
      <c r="AA518"/>
    </row>
    <row r="519" spans="25:27" x14ac:dyDescent="0.45">
      <c r="Y519"/>
      <c r="Z519"/>
      <c r="AA519"/>
    </row>
    <row r="520" spans="25:27" x14ac:dyDescent="0.45">
      <c r="Y520"/>
      <c r="Z520"/>
      <c r="AA520"/>
    </row>
    <row r="521" spans="25:27" x14ac:dyDescent="0.45">
      <c r="Y521"/>
      <c r="Z521"/>
      <c r="AA521"/>
    </row>
    <row r="522" spans="25:27" x14ac:dyDescent="0.45">
      <c r="Y522"/>
      <c r="Z522"/>
      <c r="AA522"/>
    </row>
    <row r="523" spans="25:27" x14ac:dyDescent="0.45">
      <c r="Y523"/>
      <c r="Z523"/>
      <c r="AA523"/>
    </row>
    <row r="524" spans="25:27" x14ac:dyDescent="0.45">
      <c r="Y524"/>
      <c r="Z524"/>
      <c r="AA524"/>
    </row>
    <row r="525" spans="25:27" x14ac:dyDescent="0.45">
      <c r="Y525"/>
      <c r="Z525"/>
      <c r="AA525"/>
    </row>
    <row r="526" spans="25:27" x14ac:dyDescent="0.45">
      <c r="Y526"/>
      <c r="Z526"/>
      <c r="AA526"/>
    </row>
    <row r="527" spans="25:27" x14ac:dyDescent="0.45">
      <c r="Y527"/>
      <c r="Z527"/>
      <c r="AA527"/>
    </row>
    <row r="528" spans="25:27" x14ac:dyDescent="0.45">
      <c r="Y528"/>
      <c r="Z528"/>
      <c r="AA528"/>
    </row>
    <row r="529" spans="25:27" x14ac:dyDescent="0.45">
      <c r="Y529"/>
      <c r="Z529"/>
      <c r="AA529"/>
    </row>
    <row r="530" spans="25:27" x14ac:dyDescent="0.45">
      <c r="Y530"/>
      <c r="Z530"/>
      <c r="AA530"/>
    </row>
    <row r="531" spans="25:27" x14ac:dyDescent="0.45">
      <c r="Y531"/>
      <c r="Z531"/>
      <c r="AA531"/>
    </row>
    <row r="532" spans="25:27" x14ac:dyDescent="0.45">
      <c r="Y532"/>
      <c r="Z532"/>
      <c r="AA532"/>
    </row>
    <row r="533" spans="25:27" x14ac:dyDescent="0.45">
      <c r="Y533"/>
      <c r="Z533"/>
      <c r="AA533"/>
    </row>
    <row r="534" spans="25:27" x14ac:dyDescent="0.45">
      <c r="Y534"/>
      <c r="Z534"/>
      <c r="AA534"/>
    </row>
    <row r="535" spans="25:27" x14ac:dyDescent="0.45">
      <c r="Y535"/>
      <c r="Z535"/>
      <c r="AA535"/>
    </row>
    <row r="536" spans="25:27" x14ac:dyDescent="0.45">
      <c r="Y536"/>
      <c r="Z536"/>
      <c r="AA536"/>
    </row>
    <row r="537" spans="25:27" x14ac:dyDescent="0.45">
      <c r="Y537"/>
      <c r="Z537"/>
      <c r="AA537"/>
    </row>
    <row r="538" spans="25:27" x14ac:dyDescent="0.45">
      <c r="Y538"/>
      <c r="Z538"/>
      <c r="AA538"/>
    </row>
    <row r="539" spans="25:27" x14ac:dyDescent="0.45">
      <c r="Y539"/>
      <c r="Z539"/>
      <c r="AA539"/>
    </row>
    <row r="540" spans="25:27" x14ac:dyDescent="0.45">
      <c r="Z540"/>
      <c r="AA540"/>
    </row>
    <row r="541" spans="25:27" x14ac:dyDescent="0.45">
      <c r="Z541"/>
      <c r="AA541"/>
    </row>
    <row r="542" spans="25:27" x14ac:dyDescent="0.45">
      <c r="Z542"/>
      <c r="AA542"/>
    </row>
    <row r="543" spans="25:27" x14ac:dyDescent="0.45">
      <c r="Z543"/>
      <c r="AA543"/>
    </row>
    <row r="544" spans="25:27" x14ac:dyDescent="0.45">
      <c r="Z544"/>
      <c r="AA544"/>
    </row>
    <row r="545" spans="26:27" x14ac:dyDescent="0.45">
      <c r="Z545"/>
      <c r="AA545"/>
    </row>
    <row r="546" spans="26:27" x14ac:dyDescent="0.45">
      <c r="Z546"/>
      <c r="AA546"/>
    </row>
    <row r="547" spans="26:27" x14ac:dyDescent="0.45">
      <c r="Z547"/>
      <c r="AA547"/>
    </row>
    <row r="548" spans="26:27" x14ac:dyDescent="0.45">
      <c r="Z548"/>
      <c r="AA548"/>
    </row>
    <row r="549" spans="26:27" x14ac:dyDescent="0.45">
      <c r="Z549"/>
      <c r="AA549"/>
    </row>
    <row r="550" spans="26:27" x14ac:dyDescent="0.45">
      <c r="Z550"/>
      <c r="AA550"/>
    </row>
    <row r="551" spans="26:27" x14ac:dyDescent="0.45">
      <c r="Z551"/>
      <c r="AA551"/>
    </row>
    <row r="552" spans="26:27" x14ac:dyDescent="0.45">
      <c r="Z552"/>
      <c r="AA552"/>
    </row>
    <row r="553" spans="26:27" x14ac:dyDescent="0.45">
      <c r="Z553"/>
      <c r="AA553"/>
    </row>
    <row r="554" spans="26:27" x14ac:dyDescent="0.45">
      <c r="Z554"/>
      <c r="AA554"/>
    </row>
    <row r="555" spans="26:27" x14ac:dyDescent="0.45">
      <c r="Z555"/>
      <c r="AA555"/>
    </row>
    <row r="556" spans="26:27" x14ac:dyDescent="0.45">
      <c r="Z556"/>
      <c r="AA556"/>
    </row>
    <row r="557" spans="26:27" x14ac:dyDescent="0.45">
      <c r="Z557"/>
      <c r="AA557"/>
    </row>
    <row r="558" spans="26:27" x14ac:dyDescent="0.45">
      <c r="Z558"/>
      <c r="AA558"/>
    </row>
    <row r="559" spans="26:27" x14ac:dyDescent="0.45">
      <c r="Z559"/>
      <c r="AA559"/>
    </row>
    <row r="560" spans="26:27" x14ac:dyDescent="0.45">
      <c r="Z560"/>
      <c r="AA560"/>
    </row>
    <row r="561" spans="26:27" x14ac:dyDescent="0.45">
      <c r="Z561"/>
      <c r="AA561"/>
    </row>
    <row r="562" spans="26:27" x14ac:dyDescent="0.45">
      <c r="Z562"/>
      <c r="AA562"/>
    </row>
    <row r="563" spans="26:27" x14ac:dyDescent="0.45">
      <c r="Z563"/>
      <c r="AA563"/>
    </row>
    <row r="564" spans="26:27" x14ac:dyDescent="0.45">
      <c r="Z564"/>
      <c r="AA564"/>
    </row>
    <row r="565" spans="26:27" x14ac:dyDescent="0.45">
      <c r="Z565"/>
      <c r="AA565"/>
    </row>
    <row r="566" spans="26:27" x14ac:dyDescent="0.45">
      <c r="Z566"/>
      <c r="AA566"/>
    </row>
    <row r="567" spans="26:27" x14ac:dyDescent="0.45">
      <c r="Z567"/>
      <c r="AA567"/>
    </row>
    <row r="568" spans="26:27" x14ac:dyDescent="0.45">
      <c r="Z568"/>
      <c r="AA568"/>
    </row>
    <row r="569" spans="26:27" x14ac:dyDescent="0.45">
      <c r="Z569"/>
      <c r="AA569"/>
    </row>
    <row r="570" spans="26:27" x14ac:dyDescent="0.45">
      <c r="Z570"/>
      <c r="AA570"/>
    </row>
    <row r="571" spans="26:27" x14ac:dyDescent="0.45">
      <c r="Z571"/>
      <c r="AA571"/>
    </row>
    <row r="572" spans="26:27" x14ac:dyDescent="0.45">
      <c r="Z572"/>
      <c r="AA572"/>
    </row>
    <row r="573" spans="26:27" x14ac:dyDescent="0.45">
      <c r="Z573"/>
      <c r="AA573"/>
    </row>
    <row r="574" spans="26:27" x14ac:dyDescent="0.45">
      <c r="Z574"/>
      <c r="AA574"/>
    </row>
    <row r="575" spans="26:27" x14ac:dyDescent="0.45">
      <c r="Z575"/>
      <c r="AA575"/>
    </row>
    <row r="576" spans="26:27" x14ac:dyDescent="0.45">
      <c r="Z576"/>
      <c r="AA576"/>
    </row>
    <row r="577" spans="26:27" x14ac:dyDescent="0.45">
      <c r="Z577"/>
      <c r="AA577"/>
    </row>
    <row r="578" spans="26:27" x14ac:dyDescent="0.45">
      <c r="Z578"/>
      <c r="AA578"/>
    </row>
    <row r="579" spans="26:27" x14ac:dyDescent="0.45">
      <c r="Z579"/>
      <c r="AA579"/>
    </row>
    <row r="580" spans="26:27" x14ac:dyDescent="0.45">
      <c r="Z580"/>
      <c r="AA580"/>
    </row>
    <row r="581" spans="26:27" x14ac:dyDescent="0.45">
      <c r="Z581"/>
      <c r="AA581"/>
    </row>
    <row r="582" spans="26:27" x14ac:dyDescent="0.45">
      <c r="Z582"/>
      <c r="AA582"/>
    </row>
    <row r="583" spans="26:27" x14ac:dyDescent="0.45">
      <c r="Z583"/>
      <c r="AA583"/>
    </row>
    <row r="584" spans="26:27" x14ac:dyDescent="0.45">
      <c r="Z584"/>
      <c r="AA584"/>
    </row>
    <row r="585" spans="26:27" x14ac:dyDescent="0.45">
      <c r="Z585"/>
      <c r="AA585"/>
    </row>
    <row r="586" spans="26:27" x14ac:dyDescent="0.45">
      <c r="Z586"/>
      <c r="AA586"/>
    </row>
    <row r="587" spans="26:27" x14ac:dyDescent="0.45">
      <c r="Z587"/>
      <c r="AA587"/>
    </row>
    <row r="588" spans="26:27" x14ac:dyDescent="0.45">
      <c r="Z588"/>
      <c r="AA588"/>
    </row>
    <row r="589" spans="26:27" x14ac:dyDescent="0.45">
      <c r="Z589"/>
      <c r="AA589"/>
    </row>
    <row r="590" spans="26:27" x14ac:dyDescent="0.45">
      <c r="Z590"/>
      <c r="AA590"/>
    </row>
    <row r="591" spans="26:27" x14ac:dyDescent="0.45">
      <c r="Z591"/>
      <c r="AA591"/>
    </row>
    <row r="592" spans="26:27" x14ac:dyDescent="0.45">
      <c r="Z592"/>
      <c r="AA592"/>
    </row>
    <row r="593" spans="26:27" x14ac:dyDescent="0.45">
      <c r="Z593"/>
      <c r="AA593"/>
    </row>
    <row r="594" spans="26:27" x14ac:dyDescent="0.45">
      <c r="Z594"/>
      <c r="AA594"/>
    </row>
    <row r="595" spans="26:27" x14ac:dyDescent="0.45">
      <c r="Z595"/>
      <c r="AA595"/>
    </row>
    <row r="596" spans="26:27" x14ac:dyDescent="0.45">
      <c r="Z596"/>
      <c r="AA596"/>
    </row>
    <row r="597" spans="26:27" x14ac:dyDescent="0.45">
      <c r="Z597"/>
      <c r="AA597"/>
    </row>
    <row r="598" spans="26:27" x14ac:dyDescent="0.45">
      <c r="Z598"/>
      <c r="AA598"/>
    </row>
    <row r="599" spans="26:27" x14ac:dyDescent="0.45">
      <c r="Z599"/>
      <c r="AA599"/>
    </row>
    <row r="600" spans="26:27" x14ac:dyDescent="0.45">
      <c r="Z600"/>
      <c r="AA600"/>
    </row>
    <row r="601" spans="26:27" x14ac:dyDescent="0.45">
      <c r="Z601"/>
      <c r="AA601"/>
    </row>
    <row r="602" spans="26:27" x14ac:dyDescent="0.45">
      <c r="Z602"/>
      <c r="AA602"/>
    </row>
    <row r="603" spans="26:27" x14ac:dyDescent="0.45">
      <c r="Z603"/>
      <c r="AA603"/>
    </row>
    <row r="604" spans="26:27" x14ac:dyDescent="0.45">
      <c r="Z604"/>
      <c r="AA604"/>
    </row>
    <row r="605" spans="26:27" x14ac:dyDescent="0.45">
      <c r="Z605"/>
      <c r="AA605"/>
    </row>
    <row r="606" spans="26:27" x14ac:dyDescent="0.45">
      <c r="Z606"/>
      <c r="AA606"/>
    </row>
    <row r="607" spans="26:27" x14ac:dyDescent="0.45">
      <c r="Z607"/>
      <c r="AA607"/>
    </row>
    <row r="608" spans="26:27" x14ac:dyDescent="0.45">
      <c r="Z608"/>
      <c r="AA608"/>
    </row>
    <row r="609" spans="26:27" x14ac:dyDescent="0.45">
      <c r="Z609"/>
      <c r="AA609"/>
    </row>
    <row r="610" spans="26:27" x14ac:dyDescent="0.45">
      <c r="Z610"/>
      <c r="AA610"/>
    </row>
    <row r="611" spans="26:27" x14ac:dyDescent="0.45">
      <c r="Z611"/>
      <c r="AA611"/>
    </row>
    <row r="612" spans="26:27" x14ac:dyDescent="0.45">
      <c r="Z612"/>
      <c r="AA612"/>
    </row>
    <row r="613" spans="26:27" x14ac:dyDescent="0.45">
      <c r="Z613"/>
      <c r="AA613"/>
    </row>
    <row r="614" spans="26:27" x14ac:dyDescent="0.45">
      <c r="Z614"/>
      <c r="AA614"/>
    </row>
    <row r="615" spans="26:27" x14ac:dyDescent="0.45">
      <c r="Z615"/>
      <c r="AA615"/>
    </row>
    <row r="616" spans="26:27" x14ac:dyDescent="0.45">
      <c r="Z616"/>
      <c r="AA616"/>
    </row>
    <row r="617" spans="26:27" x14ac:dyDescent="0.45">
      <c r="Z617"/>
      <c r="AA617"/>
    </row>
    <row r="618" spans="26:27" x14ac:dyDescent="0.45">
      <c r="Z618"/>
      <c r="AA618"/>
    </row>
    <row r="619" spans="26:27" x14ac:dyDescent="0.45">
      <c r="Z619"/>
      <c r="AA619"/>
    </row>
    <row r="620" spans="26:27" x14ac:dyDescent="0.45">
      <c r="Z620"/>
      <c r="AA620"/>
    </row>
    <row r="621" spans="26:27" x14ac:dyDescent="0.45">
      <c r="Z621"/>
      <c r="AA621"/>
    </row>
    <row r="622" spans="26:27" x14ac:dyDescent="0.45">
      <c r="Z622"/>
      <c r="AA622"/>
    </row>
    <row r="623" spans="26:27" x14ac:dyDescent="0.45">
      <c r="Z623"/>
      <c r="AA623"/>
    </row>
    <row r="624" spans="26:27" x14ac:dyDescent="0.45">
      <c r="Z624"/>
      <c r="AA624"/>
    </row>
    <row r="625" spans="26:27" x14ac:dyDescent="0.45">
      <c r="Z625"/>
      <c r="AA625"/>
    </row>
    <row r="626" spans="26:27" x14ac:dyDescent="0.45">
      <c r="Z626"/>
      <c r="AA626"/>
    </row>
    <row r="627" spans="26:27" x14ac:dyDescent="0.45">
      <c r="Z627"/>
      <c r="AA627"/>
    </row>
    <row r="628" spans="26:27" x14ac:dyDescent="0.45">
      <c r="Z628"/>
      <c r="AA628"/>
    </row>
    <row r="629" spans="26:27" x14ac:dyDescent="0.45">
      <c r="Z629"/>
      <c r="AA629"/>
    </row>
    <row r="630" spans="26:27" x14ac:dyDescent="0.45">
      <c r="Z630"/>
      <c r="AA630"/>
    </row>
    <row r="631" spans="26:27" x14ac:dyDescent="0.45">
      <c r="Z631"/>
      <c r="AA631"/>
    </row>
    <row r="632" spans="26:27" x14ac:dyDescent="0.45">
      <c r="Z632"/>
      <c r="AA632"/>
    </row>
    <row r="633" spans="26:27" x14ac:dyDescent="0.45">
      <c r="Z633"/>
      <c r="AA633"/>
    </row>
    <row r="634" spans="26:27" x14ac:dyDescent="0.45">
      <c r="Z634"/>
      <c r="AA634"/>
    </row>
    <row r="635" spans="26:27" x14ac:dyDescent="0.45">
      <c r="Z635"/>
      <c r="AA635"/>
    </row>
    <row r="636" spans="26:27" x14ac:dyDescent="0.45">
      <c r="Z636"/>
      <c r="AA636"/>
    </row>
    <row r="637" spans="26:27" x14ac:dyDescent="0.45">
      <c r="Z637"/>
      <c r="AA637"/>
    </row>
    <row r="638" spans="26:27" x14ac:dyDescent="0.45">
      <c r="Z638"/>
      <c r="AA638"/>
    </row>
    <row r="639" spans="26:27" x14ac:dyDescent="0.45">
      <c r="Z639"/>
      <c r="AA639"/>
    </row>
    <row r="640" spans="26:27" x14ac:dyDescent="0.45">
      <c r="Z640"/>
      <c r="AA640"/>
    </row>
    <row r="641" spans="26:27" x14ac:dyDescent="0.45">
      <c r="Z641"/>
      <c r="AA641"/>
    </row>
    <row r="642" spans="26:27" x14ac:dyDescent="0.45">
      <c r="Z642"/>
      <c r="AA642"/>
    </row>
    <row r="643" spans="26:27" x14ac:dyDescent="0.45">
      <c r="Z643"/>
      <c r="AA643"/>
    </row>
    <row r="644" spans="26:27" x14ac:dyDescent="0.45">
      <c r="Z644"/>
      <c r="AA644"/>
    </row>
    <row r="645" spans="26:27" x14ac:dyDescent="0.45">
      <c r="Z645"/>
      <c r="AA645"/>
    </row>
    <row r="646" spans="26:27" x14ac:dyDescent="0.45">
      <c r="Z646"/>
      <c r="AA646"/>
    </row>
    <row r="647" spans="26:27" x14ac:dyDescent="0.45">
      <c r="Z647"/>
      <c r="AA647"/>
    </row>
    <row r="648" spans="26:27" x14ac:dyDescent="0.45">
      <c r="Z648"/>
      <c r="AA648"/>
    </row>
    <row r="649" spans="26:27" x14ac:dyDescent="0.45">
      <c r="Z649"/>
      <c r="AA649"/>
    </row>
    <row r="650" spans="26:27" x14ac:dyDescent="0.45">
      <c r="Z650"/>
      <c r="AA650"/>
    </row>
    <row r="651" spans="26:27" x14ac:dyDescent="0.45">
      <c r="Z651"/>
      <c r="AA651"/>
    </row>
    <row r="652" spans="26:27" x14ac:dyDescent="0.45">
      <c r="Z652"/>
      <c r="AA652"/>
    </row>
    <row r="653" spans="26:27" x14ac:dyDescent="0.45">
      <c r="Z653"/>
      <c r="AA653"/>
    </row>
    <row r="654" spans="26:27" x14ac:dyDescent="0.45">
      <c r="Z654"/>
      <c r="AA654"/>
    </row>
    <row r="655" spans="26:27" x14ac:dyDescent="0.45">
      <c r="Z655"/>
      <c r="AA655"/>
    </row>
    <row r="656" spans="26:27" x14ac:dyDescent="0.45">
      <c r="Z656"/>
      <c r="AA656"/>
    </row>
    <row r="657" spans="26:27" x14ac:dyDescent="0.45">
      <c r="Z657"/>
      <c r="AA657"/>
    </row>
    <row r="658" spans="26:27" x14ac:dyDescent="0.45">
      <c r="Z658"/>
      <c r="AA658"/>
    </row>
    <row r="659" spans="26:27" x14ac:dyDescent="0.45">
      <c r="Z659"/>
      <c r="AA659"/>
    </row>
    <row r="660" spans="26:27" x14ac:dyDescent="0.45">
      <c r="Z660"/>
      <c r="AA660"/>
    </row>
    <row r="661" spans="26:27" x14ac:dyDescent="0.45">
      <c r="Z661"/>
      <c r="AA661"/>
    </row>
    <row r="662" spans="26:27" x14ac:dyDescent="0.45">
      <c r="Z662"/>
      <c r="AA662"/>
    </row>
    <row r="663" spans="26:27" x14ac:dyDescent="0.45">
      <c r="Z663"/>
      <c r="AA663"/>
    </row>
    <row r="664" spans="26:27" x14ac:dyDescent="0.45">
      <c r="Z664"/>
      <c r="AA664"/>
    </row>
    <row r="665" spans="26:27" x14ac:dyDescent="0.45">
      <c r="Z665"/>
      <c r="AA665"/>
    </row>
    <row r="666" spans="26:27" x14ac:dyDescent="0.45">
      <c r="Z666"/>
      <c r="AA666"/>
    </row>
    <row r="667" spans="26:27" x14ac:dyDescent="0.45">
      <c r="Z667"/>
      <c r="AA667"/>
    </row>
    <row r="668" spans="26:27" x14ac:dyDescent="0.45">
      <c r="Z668"/>
      <c r="AA668"/>
    </row>
    <row r="669" spans="26:27" x14ac:dyDescent="0.45">
      <c r="Z669"/>
      <c r="AA669"/>
    </row>
    <row r="670" spans="26:27" x14ac:dyDescent="0.45">
      <c r="Z670"/>
      <c r="AA670"/>
    </row>
    <row r="671" spans="26:27" x14ac:dyDescent="0.45">
      <c r="Z671"/>
      <c r="AA671"/>
    </row>
    <row r="672" spans="26:27" x14ac:dyDescent="0.45">
      <c r="Z672"/>
      <c r="AA672"/>
    </row>
    <row r="673" spans="26:27" x14ac:dyDescent="0.45">
      <c r="Z673"/>
      <c r="AA673"/>
    </row>
    <row r="674" spans="26:27" x14ac:dyDescent="0.45">
      <c r="Z674"/>
      <c r="AA674"/>
    </row>
    <row r="675" spans="26:27" x14ac:dyDescent="0.45">
      <c r="Z675"/>
      <c r="AA675"/>
    </row>
    <row r="676" spans="26:27" x14ac:dyDescent="0.45">
      <c r="Z676"/>
      <c r="AA676"/>
    </row>
    <row r="677" spans="26:27" x14ac:dyDescent="0.45">
      <c r="Z677"/>
      <c r="AA677"/>
    </row>
    <row r="678" spans="26:27" x14ac:dyDescent="0.45">
      <c r="Z678"/>
      <c r="AA678"/>
    </row>
    <row r="679" spans="26:27" x14ac:dyDescent="0.45">
      <c r="Z679"/>
      <c r="AA679"/>
    </row>
    <row r="680" spans="26:27" x14ac:dyDescent="0.45">
      <c r="Z680"/>
      <c r="AA680"/>
    </row>
    <row r="681" spans="26:27" x14ac:dyDescent="0.45">
      <c r="Z681"/>
      <c r="AA681"/>
    </row>
    <row r="682" spans="26:27" x14ac:dyDescent="0.45">
      <c r="Z682"/>
      <c r="AA682"/>
    </row>
    <row r="683" spans="26:27" x14ac:dyDescent="0.45">
      <c r="Z683"/>
      <c r="AA683"/>
    </row>
    <row r="684" spans="26:27" x14ac:dyDescent="0.45">
      <c r="Z684"/>
      <c r="AA684"/>
    </row>
    <row r="685" spans="26:27" x14ac:dyDescent="0.45">
      <c r="Z685"/>
      <c r="AA685"/>
    </row>
    <row r="686" spans="26:27" x14ac:dyDescent="0.45">
      <c r="Z686"/>
      <c r="AA686"/>
    </row>
    <row r="687" spans="26:27" x14ac:dyDescent="0.45">
      <c r="Z687"/>
      <c r="AA687"/>
    </row>
    <row r="688" spans="26:27" x14ac:dyDescent="0.45">
      <c r="Z688"/>
      <c r="AA688"/>
    </row>
    <row r="689" spans="26:27" x14ac:dyDescent="0.45">
      <c r="Z689"/>
      <c r="AA689"/>
    </row>
    <row r="690" spans="26:27" x14ac:dyDescent="0.45">
      <c r="Z690"/>
      <c r="AA690"/>
    </row>
    <row r="691" spans="26:27" x14ac:dyDescent="0.45">
      <c r="Z691"/>
      <c r="AA691"/>
    </row>
    <row r="692" spans="26:27" x14ac:dyDescent="0.45">
      <c r="Z692"/>
      <c r="AA692"/>
    </row>
    <row r="693" spans="26:27" x14ac:dyDescent="0.45">
      <c r="Z693"/>
      <c r="AA693"/>
    </row>
  </sheetData>
  <mergeCells count="3">
    <mergeCell ref="AL2:AM2"/>
    <mergeCell ref="AE6:AM6"/>
    <mergeCell ref="AE7:AM7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162"/>
  <sheetViews>
    <sheetView workbookViewId="0">
      <selection activeCell="B83" sqref="B83"/>
    </sheetView>
  </sheetViews>
  <sheetFormatPr defaultRowHeight="14" x14ac:dyDescent="0.3"/>
  <cols>
    <col min="2" max="2" width="15.5" customWidth="1"/>
    <col min="3" max="3" width="8.25" style="219" customWidth="1"/>
    <col min="4" max="4" width="12.08203125" style="225" customWidth="1"/>
    <col min="5" max="5" width="9.75" customWidth="1"/>
    <col min="6" max="6" width="15.33203125" style="219" bestFit="1" customWidth="1"/>
    <col min="7" max="7" width="9" style="219"/>
    <col min="8" max="8" width="17.08203125" style="219" customWidth="1"/>
    <col min="13" max="13" width="13.83203125" customWidth="1"/>
    <col min="16" max="16" width="15.83203125" customWidth="1"/>
    <col min="17" max="17" width="18.83203125" customWidth="1"/>
    <col min="18" max="19" width="28" bestFit="1" customWidth="1"/>
    <col min="21" max="21" width="16.58203125" bestFit="1" customWidth="1"/>
    <col min="22" max="22" width="21.83203125" bestFit="1" customWidth="1"/>
    <col min="23" max="23" width="28" bestFit="1" customWidth="1"/>
  </cols>
  <sheetData>
    <row r="1" spans="2:23" x14ac:dyDescent="0.3">
      <c r="L1" s="219" t="s">
        <v>1644</v>
      </c>
      <c r="M1" s="231" t="s">
        <v>1642</v>
      </c>
      <c r="N1" s="231" t="s">
        <v>1641</v>
      </c>
      <c r="O1" s="231" t="s">
        <v>1640</v>
      </c>
      <c r="P1" s="234" t="s">
        <v>1643</v>
      </c>
      <c r="Q1" s="219"/>
      <c r="R1" s="219"/>
    </row>
    <row r="2" spans="2:23" x14ac:dyDescent="0.3">
      <c r="B2" s="227" t="s">
        <v>1619</v>
      </c>
      <c r="D2" s="226" t="s">
        <v>1609</v>
      </c>
      <c r="F2" s="219" t="s">
        <v>1637</v>
      </c>
      <c r="G2" s="219" t="s">
        <v>1638</v>
      </c>
      <c r="H2" s="229" t="s">
        <v>1645</v>
      </c>
      <c r="I2" s="219" t="s">
        <v>1639</v>
      </c>
      <c r="J2" s="219" t="s">
        <v>1640</v>
      </c>
      <c r="K2" s="219"/>
      <c r="M2" s="230">
        <v>230561.52</v>
      </c>
      <c r="N2" s="219">
        <v>1985</v>
      </c>
      <c r="O2" s="232">
        <f>IFERROR(VLOOKUP(N2,$F$2:$J$50,5,FALSE),"")</f>
        <v>3.3489307692307699</v>
      </c>
      <c r="P2" s="235">
        <f>O2*M2</f>
        <v>772134.56852861552</v>
      </c>
      <c r="Q2" s="219"/>
      <c r="R2" s="219"/>
    </row>
    <row r="3" spans="2:23" x14ac:dyDescent="0.3">
      <c r="B3" t="s">
        <v>2061</v>
      </c>
      <c r="C3" s="219">
        <v>2022</v>
      </c>
      <c r="D3" s="225">
        <v>5.79E-2</v>
      </c>
      <c r="F3" s="219">
        <v>2022</v>
      </c>
      <c r="G3" s="219">
        <f t="shared" ref="G3:G8" si="0">2023-F3</f>
        <v>1</v>
      </c>
      <c r="H3" s="226">
        <f>D3</f>
        <v>5.79E-2</v>
      </c>
      <c r="O3" s="230"/>
      <c r="P3" s="230"/>
    </row>
    <row r="4" spans="2:23" x14ac:dyDescent="0.3">
      <c r="B4" t="s">
        <v>1610</v>
      </c>
      <c r="C4" s="219">
        <v>2021</v>
      </c>
      <c r="D4" s="224">
        <v>0.10059999999999999</v>
      </c>
      <c r="F4" s="219">
        <v>2021</v>
      </c>
      <c r="G4" s="219">
        <f t="shared" si="0"/>
        <v>2</v>
      </c>
      <c r="H4" s="226">
        <f>SUM($D$3:D4)</f>
        <v>0.1585</v>
      </c>
      <c r="I4">
        <v>0.10059999999999999</v>
      </c>
      <c r="J4">
        <f>1+I4</f>
        <v>1.1006</v>
      </c>
    </row>
    <row r="5" spans="2:23" x14ac:dyDescent="0.3">
      <c r="B5" t="s">
        <v>1611</v>
      </c>
      <c r="C5" s="219">
        <v>2020</v>
      </c>
      <c r="D5" s="224">
        <v>4.5199999999999997E-2</v>
      </c>
      <c r="F5" s="219">
        <v>2020</v>
      </c>
      <c r="G5" s="219">
        <f t="shared" si="0"/>
        <v>3</v>
      </c>
      <c r="H5" s="226">
        <f>SUM($D$3:D5)</f>
        <v>0.20369999999999999</v>
      </c>
      <c r="I5">
        <v>0.14579999999999999</v>
      </c>
      <c r="J5">
        <f t="shared" ref="J5:J50" si="1">1+I5</f>
        <v>1.1457999999999999</v>
      </c>
    </row>
    <row r="6" spans="2:23" x14ac:dyDescent="0.3">
      <c r="B6" t="s">
        <v>1612</v>
      </c>
      <c r="C6" s="219">
        <v>2019</v>
      </c>
      <c r="D6" s="224">
        <v>4.3099999999999999E-2</v>
      </c>
      <c r="F6" s="219">
        <v>2019</v>
      </c>
      <c r="G6" s="219">
        <f t="shared" si="0"/>
        <v>4</v>
      </c>
      <c r="H6" s="226">
        <f>SUM($D$3:D6)</f>
        <v>0.24679999999999999</v>
      </c>
      <c r="I6">
        <v>0.18889999999999998</v>
      </c>
      <c r="J6">
        <f t="shared" si="1"/>
        <v>1.1889000000000001</v>
      </c>
    </row>
    <row r="7" spans="2:23" x14ac:dyDescent="0.3">
      <c r="B7" t="s">
        <v>1613</v>
      </c>
      <c r="C7" s="219">
        <v>2018</v>
      </c>
      <c r="D7" s="224">
        <v>3.7499999999999999E-2</v>
      </c>
      <c r="F7" s="219">
        <v>2018</v>
      </c>
      <c r="G7" s="219">
        <f t="shared" si="0"/>
        <v>5</v>
      </c>
      <c r="H7" s="226">
        <f>SUM($D$3:D7)</f>
        <v>0.2843</v>
      </c>
      <c r="I7">
        <v>0.22639999999999999</v>
      </c>
      <c r="J7">
        <f t="shared" si="1"/>
        <v>1.2263999999999999</v>
      </c>
      <c r="L7">
        <v>290000</v>
      </c>
      <c r="M7">
        <f>L7*J7</f>
        <v>355656</v>
      </c>
    </row>
    <row r="8" spans="2:23" x14ac:dyDescent="0.3">
      <c r="B8" t="s">
        <v>1614</v>
      </c>
      <c r="C8" s="219">
        <v>2017</v>
      </c>
      <c r="D8" s="224">
        <v>2.9499999999999998E-2</v>
      </c>
      <c r="F8" s="219">
        <v>2017</v>
      </c>
      <c r="G8" s="219">
        <f t="shared" si="0"/>
        <v>6</v>
      </c>
      <c r="H8" s="226">
        <f>SUM($D$3:D8)</f>
        <v>0.31379999999999997</v>
      </c>
      <c r="I8">
        <v>0.25590000000000002</v>
      </c>
      <c r="J8">
        <f t="shared" si="1"/>
        <v>1.2559</v>
      </c>
    </row>
    <row r="9" spans="2:23" x14ac:dyDescent="0.3">
      <c r="B9" t="s">
        <v>1615</v>
      </c>
      <c r="C9" s="219">
        <v>2016</v>
      </c>
      <c r="D9" s="224">
        <v>6.2899999999999998E-2</v>
      </c>
      <c r="F9" s="219">
        <v>2016</v>
      </c>
      <c r="G9" s="219">
        <f t="shared" ref="G9:G50" si="2">2023-F9</f>
        <v>7</v>
      </c>
      <c r="H9" s="226">
        <f>SUM($D$3:D9)</f>
        <v>0.37669999999999998</v>
      </c>
      <c r="I9">
        <v>0.31880000000000003</v>
      </c>
      <c r="J9">
        <f t="shared" si="1"/>
        <v>1.3188</v>
      </c>
      <c r="L9">
        <v>316000</v>
      </c>
      <c r="M9">
        <f>L9*J9</f>
        <v>416740.8</v>
      </c>
    </row>
    <row r="10" spans="2:23" x14ac:dyDescent="0.3">
      <c r="B10" t="s">
        <v>1616</v>
      </c>
      <c r="C10" s="219">
        <v>2015</v>
      </c>
      <c r="D10" s="224">
        <v>0.1067</v>
      </c>
      <c r="F10" s="219">
        <v>2015</v>
      </c>
      <c r="G10" s="219">
        <f t="shared" si="2"/>
        <v>8</v>
      </c>
      <c r="H10" s="226">
        <f>SUM($D$3:D10)</f>
        <v>0.4834</v>
      </c>
      <c r="I10">
        <v>0.42550000000000004</v>
      </c>
      <c r="J10">
        <f t="shared" si="1"/>
        <v>1.4255</v>
      </c>
    </row>
    <row r="11" spans="2:23" x14ac:dyDescent="0.3">
      <c r="B11" t="s">
        <v>1617</v>
      </c>
      <c r="C11" s="219">
        <v>2014</v>
      </c>
      <c r="D11" s="224">
        <v>6.4100000000000004E-2</v>
      </c>
      <c r="F11" s="219">
        <v>2014</v>
      </c>
      <c r="G11" s="219">
        <f t="shared" si="2"/>
        <v>9</v>
      </c>
      <c r="H11" s="226">
        <f>SUM($D$3:D11)</f>
        <v>0.54749999999999999</v>
      </c>
      <c r="I11">
        <v>0.48960000000000004</v>
      </c>
      <c r="J11">
        <f t="shared" si="1"/>
        <v>1.4896</v>
      </c>
      <c r="R11" t="s">
        <v>554</v>
      </c>
      <c r="S11" t="s">
        <v>1235</v>
      </c>
      <c r="V11" t="s">
        <v>556</v>
      </c>
      <c r="W11" t="s">
        <v>1237</v>
      </c>
    </row>
    <row r="12" spans="2:23" x14ac:dyDescent="0.3">
      <c r="B12" t="s">
        <v>1618</v>
      </c>
      <c r="C12" s="219">
        <v>2013</v>
      </c>
      <c r="D12" s="224">
        <v>5.91E-2</v>
      </c>
      <c r="F12" s="219">
        <v>2013</v>
      </c>
      <c r="G12" s="219">
        <f t="shared" si="2"/>
        <v>10</v>
      </c>
      <c r="H12" s="226">
        <f>SUM($D$3:D12)</f>
        <v>0.60660000000000003</v>
      </c>
      <c r="I12">
        <v>0.54870000000000008</v>
      </c>
      <c r="J12">
        <f t="shared" si="1"/>
        <v>1.5487000000000002</v>
      </c>
      <c r="R12" t="s">
        <v>555</v>
      </c>
      <c r="S12" t="s">
        <v>1236</v>
      </c>
      <c r="V12" t="s">
        <v>557</v>
      </c>
      <c r="W12" t="s">
        <v>1237</v>
      </c>
    </row>
    <row r="13" spans="2:23" x14ac:dyDescent="0.3">
      <c r="B13" t="s">
        <v>1625</v>
      </c>
      <c r="C13" s="219">
        <v>2012</v>
      </c>
      <c r="D13" s="224">
        <v>5.8400000000000001E-2</v>
      </c>
      <c r="F13" s="219">
        <v>2012</v>
      </c>
      <c r="G13" s="219">
        <f t="shared" si="2"/>
        <v>11</v>
      </c>
      <c r="H13" s="226">
        <f>SUM($D$3:D13)</f>
        <v>0.66500000000000004</v>
      </c>
      <c r="I13">
        <v>0.60710000000000008</v>
      </c>
      <c r="J13">
        <f t="shared" si="1"/>
        <v>1.6071</v>
      </c>
      <c r="R13" t="s">
        <v>558</v>
      </c>
      <c r="S13" t="s">
        <v>1238</v>
      </c>
      <c r="V13" t="s">
        <v>295</v>
      </c>
      <c r="W13" t="s">
        <v>1246</v>
      </c>
    </row>
    <row r="14" spans="2:23" x14ac:dyDescent="0.3">
      <c r="B14" t="s">
        <v>1626</v>
      </c>
      <c r="C14" s="219">
        <v>2011</v>
      </c>
      <c r="D14" s="224">
        <v>6.5000000000000002E-2</v>
      </c>
      <c r="F14" s="219">
        <v>2011</v>
      </c>
      <c r="G14" s="219">
        <f t="shared" si="2"/>
        <v>12</v>
      </c>
      <c r="H14" s="226">
        <f>SUM($D$3:D14)</f>
        <v>0.73</v>
      </c>
      <c r="I14">
        <v>0.67210000000000014</v>
      </c>
      <c r="J14">
        <f t="shared" si="1"/>
        <v>1.6721000000000001</v>
      </c>
      <c r="O14" s="233"/>
      <c r="R14" t="s">
        <v>559</v>
      </c>
      <c r="S14" t="s">
        <v>1239</v>
      </c>
      <c r="V14" t="s">
        <v>569</v>
      </c>
      <c r="W14" t="s">
        <v>1246</v>
      </c>
    </row>
    <row r="15" spans="2:23" x14ac:dyDescent="0.3">
      <c r="B15" t="s">
        <v>1627</v>
      </c>
      <c r="C15" s="219">
        <v>2010</v>
      </c>
      <c r="D15" s="224">
        <v>5.91E-2</v>
      </c>
      <c r="F15" s="219">
        <v>2010</v>
      </c>
      <c r="G15" s="219">
        <f t="shared" si="2"/>
        <v>13</v>
      </c>
      <c r="H15" s="226">
        <f>SUM($D$3:D15)</f>
        <v>0.78910000000000002</v>
      </c>
      <c r="I15">
        <v>0.73120000000000018</v>
      </c>
      <c r="J15">
        <f t="shared" si="1"/>
        <v>1.7312000000000003</v>
      </c>
      <c r="R15" t="s">
        <v>287</v>
      </c>
      <c r="S15" t="s">
        <v>1238</v>
      </c>
      <c r="V15" t="s">
        <v>570</v>
      </c>
      <c r="W15" t="s">
        <v>1247</v>
      </c>
    </row>
    <row r="16" spans="2:23" x14ac:dyDescent="0.3">
      <c r="B16" t="s">
        <v>1628</v>
      </c>
      <c r="C16" s="219">
        <v>2009</v>
      </c>
      <c r="D16" s="224">
        <v>4.3099999999999999E-2</v>
      </c>
      <c r="F16" s="219">
        <v>2009</v>
      </c>
      <c r="G16" s="219">
        <f t="shared" si="2"/>
        <v>14</v>
      </c>
      <c r="H16" s="226">
        <f>SUM($D$3:D16)</f>
        <v>0.83220000000000005</v>
      </c>
      <c r="I16">
        <v>0.77430000000000021</v>
      </c>
      <c r="J16">
        <f t="shared" si="1"/>
        <v>1.7743000000000002</v>
      </c>
      <c r="R16" t="s">
        <v>285</v>
      </c>
      <c r="S16" t="s">
        <v>1240</v>
      </c>
      <c r="V16" t="s">
        <v>571</v>
      </c>
      <c r="W16" t="s">
        <v>1247</v>
      </c>
    </row>
    <row r="17" spans="2:23" x14ac:dyDescent="0.3">
      <c r="B17" t="s">
        <v>1629</v>
      </c>
      <c r="C17" s="219">
        <v>2008</v>
      </c>
      <c r="D17" s="224">
        <v>5.8999999999999997E-2</v>
      </c>
      <c r="F17" s="219">
        <v>2008</v>
      </c>
      <c r="G17" s="219">
        <f t="shared" si="2"/>
        <v>15</v>
      </c>
      <c r="H17" s="226">
        <f>SUM($D$3:D17)</f>
        <v>0.89119999999999999</v>
      </c>
      <c r="I17">
        <v>0.83330000000000015</v>
      </c>
      <c r="J17">
        <f t="shared" si="1"/>
        <v>1.8333000000000002</v>
      </c>
      <c r="R17" t="s">
        <v>560</v>
      </c>
      <c r="S17" t="s">
        <v>1241</v>
      </c>
      <c r="V17" t="s">
        <v>271</v>
      </c>
      <c r="W17" t="s">
        <v>1248</v>
      </c>
    </row>
    <row r="18" spans="2:23" x14ac:dyDescent="0.3">
      <c r="B18" t="s">
        <v>1630</v>
      </c>
      <c r="C18" s="219">
        <v>2007</v>
      </c>
      <c r="D18" s="224">
        <v>4.4600000000000001E-2</v>
      </c>
      <c r="F18" s="219">
        <v>2007</v>
      </c>
      <c r="G18" s="219">
        <f t="shared" si="2"/>
        <v>16</v>
      </c>
      <c r="H18" s="226">
        <f>SUM($D$3:D18)</f>
        <v>0.93579999999999997</v>
      </c>
      <c r="I18">
        <v>0.87790000000000012</v>
      </c>
      <c r="J18">
        <f t="shared" si="1"/>
        <v>1.8779000000000001</v>
      </c>
      <c r="R18" t="s">
        <v>561</v>
      </c>
      <c r="S18" t="s">
        <v>1240</v>
      </c>
      <c r="V18" t="s">
        <v>572</v>
      </c>
      <c r="W18" t="s">
        <v>1248</v>
      </c>
    </row>
    <row r="19" spans="2:23" x14ac:dyDescent="0.3">
      <c r="B19" t="s">
        <v>1631</v>
      </c>
      <c r="C19" s="219">
        <v>2006</v>
      </c>
      <c r="D19" s="224">
        <v>3.1399999999999997E-2</v>
      </c>
      <c r="F19" s="219">
        <v>2006</v>
      </c>
      <c r="G19" s="219">
        <f t="shared" si="2"/>
        <v>17</v>
      </c>
      <c r="H19" s="226">
        <f>SUM($D$3:D19)</f>
        <v>0.96719999999999995</v>
      </c>
      <c r="I19">
        <v>0.90930000000000011</v>
      </c>
      <c r="J19">
        <f t="shared" si="1"/>
        <v>1.9093</v>
      </c>
      <c r="R19" t="s">
        <v>562</v>
      </c>
      <c r="S19" t="s">
        <v>1241</v>
      </c>
      <c r="V19" t="s">
        <v>187</v>
      </c>
      <c r="W19" t="s">
        <v>1250</v>
      </c>
    </row>
    <row r="20" spans="2:23" x14ac:dyDescent="0.3">
      <c r="B20" t="s">
        <v>1632</v>
      </c>
      <c r="C20" s="219">
        <v>2005</v>
      </c>
      <c r="D20" s="224">
        <v>5.6899999999999999E-2</v>
      </c>
      <c r="F20" s="219">
        <v>2005</v>
      </c>
      <c r="G20" s="219">
        <f t="shared" si="2"/>
        <v>18</v>
      </c>
      <c r="H20" s="226">
        <f>SUM($D$3:D20)</f>
        <v>1.0241</v>
      </c>
      <c r="I20">
        <v>0.96620000000000006</v>
      </c>
      <c r="J20">
        <f t="shared" si="1"/>
        <v>1.9662000000000002</v>
      </c>
      <c r="R20" t="s">
        <v>563</v>
      </c>
      <c r="S20" t="s">
        <v>1242</v>
      </c>
      <c r="V20" t="s">
        <v>573</v>
      </c>
      <c r="W20" t="s">
        <v>1250</v>
      </c>
    </row>
    <row r="21" spans="2:23" x14ac:dyDescent="0.3">
      <c r="B21" t="s">
        <v>1633</v>
      </c>
      <c r="C21" s="219">
        <v>2004</v>
      </c>
      <c r="D21" s="224">
        <v>7.5999999999999998E-2</v>
      </c>
      <c r="F21" s="219">
        <v>2004</v>
      </c>
      <c r="G21" s="219">
        <f t="shared" si="2"/>
        <v>19</v>
      </c>
      <c r="H21" s="226">
        <f>SUM($D$3:D21)</f>
        <v>1.1001000000000001</v>
      </c>
      <c r="I21">
        <v>1.0422</v>
      </c>
      <c r="J21">
        <f t="shared" si="1"/>
        <v>2.0422000000000002</v>
      </c>
      <c r="R21" t="s">
        <v>279</v>
      </c>
      <c r="S21" t="s">
        <v>1242</v>
      </c>
      <c r="V21" t="s">
        <v>205</v>
      </c>
      <c r="W21" t="s">
        <v>1251</v>
      </c>
    </row>
    <row r="22" spans="2:23" x14ac:dyDescent="0.3">
      <c r="B22" t="s">
        <v>1634</v>
      </c>
      <c r="C22" s="219">
        <v>2003</v>
      </c>
      <c r="D22" s="224">
        <v>9.2999999999999999E-2</v>
      </c>
      <c r="F22" s="219">
        <v>2003</v>
      </c>
      <c r="G22" s="219">
        <f t="shared" si="2"/>
        <v>20</v>
      </c>
      <c r="H22" s="226">
        <f>SUM($D$3:D22)</f>
        <v>1.1931</v>
      </c>
      <c r="I22">
        <v>1.1352</v>
      </c>
      <c r="J22">
        <f t="shared" si="1"/>
        <v>2.1352000000000002</v>
      </c>
      <c r="R22" t="s">
        <v>564</v>
      </c>
      <c r="S22" t="s">
        <v>1243</v>
      </c>
      <c r="V22" t="s">
        <v>574</v>
      </c>
      <c r="W22" t="s">
        <v>1251</v>
      </c>
    </row>
    <row r="23" spans="2:23" x14ac:dyDescent="0.3">
      <c r="B23" t="s">
        <v>1635</v>
      </c>
      <c r="C23" s="219">
        <v>2002</v>
      </c>
      <c r="D23" s="224">
        <v>0.12529999999999999</v>
      </c>
      <c r="F23" s="219">
        <v>2002</v>
      </c>
      <c r="G23" s="219">
        <f t="shared" si="2"/>
        <v>21</v>
      </c>
      <c r="H23" s="226">
        <f>SUM($D$3:D23)</f>
        <v>1.3184</v>
      </c>
      <c r="I23">
        <v>1.2605</v>
      </c>
      <c r="J23">
        <f t="shared" si="1"/>
        <v>2.2605</v>
      </c>
      <c r="R23" t="s">
        <v>565</v>
      </c>
      <c r="S23" t="s">
        <v>1243</v>
      </c>
      <c r="V23" t="s">
        <v>178</v>
      </c>
      <c r="W23" t="s">
        <v>1252</v>
      </c>
    </row>
    <row r="24" spans="2:23" x14ac:dyDescent="0.3">
      <c r="B24" t="s">
        <v>1636</v>
      </c>
      <c r="C24" s="219">
        <v>2001</v>
      </c>
      <c r="D24" s="224">
        <v>7.6700000000000004E-2</v>
      </c>
      <c r="F24" s="219">
        <v>2001</v>
      </c>
      <c r="G24" s="219">
        <f t="shared" si="2"/>
        <v>22</v>
      </c>
      <c r="H24" s="226">
        <f>SUM($D$3:D24)</f>
        <v>1.3951</v>
      </c>
      <c r="I24">
        <v>1.3371999999999999</v>
      </c>
      <c r="J24">
        <f t="shared" si="1"/>
        <v>2.3372000000000002</v>
      </c>
      <c r="R24" t="s">
        <v>566</v>
      </c>
      <c r="S24" t="s">
        <v>1244</v>
      </c>
      <c r="V24" t="s">
        <v>575</v>
      </c>
      <c r="W24" t="s">
        <v>1252</v>
      </c>
    </row>
    <row r="25" spans="2:23" x14ac:dyDescent="0.3">
      <c r="B25" t="s">
        <v>1620</v>
      </c>
      <c r="C25" s="219">
        <v>2000</v>
      </c>
      <c r="D25" s="224">
        <v>5.9700000000000003E-2</v>
      </c>
      <c r="F25" s="219">
        <v>2000</v>
      </c>
      <c r="G25" s="219">
        <f t="shared" si="2"/>
        <v>23</v>
      </c>
      <c r="H25" s="226">
        <f>SUM($D$3:D25)</f>
        <v>1.4548000000000001</v>
      </c>
      <c r="I25">
        <v>1.3969</v>
      </c>
      <c r="J25">
        <f t="shared" si="1"/>
        <v>2.3969</v>
      </c>
      <c r="R25" t="s">
        <v>567</v>
      </c>
      <c r="S25" t="s">
        <v>1244</v>
      </c>
      <c r="V25" t="s">
        <v>578</v>
      </c>
      <c r="W25" t="s">
        <v>1256</v>
      </c>
    </row>
    <row r="26" spans="2:23" x14ac:dyDescent="0.3">
      <c r="B26" t="s">
        <v>1621</v>
      </c>
      <c r="C26" s="219">
        <v>1999</v>
      </c>
      <c r="D26" s="224">
        <v>8.9399999999999993E-2</v>
      </c>
      <c r="F26" s="219">
        <v>1999</v>
      </c>
      <c r="G26" s="219">
        <f t="shared" si="2"/>
        <v>24</v>
      </c>
      <c r="H26" s="226">
        <f>SUM($D$3:D26)</f>
        <v>1.5442</v>
      </c>
      <c r="I26">
        <v>1.4863</v>
      </c>
      <c r="J26">
        <f t="shared" si="1"/>
        <v>2.4863</v>
      </c>
      <c r="R26" t="s">
        <v>568</v>
      </c>
      <c r="S26" t="s">
        <v>1245</v>
      </c>
      <c r="V26" t="s">
        <v>579</v>
      </c>
      <c r="W26" t="s">
        <v>1256</v>
      </c>
    </row>
    <row r="27" spans="2:23" x14ac:dyDescent="0.3">
      <c r="B27" t="s">
        <v>1622</v>
      </c>
      <c r="C27" s="219">
        <v>1998</v>
      </c>
      <c r="D27" s="224">
        <v>1.6500000000000001E-2</v>
      </c>
      <c r="F27" s="219">
        <v>1998</v>
      </c>
      <c r="G27" s="219">
        <f t="shared" si="2"/>
        <v>25</v>
      </c>
      <c r="H27" s="226">
        <f>SUM($D$3:D27)</f>
        <v>1.5607</v>
      </c>
      <c r="I27">
        <v>1.5027999999999999</v>
      </c>
      <c r="J27">
        <f t="shared" si="1"/>
        <v>2.5027999999999997</v>
      </c>
      <c r="R27" t="s">
        <v>283</v>
      </c>
      <c r="S27" t="s">
        <v>1245</v>
      </c>
      <c r="V27" t="s">
        <v>580</v>
      </c>
      <c r="W27" t="s">
        <v>1257</v>
      </c>
    </row>
    <row r="28" spans="2:23" x14ac:dyDescent="0.3">
      <c r="B28" t="s">
        <v>1623</v>
      </c>
      <c r="C28" s="219">
        <v>1997</v>
      </c>
      <c r="D28" s="224">
        <v>5.2200000000000003E-2</v>
      </c>
      <c r="F28" s="219">
        <v>1997</v>
      </c>
      <c r="G28" s="219">
        <f t="shared" si="2"/>
        <v>26</v>
      </c>
      <c r="H28" s="226">
        <f>SUM($D$3:D28)</f>
        <v>1.6129</v>
      </c>
      <c r="I28">
        <v>1.5549999999999999</v>
      </c>
      <c r="J28">
        <f t="shared" si="1"/>
        <v>2.5549999999999997</v>
      </c>
      <c r="R28" t="s">
        <v>576</v>
      </c>
      <c r="S28" t="s">
        <v>1255</v>
      </c>
      <c r="V28" t="s">
        <v>581</v>
      </c>
      <c r="W28" t="s">
        <v>1257</v>
      </c>
    </row>
    <row r="29" spans="2:23" x14ac:dyDescent="0.3">
      <c r="B29" t="s">
        <v>1624</v>
      </c>
      <c r="C29" s="219">
        <v>1996</v>
      </c>
      <c r="D29" s="224">
        <v>9.5600000000000004E-2</v>
      </c>
      <c r="F29" s="219">
        <v>1996</v>
      </c>
      <c r="G29" s="219">
        <f t="shared" si="2"/>
        <v>27</v>
      </c>
      <c r="H29" s="226">
        <f>SUM($D$3:D29)</f>
        <v>1.7084999999999999</v>
      </c>
      <c r="I29">
        <v>1.6505999999999998</v>
      </c>
      <c r="J29">
        <f t="shared" si="1"/>
        <v>2.6505999999999998</v>
      </c>
      <c r="R29" t="s">
        <v>577</v>
      </c>
      <c r="S29" t="s">
        <v>1255</v>
      </c>
      <c r="V29" t="s">
        <v>887</v>
      </c>
      <c r="W29" t="s">
        <v>1258</v>
      </c>
    </row>
    <row r="30" spans="2:23" x14ac:dyDescent="0.3">
      <c r="C30" s="219">
        <v>1995</v>
      </c>
      <c r="D30" s="228">
        <f>AVERAGE(D4:D29)</f>
        <v>6.3484615384615375E-2</v>
      </c>
      <c r="F30" s="219">
        <v>1995</v>
      </c>
      <c r="G30" s="219">
        <f t="shared" si="2"/>
        <v>28</v>
      </c>
      <c r="H30" s="226">
        <f>SUM($D$3:D30)</f>
        <v>1.7719846153846153</v>
      </c>
      <c r="I30">
        <v>1.7140846153846152</v>
      </c>
      <c r="J30">
        <f t="shared" si="1"/>
        <v>2.714084615384615</v>
      </c>
      <c r="R30" t="s">
        <v>889</v>
      </c>
      <c r="S30" t="s">
        <v>1236</v>
      </c>
      <c r="V30" t="s">
        <v>901</v>
      </c>
      <c r="W30" t="s">
        <v>1261</v>
      </c>
    </row>
    <row r="31" spans="2:23" x14ac:dyDescent="0.3">
      <c r="C31" s="219">
        <v>1994</v>
      </c>
      <c r="D31" s="224">
        <v>6.3484615384615375E-2</v>
      </c>
      <c r="F31" s="219">
        <v>1994</v>
      </c>
      <c r="G31" s="219">
        <f t="shared" si="2"/>
        <v>29</v>
      </c>
      <c r="H31" s="226">
        <f>SUM($D$3:D31)</f>
        <v>1.8354692307692306</v>
      </c>
      <c r="I31">
        <v>1.7775692307692306</v>
      </c>
      <c r="J31">
        <f t="shared" si="1"/>
        <v>2.7775692307692306</v>
      </c>
      <c r="R31" t="s">
        <v>891</v>
      </c>
      <c r="S31" t="s">
        <v>1259</v>
      </c>
      <c r="V31" t="s">
        <v>903</v>
      </c>
      <c r="W31" t="s">
        <v>1261</v>
      </c>
    </row>
    <row r="32" spans="2:23" x14ac:dyDescent="0.3">
      <c r="C32" s="219">
        <v>1993</v>
      </c>
      <c r="D32" s="224">
        <v>6.3484615384615375E-2</v>
      </c>
      <c r="F32" s="219">
        <v>1993</v>
      </c>
      <c r="G32" s="219">
        <f t="shared" si="2"/>
        <v>30</v>
      </c>
      <c r="H32" s="226">
        <f>SUM($D$3:D32)</f>
        <v>1.898953846153846</v>
      </c>
      <c r="I32">
        <v>1.8410538461538459</v>
      </c>
      <c r="J32">
        <f t="shared" si="1"/>
        <v>2.8410538461538462</v>
      </c>
      <c r="R32" t="s">
        <v>893</v>
      </c>
      <c r="S32" t="s">
        <v>1259</v>
      </c>
      <c r="V32" t="s">
        <v>905</v>
      </c>
      <c r="W32" t="s">
        <v>1262</v>
      </c>
    </row>
    <row r="33" spans="3:23" x14ac:dyDescent="0.3">
      <c r="C33" s="219">
        <v>1992</v>
      </c>
      <c r="D33" s="224">
        <v>6.3484615384615375E-2</v>
      </c>
      <c r="F33" s="219">
        <v>1992</v>
      </c>
      <c r="G33" s="219">
        <f t="shared" si="2"/>
        <v>31</v>
      </c>
      <c r="H33" s="226">
        <f>SUM($D$3:D33)</f>
        <v>1.9624384615384614</v>
      </c>
      <c r="I33">
        <v>1.9045384615384613</v>
      </c>
      <c r="J33">
        <f t="shared" si="1"/>
        <v>2.9045384615384613</v>
      </c>
      <c r="R33" t="s">
        <v>895</v>
      </c>
      <c r="S33" t="s">
        <v>1260</v>
      </c>
      <c r="V33" t="s">
        <v>907</v>
      </c>
      <c r="W33" t="s">
        <v>1262</v>
      </c>
    </row>
    <row r="34" spans="3:23" x14ac:dyDescent="0.3">
      <c r="C34" s="219">
        <v>1991</v>
      </c>
      <c r="D34" s="224">
        <v>6.3484615384615375E-2</v>
      </c>
      <c r="F34" s="219">
        <v>1991</v>
      </c>
      <c r="G34" s="219">
        <f t="shared" si="2"/>
        <v>32</v>
      </c>
      <c r="H34" s="226">
        <f>SUM($D$3:D34)</f>
        <v>2.0259230769230769</v>
      </c>
      <c r="I34">
        <v>1.9680230769230767</v>
      </c>
      <c r="J34">
        <f t="shared" si="1"/>
        <v>2.9680230769230764</v>
      </c>
      <c r="R34" t="s">
        <v>897</v>
      </c>
      <c r="S34" t="s">
        <v>1260</v>
      </c>
      <c r="V34" t="s">
        <v>909</v>
      </c>
      <c r="W34" t="s">
        <v>1258</v>
      </c>
    </row>
    <row r="35" spans="3:23" x14ac:dyDescent="0.3">
      <c r="C35" s="219">
        <v>1990</v>
      </c>
      <c r="D35" s="224">
        <v>6.3484615384615375E-2</v>
      </c>
      <c r="F35" s="219">
        <v>1990</v>
      </c>
      <c r="G35" s="219">
        <f t="shared" si="2"/>
        <v>33</v>
      </c>
      <c r="H35" s="226">
        <f>SUM($D$3:D35)</f>
        <v>2.0894076923076925</v>
      </c>
      <c r="I35">
        <v>2.031507692307692</v>
      </c>
      <c r="J35">
        <f t="shared" si="1"/>
        <v>3.031507692307692</v>
      </c>
      <c r="R35" t="s">
        <v>899</v>
      </c>
      <c r="S35" t="s">
        <v>1239</v>
      </c>
      <c r="V35" t="s">
        <v>1646</v>
      </c>
      <c r="W35" t="s">
        <v>1237</v>
      </c>
    </row>
    <row r="36" spans="3:23" x14ac:dyDescent="0.3">
      <c r="C36" s="219">
        <v>1989</v>
      </c>
      <c r="D36" s="224">
        <v>6.3484615384615375E-2</v>
      </c>
      <c r="F36" s="219">
        <v>1989</v>
      </c>
      <c r="G36" s="219">
        <f t="shared" si="2"/>
        <v>34</v>
      </c>
      <c r="H36" s="226">
        <f>SUM($D$3:D36)</f>
        <v>2.1528923076923081</v>
      </c>
      <c r="I36">
        <v>2.0949923076923076</v>
      </c>
      <c r="J36">
        <f t="shared" si="1"/>
        <v>3.0949923076923076</v>
      </c>
      <c r="R36" t="s">
        <v>911</v>
      </c>
      <c r="S36" t="s">
        <v>1263</v>
      </c>
      <c r="V36" t="s">
        <v>784</v>
      </c>
      <c r="W36" t="s">
        <v>1379</v>
      </c>
    </row>
    <row r="37" spans="3:23" x14ac:dyDescent="0.3">
      <c r="C37" s="219">
        <v>1988</v>
      </c>
      <c r="D37" s="224">
        <v>6.3484615384615375E-2</v>
      </c>
      <c r="F37" s="219">
        <v>1988</v>
      </c>
      <c r="G37" s="219">
        <f t="shared" si="2"/>
        <v>35</v>
      </c>
      <c r="H37" s="226">
        <f>SUM($D$3:D37)</f>
        <v>2.2163769230769237</v>
      </c>
      <c r="I37">
        <v>2.1584769230769232</v>
      </c>
      <c r="J37">
        <f t="shared" si="1"/>
        <v>3.1584769230769232</v>
      </c>
      <c r="R37" t="s">
        <v>913</v>
      </c>
      <c r="S37" t="s">
        <v>1264</v>
      </c>
      <c r="V37" t="s">
        <v>188</v>
      </c>
      <c r="W37" t="s">
        <v>1380</v>
      </c>
    </row>
    <row r="38" spans="3:23" x14ac:dyDescent="0.3">
      <c r="C38" s="219">
        <v>1987</v>
      </c>
      <c r="D38" s="224">
        <v>6.3484615384615375E-2</v>
      </c>
      <c r="F38" s="219">
        <v>1987</v>
      </c>
      <c r="G38" s="219">
        <f t="shared" si="2"/>
        <v>36</v>
      </c>
      <c r="H38" s="226">
        <f>SUM($D$3:D38)</f>
        <v>2.2798615384615393</v>
      </c>
      <c r="I38">
        <v>2.2219615384615388</v>
      </c>
      <c r="J38">
        <f t="shared" si="1"/>
        <v>3.2219615384615388</v>
      </c>
      <c r="R38" t="s">
        <v>915</v>
      </c>
      <c r="S38" t="s">
        <v>1263</v>
      </c>
      <c r="V38" t="s">
        <v>790</v>
      </c>
      <c r="W38" t="s">
        <v>1383</v>
      </c>
    </row>
    <row r="39" spans="3:23" x14ac:dyDescent="0.3">
      <c r="C39" s="219">
        <v>1986</v>
      </c>
      <c r="D39" s="224">
        <v>6.3484615384615375E-2</v>
      </c>
      <c r="F39" s="219">
        <v>1986</v>
      </c>
      <c r="G39" s="219">
        <f t="shared" si="2"/>
        <v>37</v>
      </c>
      <c r="H39" s="226">
        <f>SUM($D$3:D39)</f>
        <v>2.3433461538461549</v>
      </c>
      <c r="I39">
        <v>2.2854461538461543</v>
      </c>
      <c r="J39">
        <f t="shared" si="1"/>
        <v>3.2854461538461543</v>
      </c>
      <c r="R39" t="s">
        <v>917</v>
      </c>
      <c r="S39" t="s">
        <v>1264</v>
      </c>
    </row>
    <row r="40" spans="3:23" x14ac:dyDescent="0.3">
      <c r="C40" s="219">
        <v>1985</v>
      </c>
      <c r="D40" s="224">
        <v>6.3484615384615375E-2</v>
      </c>
      <c r="F40" s="219">
        <v>1985</v>
      </c>
      <c r="G40" s="219">
        <f t="shared" si="2"/>
        <v>38</v>
      </c>
      <c r="H40" s="226">
        <f>SUM($D$3:D40)</f>
        <v>2.4068307692307704</v>
      </c>
      <c r="I40">
        <v>2.3489307692307699</v>
      </c>
      <c r="J40">
        <f t="shared" si="1"/>
        <v>3.3489307692307699</v>
      </c>
      <c r="R40" t="s">
        <v>919</v>
      </c>
      <c r="S40" t="s">
        <v>1235</v>
      </c>
    </row>
    <row r="41" spans="3:23" x14ac:dyDescent="0.3">
      <c r="C41" s="219">
        <v>1984</v>
      </c>
      <c r="D41" s="224">
        <v>6.3484615384615375E-2</v>
      </c>
      <c r="F41" s="219">
        <v>1984</v>
      </c>
      <c r="G41" s="219">
        <f t="shared" si="2"/>
        <v>39</v>
      </c>
      <c r="H41" s="226">
        <f>SUM($D$3:D41)</f>
        <v>2.470315384615386</v>
      </c>
      <c r="I41">
        <v>2.4124153846153855</v>
      </c>
      <c r="J41">
        <f t="shared" si="1"/>
        <v>3.4124153846153855</v>
      </c>
    </row>
    <row r="42" spans="3:23" x14ac:dyDescent="0.3">
      <c r="C42" s="219">
        <v>1983</v>
      </c>
      <c r="D42" s="224">
        <v>6.3484615384615375E-2</v>
      </c>
      <c r="F42" s="219">
        <v>1983</v>
      </c>
      <c r="G42" s="219">
        <f t="shared" si="2"/>
        <v>40</v>
      </c>
      <c r="H42" s="226">
        <f>SUM($D$3:D42)</f>
        <v>2.5338000000000016</v>
      </c>
      <c r="I42">
        <v>2.4759000000000011</v>
      </c>
      <c r="J42">
        <f t="shared" si="1"/>
        <v>3.4759000000000011</v>
      </c>
    </row>
    <row r="43" spans="3:23" x14ac:dyDescent="0.3">
      <c r="C43" s="219">
        <v>1982</v>
      </c>
      <c r="D43" s="224">
        <v>6.3484615384615375E-2</v>
      </c>
      <c r="F43" s="219">
        <v>1982</v>
      </c>
      <c r="G43" s="219">
        <f t="shared" si="2"/>
        <v>41</v>
      </c>
      <c r="H43" s="226">
        <f>SUM($D$3:D43)</f>
        <v>2.5972846153846172</v>
      </c>
      <c r="I43">
        <v>2.5393846153846167</v>
      </c>
      <c r="J43">
        <f t="shared" si="1"/>
        <v>3.5393846153846167</v>
      </c>
    </row>
    <row r="44" spans="3:23" x14ac:dyDescent="0.3">
      <c r="C44" s="219">
        <v>1981</v>
      </c>
      <c r="D44" s="224">
        <v>6.3484615384615375E-2</v>
      </c>
      <c r="F44" s="219">
        <v>1981</v>
      </c>
      <c r="G44" s="219">
        <f t="shared" si="2"/>
        <v>42</v>
      </c>
      <c r="H44" s="226">
        <f>SUM($D$3:D44)</f>
        <v>2.6607692307692328</v>
      </c>
      <c r="I44">
        <v>2.6028692307692323</v>
      </c>
      <c r="J44">
        <f t="shared" si="1"/>
        <v>3.6028692307692323</v>
      </c>
    </row>
    <row r="45" spans="3:23" x14ac:dyDescent="0.3">
      <c r="C45" s="219">
        <v>1980</v>
      </c>
      <c r="D45" s="224">
        <v>6.3484615384615375E-2</v>
      </c>
      <c r="F45" s="219">
        <v>1980</v>
      </c>
      <c r="G45" s="219">
        <f t="shared" si="2"/>
        <v>43</v>
      </c>
      <c r="H45" s="226">
        <f>SUM($D$3:D45)</f>
        <v>2.7242538461538484</v>
      </c>
      <c r="I45">
        <v>2.6663538461538479</v>
      </c>
      <c r="J45">
        <f t="shared" si="1"/>
        <v>3.6663538461538479</v>
      </c>
    </row>
    <row r="46" spans="3:23" x14ac:dyDescent="0.3">
      <c r="C46" s="219">
        <v>1979</v>
      </c>
      <c r="D46" s="224">
        <v>6.3484615384615375E-2</v>
      </c>
      <c r="F46" s="219">
        <v>1979</v>
      </c>
      <c r="G46" s="219">
        <f t="shared" si="2"/>
        <v>44</v>
      </c>
      <c r="H46" s="226">
        <f>SUM($D$3:D46)</f>
        <v>2.7877384615384639</v>
      </c>
      <c r="I46">
        <v>2.7298384615384634</v>
      </c>
      <c r="J46">
        <f t="shared" si="1"/>
        <v>3.7298384615384634</v>
      </c>
      <c r="R46" t="s">
        <v>298</v>
      </c>
      <c r="S46" t="str">
        <f>CONCATENATE(R46,"*")</f>
        <v>BRU017*</v>
      </c>
    </row>
    <row r="47" spans="3:23" x14ac:dyDescent="0.3">
      <c r="C47" s="219">
        <v>1978</v>
      </c>
      <c r="D47" s="224">
        <v>6.3484615384615375E-2</v>
      </c>
      <c r="F47" s="219">
        <v>1978</v>
      </c>
      <c r="G47" s="219">
        <f t="shared" si="2"/>
        <v>45</v>
      </c>
      <c r="H47" s="226">
        <f>SUM($D$3:D47)</f>
        <v>2.8512230769230795</v>
      </c>
      <c r="I47">
        <v>2.793323076923079</v>
      </c>
      <c r="J47">
        <f t="shared" si="1"/>
        <v>3.793323076923079</v>
      </c>
      <c r="R47" t="s">
        <v>288</v>
      </c>
      <c r="S47" t="str">
        <f t="shared" ref="S47:S75" si="3">CONCATENATE(R47,"*")</f>
        <v>BRU018*</v>
      </c>
    </row>
    <row r="48" spans="3:23" x14ac:dyDescent="0.3">
      <c r="C48" s="219">
        <v>1977</v>
      </c>
      <c r="D48" s="224">
        <v>6.3484615384615375E-2</v>
      </c>
      <c r="F48" s="219">
        <v>1977</v>
      </c>
      <c r="G48" s="219">
        <f t="shared" si="2"/>
        <v>46</v>
      </c>
      <c r="H48" s="226">
        <f>SUM($D$3:D48)</f>
        <v>2.9147076923076951</v>
      </c>
      <c r="I48">
        <v>2.8568076923076946</v>
      </c>
      <c r="J48">
        <f t="shared" si="1"/>
        <v>3.8568076923076946</v>
      </c>
      <c r="R48" t="s">
        <v>529</v>
      </c>
      <c r="S48" t="str">
        <f t="shared" si="3"/>
        <v>BRU019*</v>
      </c>
    </row>
    <row r="49" spans="3:19" x14ac:dyDescent="0.3">
      <c r="C49" s="219">
        <v>1976</v>
      </c>
      <c r="D49" s="224">
        <v>6.3484615384615375E-2</v>
      </c>
      <c r="F49" s="219">
        <v>1976</v>
      </c>
      <c r="G49" s="219">
        <f t="shared" si="2"/>
        <v>47</v>
      </c>
      <c r="H49" s="226">
        <f>SUM($D$3:D49)</f>
        <v>2.9781923076923107</v>
      </c>
      <c r="I49">
        <v>2.9202923076923102</v>
      </c>
      <c r="J49">
        <f t="shared" si="1"/>
        <v>3.9202923076923102</v>
      </c>
      <c r="R49" t="s">
        <v>530</v>
      </c>
      <c r="S49" t="str">
        <f t="shared" si="3"/>
        <v>BRU020*</v>
      </c>
    </row>
    <row r="50" spans="3:19" x14ac:dyDescent="0.3">
      <c r="C50" s="219">
        <v>1975</v>
      </c>
      <c r="D50" s="224">
        <v>6.3484615384615375E-2</v>
      </c>
      <c r="F50" s="219">
        <v>1975</v>
      </c>
      <c r="G50" s="219">
        <f t="shared" si="2"/>
        <v>48</v>
      </c>
      <c r="H50" s="226">
        <f>SUM($D$3:D50)</f>
        <v>3.0416769230769263</v>
      </c>
      <c r="I50">
        <v>2.9837769230769258</v>
      </c>
      <c r="J50">
        <f t="shared" si="1"/>
        <v>3.9837769230769258</v>
      </c>
      <c r="R50" t="s">
        <v>293</v>
      </c>
      <c r="S50" t="str">
        <f t="shared" si="3"/>
        <v>BRU021*</v>
      </c>
    </row>
    <row r="51" spans="3:19" x14ac:dyDescent="0.3">
      <c r="R51" t="s">
        <v>286</v>
      </c>
      <c r="S51" t="str">
        <f t="shared" si="3"/>
        <v>BRU022*</v>
      </c>
    </row>
    <row r="52" spans="3:19" x14ac:dyDescent="0.3">
      <c r="R52" t="s">
        <v>531</v>
      </c>
      <c r="S52" t="str">
        <f t="shared" si="3"/>
        <v>BRU024*</v>
      </c>
    </row>
    <row r="53" spans="3:19" x14ac:dyDescent="0.3">
      <c r="R53" t="s">
        <v>278</v>
      </c>
      <c r="S53" t="str">
        <f t="shared" si="3"/>
        <v>BRU028*</v>
      </c>
    </row>
    <row r="54" spans="3:19" x14ac:dyDescent="0.3">
      <c r="R54" t="s">
        <v>536</v>
      </c>
      <c r="S54" t="str">
        <f t="shared" si="3"/>
        <v>BRU030*</v>
      </c>
    </row>
    <row r="55" spans="3:19" x14ac:dyDescent="0.3">
      <c r="R55" t="s">
        <v>538</v>
      </c>
      <c r="S55" t="str">
        <f t="shared" si="3"/>
        <v>BRU032*</v>
      </c>
    </row>
    <row r="56" spans="3:19" x14ac:dyDescent="0.3">
      <c r="R56" t="s">
        <v>282</v>
      </c>
      <c r="S56" t="str">
        <f t="shared" si="3"/>
        <v>BRU034*</v>
      </c>
    </row>
    <row r="57" spans="3:19" x14ac:dyDescent="0.3">
      <c r="R57" t="s">
        <v>294</v>
      </c>
      <c r="S57" t="str">
        <f t="shared" si="3"/>
        <v>BRU035*</v>
      </c>
    </row>
    <row r="58" spans="3:19" x14ac:dyDescent="0.3">
      <c r="R58" t="s">
        <v>541</v>
      </c>
      <c r="S58" t="str">
        <f t="shared" si="3"/>
        <v>BRU037*</v>
      </c>
    </row>
    <row r="59" spans="3:19" x14ac:dyDescent="0.3">
      <c r="R59" t="s">
        <v>270</v>
      </c>
      <c r="S59" t="str">
        <f t="shared" si="3"/>
        <v>BRU039*</v>
      </c>
    </row>
    <row r="60" spans="3:19" x14ac:dyDescent="0.3">
      <c r="R60" t="s">
        <v>366</v>
      </c>
      <c r="S60" t="str">
        <f t="shared" si="3"/>
        <v>BRU042*</v>
      </c>
    </row>
    <row r="61" spans="3:19" x14ac:dyDescent="0.3">
      <c r="R61" t="s">
        <v>384</v>
      </c>
      <c r="S61" t="str">
        <f t="shared" si="3"/>
        <v>BRU044*</v>
      </c>
    </row>
    <row r="62" spans="3:19" x14ac:dyDescent="0.3">
      <c r="R62" t="s">
        <v>357</v>
      </c>
      <c r="S62" t="str">
        <f t="shared" si="3"/>
        <v>BRU046*</v>
      </c>
    </row>
    <row r="63" spans="3:19" x14ac:dyDescent="0.3">
      <c r="R63" t="s">
        <v>127</v>
      </c>
      <c r="S63" t="str">
        <f t="shared" si="3"/>
        <v>BRU048*</v>
      </c>
    </row>
    <row r="64" spans="3:19" x14ac:dyDescent="0.3">
      <c r="R64" t="s">
        <v>291</v>
      </c>
      <c r="S64" t="str">
        <f t="shared" si="3"/>
        <v>BRU049*</v>
      </c>
    </row>
    <row r="65" spans="18:19" x14ac:dyDescent="0.3">
      <c r="R65" t="s">
        <v>548</v>
      </c>
      <c r="S65" t="str">
        <f t="shared" si="3"/>
        <v>BRU050*</v>
      </c>
    </row>
    <row r="66" spans="18:19" x14ac:dyDescent="0.3">
      <c r="R66" t="s">
        <v>550</v>
      </c>
      <c r="S66" t="str">
        <f t="shared" si="3"/>
        <v>BRU052*</v>
      </c>
    </row>
    <row r="67" spans="18:19" x14ac:dyDescent="0.3">
      <c r="R67" t="s">
        <v>552</v>
      </c>
      <c r="S67" t="str">
        <f t="shared" si="3"/>
        <v>BRU054*</v>
      </c>
    </row>
    <row r="68" spans="18:19" x14ac:dyDescent="0.3">
      <c r="R68" t="s">
        <v>886</v>
      </c>
      <c r="S68" t="str">
        <f t="shared" si="3"/>
        <v>BRU056*</v>
      </c>
    </row>
    <row r="69" spans="18:19" x14ac:dyDescent="0.3">
      <c r="R69" t="s">
        <v>888</v>
      </c>
      <c r="S69" t="str">
        <f t="shared" si="3"/>
        <v>BRU057*</v>
      </c>
    </row>
    <row r="70" spans="18:19" x14ac:dyDescent="0.3">
      <c r="R70" t="s">
        <v>890</v>
      </c>
      <c r="S70" t="str">
        <f t="shared" si="3"/>
        <v>BRU058*</v>
      </c>
    </row>
    <row r="71" spans="18:19" x14ac:dyDescent="0.3">
      <c r="R71" t="s">
        <v>894</v>
      </c>
      <c r="S71" t="str">
        <f t="shared" si="3"/>
        <v>BRU060*</v>
      </c>
    </row>
    <row r="72" spans="18:19" x14ac:dyDescent="0.3">
      <c r="R72" t="s">
        <v>898</v>
      </c>
      <c r="S72" t="str">
        <f t="shared" si="3"/>
        <v>BRU062*</v>
      </c>
    </row>
    <row r="73" spans="18:19" x14ac:dyDescent="0.3">
      <c r="R73" t="s">
        <v>900</v>
      </c>
      <c r="S73" t="str">
        <f t="shared" si="3"/>
        <v>BRU063*</v>
      </c>
    </row>
    <row r="74" spans="18:19" x14ac:dyDescent="0.3">
      <c r="R74" t="s">
        <v>904</v>
      </c>
      <c r="S74" t="str">
        <f t="shared" si="3"/>
        <v>BRU065*</v>
      </c>
    </row>
    <row r="75" spans="18:19" x14ac:dyDescent="0.3">
      <c r="R75" t="s">
        <v>918</v>
      </c>
      <c r="S75" t="str">
        <f t="shared" si="3"/>
        <v>BRU072*</v>
      </c>
    </row>
    <row r="84" spans="18:22" x14ac:dyDescent="0.3">
      <c r="R84" t="s">
        <v>1647</v>
      </c>
      <c r="S84" t="s">
        <v>1595</v>
      </c>
      <c r="T84" t="s">
        <v>1596</v>
      </c>
      <c r="U84" t="s">
        <v>1597</v>
      </c>
      <c r="V84" t="s">
        <v>1648</v>
      </c>
    </row>
    <row r="85" spans="18:22" x14ac:dyDescent="0.3">
      <c r="S85" t="s">
        <v>298</v>
      </c>
      <c r="T85">
        <v>28.27</v>
      </c>
      <c r="U85">
        <v>13.08</v>
      </c>
      <c r="V85">
        <v>4437.2592000000004</v>
      </c>
    </row>
    <row r="86" spans="18:22" x14ac:dyDescent="0.3">
      <c r="S86" t="s">
        <v>288</v>
      </c>
      <c r="T86">
        <v>28.39</v>
      </c>
      <c r="U86">
        <v>14.56</v>
      </c>
      <c r="V86">
        <v>4960.3008</v>
      </c>
    </row>
    <row r="87" spans="18:22" x14ac:dyDescent="0.3">
      <c r="S87" t="s">
        <v>529</v>
      </c>
      <c r="T87">
        <v>29.37</v>
      </c>
      <c r="U87">
        <v>14.33</v>
      </c>
      <c r="V87">
        <v>5050.4651999999996</v>
      </c>
    </row>
    <row r="88" spans="18:22" x14ac:dyDescent="0.3">
      <c r="S88" t="s">
        <v>530</v>
      </c>
      <c r="T88">
        <v>25.12</v>
      </c>
      <c r="U88">
        <v>10.97</v>
      </c>
      <c r="V88">
        <v>3306.7968000000001</v>
      </c>
    </row>
    <row r="89" spans="18:22" x14ac:dyDescent="0.3">
      <c r="S89" t="s">
        <v>293</v>
      </c>
      <c r="T89">
        <v>26.26</v>
      </c>
      <c r="U89">
        <v>15.3</v>
      </c>
      <c r="V89">
        <v>4821.3360000000002</v>
      </c>
    </row>
    <row r="90" spans="18:22" x14ac:dyDescent="0.3">
      <c r="R90" t="s">
        <v>1238</v>
      </c>
      <c r="S90" t="s">
        <v>286</v>
      </c>
      <c r="T90">
        <v>28.72</v>
      </c>
      <c r="U90">
        <v>14.34</v>
      </c>
      <c r="V90">
        <v>4942.1376</v>
      </c>
    </row>
    <row r="91" spans="18:22" x14ac:dyDescent="0.3">
      <c r="R91" t="s">
        <v>1241</v>
      </c>
      <c r="S91" t="s">
        <v>531</v>
      </c>
      <c r="T91">
        <v>28.81</v>
      </c>
      <c r="U91">
        <v>15.19</v>
      </c>
      <c r="V91">
        <v>5251.4867999999997</v>
      </c>
    </row>
    <row r="92" spans="18:22" x14ac:dyDescent="0.3">
      <c r="R92" t="s">
        <v>1242</v>
      </c>
      <c r="S92" t="s">
        <v>278</v>
      </c>
      <c r="T92">
        <v>28.63</v>
      </c>
      <c r="U92">
        <v>13.02</v>
      </c>
      <c r="V92">
        <v>4473.1512000000002</v>
      </c>
    </row>
    <row r="93" spans="18:22" x14ac:dyDescent="0.3">
      <c r="R93" t="s">
        <v>1243</v>
      </c>
      <c r="S93" t="s">
        <v>536</v>
      </c>
      <c r="T93">
        <v>28.57</v>
      </c>
      <c r="U93">
        <v>14.1</v>
      </c>
      <c r="V93">
        <v>4834.0439999999999</v>
      </c>
    </row>
    <row r="94" spans="18:22" x14ac:dyDescent="0.3">
      <c r="R94" t="s">
        <v>1244</v>
      </c>
      <c r="S94" t="s">
        <v>538</v>
      </c>
      <c r="T94">
        <v>28.57</v>
      </c>
      <c r="U94">
        <v>14.39</v>
      </c>
      <c r="V94">
        <v>4933.4675999999999</v>
      </c>
    </row>
    <row r="95" spans="18:22" x14ac:dyDescent="0.3">
      <c r="R95" t="s">
        <v>1245</v>
      </c>
      <c r="S95" t="s">
        <v>282</v>
      </c>
      <c r="T95">
        <v>28.63</v>
      </c>
      <c r="U95">
        <v>12.92</v>
      </c>
      <c r="V95">
        <v>4438.7951999999996</v>
      </c>
    </row>
    <row r="96" spans="18:22" x14ac:dyDescent="0.3">
      <c r="R96" t="s">
        <v>1246</v>
      </c>
      <c r="S96" t="s">
        <v>294</v>
      </c>
      <c r="T96">
        <v>28.57</v>
      </c>
      <c r="U96">
        <v>14.56</v>
      </c>
      <c r="V96">
        <v>4991.7503999999999</v>
      </c>
    </row>
    <row r="97" spans="18:22" x14ac:dyDescent="0.3">
      <c r="R97" t="s">
        <v>1247</v>
      </c>
      <c r="S97" t="s">
        <v>541</v>
      </c>
      <c r="T97">
        <v>28.65</v>
      </c>
      <c r="U97">
        <v>16.2</v>
      </c>
      <c r="V97">
        <v>5569.56</v>
      </c>
    </row>
    <row r="98" spans="18:22" x14ac:dyDescent="0.3">
      <c r="R98" t="s">
        <v>1248</v>
      </c>
      <c r="S98" t="s">
        <v>270</v>
      </c>
      <c r="T98">
        <v>28.57</v>
      </c>
      <c r="U98">
        <v>16.72</v>
      </c>
      <c r="V98">
        <v>5732.2848000000004</v>
      </c>
    </row>
    <row r="99" spans="18:22" x14ac:dyDescent="0.3">
      <c r="R99" t="s">
        <v>1250</v>
      </c>
      <c r="S99" t="s">
        <v>366</v>
      </c>
      <c r="T99">
        <v>28.65</v>
      </c>
      <c r="U99">
        <v>14.93</v>
      </c>
      <c r="V99">
        <v>5132.9340000000002</v>
      </c>
    </row>
    <row r="100" spans="18:22" x14ac:dyDescent="0.3">
      <c r="R100" t="s">
        <v>1251</v>
      </c>
      <c r="S100" t="s">
        <v>384</v>
      </c>
      <c r="T100">
        <v>28.39</v>
      </c>
      <c r="U100">
        <v>14.65</v>
      </c>
      <c r="V100">
        <v>4990.9620000000004</v>
      </c>
    </row>
    <row r="101" spans="18:22" x14ac:dyDescent="0.3">
      <c r="R101" t="s">
        <v>1252</v>
      </c>
      <c r="S101" t="s">
        <v>357</v>
      </c>
      <c r="T101">
        <v>28.32</v>
      </c>
      <c r="U101">
        <v>14.09</v>
      </c>
      <c r="V101">
        <v>4788.3455999999996</v>
      </c>
    </row>
    <row r="102" spans="18:22" x14ac:dyDescent="0.3">
      <c r="R102" t="s">
        <v>1253</v>
      </c>
      <c r="S102" t="s">
        <v>127</v>
      </c>
      <c r="T102">
        <v>28.07</v>
      </c>
      <c r="U102">
        <v>13.22</v>
      </c>
      <c r="V102">
        <v>4453.0248000000001</v>
      </c>
    </row>
    <row r="103" spans="18:22" x14ac:dyDescent="0.3">
      <c r="R103" t="s">
        <v>1254</v>
      </c>
      <c r="S103" t="s">
        <v>291</v>
      </c>
      <c r="T103">
        <v>27.99</v>
      </c>
      <c r="U103">
        <v>13.55</v>
      </c>
      <c r="V103">
        <v>4551.174</v>
      </c>
    </row>
    <row r="104" spans="18:22" x14ac:dyDescent="0.3">
      <c r="R104" t="s">
        <v>1255</v>
      </c>
      <c r="S104" t="s">
        <v>548</v>
      </c>
      <c r="T104">
        <v>28.81</v>
      </c>
      <c r="U104">
        <v>14.58</v>
      </c>
      <c r="V104">
        <v>5040.5976000000001</v>
      </c>
    </row>
    <row r="105" spans="18:22" x14ac:dyDescent="0.3">
      <c r="R105" t="s">
        <v>1256</v>
      </c>
      <c r="S105" t="s">
        <v>550</v>
      </c>
      <c r="T105">
        <v>28.27</v>
      </c>
      <c r="U105">
        <v>14.21</v>
      </c>
      <c r="V105">
        <v>4820.6004000000003</v>
      </c>
    </row>
    <row r="106" spans="18:22" x14ac:dyDescent="0.3">
      <c r="R106" t="s">
        <v>1257</v>
      </c>
      <c r="S106" t="s">
        <v>552</v>
      </c>
      <c r="T106">
        <v>27.45</v>
      </c>
      <c r="U106">
        <v>13.07</v>
      </c>
      <c r="V106">
        <v>4305.2579999999998</v>
      </c>
    </row>
    <row r="107" spans="18:22" x14ac:dyDescent="0.3">
      <c r="R107" t="s">
        <v>1258</v>
      </c>
      <c r="S107" t="s">
        <v>886</v>
      </c>
      <c r="T107">
        <v>26.76</v>
      </c>
      <c r="U107">
        <v>15.67</v>
      </c>
      <c r="V107">
        <v>5031.9503999999997</v>
      </c>
    </row>
    <row r="108" spans="18:22" x14ac:dyDescent="0.3">
      <c r="R108" t="s">
        <v>1236</v>
      </c>
      <c r="S108" t="s">
        <v>888</v>
      </c>
      <c r="T108">
        <v>23.08</v>
      </c>
      <c r="U108">
        <v>12.73</v>
      </c>
      <c r="V108">
        <v>3525.7008000000001</v>
      </c>
    </row>
    <row r="109" spans="18:22" x14ac:dyDescent="0.3">
      <c r="R109" t="s">
        <v>1259</v>
      </c>
      <c r="S109" t="s">
        <v>890</v>
      </c>
      <c r="T109">
        <v>26.04</v>
      </c>
      <c r="U109">
        <v>13.59</v>
      </c>
      <c r="V109">
        <v>4246.6031999999996</v>
      </c>
    </row>
    <row r="110" spans="18:22" x14ac:dyDescent="0.3">
      <c r="R110" t="s">
        <v>1260</v>
      </c>
      <c r="S110" t="s">
        <v>894</v>
      </c>
      <c r="T110">
        <v>28.23</v>
      </c>
      <c r="U110">
        <v>12.84</v>
      </c>
      <c r="V110">
        <v>4349.6783999999998</v>
      </c>
    </row>
    <row r="111" spans="18:22" x14ac:dyDescent="0.3">
      <c r="R111" t="s">
        <v>1239</v>
      </c>
      <c r="S111" t="s">
        <v>898</v>
      </c>
      <c r="T111">
        <v>25.26</v>
      </c>
      <c r="U111">
        <v>12.92</v>
      </c>
      <c r="V111">
        <v>3916.3103999999998</v>
      </c>
    </row>
    <row r="112" spans="18:22" x14ac:dyDescent="0.3">
      <c r="R112" t="s">
        <v>1261</v>
      </c>
      <c r="S112" t="s">
        <v>900</v>
      </c>
      <c r="T112">
        <v>24.84</v>
      </c>
      <c r="U112">
        <v>12.6</v>
      </c>
      <c r="V112">
        <v>3755.808</v>
      </c>
    </row>
    <row r="113" spans="18:22" x14ac:dyDescent="0.3">
      <c r="R113" t="s">
        <v>1262</v>
      </c>
      <c r="S113" t="s">
        <v>904</v>
      </c>
      <c r="T113">
        <v>26.42</v>
      </c>
      <c r="U113">
        <v>13.85</v>
      </c>
      <c r="V113">
        <v>4391.0039999999999</v>
      </c>
    </row>
    <row r="114" spans="18:22" x14ac:dyDescent="0.3">
      <c r="R114" t="s">
        <v>1235</v>
      </c>
      <c r="S114" t="s">
        <v>918</v>
      </c>
      <c r="T114">
        <v>19</v>
      </c>
      <c r="U114">
        <v>21.1</v>
      </c>
      <c r="V114">
        <v>4810.8</v>
      </c>
    </row>
    <row r="122" spans="18:22" x14ac:dyDescent="0.3">
      <c r="R122" t="s">
        <v>1235</v>
      </c>
      <c r="S122" t="s">
        <v>554</v>
      </c>
      <c r="T122" s="236">
        <f>IFERROR(VLOOKUP(R122,$R$90:$V$114,5,FALSE),"")</f>
        <v>4810.8</v>
      </c>
      <c r="U122" t="s">
        <v>1649</v>
      </c>
    </row>
    <row r="123" spans="18:22" x14ac:dyDescent="0.3">
      <c r="R123" t="s">
        <v>1236</v>
      </c>
      <c r="S123" t="s">
        <v>555</v>
      </c>
      <c r="T123" s="236">
        <f t="shared" ref="T123:T162" si="4">IFERROR(VLOOKUP(R123,$R$90:$V$114,5,FALSE),"")</f>
        <v>3525.7008000000001</v>
      </c>
      <c r="U123" t="s">
        <v>1650</v>
      </c>
    </row>
    <row r="124" spans="18:22" x14ac:dyDescent="0.3">
      <c r="R124" t="s">
        <v>1237</v>
      </c>
      <c r="S124" t="s">
        <v>556</v>
      </c>
      <c r="T124" s="236">
        <v>4556</v>
      </c>
      <c r="U124" t="s">
        <v>1649</v>
      </c>
    </row>
    <row r="125" spans="18:22" x14ac:dyDescent="0.3">
      <c r="R125" t="s">
        <v>1237</v>
      </c>
      <c r="S125" t="s">
        <v>557</v>
      </c>
      <c r="T125" s="236">
        <v>4556</v>
      </c>
      <c r="U125" t="s">
        <v>1649</v>
      </c>
    </row>
    <row r="126" spans="18:22" x14ac:dyDescent="0.3">
      <c r="R126" t="s">
        <v>1238</v>
      </c>
      <c r="S126" t="s">
        <v>558</v>
      </c>
      <c r="T126" s="236">
        <f t="shared" si="4"/>
        <v>4942.1376</v>
      </c>
      <c r="U126" t="s">
        <v>1649</v>
      </c>
    </row>
    <row r="127" spans="18:22" x14ac:dyDescent="0.3">
      <c r="R127" t="s">
        <v>1239</v>
      </c>
      <c r="S127" t="s">
        <v>559</v>
      </c>
      <c r="T127" s="236">
        <f t="shared" si="4"/>
        <v>3916.3103999999998</v>
      </c>
      <c r="U127" t="s">
        <v>1649</v>
      </c>
    </row>
    <row r="128" spans="18:22" x14ac:dyDescent="0.3">
      <c r="R128" t="s">
        <v>1238</v>
      </c>
      <c r="S128" t="s">
        <v>287</v>
      </c>
      <c r="T128" s="236">
        <f t="shared" si="4"/>
        <v>4942.1376</v>
      </c>
      <c r="U128" t="s">
        <v>1651</v>
      </c>
    </row>
    <row r="129" spans="18:21" x14ac:dyDescent="0.3">
      <c r="R129" t="s">
        <v>1240</v>
      </c>
      <c r="S129" t="s">
        <v>285</v>
      </c>
      <c r="T129" s="236">
        <v>4812</v>
      </c>
      <c r="U129" t="s">
        <v>1651</v>
      </c>
    </row>
    <row r="130" spans="18:21" x14ac:dyDescent="0.3">
      <c r="R130" t="s">
        <v>1241</v>
      </c>
      <c r="S130" t="s">
        <v>560</v>
      </c>
      <c r="T130" s="236">
        <f t="shared" si="4"/>
        <v>5251.4867999999997</v>
      </c>
      <c r="U130" t="s">
        <v>1651</v>
      </c>
    </row>
    <row r="131" spans="18:21" x14ac:dyDescent="0.3">
      <c r="R131" t="s">
        <v>1240</v>
      </c>
      <c r="S131" t="s">
        <v>561</v>
      </c>
      <c r="T131" s="236">
        <v>4786</v>
      </c>
      <c r="U131" t="s">
        <v>1652</v>
      </c>
    </row>
    <row r="132" spans="18:21" x14ac:dyDescent="0.3">
      <c r="R132" t="s">
        <v>1241</v>
      </c>
      <c r="S132" t="s">
        <v>562</v>
      </c>
      <c r="T132" s="236">
        <f t="shared" si="4"/>
        <v>5251.4867999999997</v>
      </c>
      <c r="U132" t="s">
        <v>1652</v>
      </c>
    </row>
    <row r="133" spans="18:21" x14ac:dyDescent="0.3">
      <c r="R133" t="s">
        <v>1242</v>
      </c>
      <c r="S133" t="s">
        <v>563</v>
      </c>
      <c r="T133" s="236">
        <f t="shared" si="4"/>
        <v>4473.1512000000002</v>
      </c>
      <c r="U133" t="s">
        <v>1652</v>
      </c>
    </row>
    <row r="134" spans="18:21" x14ac:dyDescent="0.3">
      <c r="R134" t="s">
        <v>1242</v>
      </c>
      <c r="S134" t="s">
        <v>279</v>
      </c>
      <c r="T134" s="236">
        <f t="shared" si="4"/>
        <v>4473.1512000000002</v>
      </c>
      <c r="U134" t="s">
        <v>1651</v>
      </c>
    </row>
    <row r="135" spans="18:21" x14ac:dyDescent="0.3">
      <c r="R135" t="s">
        <v>1243</v>
      </c>
      <c r="S135" t="s">
        <v>564</v>
      </c>
      <c r="T135" s="236">
        <f t="shared" si="4"/>
        <v>4834.0439999999999</v>
      </c>
      <c r="U135" t="s">
        <v>1652</v>
      </c>
    </row>
    <row r="136" spans="18:21" x14ac:dyDescent="0.3">
      <c r="R136" t="s">
        <v>1243</v>
      </c>
      <c r="S136" t="s">
        <v>565</v>
      </c>
      <c r="T136" s="236">
        <f t="shared" si="4"/>
        <v>4834.0439999999999</v>
      </c>
      <c r="U136" t="s">
        <v>1651</v>
      </c>
    </row>
    <row r="137" spans="18:21" x14ac:dyDescent="0.3">
      <c r="R137" t="s">
        <v>1244</v>
      </c>
      <c r="S137" t="s">
        <v>566</v>
      </c>
      <c r="T137" s="236">
        <f t="shared" si="4"/>
        <v>4933.4675999999999</v>
      </c>
      <c r="U137" t="s">
        <v>1652</v>
      </c>
    </row>
    <row r="138" spans="18:21" x14ac:dyDescent="0.3">
      <c r="R138" t="s">
        <v>1244</v>
      </c>
      <c r="S138" t="s">
        <v>567</v>
      </c>
      <c r="T138" s="236">
        <f t="shared" si="4"/>
        <v>4933.4675999999999</v>
      </c>
      <c r="U138" t="s">
        <v>1651</v>
      </c>
    </row>
    <row r="139" spans="18:21" x14ac:dyDescent="0.3">
      <c r="R139" t="s">
        <v>1245</v>
      </c>
      <c r="S139" t="s">
        <v>568</v>
      </c>
      <c r="T139" s="236">
        <f t="shared" si="4"/>
        <v>4438.7951999999996</v>
      </c>
      <c r="U139" t="s">
        <v>1652</v>
      </c>
    </row>
    <row r="140" spans="18:21" x14ac:dyDescent="0.3">
      <c r="R140" t="s">
        <v>1245</v>
      </c>
      <c r="S140" t="s">
        <v>283</v>
      </c>
      <c r="T140" s="236">
        <f t="shared" si="4"/>
        <v>4438.7951999999996</v>
      </c>
      <c r="U140" t="s">
        <v>1651</v>
      </c>
    </row>
    <row r="141" spans="18:21" x14ac:dyDescent="0.3">
      <c r="R141" t="s">
        <v>1246</v>
      </c>
      <c r="S141" t="s">
        <v>295</v>
      </c>
      <c r="T141" s="236">
        <f t="shared" si="4"/>
        <v>4991.7503999999999</v>
      </c>
      <c r="U141" t="s">
        <v>1653</v>
      </c>
    </row>
    <row r="142" spans="18:21" x14ac:dyDescent="0.3">
      <c r="R142" t="s">
        <v>1246</v>
      </c>
      <c r="S142" t="s">
        <v>569</v>
      </c>
      <c r="T142" s="236">
        <f t="shared" si="4"/>
        <v>4991.7503999999999</v>
      </c>
      <c r="U142" t="s">
        <v>1654</v>
      </c>
    </row>
    <row r="143" spans="18:21" x14ac:dyDescent="0.3">
      <c r="R143" t="s">
        <v>1247</v>
      </c>
      <c r="S143" t="s">
        <v>570</v>
      </c>
      <c r="T143" s="236">
        <f t="shared" si="4"/>
        <v>5569.56</v>
      </c>
      <c r="U143" t="s">
        <v>1653</v>
      </c>
    </row>
    <row r="144" spans="18:21" x14ac:dyDescent="0.3">
      <c r="R144" t="s">
        <v>1247</v>
      </c>
      <c r="S144" t="s">
        <v>571</v>
      </c>
      <c r="T144" s="236">
        <f t="shared" si="4"/>
        <v>5569.56</v>
      </c>
      <c r="U144" t="s">
        <v>1654</v>
      </c>
    </row>
    <row r="145" spans="18:21" x14ac:dyDescent="0.3">
      <c r="R145" t="s">
        <v>1248</v>
      </c>
      <c r="S145" t="s">
        <v>271</v>
      </c>
      <c r="T145" s="236">
        <f t="shared" si="4"/>
        <v>5732.2848000000004</v>
      </c>
      <c r="U145" t="s">
        <v>1655</v>
      </c>
    </row>
    <row r="146" spans="18:21" x14ac:dyDescent="0.3">
      <c r="R146" t="s">
        <v>1248</v>
      </c>
      <c r="S146" t="s">
        <v>572</v>
      </c>
      <c r="T146" s="236">
        <f t="shared" si="4"/>
        <v>5732.2848000000004</v>
      </c>
      <c r="U146" t="s">
        <v>1656</v>
      </c>
    </row>
    <row r="147" spans="18:21" x14ac:dyDescent="0.3">
      <c r="R147" t="s">
        <v>1250</v>
      </c>
      <c r="S147" t="s">
        <v>187</v>
      </c>
      <c r="T147" s="236">
        <f t="shared" si="4"/>
        <v>5132.9340000000002</v>
      </c>
      <c r="U147" t="s">
        <v>1655</v>
      </c>
    </row>
    <row r="148" spans="18:21" x14ac:dyDescent="0.3">
      <c r="R148" t="s">
        <v>1250</v>
      </c>
      <c r="S148" t="s">
        <v>573</v>
      </c>
      <c r="T148" s="236">
        <f t="shared" si="4"/>
        <v>5132.9340000000002</v>
      </c>
      <c r="U148" t="s">
        <v>1656</v>
      </c>
    </row>
    <row r="149" spans="18:21" x14ac:dyDescent="0.3">
      <c r="R149" t="s">
        <v>1251</v>
      </c>
      <c r="S149" t="s">
        <v>205</v>
      </c>
      <c r="T149" s="236">
        <f t="shared" si="4"/>
        <v>4990.9620000000004</v>
      </c>
      <c r="U149" t="s">
        <v>1655</v>
      </c>
    </row>
    <row r="150" spans="18:21" x14ac:dyDescent="0.3">
      <c r="R150" t="s">
        <v>1251</v>
      </c>
      <c r="S150" t="s">
        <v>574</v>
      </c>
      <c r="T150" s="236">
        <f t="shared" si="4"/>
        <v>4990.9620000000004</v>
      </c>
      <c r="U150" t="s">
        <v>1656</v>
      </c>
    </row>
    <row r="151" spans="18:21" x14ac:dyDescent="0.3">
      <c r="R151" t="s">
        <v>1252</v>
      </c>
      <c r="S151" t="s">
        <v>178</v>
      </c>
      <c r="T151" s="236">
        <f t="shared" si="4"/>
        <v>4788.3455999999996</v>
      </c>
      <c r="U151" t="s">
        <v>1655</v>
      </c>
    </row>
    <row r="152" spans="18:21" x14ac:dyDescent="0.3">
      <c r="R152" t="s">
        <v>1252</v>
      </c>
      <c r="S152" t="s">
        <v>575</v>
      </c>
      <c r="T152" s="236">
        <f t="shared" si="4"/>
        <v>4788.3455999999996</v>
      </c>
      <c r="U152" t="s">
        <v>1657</v>
      </c>
    </row>
    <row r="153" spans="18:21" x14ac:dyDescent="0.3">
      <c r="R153" t="s">
        <v>1253</v>
      </c>
      <c r="S153" t="s">
        <v>128</v>
      </c>
      <c r="T153" s="236">
        <f t="shared" si="4"/>
        <v>4453.0248000000001</v>
      </c>
      <c r="U153" t="s">
        <v>1658</v>
      </c>
    </row>
    <row r="154" spans="18:21" x14ac:dyDescent="0.3">
      <c r="R154" t="s">
        <v>1254</v>
      </c>
      <c r="S154" t="s">
        <v>292</v>
      </c>
      <c r="T154" s="236">
        <f t="shared" si="4"/>
        <v>4551.174</v>
      </c>
      <c r="U154" t="s">
        <v>1659</v>
      </c>
    </row>
    <row r="155" spans="18:21" x14ac:dyDescent="0.3">
      <c r="R155" t="s">
        <v>1255</v>
      </c>
      <c r="S155" t="s">
        <v>576</v>
      </c>
      <c r="T155" s="236">
        <f t="shared" si="4"/>
        <v>5040.5976000000001</v>
      </c>
      <c r="U155" t="s">
        <v>1660</v>
      </c>
    </row>
    <row r="156" spans="18:21" x14ac:dyDescent="0.3">
      <c r="R156" t="s">
        <v>1255</v>
      </c>
      <c r="S156" t="s">
        <v>577</v>
      </c>
      <c r="T156" s="236">
        <f t="shared" si="4"/>
        <v>5040.5976000000001</v>
      </c>
      <c r="U156" t="s">
        <v>1661</v>
      </c>
    </row>
    <row r="157" spans="18:21" x14ac:dyDescent="0.3">
      <c r="R157" t="s">
        <v>1256</v>
      </c>
      <c r="S157" t="s">
        <v>578</v>
      </c>
      <c r="T157" s="236">
        <f t="shared" si="4"/>
        <v>4820.6004000000003</v>
      </c>
      <c r="U157" t="s">
        <v>1662</v>
      </c>
    </row>
    <row r="158" spans="18:21" x14ac:dyDescent="0.3">
      <c r="R158" t="s">
        <v>1256</v>
      </c>
      <c r="S158" t="s">
        <v>579</v>
      </c>
      <c r="T158" s="236">
        <f t="shared" si="4"/>
        <v>4820.6004000000003</v>
      </c>
      <c r="U158" t="s">
        <v>1663</v>
      </c>
    </row>
    <row r="159" spans="18:21" x14ac:dyDescent="0.3">
      <c r="R159" t="s">
        <v>1257</v>
      </c>
      <c r="S159" t="s">
        <v>580</v>
      </c>
      <c r="T159" s="236">
        <f t="shared" si="4"/>
        <v>4305.2579999999998</v>
      </c>
      <c r="U159" t="s">
        <v>1664</v>
      </c>
    </row>
    <row r="160" spans="18:21" x14ac:dyDescent="0.3">
      <c r="R160" t="s">
        <v>1257</v>
      </c>
      <c r="S160" t="s">
        <v>581</v>
      </c>
      <c r="T160" s="236">
        <f t="shared" si="4"/>
        <v>4305.2579999999998</v>
      </c>
      <c r="U160" t="s">
        <v>1663</v>
      </c>
    </row>
    <row r="161" spans="18:21" x14ac:dyDescent="0.3">
      <c r="R161" t="s">
        <v>1258</v>
      </c>
      <c r="S161" t="s">
        <v>887</v>
      </c>
      <c r="T161" s="236">
        <f t="shared" si="4"/>
        <v>5031.9503999999997</v>
      </c>
      <c r="U161" t="s">
        <v>1665</v>
      </c>
    </row>
    <row r="162" spans="18:21" x14ac:dyDescent="0.3">
      <c r="R162" t="s">
        <v>1236</v>
      </c>
      <c r="S162" t="s">
        <v>889</v>
      </c>
      <c r="T162" s="236">
        <f t="shared" si="4"/>
        <v>3525.7008000000001</v>
      </c>
      <c r="U162" t="s">
        <v>1665</v>
      </c>
    </row>
  </sheetData>
  <autoFilter ref="V10:W38" xr:uid="{00000000-0009-0000-0000-000009000000}">
    <sortState xmlns:xlrd2="http://schemas.microsoft.com/office/spreadsheetml/2017/richdata2" ref="V11:W38">
      <sortCondition ref="V10:V38"/>
    </sortState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32"/>
  <sheetViews>
    <sheetView showGridLines="0" tabSelected="1" zoomScale="55" zoomScaleNormal="55" workbookViewId="0">
      <selection activeCell="I50" sqref="I50"/>
    </sheetView>
  </sheetViews>
  <sheetFormatPr defaultColWidth="8.75" defaultRowHeight="16.5" x14ac:dyDescent="0.45"/>
  <cols>
    <col min="1" max="2" width="1.75" style="144" customWidth="1"/>
    <col min="3" max="3" width="25.5" style="144" bestFit="1" customWidth="1"/>
    <col min="4" max="5" width="18.58203125" style="144" customWidth="1"/>
    <col min="6" max="6" width="21" style="144" bestFit="1" customWidth="1"/>
    <col min="7" max="7" width="23.25" style="144" bestFit="1" customWidth="1"/>
    <col min="8" max="8" width="27.83203125" style="144" bestFit="1" customWidth="1"/>
    <col min="9" max="9" width="31.33203125" style="144" bestFit="1" customWidth="1"/>
    <col min="10" max="10" width="34.6640625" style="144" bestFit="1" customWidth="1"/>
    <col min="11" max="11" width="40.6640625" style="144" bestFit="1" customWidth="1"/>
    <col min="12" max="12" width="6.5" style="144" customWidth="1"/>
    <col min="13" max="13" width="32.75" style="144" bestFit="1" customWidth="1"/>
    <col min="14" max="14" width="23" style="144" bestFit="1" customWidth="1"/>
    <col min="15" max="15" width="1.75" style="144" customWidth="1"/>
    <col min="16" max="16384" width="8.75" style="144"/>
  </cols>
  <sheetData>
    <row r="2" spans="2:17" x14ac:dyDescent="0.45"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3"/>
    </row>
    <row r="3" spans="2:17" ht="21" x14ac:dyDescent="0.45">
      <c r="B3" s="145"/>
      <c r="C3" s="146"/>
      <c r="E3" s="506" t="str">
        <f>CONCATENATE("ESTUDO LCC"," - CUSTOS DE MANUTENÇÃO - ",E6)</f>
        <v>ESTUDO LCC - CUSTOS DE MANUTENÇÃO - LAS001</v>
      </c>
      <c r="F3" s="506"/>
      <c r="G3" s="506"/>
      <c r="H3" s="506"/>
      <c r="I3" s="506"/>
      <c r="J3" s="506"/>
      <c r="O3" s="2"/>
      <c r="Q3" s="4"/>
    </row>
    <row r="4" spans="2:17" x14ac:dyDescent="0.45">
      <c r="B4" s="145"/>
      <c r="C4" s="147"/>
      <c r="D4" s="147"/>
      <c r="E4" s="147"/>
      <c r="F4" s="147"/>
      <c r="G4" s="147"/>
      <c r="H4" s="147"/>
      <c r="I4" s="147"/>
      <c r="J4" s="3"/>
      <c r="K4" s="3"/>
      <c r="O4" s="2"/>
    </row>
    <row r="5" spans="2:17" x14ac:dyDescent="0.45">
      <c r="B5" s="145"/>
      <c r="C5" s="4"/>
      <c r="D5" s="7" t="s">
        <v>0</v>
      </c>
      <c r="E5" s="183" t="s">
        <v>46</v>
      </c>
      <c r="F5" s="495" t="s">
        <v>49</v>
      </c>
      <c r="G5" s="495"/>
      <c r="H5" s="495"/>
      <c r="I5" s="7" t="s">
        <v>47</v>
      </c>
      <c r="J5" s="7" t="s">
        <v>48</v>
      </c>
      <c r="K5" s="7" t="s">
        <v>50</v>
      </c>
      <c r="M5" s="495" t="s">
        <v>436</v>
      </c>
      <c r="N5" s="495"/>
      <c r="O5" s="2"/>
    </row>
    <row r="6" spans="2:17" x14ac:dyDescent="0.45">
      <c r="B6" s="145"/>
      <c r="C6" s="3"/>
      <c r="D6" s="8">
        <f>Bruta!C2</f>
        <v>10000510</v>
      </c>
      <c r="E6" s="184" t="str">
        <f>Bruta!A2</f>
        <v>LAS001</v>
      </c>
      <c r="F6" s="507" t="str">
        <f>Bruta!B2</f>
        <v>LAS001-MÁQUINA LASER DE CORTE E SOLDA</v>
      </c>
      <c r="G6" s="508"/>
      <c r="H6" s="509"/>
      <c r="I6" s="8">
        <f>Bruta!E2</f>
        <v>2513</v>
      </c>
      <c r="J6" s="8">
        <f>Bruta!F2</f>
        <v>20089</v>
      </c>
      <c r="K6" s="8">
        <f>Bruta!G2</f>
        <v>1996</v>
      </c>
      <c r="O6" s="2"/>
    </row>
    <row r="7" spans="2:17" x14ac:dyDescent="0.45">
      <c r="B7" s="145"/>
      <c r="C7" s="3"/>
      <c r="D7" s="149"/>
      <c r="E7" s="149"/>
      <c r="F7" s="149"/>
      <c r="G7" s="149"/>
      <c r="H7" s="149"/>
      <c r="I7" s="149"/>
      <c r="J7" s="3"/>
      <c r="K7" s="3"/>
      <c r="M7" s="44" t="s">
        <v>511</v>
      </c>
      <c r="N7" s="148"/>
      <c r="O7" s="2"/>
    </row>
    <row r="8" spans="2:17" x14ac:dyDescent="0.45">
      <c r="B8" s="145"/>
      <c r="C8" s="510" t="s">
        <v>20</v>
      </c>
      <c r="D8" s="511"/>
      <c r="E8" s="511"/>
      <c r="F8" s="511"/>
      <c r="G8" s="511"/>
      <c r="H8" s="511"/>
      <c r="I8" s="511"/>
      <c r="J8" s="511"/>
      <c r="K8" s="512"/>
      <c r="M8" s="21" t="s">
        <v>438</v>
      </c>
      <c r="N8" s="152">
        <f>IF(Bruta!N8&lt;&gt;0,Bruta!N8,"")</f>
        <v>1728354.38</v>
      </c>
      <c r="O8" s="2"/>
    </row>
    <row r="9" spans="2:17" x14ac:dyDescent="0.45">
      <c r="B9" s="145"/>
      <c r="C9" s="176" t="s">
        <v>507</v>
      </c>
      <c r="D9" s="174">
        <v>2021</v>
      </c>
      <c r="E9" s="174">
        <f t="shared" ref="E9:K9" si="0">D9+1</f>
        <v>2022</v>
      </c>
      <c r="F9" s="174">
        <f t="shared" si="0"/>
        <v>2023</v>
      </c>
      <c r="G9" s="174">
        <f t="shared" si="0"/>
        <v>2024</v>
      </c>
      <c r="H9" s="174">
        <f t="shared" si="0"/>
        <v>2025</v>
      </c>
      <c r="I9" s="174">
        <f t="shared" si="0"/>
        <v>2026</v>
      </c>
      <c r="J9" s="174">
        <f t="shared" si="0"/>
        <v>2027</v>
      </c>
      <c r="K9" s="175">
        <f t="shared" si="0"/>
        <v>2028</v>
      </c>
      <c r="M9" s="21" t="s">
        <v>439</v>
      </c>
      <c r="N9" s="152">
        <f>IF(Bruta!N9&lt;&gt;0,Bruta!N9,"")</f>
        <v>73495</v>
      </c>
      <c r="O9" s="2"/>
    </row>
    <row r="10" spans="2:17" x14ac:dyDescent="0.45">
      <c r="B10" s="145"/>
      <c r="C10" s="6" t="s">
        <v>23</v>
      </c>
      <c r="D10" s="13">
        <f>IF(Bruta!B9&lt;&gt;0,Bruta!B9,"")</f>
        <v>-1728354.38</v>
      </c>
      <c r="E10" s="185" t="str">
        <f>IF(Bruta!C9&lt;&gt;0,Bruta!C9,"")</f>
        <v/>
      </c>
      <c r="F10" s="12" t="str">
        <f>IF(Bruta!D9&lt;&gt;0,Bruta!D9,"")</f>
        <v/>
      </c>
      <c r="G10" s="12" t="str">
        <f>IF(Bruta!E9&lt;&gt;0,Bruta!E9,"")</f>
        <v/>
      </c>
      <c r="H10" s="12" t="str">
        <f>IF(Bruta!F9&lt;&gt;0,Bruta!F9,"")</f>
        <v/>
      </c>
      <c r="I10" s="12" t="str">
        <f>IF(Bruta!G9&lt;&gt;0,Bruta!G9,"")</f>
        <v/>
      </c>
      <c r="J10" s="12" t="str">
        <f>IF(Bruta!H9&lt;&gt;0,Bruta!H9,"")</f>
        <v/>
      </c>
      <c r="K10" s="27" t="str">
        <f>IF(Bruta!I9&lt;&gt;0,Bruta!I9,"")</f>
        <v/>
      </c>
      <c r="L10" s="21"/>
      <c r="M10" s="21"/>
      <c r="N10" s="152"/>
      <c r="O10" s="2"/>
    </row>
    <row r="11" spans="2:17" x14ac:dyDescent="0.45">
      <c r="B11" s="145"/>
      <c r="C11" s="6" t="s">
        <v>24</v>
      </c>
      <c r="D11" s="13">
        <f>IF(Bruta!B10&lt;&gt;0,Bruta!B10,"")</f>
        <v>-6433089</v>
      </c>
      <c r="E11" s="12">
        <f>IF(Bruta!C10&lt;&gt;0,Bruta!C10,"")</f>
        <v>-138330.58800000002</v>
      </c>
      <c r="F11" s="12">
        <f>IF(Bruta!D10&lt;&gt;0,Bruta!D10,"")</f>
        <v>-152163.64680000002</v>
      </c>
      <c r="G11" s="12">
        <f>IF(Bruta!E10&lt;&gt;0,Bruta!E10,"")</f>
        <v>-167380.01148000004</v>
      </c>
      <c r="H11" s="12">
        <f>IF(Bruta!F10&lt;&gt;0,Bruta!F10,"")</f>
        <v>-184118.01262800005</v>
      </c>
      <c r="I11" s="12">
        <f>IF(Bruta!G10&lt;&gt;0,Bruta!G10,"")</f>
        <v>-202529.81389080008</v>
      </c>
      <c r="J11" s="12">
        <f>IF(Bruta!H10&lt;&gt;0,Bruta!H10,"")</f>
        <v>-222782.79527988011</v>
      </c>
      <c r="K11" s="27">
        <f>IF(Bruta!I10&lt;&gt;0,Bruta!I10,"")</f>
        <v>-245061.07480786816</v>
      </c>
      <c r="L11" s="155"/>
      <c r="M11" s="44" t="s">
        <v>512</v>
      </c>
      <c r="N11" s="150"/>
      <c r="O11" s="2"/>
    </row>
    <row r="12" spans="2:17" x14ac:dyDescent="0.45">
      <c r="B12" s="145"/>
      <c r="C12" s="6" t="s">
        <v>714</v>
      </c>
      <c r="D12" s="13" t="str">
        <f>IF(Bruta!B11&lt;&gt;0,Bruta!B11,"")</f>
        <v/>
      </c>
      <c r="E12" s="12" t="str">
        <f>IF(Bruta!C11&lt;&gt;0,Bruta!C11,"")</f>
        <v/>
      </c>
      <c r="F12" s="12" t="str">
        <f>IF(Bruta!D11&lt;&gt;0,Bruta!D11,"")</f>
        <v/>
      </c>
      <c r="G12" s="12" t="str">
        <f>IF(Bruta!E11&lt;&gt;0,Bruta!E11,"")</f>
        <v/>
      </c>
      <c r="H12" s="12" t="str">
        <f>IF(Bruta!F11&lt;&gt;0,Bruta!F11,"")</f>
        <v/>
      </c>
      <c r="I12" s="12" t="str">
        <f>IF(Bruta!G11&lt;&gt;0,Bruta!G11,"")</f>
        <v/>
      </c>
      <c r="J12" s="12" t="str">
        <f>IF(Bruta!H11&lt;&gt;0,Bruta!H11,"")</f>
        <v/>
      </c>
      <c r="K12" s="27" t="str">
        <f>IF(Bruta!I11&lt;&gt;0,Bruta!I11,"")</f>
        <v/>
      </c>
      <c r="L12" s="21"/>
      <c r="M12" s="21" t="s">
        <v>438</v>
      </c>
      <c r="N12" s="152">
        <f>IF(Bruta!N13&lt;&gt;0,Bruta!N13,"")</f>
        <v>4681247.8382299999</v>
      </c>
      <c r="O12" s="2"/>
    </row>
    <row r="13" spans="2:17" ht="16.899999999999999" customHeight="1" x14ac:dyDescent="0.45">
      <c r="B13" s="145"/>
      <c r="C13" s="5" t="s">
        <v>25</v>
      </c>
      <c r="D13" s="43">
        <f>IF(Bruta!B13&lt;&gt;0,Bruta!B13,0)</f>
        <v>-8161443.3799999999</v>
      </c>
      <c r="E13" s="43">
        <f>IF(Bruta!C13&lt;&gt;0,Bruta!C13,"")</f>
        <v>-138330.58800000002</v>
      </c>
      <c r="F13" s="43">
        <f>IF(Bruta!D13&lt;&gt;0,Bruta!D13,"")</f>
        <v>-152163.64680000002</v>
      </c>
      <c r="G13" s="43">
        <f>IF(Bruta!E13&lt;&gt;0,Bruta!E13,"")</f>
        <v>-167380.01148000004</v>
      </c>
      <c r="H13" s="43">
        <f>IF(Bruta!F13&lt;&gt;0,Bruta!F13,"")</f>
        <v>-184118.01262800005</v>
      </c>
      <c r="I13" s="43">
        <f>IF(Bruta!G13&lt;&gt;0,Bruta!G13,"")</f>
        <v>-202529.81389080008</v>
      </c>
      <c r="J13" s="43">
        <f>IF(Bruta!H13&lt;&gt;0,Bruta!H13,"")</f>
        <v>-222782.79527988011</v>
      </c>
      <c r="K13" s="43">
        <f>IF(Bruta!I13&lt;&gt;0,Bruta!I13,"")</f>
        <v>-245061.07480786816</v>
      </c>
      <c r="L13" s="7"/>
      <c r="O13" s="2"/>
    </row>
    <row r="14" spans="2:17" x14ac:dyDescent="0.45">
      <c r="B14" s="145"/>
      <c r="C14" s="5" t="s">
        <v>26</v>
      </c>
      <c r="D14" s="28" t="str">
        <f>IF(Bruta!B14&lt;&gt;0,Bruta!B14,"")</f>
        <v/>
      </c>
      <c r="E14" s="28">
        <f>IF(Bruta!C14&lt;&gt;0,Bruta!C14,"")</f>
        <v>-125755.08</v>
      </c>
      <c r="F14" s="28">
        <f>IF(Bruta!D14&lt;&gt;0,Bruta!D14,"")</f>
        <v>-251510.16</v>
      </c>
      <c r="G14" s="28">
        <f>IF(Bruta!E14&lt;&gt;0,Bruta!E14,"")</f>
        <v>-377265.24000000005</v>
      </c>
      <c r="H14" s="28">
        <f>IF(Bruta!F14&lt;&gt;0,Bruta!F14,"")</f>
        <v>-503020.32</v>
      </c>
      <c r="I14" s="28">
        <f>IF(Bruta!G14&lt;&gt;0,Bruta!G14,"")</f>
        <v>-628775.4</v>
      </c>
      <c r="J14" s="28">
        <f>IF(Bruta!H14&lt;&gt;0,Bruta!H14,"")</f>
        <v>-754530.48</v>
      </c>
      <c r="K14" s="28">
        <f>IF(Bruta!I14&lt;&gt;0,Bruta!I14,"")</f>
        <v>-880285.55999999994</v>
      </c>
      <c r="L14" s="156"/>
      <c r="M14" s="44" t="s">
        <v>513</v>
      </c>
      <c r="N14" s="150"/>
      <c r="O14" s="2"/>
    </row>
    <row r="15" spans="2:17" x14ac:dyDescent="0.45">
      <c r="B15" s="145"/>
      <c r="C15" s="5" t="s">
        <v>434</v>
      </c>
      <c r="D15" s="28" t="str">
        <f>IF(Bruta!B15&lt;&gt;0,Bruta!B15,"")</f>
        <v/>
      </c>
      <c r="E15" s="28">
        <f>IF(Bruta!C15&lt;&gt;0,Bruta!C15,"")</f>
        <v>-138330.5879999999</v>
      </c>
      <c r="F15" s="28">
        <f>IF(Bruta!D15&lt;&gt;0,Bruta!D15,"")</f>
        <v>-144917.75885714276</v>
      </c>
      <c r="G15" s="28">
        <f>IF(Bruta!E15&lt;&gt;0,Bruta!E15,"")</f>
        <v>-151703.93789728088</v>
      </c>
      <c r="H15" s="28">
        <f>IF(Bruta!F15&lt;&gt;0,Bruta!F15,"")</f>
        <v>-158688.22463089842</v>
      </c>
      <c r="I15" s="28">
        <f>IF(Bruta!G15&lt;&gt;0,Bruta!G15,"")</f>
        <v>-165869.36650570825</v>
      </c>
      <c r="J15" s="28">
        <f>IF(Bruta!H15&lt;&gt;0,Bruta!H15,"")</f>
        <v>-173245.76691658588</v>
      </c>
      <c r="K15" s="28">
        <f>IF(Bruta!I15&lt;&gt;0,Bruta!I15,"")</f>
        <v>-180815.49533101858</v>
      </c>
      <c r="L15" s="157"/>
      <c r="M15" s="21" t="s">
        <v>449</v>
      </c>
      <c r="N15" s="158">
        <f>IF(Bruta!N17&lt;&gt;0,Bruta!N17,"")</f>
        <v>0.1</v>
      </c>
      <c r="O15" s="2"/>
    </row>
    <row r="16" spans="2:17" x14ac:dyDescent="0.45">
      <c r="B16" s="145"/>
      <c r="C16" s="151"/>
      <c r="D16" s="151"/>
      <c r="E16" s="151"/>
      <c r="F16" s="151"/>
      <c r="G16" s="151"/>
      <c r="H16" s="151"/>
      <c r="I16" s="151"/>
      <c r="J16" s="151"/>
      <c r="K16" s="151"/>
      <c r="L16" s="156"/>
      <c r="M16" s="21" t="s">
        <v>446</v>
      </c>
      <c r="N16" s="158">
        <f>IF(Bruta!N18&lt;&gt;0,Bruta!N18,"")</f>
        <v>1.7084999999999999</v>
      </c>
      <c r="O16" s="2"/>
    </row>
    <row r="17" spans="2:21" x14ac:dyDescent="0.45">
      <c r="B17" s="145"/>
      <c r="C17" s="510" t="s">
        <v>27</v>
      </c>
      <c r="D17" s="511"/>
      <c r="E17" s="511"/>
      <c r="F17" s="511"/>
      <c r="G17" s="511"/>
      <c r="H17" s="511"/>
      <c r="I17" s="511"/>
      <c r="J17" s="511"/>
      <c r="K17" s="512"/>
      <c r="L17" s="156"/>
      <c r="M17" s="21" t="s">
        <v>447</v>
      </c>
      <c r="N17" s="158">
        <f>IF(Bruta!N19&lt;&gt;0,Bruta!N19,"")</f>
        <v>0.8</v>
      </c>
      <c r="O17" s="2"/>
    </row>
    <row r="18" spans="2:21" x14ac:dyDescent="0.45">
      <c r="B18" s="145"/>
      <c r="C18" s="176" t="s">
        <v>507</v>
      </c>
      <c r="D18" s="174">
        <f>D9</f>
        <v>2021</v>
      </c>
      <c r="E18" s="174">
        <f t="shared" ref="E18:K18" si="1">D18+1</f>
        <v>2022</v>
      </c>
      <c r="F18" s="174">
        <f t="shared" si="1"/>
        <v>2023</v>
      </c>
      <c r="G18" s="174">
        <f t="shared" si="1"/>
        <v>2024</v>
      </c>
      <c r="H18" s="174">
        <f t="shared" si="1"/>
        <v>2025</v>
      </c>
      <c r="I18" s="174">
        <f t="shared" si="1"/>
        <v>2026</v>
      </c>
      <c r="J18" s="174">
        <f t="shared" si="1"/>
        <v>2027</v>
      </c>
      <c r="K18" s="175">
        <f t="shared" si="1"/>
        <v>2028</v>
      </c>
      <c r="L18" s="159"/>
      <c r="O18" s="2"/>
    </row>
    <row r="19" spans="2:21" x14ac:dyDescent="0.45">
      <c r="B19" s="145"/>
      <c r="C19" s="6" t="s">
        <v>23</v>
      </c>
      <c r="D19" s="18">
        <f>IF(Bruta!B17&lt;&gt;0,Bruta!B17,"")</f>
        <v>-4681247.8382299999</v>
      </c>
      <c r="E19" s="25" t="str">
        <f>IF(Bruta!C17&lt;&gt;0,Bruta!C17,"")</f>
        <v/>
      </c>
      <c r="F19" s="25" t="str">
        <f>IF(Bruta!D17&lt;&gt;0,Bruta!D17,"")</f>
        <v/>
      </c>
      <c r="G19" s="25" t="str">
        <f>IF(Bruta!E17&lt;&gt;0,Bruta!E17,"")</f>
        <v/>
      </c>
      <c r="H19" s="25" t="str">
        <f>IF(Bruta!F17&lt;&gt;0,Bruta!F17,"")</f>
        <v/>
      </c>
      <c r="I19" s="25" t="str">
        <f>IF(Bruta!G17&lt;&gt;0,Bruta!G17,"")</f>
        <v/>
      </c>
      <c r="J19" s="25" t="str">
        <f>IF(Bruta!H17&lt;&gt;0,Bruta!H17,"")</f>
        <v/>
      </c>
      <c r="K19" s="26" t="str">
        <f>IF(Bruta!I17&lt;&gt;0,Bruta!I17,"")</f>
        <v/>
      </c>
      <c r="L19" s="159"/>
      <c r="O19" s="2"/>
    </row>
    <row r="20" spans="2:21" x14ac:dyDescent="0.45">
      <c r="B20" s="145"/>
      <c r="C20" s="6" t="s">
        <v>24</v>
      </c>
      <c r="D20" s="13" t="str">
        <f>IF(Bruta!B18&lt;&gt;0,Bruta!B18,"")</f>
        <v/>
      </c>
      <c r="E20" s="12">
        <f>IF(Bruta!C18&lt;&gt;0,Bruta!C18,"")</f>
        <v>-27666.117599999998</v>
      </c>
      <c r="F20" s="12">
        <f>IF(Bruta!D18&lt;&gt;0,Bruta!D18,"")</f>
        <v>-30432.729359999998</v>
      </c>
      <c r="G20" s="12">
        <f>IF(Bruta!E18&lt;&gt;0,Bruta!E18,"")</f>
        <v>-33476.002295999999</v>
      </c>
      <c r="H20" s="12">
        <f>IF(Bruta!F18&lt;&gt;0,Bruta!F18,"")</f>
        <v>-36823.602525599999</v>
      </c>
      <c r="I20" s="12">
        <f>IF(Bruta!G18&lt;&gt;0,Bruta!G18,"")</f>
        <v>-40505.962778160007</v>
      </c>
      <c r="J20" s="12">
        <f>IF(Bruta!H18&lt;&gt;0,Bruta!H18,"")</f>
        <v>-44556.559055976009</v>
      </c>
      <c r="K20" s="27">
        <f>IF(Bruta!I18&lt;&gt;0,Bruta!I18,"")</f>
        <v>-49012.21496157362</v>
      </c>
      <c r="L20" s="159"/>
      <c r="M20" s="496" t="s">
        <v>510</v>
      </c>
      <c r="N20" s="496"/>
      <c r="O20" s="140">
        <v>-383886.16325382283</v>
      </c>
    </row>
    <row r="21" spans="2:21" x14ac:dyDescent="0.45">
      <c r="B21" s="145"/>
      <c r="C21" s="6" t="s">
        <v>433</v>
      </c>
      <c r="D21" s="13">
        <f>IF(Bruta!B20&lt;&gt;0,Bruta!B20,"")</f>
        <v>-73495</v>
      </c>
      <c r="E21" s="12" t="str">
        <f>IF(Bruta!C20&lt;&gt;0,Bruta!C20,"")</f>
        <v/>
      </c>
      <c r="F21" s="12" t="str">
        <f>IF(Bruta!D20&lt;&gt;0,Bruta!D20,"")</f>
        <v/>
      </c>
      <c r="G21" s="12" t="str">
        <f>IF(Bruta!E20&lt;&gt;0,Bruta!E20,"")</f>
        <v/>
      </c>
      <c r="H21" s="12" t="str">
        <f>IF(Bruta!F20&lt;&gt;0,Bruta!F20,"")</f>
        <v/>
      </c>
      <c r="I21" s="12" t="str">
        <f>IF(Bruta!G20&lt;&gt;0,Bruta!G20,"")</f>
        <v/>
      </c>
      <c r="J21" s="12" t="str">
        <f>IF(Bruta!H20&lt;&gt;0,Bruta!H20,"")</f>
        <v/>
      </c>
      <c r="K21" s="27" t="str">
        <f>IF(Bruta!I20&lt;&gt;0,Bruta!I20,"")</f>
        <v/>
      </c>
      <c r="L21" s="160"/>
      <c r="M21" s="21"/>
      <c r="N21" s="152"/>
      <c r="O21" s="2"/>
    </row>
    <row r="22" spans="2:21" x14ac:dyDescent="0.45">
      <c r="B22" s="145"/>
      <c r="C22" s="5" t="s">
        <v>25</v>
      </c>
      <c r="D22" s="43">
        <f>IF(Bruta!B21&lt;&gt;0,Bruta!B21,0)</f>
        <v>-4754742.8382299999</v>
      </c>
      <c r="E22" s="43">
        <f>IF(Bruta!C21&lt;&gt;0,Bruta!C21,"")</f>
        <v>-27666.117599999998</v>
      </c>
      <c r="F22" s="43">
        <f>IF(Bruta!D21&lt;&gt;0,Bruta!D21,"")</f>
        <v>-30432.729359999998</v>
      </c>
      <c r="G22" s="43">
        <f>IF(Bruta!E21&lt;&gt;0,Bruta!E21,"")</f>
        <v>-33476.002295999999</v>
      </c>
      <c r="H22" s="43">
        <f>IF(Bruta!F21&lt;&gt;0,Bruta!F21,"")</f>
        <v>-36823.602525599999</v>
      </c>
      <c r="I22" s="43">
        <f>IF(Bruta!G21&lt;&gt;0,Bruta!G21,"")</f>
        <v>-40505.962778160007</v>
      </c>
      <c r="J22" s="43">
        <f>IF(Bruta!H21&lt;&gt;0,Bruta!H21,"")</f>
        <v>-44556.559055976009</v>
      </c>
      <c r="K22" s="43">
        <f>IF(Bruta!I21&lt;&gt;0,Bruta!I21,"")</f>
        <v>-49012.21496157362</v>
      </c>
      <c r="L22" s="161"/>
      <c r="M22" s="7" t="s">
        <v>727</v>
      </c>
      <c r="N22" s="186">
        <f>K14</f>
        <v>-880285.55999999994</v>
      </c>
      <c r="O22" s="2"/>
    </row>
    <row r="23" spans="2:21" x14ac:dyDescent="0.45">
      <c r="B23" s="145"/>
      <c r="C23" s="5" t="s">
        <v>26</v>
      </c>
      <c r="D23" s="28" t="str">
        <f>IF(Bruta!B22&lt;&gt;0,Bruta!B22,"")</f>
        <v/>
      </c>
      <c r="E23" s="28">
        <f>IF(Bruta!C22&lt;&gt;0,Bruta!C22,"")</f>
        <v>-4779893.8542299997</v>
      </c>
      <c r="F23" s="28">
        <f>IF(Bruta!D22&lt;&gt;0,Bruta!D22,"")</f>
        <v>-4805044.8702299995</v>
      </c>
      <c r="G23" s="28">
        <f>IF(Bruta!E22&lt;&gt;0,Bruta!E22,"")</f>
        <v>-4830195.8862300003</v>
      </c>
      <c r="H23" s="28">
        <f>IF(Bruta!F22&lt;&gt;0,Bruta!F22,"")</f>
        <v>-4855346.9022300001</v>
      </c>
      <c r="I23" s="28">
        <f>IF(Bruta!G22&lt;&gt;0,Bruta!G22,"")</f>
        <v>-4880497.91823</v>
      </c>
      <c r="J23" s="28">
        <f>IF(Bruta!H22&lt;&gt;0,Bruta!H22,"")</f>
        <v>-4905648.9342299998</v>
      </c>
      <c r="K23" s="28">
        <f>IF(Bruta!I22&lt;&gt;0,Bruta!I22,"")</f>
        <v>-4930799.9502299996</v>
      </c>
      <c r="L23" s="7"/>
      <c r="M23" s="7" t="s">
        <v>728</v>
      </c>
      <c r="N23" s="187">
        <f>K23</f>
        <v>-4930799.9502299996</v>
      </c>
      <c r="O23" s="2"/>
    </row>
    <row r="24" spans="2:21" x14ac:dyDescent="0.45">
      <c r="B24" s="145"/>
      <c r="C24" s="5" t="s">
        <v>434</v>
      </c>
      <c r="D24" s="28" t="str">
        <f>IF(Bruta!B23&lt;&gt;0,Bruta!B23,"")</f>
        <v/>
      </c>
      <c r="E24" s="28">
        <f>IF(Bruta!C23&lt;&gt;0,Bruta!C23,"")</f>
        <v>-5257883.239652996</v>
      </c>
      <c r="F24" s="28">
        <f>IF(Bruta!D23&lt;&gt;0,Bruta!D23,"")</f>
        <v>-2768621.0918944264</v>
      </c>
      <c r="G24" s="28">
        <f>IF(Bruta!E23&lt;&gt;0,Bruta!E23,"")</f>
        <v>-1942293.2702634819</v>
      </c>
      <c r="H24" s="28">
        <f>IF(Bruta!F23&lt;&gt;0,Bruta!F23,"")</f>
        <v>-1531720.1895184095</v>
      </c>
      <c r="I24" s="28">
        <f>IF(Bruta!G23&lt;&gt;0,Bruta!G23,"")</f>
        <v>-1287463.0558530726</v>
      </c>
      <c r="J24" s="28">
        <f>IF(Bruta!H23&lt;&gt;0,Bruta!H23,"")</f>
        <v>-1126373.2007674607</v>
      </c>
      <c r="K24" s="28">
        <f>IF(Bruta!I23&lt;&gt;0,Bruta!I23,"")</f>
        <v>-1012813.4277006648</v>
      </c>
      <c r="L24" s="7"/>
      <c r="O24" s="2"/>
    </row>
    <row r="25" spans="2:21" ht="17.25" customHeight="1" x14ac:dyDescent="0.45">
      <c r="B25" s="145"/>
      <c r="L25" s="156"/>
      <c r="O25" s="2"/>
    </row>
    <row r="26" spans="2:21" ht="16.5" customHeight="1" x14ac:dyDescent="0.45">
      <c r="B26" s="145"/>
      <c r="C26" s="497"/>
      <c r="D26" s="498"/>
      <c r="E26" s="498"/>
      <c r="F26" s="498"/>
      <c r="G26" s="498"/>
      <c r="H26" s="498"/>
      <c r="I26" s="498"/>
      <c r="J26" s="498"/>
      <c r="K26" s="499"/>
      <c r="L26" s="156"/>
      <c r="M26" s="515" t="s">
        <v>445</v>
      </c>
      <c r="N26" s="513">
        <f>IF(Bruta!N24&lt;&gt;0,Bruta!N24,"")</f>
        <v>-4050514.3902299996</v>
      </c>
      <c r="O26" s="2"/>
    </row>
    <row r="27" spans="2:21" x14ac:dyDescent="0.45">
      <c r="B27" s="145"/>
      <c r="C27" s="500"/>
      <c r="D27" s="501"/>
      <c r="E27" s="501"/>
      <c r="F27" s="501"/>
      <c r="G27" s="501"/>
      <c r="H27" s="501"/>
      <c r="I27" s="501"/>
      <c r="J27" s="501"/>
      <c r="K27" s="502"/>
      <c r="L27" s="156"/>
      <c r="M27" s="516"/>
      <c r="N27" s="514"/>
      <c r="O27" s="2"/>
    </row>
    <row r="28" spans="2:21" x14ac:dyDescent="0.45">
      <c r="B28" s="145"/>
      <c r="C28" s="500"/>
      <c r="D28" s="501"/>
      <c r="E28" s="501"/>
      <c r="F28" s="501"/>
      <c r="G28" s="501"/>
      <c r="H28" s="501"/>
      <c r="I28" s="501"/>
      <c r="J28" s="501"/>
      <c r="K28" s="502"/>
      <c r="L28" s="156"/>
      <c r="O28" s="2"/>
    </row>
    <row r="29" spans="2:21" x14ac:dyDescent="0.45">
      <c r="B29" s="145"/>
      <c r="C29" s="500"/>
      <c r="D29" s="501"/>
      <c r="E29" s="501"/>
      <c r="F29" s="501"/>
      <c r="G29" s="501"/>
      <c r="H29" s="501"/>
      <c r="I29" s="501"/>
      <c r="J29" s="501"/>
      <c r="K29" s="502"/>
      <c r="L29" s="156"/>
      <c r="O29" s="2"/>
    </row>
    <row r="30" spans="2:21" x14ac:dyDescent="0.45">
      <c r="B30" s="145"/>
      <c r="C30" s="503"/>
      <c r="D30" s="504"/>
      <c r="E30" s="504"/>
      <c r="F30" s="504"/>
      <c r="G30" s="504"/>
      <c r="H30" s="504"/>
      <c r="I30" s="504"/>
      <c r="J30" s="504"/>
      <c r="K30" s="505"/>
      <c r="O30" s="2"/>
    </row>
    <row r="31" spans="2:21" x14ac:dyDescent="0.45">
      <c r="B31" s="153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54"/>
    </row>
    <row r="32" spans="2:21" x14ac:dyDescent="0.45">
      <c r="H32" s="7"/>
      <c r="U32" s="144" t="s">
        <v>2158</v>
      </c>
    </row>
  </sheetData>
  <mergeCells count="10">
    <mergeCell ref="M5:N5"/>
    <mergeCell ref="M20:N20"/>
    <mergeCell ref="C26:K30"/>
    <mergeCell ref="E3:J3"/>
    <mergeCell ref="F5:H5"/>
    <mergeCell ref="F6:H6"/>
    <mergeCell ref="C17:K17"/>
    <mergeCell ref="C8:K8"/>
    <mergeCell ref="N26:N27"/>
    <mergeCell ref="M26:M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B2:O86"/>
  <sheetViews>
    <sheetView topLeftCell="A2" zoomScale="85" zoomScaleNormal="85" workbookViewId="0">
      <selection activeCell="J33" sqref="B33:J85"/>
    </sheetView>
  </sheetViews>
  <sheetFormatPr defaultRowHeight="14" x14ac:dyDescent="0.3"/>
  <cols>
    <col min="1" max="1" width="3.58203125" customWidth="1"/>
    <col min="2" max="2" width="21.58203125" customWidth="1"/>
    <col min="3" max="10" width="12.58203125" customWidth="1"/>
    <col min="11" max="11" width="3.58203125" customWidth="1"/>
    <col min="13" max="13" width="40.33203125" bestFit="1" customWidth="1"/>
    <col min="14" max="14" width="3.58203125" customWidth="1"/>
    <col min="15" max="15" width="13.58203125" bestFit="1" customWidth="1"/>
  </cols>
  <sheetData>
    <row r="2" spans="2:15" ht="16.5" thickBot="1" x14ac:dyDescent="0.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86" t="s">
        <v>436</v>
      </c>
      <c r="N2" s="86"/>
      <c r="O2" s="86"/>
    </row>
    <row r="3" spans="2:15" ht="16" x14ac:dyDescent="0.45">
      <c r="B3" s="404" t="s">
        <v>22</v>
      </c>
      <c r="C3" s="36">
        <v>2023</v>
      </c>
      <c r="D3" s="36">
        <f>$C$3+D4</f>
        <v>2024</v>
      </c>
      <c r="E3" s="36">
        <f t="shared" ref="E3:J3" si="0">$C$3+E4</f>
        <v>2025</v>
      </c>
      <c r="F3" s="36">
        <f t="shared" si="0"/>
        <v>2026</v>
      </c>
      <c r="G3" s="36">
        <f t="shared" si="0"/>
        <v>2027</v>
      </c>
      <c r="H3" s="36">
        <f t="shared" si="0"/>
        <v>2028</v>
      </c>
      <c r="I3" s="36">
        <f t="shared" si="0"/>
        <v>2029</v>
      </c>
      <c r="J3" s="37">
        <f t="shared" si="0"/>
        <v>2030</v>
      </c>
      <c r="K3" s="3"/>
      <c r="L3" s="22" t="s">
        <v>437</v>
      </c>
      <c r="M3" s="4"/>
      <c r="N3" s="4"/>
      <c r="O3" s="4"/>
    </row>
    <row r="4" spans="2:15" ht="16.5" thickBot="1" x14ac:dyDescent="0.5">
      <c r="B4" s="405" t="s">
        <v>435</v>
      </c>
      <c r="C4" s="38">
        <v>0</v>
      </c>
      <c r="D4" s="38">
        <v>1</v>
      </c>
      <c r="E4" s="38">
        <v>2</v>
      </c>
      <c r="F4" s="38">
        <v>3</v>
      </c>
      <c r="G4" s="38">
        <v>4</v>
      </c>
      <c r="H4" s="38">
        <v>5</v>
      </c>
      <c r="I4" s="38">
        <v>6</v>
      </c>
      <c r="J4" s="39">
        <v>7</v>
      </c>
      <c r="K4" s="3"/>
      <c r="L4" s="22"/>
      <c r="M4" s="46" t="s">
        <v>438</v>
      </c>
      <c r="N4" s="4"/>
      <c r="O4" s="9">
        <f>Bruta!N8</f>
        <v>1728354.38</v>
      </c>
    </row>
    <row r="5" spans="2:15" ht="16" x14ac:dyDescent="0.45">
      <c r="B5" s="406" t="s">
        <v>23</v>
      </c>
      <c r="C5" s="410">
        <f>Bruta!B9</f>
        <v>-1728354.38</v>
      </c>
      <c r="D5" s="29"/>
      <c r="E5" s="29"/>
      <c r="F5" s="29"/>
      <c r="G5" s="29"/>
      <c r="H5" s="29"/>
      <c r="I5" s="29"/>
      <c r="J5" s="30"/>
      <c r="K5" s="3"/>
      <c r="L5" s="22"/>
      <c r="M5" s="46" t="s">
        <v>439</v>
      </c>
      <c r="N5" s="4"/>
      <c r="O5" s="9">
        <f>Bruta!N9</f>
        <v>73495</v>
      </c>
    </row>
    <row r="6" spans="2:15" ht="16" x14ac:dyDescent="0.45">
      <c r="B6" s="407" t="s">
        <v>432</v>
      </c>
      <c r="C6" s="12">
        <f>Bruta!B10</f>
        <v>-6433089</v>
      </c>
      <c r="D6" s="12">
        <f>Bruta!C10</f>
        <v>-138330.58800000002</v>
      </c>
      <c r="E6" s="12">
        <f>Bruta!D10</f>
        <v>-152163.64680000002</v>
      </c>
      <c r="F6" s="12">
        <f>Bruta!E10</f>
        <v>-167380.01148000004</v>
      </c>
      <c r="G6" s="12">
        <f>Bruta!F10</f>
        <v>-184118.01262800005</v>
      </c>
      <c r="H6" s="12">
        <f>Bruta!G10</f>
        <v>-202529.81389080008</v>
      </c>
      <c r="I6" s="12">
        <f>Bruta!H10</f>
        <v>-222782.79527988011</v>
      </c>
      <c r="J6" s="31">
        <f>Bruta!I10</f>
        <v>-245061.07480786816</v>
      </c>
      <c r="K6" s="3"/>
      <c r="L6" s="23"/>
      <c r="M6" s="46" t="s">
        <v>450</v>
      </c>
      <c r="N6" s="4"/>
      <c r="O6" s="9">
        <f>Bruta!N10</f>
        <v>8234938.3799999999</v>
      </c>
    </row>
    <row r="7" spans="2:15" ht="16" x14ac:dyDescent="0.45">
      <c r="B7" s="407" t="s">
        <v>714</v>
      </c>
      <c r="C7" s="12"/>
      <c r="D7" s="12"/>
      <c r="E7" s="12"/>
      <c r="F7" s="12"/>
      <c r="G7" s="12"/>
      <c r="H7" s="12"/>
      <c r="I7" s="12"/>
      <c r="J7" s="31"/>
      <c r="K7" s="3"/>
      <c r="L7" s="22"/>
      <c r="M7" s="46"/>
      <c r="N7" s="4"/>
      <c r="O7" s="4"/>
    </row>
    <row r="8" spans="2:15" ht="16.5" thickBot="1" x14ac:dyDescent="0.5">
      <c r="B8" s="407"/>
      <c r="C8" s="12"/>
      <c r="D8" s="12"/>
      <c r="E8" s="12"/>
      <c r="F8" s="12"/>
      <c r="G8" s="12"/>
      <c r="H8" s="12"/>
      <c r="I8" s="12"/>
      <c r="J8" s="31"/>
      <c r="K8" s="3"/>
      <c r="L8" s="22" t="s">
        <v>440</v>
      </c>
      <c r="M8" s="46"/>
      <c r="N8" s="4"/>
      <c r="O8" s="4"/>
    </row>
    <row r="9" spans="2:15" ht="16" x14ac:dyDescent="0.45">
      <c r="B9" s="40" t="s">
        <v>53</v>
      </c>
      <c r="C9" s="400">
        <f>SUM(C5:C8)</f>
        <v>-8161443.3799999999</v>
      </c>
      <c r="D9" s="41">
        <f>SUM(D5:D8)</f>
        <v>-138330.58800000002</v>
      </c>
      <c r="E9" s="41">
        <f t="shared" ref="E9:J9" si="1">SUM(E5:E8)</f>
        <v>-152163.64680000002</v>
      </c>
      <c r="F9" s="41">
        <f t="shared" si="1"/>
        <v>-167380.01148000004</v>
      </c>
      <c r="G9" s="41">
        <f t="shared" si="1"/>
        <v>-184118.01262800005</v>
      </c>
      <c r="H9" s="41">
        <f t="shared" si="1"/>
        <v>-202529.81389080008</v>
      </c>
      <c r="I9" s="41">
        <f t="shared" si="1"/>
        <v>-222782.79527988011</v>
      </c>
      <c r="J9" s="42">
        <f t="shared" si="1"/>
        <v>-245061.07480786816</v>
      </c>
      <c r="K9" s="3"/>
      <c r="L9" s="22"/>
      <c r="M9" s="46" t="s">
        <v>438</v>
      </c>
      <c r="N9" s="4"/>
      <c r="O9" s="12">
        <f>Bruta!N13</f>
        <v>4681247.8382299999</v>
      </c>
    </row>
    <row r="10" spans="2:15" ht="16" x14ac:dyDescent="0.45">
      <c r="B10" s="34" t="s">
        <v>26</v>
      </c>
      <c r="C10" s="401"/>
      <c r="D10" s="28">
        <f>NPV($O$13,D9)</f>
        <v>-125755.08</v>
      </c>
      <c r="E10" s="28">
        <f>NPV($O$13,D9,E9)</f>
        <v>-251510.16</v>
      </c>
      <c r="F10" s="28">
        <f>NPV($O$13,D9,E9,F9)</f>
        <v>-377265.24000000005</v>
      </c>
      <c r="G10" s="28">
        <f>NPV($O$13,D9,E9,F9,G9)</f>
        <v>-503020.32</v>
      </c>
      <c r="H10" s="28">
        <f>NPV($O$13,D9,E9,F9,G9,H9)</f>
        <v>-628775.4</v>
      </c>
      <c r="I10" s="28">
        <f>NPV($O$13,D9,E9,F9,G9,H9,I9)</f>
        <v>-754530.48</v>
      </c>
      <c r="J10" s="32">
        <f>NPV($O$13,D9,E9,F9,G9,H9,I9,J9)</f>
        <v>-880285.55999999994</v>
      </c>
      <c r="K10" s="3"/>
      <c r="L10" s="20"/>
      <c r="M10" s="46" t="s">
        <v>442</v>
      </c>
      <c r="N10" s="4"/>
      <c r="O10" s="45" t="str">
        <f>Bruta!N14</f>
        <v>Sem Retorno</v>
      </c>
    </row>
    <row r="11" spans="2:15" ht="16.5" thickBot="1" x14ac:dyDescent="0.5">
      <c r="B11" s="35" t="s">
        <v>434</v>
      </c>
      <c r="C11" s="402"/>
      <c r="D11" s="33">
        <f t="shared" ref="D11:J11" si="2">D10*((((1+$O$13)^D4)*$O$13)/(((1+$O$13)^D4)-1))</f>
        <v>-138330.5879999999</v>
      </c>
      <c r="E11" s="33">
        <f t="shared" si="2"/>
        <v>-144917.75885714276</v>
      </c>
      <c r="F11" s="33">
        <f t="shared" si="2"/>
        <v>-151703.93789728088</v>
      </c>
      <c r="G11" s="33">
        <f t="shared" si="2"/>
        <v>-158688.22463089842</v>
      </c>
      <c r="H11" s="33">
        <f t="shared" si="2"/>
        <v>-165869.36650570825</v>
      </c>
      <c r="I11" s="33">
        <f t="shared" si="2"/>
        <v>-173245.76691658588</v>
      </c>
      <c r="J11" s="398">
        <f t="shared" si="2"/>
        <v>-180815.49533101858</v>
      </c>
      <c r="K11" s="3"/>
      <c r="L11" s="22"/>
      <c r="M11" s="46"/>
      <c r="N11" s="4"/>
      <c r="O11" s="4"/>
    </row>
    <row r="12" spans="2:15" ht="16.5" thickBot="1" x14ac:dyDescent="0.5">
      <c r="B12" s="408"/>
      <c r="C12" s="4"/>
      <c r="D12" s="4"/>
      <c r="E12" s="4"/>
      <c r="F12" s="4"/>
      <c r="G12" s="4"/>
      <c r="H12" s="4"/>
      <c r="I12" s="4"/>
      <c r="J12" s="101"/>
      <c r="K12" s="3"/>
      <c r="L12" s="22" t="s">
        <v>448</v>
      </c>
      <c r="M12" s="19"/>
      <c r="N12" s="4"/>
      <c r="O12" s="4"/>
    </row>
    <row r="13" spans="2:15" ht="16" x14ac:dyDescent="0.45">
      <c r="B13" s="406" t="s">
        <v>23</v>
      </c>
      <c r="C13" s="410"/>
      <c r="D13" s="29"/>
      <c r="E13" s="29"/>
      <c r="F13" s="29"/>
      <c r="G13" s="29"/>
      <c r="H13" s="29"/>
      <c r="I13" s="29"/>
      <c r="J13" s="30"/>
      <c r="K13" s="3"/>
      <c r="L13" s="20"/>
      <c r="M13" s="46" t="s">
        <v>449</v>
      </c>
      <c r="N13" s="4"/>
      <c r="O13" s="11">
        <f>Bruta!N17</f>
        <v>0.1</v>
      </c>
    </row>
    <row r="14" spans="2:15" ht="16" x14ac:dyDescent="0.45">
      <c r="B14" s="407" t="s">
        <v>24</v>
      </c>
      <c r="C14" s="12"/>
      <c r="D14" s="12">
        <v>-62265.791500000007</v>
      </c>
      <c r="E14" s="12">
        <v>-70694.264947058837</v>
      </c>
      <c r="F14" s="12">
        <v>-75341.607715000035</v>
      </c>
      <c r="G14" s="12">
        <v>-82716.840431500008</v>
      </c>
      <c r="H14" s="12">
        <v>-91163.345335150021</v>
      </c>
      <c r="I14" s="12">
        <v>-100087.37692211506</v>
      </c>
      <c r="J14" s="31">
        <v>-110307.64785553157</v>
      </c>
      <c r="K14" s="3"/>
      <c r="L14" s="22"/>
      <c r="M14" s="46" t="s">
        <v>446</v>
      </c>
      <c r="N14" s="4"/>
      <c r="O14" s="11">
        <f>Bruta!N18</f>
        <v>1.7084999999999999</v>
      </c>
    </row>
    <row r="15" spans="2:15" ht="16" x14ac:dyDescent="0.45">
      <c r="B15" s="407" t="s">
        <v>714</v>
      </c>
      <c r="C15" s="12">
        <v>-3322142.57</v>
      </c>
      <c r="D15" s="12"/>
      <c r="E15" s="12"/>
      <c r="F15" s="12"/>
      <c r="G15" s="12"/>
      <c r="H15" s="12"/>
      <c r="I15" s="12"/>
      <c r="J15" s="31"/>
      <c r="K15" s="3"/>
      <c r="L15" s="22"/>
      <c r="M15" s="46" t="s">
        <v>447</v>
      </c>
      <c r="N15" s="4"/>
      <c r="O15" s="11">
        <f>Bruta!N19</f>
        <v>0.8</v>
      </c>
    </row>
    <row r="16" spans="2:15" ht="16.5" thickBot="1" x14ac:dyDescent="0.5">
      <c r="B16" s="411" t="s">
        <v>433</v>
      </c>
      <c r="C16" s="412"/>
      <c r="D16" s="413"/>
      <c r="E16" s="413"/>
      <c r="F16" s="413"/>
      <c r="G16" s="413"/>
      <c r="H16" s="413"/>
      <c r="I16" s="413"/>
      <c r="J16" s="414"/>
      <c r="K16" s="3"/>
      <c r="L16" s="22"/>
      <c r="M16" s="46"/>
      <c r="N16" s="4"/>
      <c r="O16" s="4"/>
    </row>
    <row r="17" spans="2:15" ht="16" x14ac:dyDescent="0.45">
      <c r="B17" s="40" t="s">
        <v>25</v>
      </c>
      <c r="C17" s="400">
        <f t="shared" ref="C17:J17" si="3">SUM(C13:C16)</f>
        <v>-3322142.57</v>
      </c>
      <c r="D17" s="41">
        <f t="shared" si="3"/>
        <v>-62265.791500000007</v>
      </c>
      <c r="E17" s="41">
        <f t="shared" si="3"/>
        <v>-70694.264947058837</v>
      </c>
      <c r="F17" s="41">
        <f t="shared" si="3"/>
        <v>-75341.607715000035</v>
      </c>
      <c r="G17" s="41">
        <f t="shared" si="3"/>
        <v>-82716.840431500008</v>
      </c>
      <c r="H17" s="41">
        <f t="shared" si="3"/>
        <v>-91163.345335150021</v>
      </c>
      <c r="I17" s="41">
        <f t="shared" si="3"/>
        <v>-100087.37692211506</v>
      </c>
      <c r="J17" s="42">
        <f t="shared" si="3"/>
        <v>-110307.64785553157</v>
      </c>
      <c r="K17" s="3"/>
      <c r="L17" s="20" t="s">
        <v>441</v>
      </c>
      <c r="M17" s="46"/>
      <c r="N17" s="4"/>
      <c r="O17" s="4"/>
    </row>
    <row r="18" spans="2:15" ht="16" x14ac:dyDescent="0.45">
      <c r="B18" s="34" t="s">
        <v>26</v>
      </c>
      <c r="C18" s="401"/>
      <c r="D18" s="28">
        <f>NPV($O$13,D17)+C17</f>
        <v>-3378747.835</v>
      </c>
      <c r="E18" s="28">
        <f>NPV($O$13,D17,E17)+C17</f>
        <v>-3437172.8473529411</v>
      </c>
      <c r="F18" s="28">
        <f>NPV($O$13,D17,E17,F17)+C17</f>
        <v>-3493778.1123529412</v>
      </c>
      <c r="G18" s="28">
        <f>NPV($O$13,D17,E17,F17,G17)+C17</f>
        <v>-3550274.827352941</v>
      </c>
      <c r="H18" s="28">
        <f>NPV($O$13,D17,E17,F17,G17,H17)+C17</f>
        <v>-3606880.0923529412</v>
      </c>
      <c r="I18" s="28">
        <f>NPV($O$13,D17,E17,F17,G17,H17,I17)+C17</f>
        <v>-3663376.807352941</v>
      </c>
      <c r="J18" s="32">
        <f>NPV($O$13,D17,E17,F17,G17,H17,I17,J17)+C17</f>
        <v>-3719982.0723529411</v>
      </c>
      <c r="K18" s="3"/>
      <c r="L18" s="22"/>
      <c r="M18" s="46" t="s">
        <v>443</v>
      </c>
      <c r="N18" s="4"/>
      <c r="O18" s="56">
        <f>Bruta!N22</f>
        <v>4050514.3902299996</v>
      </c>
    </row>
    <row r="19" spans="2:15" ht="16" x14ac:dyDescent="0.45">
      <c r="B19" s="415" t="s">
        <v>434</v>
      </c>
      <c r="C19" s="416"/>
      <c r="D19" s="417">
        <f t="shared" ref="D19:J19" si="4">D18*((((1+$O$13)^D4)*$O$13)/(((1+$O$13)^D4)-1))</f>
        <v>-3716622.6184999971</v>
      </c>
      <c r="E19" s="417">
        <f t="shared" si="4"/>
        <v>-1980466.2596652647</v>
      </c>
      <c r="F19" s="417">
        <f t="shared" si="4"/>
        <v>-1404899.8995594445</v>
      </c>
      <c r="G19" s="417">
        <f t="shared" si="4"/>
        <v>-1120008.0531625594</v>
      </c>
      <c r="H19" s="417">
        <f t="shared" si="4"/>
        <v>-951485.88189142395</v>
      </c>
      <c r="I19" s="417">
        <f t="shared" si="4"/>
        <v>-841138.35201766039</v>
      </c>
      <c r="J19" s="418">
        <f t="shared" si="4"/>
        <v>-764104.77644891292</v>
      </c>
      <c r="K19" s="3"/>
      <c r="L19" s="24"/>
      <c r="M19" s="46" t="s">
        <v>444</v>
      </c>
      <c r="N19" s="4"/>
      <c r="O19" s="4"/>
    </row>
    <row r="20" spans="2:15" ht="16" x14ac:dyDescent="0.45">
      <c r="B20" s="419" t="s">
        <v>2156</v>
      </c>
      <c r="C20" s="25">
        <f>O9*-1</f>
        <v>-4681247.8382299999</v>
      </c>
      <c r="D20" s="420"/>
      <c r="E20" s="420"/>
      <c r="F20" s="420"/>
      <c r="G20" s="420"/>
      <c r="H20" s="420"/>
      <c r="I20" s="420"/>
      <c r="J20" s="421"/>
      <c r="K20" s="3"/>
      <c r="L20" s="22"/>
      <c r="M20" s="46" t="s">
        <v>445</v>
      </c>
      <c r="N20" s="4"/>
      <c r="O20" s="10">
        <f>J18-J10</f>
        <v>-2839696.5123529411</v>
      </c>
    </row>
    <row r="21" spans="2:15" ht="16" x14ac:dyDescent="0.45">
      <c r="B21" s="424" t="s">
        <v>2157</v>
      </c>
      <c r="C21" s="3"/>
      <c r="D21" s="12">
        <f t="shared" ref="D21:J21" si="5">D6*(1-$O$15)</f>
        <v>-27666.117599999998</v>
      </c>
      <c r="E21" s="12">
        <f t="shared" si="5"/>
        <v>-30432.729359999998</v>
      </c>
      <c r="F21" s="12">
        <f t="shared" si="5"/>
        <v>-33476.002295999999</v>
      </c>
      <c r="G21" s="12">
        <f t="shared" si="5"/>
        <v>-36823.602525599999</v>
      </c>
      <c r="H21" s="12">
        <f t="shared" si="5"/>
        <v>-40505.962778160007</v>
      </c>
      <c r="I21" s="12">
        <f t="shared" si="5"/>
        <v>-44556.559055976009</v>
      </c>
      <c r="J21" s="27">
        <f t="shared" si="5"/>
        <v>-49012.21496157362</v>
      </c>
      <c r="K21" s="102"/>
      <c r="L21" s="3"/>
      <c r="M21" s="3" t="s">
        <v>520</v>
      </c>
      <c r="N21" s="3"/>
      <c r="O21" s="56">
        <f>Bruta!N25</f>
        <v>36.263043916702259</v>
      </c>
    </row>
    <row r="22" spans="2:15" ht="16" x14ac:dyDescent="0.45">
      <c r="B22" s="462" t="s">
        <v>433</v>
      </c>
      <c r="C22" s="422"/>
      <c r="D22" s="422"/>
      <c r="E22" s="422"/>
      <c r="F22" s="422"/>
      <c r="G22" s="422"/>
      <c r="H22" s="422"/>
      <c r="I22" s="422"/>
      <c r="J22" s="423"/>
      <c r="K22" s="3"/>
      <c r="L22" s="3"/>
      <c r="M22" s="3"/>
      <c r="N22" s="3"/>
      <c r="O22" s="3"/>
    </row>
    <row r="23" spans="2:15" ht="16" x14ac:dyDescent="0.4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 ht="16" x14ac:dyDescent="0.45">
      <c r="B24" s="3" t="s">
        <v>516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6" x14ac:dyDescent="0.45">
      <c r="B25" s="3" t="s">
        <v>514</v>
      </c>
      <c r="C25" s="102"/>
      <c r="D25" s="166">
        <f>D9*-1</f>
        <v>138330.58800000002</v>
      </c>
      <c r="E25" s="166">
        <f>SUM(D9:E9)*-1</f>
        <v>290494.23480000003</v>
      </c>
      <c r="F25" s="166">
        <f>SUM(D9:F9)*-1</f>
        <v>457874.24628000008</v>
      </c>
      <c r="G25" s="166">
        <f>SUM(D9:G9)*-1</f>
        <v>641992.25890800008</v>
      </c>
      <c r="H25" s="166">
        <f>SUM(D9:H9)*-1</f>
        <v>844522.07279880019</v>
      </c>
      <c r="I25" s="166">
        <f>SUM(D9:I9)*-1</f>
        <v>1067304.8680786802</v>
      </c>
      <c r="J25" s="166">
        <f>SUM(D9:J9)*-1</f>
        <v>1312365.9428865483</v>
      </c>
      <c r="K25" s="3"/>
      <c r="L25" s="3"/>
      <c r="M25" s="4" t="s">
        <v>736</v>
      </c>
      <c r="N25" s="3"/>
      <c r="O25" s="3"/>
    </row>
    <row r="26" spans="2:15" ht="16" x14ac:dyDescent="0.45">
      <c r="B26" s="3" t="s">
        <v>515</v>
      </c>
      <c r="C26" s="102"/>
      <c r="D26" s="166">
        <f>D17*-1</f>
        <v>62265.791500000007</v>
      </c>
      <c r="E26" s="166">
        <f>SUM(D17:E17)*-1</f>
        <v>132960.05644705886</v>
      </c>
      <c r="F26" s="166">
        <f>SUM(D17:F17)*-1</f>
        <v>208301.66416205891</v>
      </c>
      <c r="G26" s="166">
        <f>SUM(D17:G17)*-1</f>
        <v>291018.5045935589</v>
      </c>
      <c r="H26" s="166">
        <f>SUM(D17:H17)*-1</f>
        <v>382181.84992870892</v>
      </c>
      <c r="I26" s="166">
        <f>SUM(D17:I17)*-1</f>
        <v>482269.22685082396</v>
      </c>
      <c r="J26" s="166">
        <f>SUM(D17:J17)*-1</f>
        <v>592576.87470635551</v>
      </c>
      <c r="K26" s="3"/>
      <c r="L26" s="3"/>
      <c r="M26" s="47">
        <f>(NPV($O$13,D17,E17,F17,G17,H17,I17,J17)+C17)-(NPV($O$13,D9,E9,F9,G9,H9,I9,J9))</f>
        <v>-2839696.5123529411</v>
      </c>
      <c r="N26" s="3"/>
      <c r="O26" s="3"/>
    </row>
    <row r="27" spans="2:15" ht="16" x14ac:dyDescent="0.4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56"/>
      <c r="N27" s="3"/>
      <c r="O27" s="3"/>
    </row>
    <row r="28" spans="2:15" ht="16" x14ac:dyDescent="0.45">
      <c r="B28" s="3" t="s">
        <v>521</v>
      </c>
      <c r="C28" s="102"/>
      <c r="D28" s="166">
        <f t="shared" ref="D28:J28" si="6">D11*-1</f>
        <v>138330.5879999999</v>
      </c>
      <c r="E28" s="166">
        <f t="shared" si="6"/>
        <v>144917.75885714276</v>
      </c>
      <c r="F28" s="166">
        <f t="shared" si="6"/>
        <v>151703.93789728088</v>
      </c>
      <c r="G28" s="166">
        <f t="shared" si="6"/>
        <v>158688.22463089842</v>
      </c>
      <c r="H28" s="166">
        <f t="shared" si="6"/>
        <v>165869.36650570825</v>
      </c>
      <c r="I28" s="166">
        <f t="shared" si="6"/>
        <v>173245.76691658588</v>
      </c>
      <c r="J28" s="166">
        <f t="shared" si="6"/>
        <v>180815.49533101858</v>
      </c>
      <c r="K28" s="3"/>
      <c r="L28" s="3"/>
      <c r="M28" s="4"/>
      <c r="N28" s="3"/>
      <c r="O28" s="3"/>
    </row>
    <row r="29" spans="2:15" ht="16" x14ac:dyDescent="0.45">
      <c r="B29" s="3" t="s">
        <v>522</v>
      </c>
      <c r="C29" s="102"/>
      <c r="D29" s="166">
        <f t="shared" ref="D29:J29" si="7">D19*-1</f>
        <v>3716622.6184999971</v>
      </c>
      <c r="E29" s="166">
        <f t="shared" si="7"/>
        <v>1980466.2596652647</v>
      </c>
      <c r="F29" s="166">
        <f t="shared" si="7"/>
        <v>1404899.8995594445</v>
      </c>
      <c r="G29" s="166">
        <f t="shared" si="7"/>
        <v>1120008.0531625594</v>
      </c>
      <c r="H29" s="166">
        <f t="shared" si="7"/>
        <v>951485.88189142395</v>
      </c>
      <c r="I29" s="166">
        <f t="shared" si="7"/>
        <v>841138.35201766039</v>
      </c>
      <c r="J29" s="166">
        <f t="shared" si="7"/>
        <v>764104.77644891292</v>
      </c>
      <c r="K29" s="3"/>
      <c r="L29" s="3"/>
      <c r="M29" s="163"/>
      <c r="N29" s="3"/>
      <c r="O29" s="3"/>
    </row>
    <row r="30" spans="2:15" ht="16" x14ac:dyDescent="0.45">
      <c r="B30" s="3"/>
      <c r="C30" s="3"/>
      <c r="D30" s="165">
        <f>D28/D29</f>
        <v>3.7219433394028355E-2</v>
      </c>
      <c r="E30" s="165">
        <f t="shared" ref="E30:J30" si="8">E28/E29</f>
        <v>7.3173556050198263E-2</v>
      </c>
      <c r="F30" s="165">
        <f t="shared" si="8"/>
        <v>0.10798202629586133</v>
      </c>
      <c r="G30" s="165">
        <f t="shared" si="8"/>
        <v>0.14168489608874821</v>
      </c>
      <c r="H30" s="165">
        <f t="shared" si="8"/>
        <v>0.17432667122289047</v>
      </c>
      <c r="I30" s="165">
        <f t="shared" si="8"/>
        <v>0.20596583962794796</v>
      </c>
      <c r="J30" s="165">
        <f t="shared" si="8"/>
        <v>0.23663704364123639</v>
      </c>
      <c r="K30" s="3"/>
      <c r="L30" s="3"/>
      <c r="M30" s="167"/>
      <c r="N30" s="3"/>
      <c r="O30" s="3"/>
    </row>
    <row r="32" spans="2:15" ht="14.5" thickBot="1" x14ac:dyDescent="0.35"/>
    <row r="33" spans="2:10" ht="16.5" thickTop="1" x14ac:dyDescent="0.45">
      <c r="B33" s="66"/>
      <c r="C33" s="67"/>
      <c r="D33" s="67"/>
      <c r="E33" s="68"/>
      <c r="F33" s="67"/>
      <c r="G33" s="68"/>
      <c r="H33" s="69"/>
      <c r="I33" s="70"/>
      <c r="J33" s="69"/>
    </row>
    <row r="34" spans="2:10" ht="16" x14ac:dyDescent="0.45">
      <c r="B34" s="72" t="s">
        <v>54</v>
      </c>
      <c r="C34" s="73"/>
      <c r="D34" s="73"/>
      <c r="E34" s="74"/>
      <c r="F34" s="73"/>
      <c r="G34" s="75"/>
      <c r="H34" s="76"/>
      <c r="I34" s="479"/>
      <c r="J34" s="480"/>
    </row>
    <row r="35" spans="2:10" ht="16.5" thickBot="1" x14ac:dyDescent="0.5">
      <c r="B35" s="77"/>
      <c r="C35" s="78"/>
      <c r="D35" s="78"/>
      <c r="E35" s="79"/>
      <c r="F35" s="78"/>
      <c r="G35" s="79"/>
      <c r="H35" s="80"/>
      <c r="I35" s="79"/>
      <c r="J35" s="80"/>
    </row>
    <row r="36" spans="2:10" ht="16.5" thickTop="1" x14ac:dyDescent="0.45">
      <c r="B36" s="451"/>
      <c r="C36" s="82"/>
      <c r="D36" s="82"/>
      <c r="E36" s="83"/>
      <c r="F36" s="82"/>
      <c r="G36" s="83"/>
      <c r="H36" s="87"/>
      <c r="I36" s="88" t="s">
        <v>57</v>
      </c>
      <c r="J36" s="89" t="s">
        <v>57</v>
      </c>
    </row>
    <row r="37" spans="2:10" ht="16" x14ac:dyDescent="0.3">
      <c r="B37" s="452" t="s">
        <v>58</v>
      </c>
      <c r="C37" s="49" t="s">
        <v>59</v>
      </c>
      <c r="D37" s="49"/>
      <c r="E37" s="90"/>
      <c r="F37" s="91"/>
      <c r="G37" s="90"/>
      <c r="H37" s="92"/>
      <c r="I37" s="93" t="s">
        <v>60</v>
      </c>
      <c r="J37" s="94" t="s">
        <v>61</v>
      </c>
    </row>
    <row r="38" spans="2:10" ht="16" x14ac:dyDescent="0.45">
      <c r="B38" s="451"/>
      <c r="C38" s="82" t="s">
        <v>62</v>
      </c>
      <c r="D38" s="82"/>
      <c r="E38" s="83"/>
      <c r="F38" s="82"/>
      <c r="G38" s="95"/>
      <c r="H38" s="96"/>
      <c r="I38" s="97"/>
      <c r="J38" s="89"/>
    </row>
    <row r="39" spans="2:10" ht="16" x14ac:dyDescent="0.45">
      <c r="B39" s="451"/>
      <c r="C39" s="82" t="s">
        <v>63</v>
      </c>
      <c r="D39" s="82"/>
      <c r="E39" s="83"/>
      <c r="F39" s="82"/>
      <c r="G39" s="83"/>
      <c r="H39" s="65"/>
      <c r="I39" s="432">
        <f>-C17/1000</f>
        <v>3322.14257</v>
      </c>
      <c r="J39" s="426"/>
    </row>
    <row r="40" spans="2:10" ht="16" x14ac:dyDescent="0.45">
      <c r="B40" s="451"/>
      <c r="C40" s="82" t="s">
        <v>2155</v>
      </c>
      <c r="D40" s="82"/>
      <c r="E40" s="99"/>
      <c r="F40" s="82"/>
      <c r="G40" s="83"/>
      <c r="H40" s="100"/>
      <c r="J40" s="426">
        <f>-(C9)/1000</f>
        <v>8161.4433799999997</v>
      </c>
    </row>
    <row r="41" spans="2:10" ht="16" x14ac:dyDescent="0.45">
      <c r="B41" s="451"/>
      <c r="C41" s="82" t="s">
        <v>64</v>
      </c>
      <c r="D41" s="82"/>
      <c r="E41" s="99"/>
      <c r="F41" s="82"/>
      <c r="G41" s="83"/>
      <c r="H41" s="100"/>
      <c r="I41" s="461"/>
      <c r="J41" s="426">
        <v>700</v>
      </c>
    </row>
    <row r="42" spans="2:10" ht="16" x14ac:dyDescent="0.45">
      <c r="B42" s="451"/>
      <c r="C42" s="82" t="s">
        <v>65</v>
      </c>
      <c r="D42" s="82"/>
      <c r="E42" s="83"/>
      <c r="F42" s="82"/>
      <c r="G42" s="83"/>
      <c r="H42" s="100"/>
      <c r="I42" s="461"/>
      <c r="J42" s="426"/>
    </row>
    <row r="43" spans="2:10" ht="16" x14ac:dyDescent="0.45">
      <c r="B43" s="451"/>
      <c r="C43" s="82" t="s">
        <v>66</v>
      </c>
      <c r="D43" s="82"/>
      <c r="E43" s="83"/>
      <c r="F43" s="82"/>
      <c r="G43" s="83"/>
      <c r="H43" s="100"/>
      <c r="I43" s="461"/>
      <c r="J43" s="426"/>
    </row>
    <row r="44" spans="2:10" ht="16" x14ac:dyDescent="0.45">
      <c r="B44" s="451"/>
      <c r="C44" s="82" t="s">
        <v>67</v>
      </c>
      <c r="D44" s="82"/>
      <c r="E44" s="83"/>
      <c r="F44" s="82"/>
      <c r="G44" s="83"/>
      <c r="H44" s="65"/>
      <c r="I44" s="461"/>
      <c r="J44" s="426"/>
    </row>
    <row r="45" spans="2:10" ht="16" x14ac:dyDescent="0.45">
      <c r="B45" s="451"/>
      <c r="C45" s="82" t="s">
        <v>68</v>
      </c>
      <c r="D45" s="82"/>
      <c r="E45" s="83"/>
      <c r="F45" s="82"/>
      <c r="G45" s="83"/>
      <c r="H45" s="65"/>
      <c r="I45" s="461"/>
      <c r="J45" s="426"/>
    </row>
    <row r="46" spans="2:10" ht="16" x14ac:dyDescent="0.45">
      <c r="B46" s="451"/>
      <c r="C46" s="82" t="s">
        <v>69</v>
      </c>
      <c r="D46" s="82"/>
      <c r="E46" s="83"/>
      <c r="F46" s="82"/>
      <c r="G46" s="83"/>
      <c r="H46" s="65"/>
      <c r="I46" s="461"/>
      <c r="J46" s="428"/>
    </row>
    <row r="47" spans="2:10" ht="16" x14ac:dyDescent="0.45">
      <c r="B47" s="451"/>
      <c r="C47" s="82" t="s">
        <v>70</v>
      </c>
      <c r="D47" s="82"/>
      <c r="E47" s="83"/>
      <c r="F47" s="82"/>
      <c r="G47" s="83"/>
      <c r="H47" s="65"/>
      <c r="I47" s="427"/>
      <c r="J47" s="428"/>
    </row>
    <row r="48" spans="2:10" ht="16" x14ac:dyDescent="0.45">
      <c r="B48" s="451"/>
      <c r="C48" s="82" t="s">
        <v>71</v>
      </c>
      <c r="D48" s="82"/>
      <c r="E48" s="83"/>
      <c r="F48" s="82"/>
      <c r="G48" s="105"/>
      <c r="H48" s="100"/>
      <c r="I48" s="429">
        <f>SUM(J39:J47)-SUM(I39:I47)</f>
        <v>5539.3008100000006</v>
      </c>
      <c r="J48" s="428"/>
    </row>
    <row r="49" spans="2:10" ht="16" x14ac:dyDescent="0.45">
      <c r="B49" s="453"/>
      <c r="C49" s="108"/>
      <c r="D49" s="108"/>
      <c r="E49" s="103"/>
      <c r="F49" s="108"/>
      <c r="G49" s="103"/>
      <c r="H49" s="109"/>
      <c r="I49" s="427"/>
      <c r="J49" s="430"/>
    </row>
    <row r="50" spans="2:10" ht="16" x14ac:dyDescent="0.3">
      <c r="B50" s="454" t="s">
        <v>72</v>
      </c>
      <c r="C50" s="51" t="s">
        <v>73</v>
      </c>
      <c r="D50" s="111"/>
      <c r="E50" s="52" t="s">
        <v>60</v>
      </c>
      <c r="F50" s="112"/>
      <c r="G50" s="52" t="s">
        <v>61</v>
      </c>
      <c r="H50" s="112"/>
      <c r="I50" s="52" t="s">
        <v>74</v>
      </c>
      <c r="J50" s="113"/>
    </row>
    <row r="51" spans="2:10" ht="16" x14ac:dyDescent="0.45">
      <c r="B51" s="452" t="s">
        <v>75</v>
      </c>
      <c r="C51" s="49" t="s">
        <v>76</v>
      </c>
      <c r="D51" s="53"/>
      <c r="E51" s="93" t="s">
        <v>57</v>
      </c>
      <c r="F51" s="431"/>
      <c r="G51" s="93" t="s">
        <v>57</v>
      </c>
      <c r="H51" s="435"/>
      <c r="I51" s="93" t="s">
        <v>57</v>
      </c>
      <c r="J51" s="54"/>
    </row>
    <row r="52" spans="2:10" ht="16" x14ac:dyDescent="0.45">
      <c r="B52" s="451"/>
      <c r="C52" s="82" t="s">
        <v>77</v>
      </c>
      <c r="D52" s="87"/>
      <c r="E52" s="83"/>
      <c r="F52" s="87"/>
      <c r="G52" s="83"/>
      <c r="H52" s="87"/>
      <c r="I52" s="83"/>
      <c r="J52" s="89"/>
    </row>
    <row r="53" spans="2:10" ht="16" x14ac:dyDescent="0.45">
      <c r="B53" s="451"/>
      <c r="C53" s="82" t="s">
        <v>78</v>
      </c>
      <c r="D53" s="87"/>
      <c r="E53" s="425">
        <f>-AVERAGE(D14:J14)/1000</f>
        <v>84.653839243765077</v>
      </c>
      <c r="F53" s="431"/>
      <c r="G53" s="425">
        <f>-AVERAGE(D6:J6)/1000</f>
        <v>187.48084898379261</v>
      </c>
      <c r="H53" s="431"/>
      <c r="I53" s="432">
        <f>E53-G53</f>
        <v>-102.82700974002753</v>
      </c>
      <c r="J53" s="117"/>
    </row>
    <row r="54" spans="2:10" ht="16" x14ac:dyDescent="0.45">
      <c r="B54" s="451"/>
      <c r="C54" s="82"/>
      <c r="D54" s="87"/>
      <c r="E54" s="83"/>
      <c r="F54" s="118"/>
      <c r="G54" s="83"/>
      <c r="H54" s="118"/>
      <c r="I54" s="83"/>
      <c r="J54" s="119"/>
    </row>
    <row r="55" spans="2:10" ht="16" x14ac:dyDescent="0.45">
      <c r="B55" s="451"/>
      <c r="C55" s="82"/>
      <c r="D55" s="87"/>
      <c r="E55" s="83"/>
      <c r="F55" s="87"/>
      <c r="G55" s="83"/>
      <c r="H55" s="87"/>
      <c r="I55" s="83"/>
      <c r="J55" s="120"/>
    </row>
    <row r="56" spans="2:10" ht="16" x14ac:dyDescent="0.45">
      <c r="B56" s="451"/>
      <c r="C56" s="82"/>
      <c r="D56" s="87"/>
      <c r="E56" s="83"/>
      <c r="F56" s="87"/>
      <c r="G56" s="83"/>
      <c r="H56" s="87"/>
      <c r="I56" s="83"/>
      <c r="J56" s="84"/>
    </row>
    <row r="57" spans="2:10" ht="16" x14ac:dyDescent="0.45">
      <c r="B57" s="453"/>
      <c r="C57" s="108"/>
      <c r="D57" s="109"/>
      <c r="E57" s="103"/>
      <c r="F57" s="109"/>
      <c r="G57" s="103"/>
      <c r="H57" s="109"/>
      <c r="I57" s="103"/>
      <c r="J57" s="110"/>
    </row>
    <row r="58" spans="2:10" ht="16" x14ac:dyDescent="0.3">
      <c r="B58" s="455"/>
      <c r="C58" s="122" t="s">
        <v>79</v>
      </c>
      <c r="D58" s="123"/>
      <c r="E58" s="433">
        <f>SUM(E53:E57)</f>
        <v>84.653839243765077</v>
      </c>
      <c r="F58" s="434"/>
      <c r="G58" s="433">
        <f>SUM(G53:G56)</f>
        <v>187.48084898379261</v>
      </c>
      <c r="H58" s="434"/>
      <c r="I58" s="433">
        <f>E58-G58</f>
        <v>-102.82700974002753</v>
      </c>
      <c r="J58" s="124"/>
    </row>
    <row r="59" spans="2:10" ht="16" x14ac:dyDescent="0.3">
      <c r="B59" s="456"/>
      <c r="C59" s="91"/>
      <c r="D59" s="92"/>
      <c r="E59" s="93"/>
      <c r="F59" s="435"/>
      <c r="G59" s="93"/>
      <c r="H59" s="435"/>
      <c r="I59" s="93"/>
      <c r="J59" s="54"/>
    </row>
    <row r="60" spans="2:10" ht="16" x14ac:dyDescent="0.45">
      <c r="B60" s="451"/>
      <c r="C60" s="82" t="s">
        <v>80</v>
      </c>
      <c r="D60" s="87"/>
      <c r="E60" s="88"/>
      <c r="F60" s="431"/>
      <c r="G60" s="88"/>
      <c r="H60" s="431"/>
      <c r="I60" s="88"/>
      <c r="J60" s="84"/>
    </row>
    <row r="61" spans="2:10" ht="16" x14ac:dyDescent="0.45">
      <c r="B61" s="451"/>
      <c r="C61" s="82" t="s">
        <v>81</v>
      </c>
      <c r="D61" s="87"/>
      <c r="E61" s="88">
        <f>I39/7</f>
        <v>474.59179571428569</v>
      </c>
      <c r="F61" s="431"/>
      <c r="G61" s="88">
        <f>J40/7</f>
        <v>1165.9204828571428</v>
      </c>
      <c r="H61" s="431"/>
      <c r="I61" s="436">
        <f>E61-G61</f>
        <v>-691.32868714285712</v>
      </c>
      <c r="J61" s="84"/>
    </row>
    <row r="62" spans="2:10" ht="16" x14ac:dyDescent="0.45">
      <c r="B62" s="451"/>
      <c r="C62" s="82" t="s">
        <v>82</v>
      </c>
      <c r="D62" s="87" t="s">
        <v>83</v>
      </c>
      <c r="E62" s="88">
        <v>0</v>
      </c>
      <c r="F62" s="431"/>
      <c r="G62" s="88">
        <v>0</v>
      </c>
      <c r="H62" s="431"/>
      <c r="I62" s="436">
        <f>E62-G62</f>
        <v>0</v>
      </c>
      <c r="J62" s="84"/>
    </row>
    <row r="63" spans="2:10" ht="16" x14ac:dyDescent="0.45">
      <c r="B63" s="451"/>
      <c r="C63" s="82" t="s">
        <v>84</v>
      </c>
      <c r="D63" s="87" t="s">
        <v>85</v>
      </c>
      <c r="E63" s="88">
        <v>0</v>
      </c>
      <c r="F63" s="431"/>
      <c r="G63" s="88">
        <v>0</v>
      </c>
      <c r="H63" s="431"/>
      <c r="I63" s="436">
        <f>E63-G63</f>
        <v>0</v>
      </c>
      <c r="J63" s="84"/>
    </row>
    <row r="64" spans="2:10" ht="16" x14ac:dyDescent="0.45">
      <c r="B64" s="451"/>
      <c r="C64" s="82" t="s">
        <v>86</v>
      </c>
      <c r="D64" s="87"/>
      <c r="E64" s="88">
        <f>(I45+I46)/7</f>
        <v>0</v>
      </c>
      <c r="F64" s="431"/>
      <c r="G64" s="88">
        <v>0</v>
      </c>
      <c r="H64" s="431"/>
      <c r="I64" s="436">
        <f>E64-G64</f>
        <v>0</v>
      </c>
      <c r="J64" s="84"/>
    </row>
    <row r="65" spans="2:10" ht="16" x14ac:dyDescent="0.45">
      <c r="B65" s="451"/>
      <c r="C65" s="82"/>
      <c r="D65" s="87"/>
      <c r="E65" s="88"/>
      <c r="F65" s="431"/>
      <c r="G65" s="88"/>
      <c r="H65" s="431"/>
      <c r="I65" s="88"/>
      <c r="J65" s="84"/>
    </row>
    <row r="66" spans="2:10" ht="16" x14ac:dyDescent="0.3">
      <c r="B66" s="457"/>
      <c r="C66" s="128" t="s">
        <v>87</v>
      </c>
      <c r="D66" s="129"/>
      <c r="E66" s="437">
        <f>SUM(E61:E65)</f>
        <v>474.59179571428569</v>
      </c>
      <c r="F66" s="438"/>
      <c r="G66" s="437">
        <f>SUM(G61:G64)</f>
        <v>1165.9204828571428</v>
      </c>
      <c r="H66" s="438"/>
      <c r="I66" s="439">
        <f>E66-G66</f>
        <v>-691.32868714285712</v>
      </c>
      <c r="J66" s="130"/>
    </row>
    <row r="67" spans="2:10" ht="16" x14ac:dyDescent="0.3">
      <c r="B67" s="455"/>
      <c r="C67" s="122" t="s">
        <v>88</v>
      </c>
      <c r="D67" s="123"/>
      <c r="E67" s="440">
        <f>E66+E58</f>
        <v>559.2456349580508</v>
      </c>
      <c r="F67" s="441"/>
      <c r="G67" s="440">
        <f>G66+G58</f>
        <v>1353.4013318409354</v>
      </c>
      <c r="H67" s="441"/>
      <c r="I67" s="440">
        <f>E67-G67</f>
        <v>-794.15569688288463</v>
      </c>
      <c r="J67" s="124"/>
    </row>
    <row r="68" spans="2:10" ht="16" x14ac:dyDescent="0.45">
      <c r="B68" s="451"/>
      <c r="C68" s="82"/>
      <c r="D68" s="87"/>
      <c r="E68" s="88"/>
      <c r="F68" s="431"/>
      <c r="G68" s="88"/>
      <c r="H68" s="431"/>
      <c r="I68" s="88"/>
      <c r="J68" s="84"/>
    </row>
    <row r="69" spans="2:10" ht="16" x14ac:dyDescent="0.45">
      <c r="B69" s="451"/>
      <c r="C69" s="82" t="s">
        <v>89</v>
      </c>
      <c r="D69" s="87"/>
      <c r="E69" s="442" t="str">
        <f>IF(D50&gt;0,E58*1000/D50," ")</f>
        <v xml:space="preserve"> </v>
      </c>
      <c r="F69" s="431"/>
      <c r="G69" s="442" t="str">
        <f>IF(D50&gt;0,G58*1000/D50," ")</f>
        <v xml:space="preserve"> </v>
      </c>
      <c r="H69" s="431"/>
      <c r="I69" s="88"/>
      <c r="J69" s="84"/>
    </row>
    <row r="70" spans="2:10" ht="16" x14ac:dyDescent="0.45">
      <c r="B70" s="451"/>
      <c r="C70" s="82" t="s">
        <v>90</v>
      </c>
      <c r="D70" s="87"/>
      <c r="E70" s="442" t="str">
        <f>IF(D50&gt;0,E66*1000/D50," ")</f>
        <v xml:space="preserve"> </v>
      </c>
      <c r="F70" s="431"/>
      <c r="G70" s="442" t="str">
        <f>IF(D50&gt;0,G59*1000/D50," ")</f>
        <v xml:space="preserve"> </v>
      </c>
      <c r="H70" s="431"/>
      <c r="I70" s="88"/>
      <c r="J70" s="84"/>
    </row>
    <row r="71" spans="2:10" ht="16" x14ac:dyDescent="0.45">
      <c r="B71" s="451"/>
      <c r="C71" s="82"/>
      <c r="D71" s="87"/>
      <c r="E71" s="88"/>
      <c r="F71" s="431"/>
      <c r="G71" s="88"/>
      <c r="H71" s="431"/>
      <c r="I71" s="88"/>
      <c r="J71" s="84"/>
    </row>
    <row r="72" spans="2:10" ht="16" x14ac:dyDescent="0.3">
      <c r="B72" s="458" t="s">
        <v>91</v>
      </c>
      <c r="C72" s="59" t="s">
        <v>92</v>
      </c>
      <c r="D72" s="60"/>
      <c r="E72" s="443"/>
      <c r="F72" s="444"/>
      <c r="G72" s="443"/>
      <c r="H72" s="444"/>
      <c r="I72" s="443"/>
      <c r="J72" s="130"/>
    </row>
    <row r="73" spans="2:10" ht="16" x14ac:dyDescent="0.3">
      <c r="B73" s="454" t="s">
        <v>93</v>
      </c>
      <c r="C73" s="51" t="s">
        <v>94</v>
      </c>
      <c r="D73" s="61"/>
      <c r="E73" s="445" t="str">
        <f>IF(E72&gt;0,E72*D50/1000," ")</f>
        <v xml:space="preserve"> </v>
      </c>
      <c r="F73" s="446"/>
      <c r="G73" s="445" t="str">
        <f>IF(G72&gt;0,G72*D50/1000," ")</f>
        <v xml:space="preserve"> </v>
      </c>
      <c r="H73" s="446"/>
      <c r="I73" s="445"/>
      <c r="J73" s="124"/>
    </row>
    <row r="74" spans="2:10" ht="16" x14ac:dyDescent="0.3">
      <c r="B74" s="454" t="s">
        <v>95</v>
      </c>
      <c r="C74" s="62" t="s">
        <v>96</v>
      </c>
      <c r="D74" s="61"/>
      <c r="E74" s="445" t="str">
        <f>IF(E72&gt;0,E73-E67," ")</f>
        <v xml:space="preserve"> </v>
      </c>
      <c r="F74" s="446"/>
      <c r="G74" s="445" t="str">
        <f>IF(G72&gt;0,G73-G67," ")</f>
        <v xml:space="preserve"> </v>
      </c>
      <c r="H74" s="446"/>
      <c r="I74" s="445">
        <f>I73-I67</f>
        <v>794.15569688288463</v>
      </c>
      <c r="J74" s="124"/>
    </row>
    <row r="75" spans="2:10" ht="16" x14ac:dyDescent="0.45">
      <c r="B75" s="459" t="s">
        <v>97</v>
      </c>
      <c r="C75" s="64" t="s">
        <v>98</v>
      </c>
      <c r="D75" s="65"/>
      <c r="E75" s="88"/>
      <c r="F75" s="447"/>
      <c r="G75" s="88"/>
      <c r="H75" s="431"/>
      <c r="I75" s="88"/>
      <c r="J75" s="84"/>
    </row>
    <row r="76" spans="2:10" ht="16" x14ac:dyDescent="0.45">
      <c r="B76" s="451"/>
      <c r="C76" s="134" t="s">
        <v>99</v>
      </c>
      <c r="D76" s="87"/>
      <c r="E76" s="88"/>
      <c r="F76" s="447"/>
      <c r="G76" s="88"/>
      <c r="H76" s="431"/>
      <c r="I76" s="88">
        <f>I74</f>
        <v>794.15569688288463</v>
      </c>
      <c r="J76" s="84"/>
    </row>
    <row r="77" spans="2:10" ht="16" x14ac:dyDescent="0.45">
      <c r="B77" s="451"/>
      <c r="C77" s="82" t="s">
        <v>100</v>
      </c>
      <c r="D77" s="87"/>
      <c r="E77" s="88"/>
      <c r="F77" s="447"/>
      <c r="G77" s="88"/>
      <c r="H77" s="431"/>
      <c r="I77" s="88">
        <f>E61+E62+E63+E64-(G61+G62+G63+G64)</f>
        <v>-691.32868714285712</v>
      </c>
      <c r="J77" s="84"/>
    </row>
    <row r="78" spans="2:10" ht="16" x14ac:dyDescent="0.45">
      <c r="B78" s="451"/>
      <c r="C78" s="82" t="s">
        <v>101</v>
      </c>
      <c r="D78" s="87"/>
      <c r="E78" s="83"/>
      <c r="F78" s="82"/>
      <c r="G78" s="83"/>
      <c r="H78" s="87"/>
      <c r="I78" s="83"/>
      <c r="J78" s="84"/>
    </row>
    <row r="79" spans="2:10" ht="16" x14ac:dyDescent="0.45">
      <c r="B79" s="453"/>
      <c r="C79" s="108" t="s">
        <v>102</v>
      </c>
      <c r="D79" s="109"/>
      <c r="E79" s="103"/>
      <c r="F79" s="108"/>
      <c r="G79" s="103"/>
      <c r="H79" s="109"/>
      <c r="I79" s="427">
        <f>SUM(I76:I78)</f>
        <v>102.82700974002751</v>
      </c>
      <c r="J79" s="110"/>
    </row>
    <row r="80" spans="2:10" ht="16" x14ac:dyDescent="0.3">
      <c r="B80" s="452" t="s">
        <v>103</v>
      </c>
      <c r="C80" s="49" t="s">
        <v>104</v>
      </c>
      <c r="D80" s="53"/>
      <c r="E80" s="90"/>
      <c r="F80" s="91"/>
      <c r="G80" s="90"/>
      <c r="H80" s="92"/>
      <c r="I80" s="93"/>
      <c r="J80" s="54"/>
    </row>
    <row r="81" spans="2:10" ht="16" x14ac:dyDescent="0.45">
      <c r="B81" s="453"/>
      <c r="C81" s="108" t="s">
        <v>105</v>
      </c>
      <c r="D81" s="109"/>
      <c r="E81" s="103"/>
      <c r="F81" s="108"/>
      <c r="G81" s="103"/>
      <c r="H81" s="109"/>
      <c r="I81" s="448">
        <f>(I48/I79)</f>
        <v>53.87009526003667</v>
      </c>
      <c r="J81" s="110"/>
    </row>
    <row r="82" spans="2:10" ht="16" x14ac:dyDescent="0.45">
      <c r="B82" s="459" t="s">
        <v>106</v>
      </c>
      <c r="C82" s="64" t="s">
        <v>107</v>
      </c>
      <c r="D82" s="65"/>
      <c r="E82" s="83"/>
      <c r="F82" s="82"/>
      <c r="G82" s="83"/>
      <c r="H82" s="87"/>
      <c r="I82" s="88"/>
      <c r="J82" s="84"/>
    </row>
    <row r="83" spans="2:10" ht="16" x14ac:dyDescent="0.45">
      <c r="B83" s="451"/>
      <c r="C83" s="82" t="s">
        <v>108</v>
      </c>
      <c r="D83" s="87"/>
      <c r="E83" s="83"/>
      <c r="F83" s="82"/>
      <c r="G83" s="83"/>
      <c r="H83" s="87"/>
      <c r="I83" s="449">
        <f>IF($I$74&gt;0,$I$74/$I$48,"Sem Retorno")</f>
        <v>0.14336749783460206</v>
      </c>
      <c r="J83" s="84"/>
    </row>
    <row r="84" spans="2:10" ht="16.5" thickBot="1" x14ac:dyDescent="0.5">
      <c r="B84" s="460"/>
      <c r="C84" s="78"/>
      <c r="D84" s="137"/>
      <c r="E84" s="79"/>
      <c r="F84" s="78"/>
      <c r="G84" s="79"/>
      <c r="H84" s="137"/>
      <c r="I84" s="450"/>
      <c r="J84" s="80"/>
    </row>
    <row r="85" spans="2:10" ht="17" thickTop="1" thickBot="1" x14ac:dyDescent="0.5">
      <c r="B85" s="82"/>
      <c r="C85" s="82"/>
      <c r="D85" s="82"/>
      <c r="E85" s="83"/>
      <c r="F85" s="82"/>
      <c r="G85" s="83"/>
      <c r="H85" s="82"/>
      <c r="I85" s="138" t="s">
        <v>109</v>
      </c>
      <c r="J85" s="139"/>
    </row>
    <row r="86" spans="2:10" ht="14.5" thickTop="1" x14ac:dyDescent="0.3"/>
  </sheetData>
  <mergeCells count="1">
    <mergeCell ref="I34:J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MATRIZ</vt:lpstr>
      <vt:lpstr>Dados</vt:lpstr>
      <vt:lpstr>Bruta</vt:lpstr>
      <vt:lpstr>inflação</vt:lpstr>
      <vt:lpstr>Tecnica</vt:lpstr>
      <vt:lpstr>Fluxo_caixa</vt:lpstr>
    </vt:vector>
  </TitlesOfParts>
  <Company>Andreas Stihl AG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 Spader, Ana Leticia</dc:creator>
  <cp:lastModifiedBy>BR/UMM-mp Pedroso Magri, Fagner</cp:lastModifiedBy>
  <cp:lastPrinted>2024-01-24T20:11:17Z</cp:lastPrinted>
  <dcterms:created xsi:type="dcterms:W3CDTF">2019-05-08T17:22:11Z</dcterms:created>
  <dcterms:modified xsi:type="dcterms:W3CDTF">2026-05-15T10:37:29Z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4c45ff-ee86-4b09-ad77-569638aba185_Enabled">
    <vt:lpwstr>true</vt:lpwstr>
  </property>
  <property fmtid="{D5CDD505-2E9C-101B-9397-08002B2CF9AE}" pid="3" name="MSIP_Label_7f4c45ff-ee86-4b09-ad77-569638aba185_SetDate">
    <vt:lpwstr>2023-03-23T17:24:01Z</vt:lpwstr>
  </property>
  <property fmtid="{D5CDD505-2E9C-101B-9397-08002B2CF9AE}" pid="4" name="MSIP_Label_7f4c45ff-ee86-4b09-ad77-569638aba185_Method">
    <vt:lpwstr>Privileged</vt:lpwstr>
  </property>
  <property fmtid="{D5CDD505-2E9C-101B-9397-08002B2CF9AE}" pid="5" name="MSIP_Label_7f4c45ff-ee86-4b09-ad77-569638aba185_Name">
    <vt:lpwstr>Public</vt:lpwstr>
  </property>
  <property fmtid="{D5CDD505-2E9C-101B-9397-08002B2CF9AE}" pid="6" name="MSIP_Label_7f4c45ff-ee86-4b09-ad77-569638aba185_SiteId">
    <vt:lpwstr>702ed1df-fbf3-42e7-a14d-db80a314e632</vt:lpwstr>
  </property>
  <property fmtid="{D5CDD505-2E9C-101B-9397-08002B2CF9AE}" pid="7" name="MSIP_Label_7f4c45ff-ee86-4b09-ad77-569638aba185_ActionId">
    <vt:lpwstr>b79c454c-1df7-40a4-b84a-611fa3d26b43</vt:lpwstr>
  </property>
  <property fmtid="{D5CDD505-2E9C-101B-9397-08002B2CF9AE}" pid="8" name="MSIP_Label_7f4c45ff-ee86-4b09-ad77-569638aba185_ContentBits">
    <vt:lpwstr>0</vt:lpwstr>
  </property>
</Properties>
</file>